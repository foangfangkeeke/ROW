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58249a41e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3911d7755549f7"/>
    <x:sheet xmlns:r="http://schemas.openxmlformats.org/officeDocument/2006/relationships" name="Instance_Index" sheetId="2" r:id="R9211bfe11ee24844"/>
    <x:sheet xmlns:r="http://schemas.openxmlformats.org/officeDocument/2006/relationships" name="Parameters" sheetId="3" r:id="R067f08c8e07d47cd"/>
    <x:sheet xmlns:r="http://schemas.openxmlformats.org/officeDocument/2006/relationships" name="Nodes" sheetId="4" r:id="Ra66619b1f2f8417a"/>
    <x:sheet xmlns:r="http://schemas.openxmlformats.org/officeDocument/2006/relationships" name="Physical_Arcs" sheetId="5" r:id="Rdaaaef20c5b84f4f"/>
    <x:sheet xmlns:r="http://schemas.openxmlformats.org/officeDocument/2006/relationships" name="OD_Base" sheetId="6" r:id="R88a32b7cf85c416f"/>
    <x:sheet xmlns:r="http://schemas.openxmlformats.org/officeDocument/2006/relationships" name="Release_Epochs" sheetId="7" r:id="R011d46167a684c8c"/>
    <x:sheet xmlns:r="http://schemas.openxmlformats.org/officeDocument/2006/relationships" name="Commodities" sheetId="8" r:id="R9ed9089ff2114951"/>
    <x:sheet xmlns:r="http://schemas.openxmlformats.org/officeDocument/2006/relationships" name="Fine_Periods" sheetId="9" r:id="R73c1db5ae7db4c58"/>
    <x:sheet xmlns:r="http://schemas.openxmlformats.org/officeDocument/2006/relationships" name="Design_Blocks" sheetId="10" r:id="R6371f6a4380048da"/>
    <x:sheet xmlns:r="http://schemas.openxmlformats.org/officeDocument/2006/relationships" name="Traversal_Blocks" sheetId="11" r:id="R6de730cc78db420c"/>
    <x:sheet xmlns:r="http://schemas.openxmlformats.org/officeDocument/2006/relationships" name="ROW_Candidates" sheetId="12" r:id="R3c97930aebb24b6b"/>
    <x:sheet xmlns:r="http://schemas.openxmlformats.org/officeDocument/2006/relationships" name="Scenario_Index" sheetId="13" r:id="R9fa4e2dbb1994ae9"/>
    <x:sheet xmlns:r="http://schemas.openxmlformats.org/officeDocument/2006/relationships" name="Demand_Scenarios" sheetId="14" r:id="R871a8ff6021f4ac0"/>
    <x:sheet xmlns:r="http://schemas.openxmlformats.org/officeDocument/2006/relationships" name="Capacity_Base" sheetId="15" r:id="R91e0b560387f4534"/>
    <x:sheet xmlns:r="http://schemas.openxmlformats.org/officeDocument/2006/relationships" name="Capacity_Link_Shocks" sheetId="16" r:id="Rbe88a901b9ed4841"/>
    <x:sheet xmlns:r="http://schemas.openxmlformats.org/officeDocument/2006/relationships" name="Capacity_Time_Shocks" sheetId="17" r:id="R918f4bf3c5164065"/>
    <x:sheet xmlns:r="http://schemas.openxmlformats.org/officeDocument/2006/relationships" name="QC_Summary" sheetId="18" r:id="R7511c5622dda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0b6d0956947fe" /><Relationship Type="http://schemas.openxmlformats.org/officeDocument/2006/relationships/theme" Target="/xl/theme/theme1.xml" Id="R57a6c3710c31485d" /><Relationship Type="http://schemas.openxmlformats.org/officeDocument/2006/relationships/sharedStrings" Target="/xl/sharedStrings.xml" Id="R57aaf51912074854" /><Relationship Type="http://schemas.openxmlformats.org/officeDocument/2006/relationships/worksheet" Target="/xl/worksheets/sheet1.xml" Id="R9d3911d7755549f7" /><Relationship Type="http://schemas.openxmlformats.org/officeDocument/2006/relationships/worksheet" Target="/xl/worksheets/sheet2.xml" Id="R9211bfe11ee24844" /><Relationship Type="http://schemas.openxmlformats.org/officeDocument/2006/relationships/worksheet" Target="/xl/worksheets/sheet3.xml" Id="R067f08c8e07d47cd" /><Relationship Type="http://schemas.openxmlformats.org/officeDocument/2006/relationships/worksheet" Target="/xl/worksheets/sheet4.xml" Id="Ra66619b1f2f8417a" /><Relationship Type="http://schemas.openxmlformats.org/officeDocument/2006/relationships/worksheet" Target="/xl/worksheets/sheet5.xml" Id="Rdaaaef20c5b84f4f" /><Relationship Type="http://schemas.openxmlformats.org/officeDocument/2006/relationships/worksheet" Target="/xl/worksheets/sheet6.xml" Id="R88a32b7cf85c416f" /><Relationship Type="http://schemas.openxmlformats.org/officeDocument/2006/relationships/worksheet" Target="/xl/worksheets/sheet7.xml" Id="R011d46167a684c8c" /><Relationship Type="http://schemas.openxmlformats.org/officeDocument/2006/relationships/worksheet" Target="/xl/worksheets/sheet8.xml" Id="R9ed9089ff2114951" /><Relationship Type="http://schemas.openxmlformats.org/officeDocument/2006/relationships/worksheet" Target="/xl/worksheets/sheet9.xml" Id="R73c1db5ae7db4c58" /><Relationship Type="http://schemas.openxmlformats.org/officeDocument/2006/relationships/worksheet" Target="/xl/worksheets/sheet10.xml" Id="R6371f6a4380048da" /><Relationship Type="http://schemas.openxmlformats.org/officeDocument/2006/relationships/worksheet" Target="/xl/worksheets/sheet11.xml" Id="R6de730cc78db420c" /><Relationship Type="http://schemas.openxmlformats.org/officeDocument/2006/relationships/worksheet" Target="/xl/worksheets/sheet12.xml" Id="R3c97930aebb24b6b" /><Relationship Type="http://schemas.openxmlformats.org/officeDocument/2006/relationships/worksheet" Target="/xl/worksheets/sheet13.xml" Id="R9fa4e2dbb1994ae9" /><Relationship Type="http://schemas.openxmlformats.org/officeDocument/2006/relationships/worksheet" Target="/xl/worksheets/sheet14.xml" Id="R871a8ff6021f4ac0" /><Relationship Type="http://schemas.openxmlformats.org/officeDocument/2006/relationships/worksheet" Target="/xl/worksheets/sheet15.xml" Id="R91e0b560387f4534" /><Relationship Type="http://schemas.openxmlformats.org/officeDocument/2006/relationships/worksheet" Target="/xl/worksheets/sheet16.xml" Id="Rbe88a901b9ed4841" /><Relationship Type="http://schemas.openxmlformats.org/officeDocument/2006/relationships/worksheet" Target="/xl/worksheets/sheet17.xml" Id="R918f4bf3c5164065" /><Relationship Type="http://schemas.openxmlformats.org/officeDocument/2006/relationships/worksheet" Target="/xl/worksheets/sheet18.xml" Id="R7511c5622dda4d1b" /></Relationships>
</file>

<file path=xl/tables/table1.xml><?xml version="1.0" encoding="utf-8"?>
<x:table xmlns:x="http://schemas.openxmlformats.org/spreadsheetml/2006/main" id="1" name="R04InstanceIndex" displayName="R04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4Parameters" displayName="R04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4Nodes" displayName="R04Nodes" ref="A1:C11" headerRowCount="1" totalsRowCount="0" totalsRowShown="0">
  <x:tableColumns count="3">
    <x:tableColumn id="1" name="node_id"/>
    <x:tableColumn id="2" name="network"/>
    <x:tableColumn id="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04PhysicalArcs" displayName="R04PhysicalArcs" ref="A1:AD61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04ODBase" displayName="R04ODBase" ref="A1:F11" headerRowCount="1" totalsRowCount="0" totalsRowShown="0">
  <x:tableColumns count="6">
    <x:tableColumn id="1" name="od_id"/>
    <x:tableColumn id="2" name="origin"/>
    <x:tableColumn id="3" name="destination"/>
    <x:tableColumn id="4" name="original_R_demand"/>
    <x:tableColumn id="5" name="selected_OD_weight"/>
    <x:tableColumn id="6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04ReleaseEpochs" displayName="R04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04Commodities" displayName="R04Commodities" ref="A1:R11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04FinePeriods" displayName="R04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04DesignBlocks" displayName="R04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04TraversalBlocks" displayName="R04TraversalBlocks" ref="A1:F2021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04ROWCandidates" displayName="R04ROWCandidates" ref="A1:N361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04ScenarioIndex" displayName="R04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04DemandScenarios" displayName="R04DemandScenarios" ref="A1:N30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04CapacityBase" displayName="R04CapacityBase" ref="A1:T2161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04CapacityLinkShocks" displayName="R04CapacityLinkShocks" ref="A1:F180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04CapacityTimeShocks" displayName="R04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04QCSummary" displayName="R04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8f5a72173443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008163d8b244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6c202ba8674b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2f68ab09cb43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978f2eb6cf44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68602f3a554a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04e4e4241c4e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5095f5c8a343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c5b7f454a434d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03e33aca8b4b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214b20f2bb249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afda31e0d8b46a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634bbfd46094f3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f6918e4326c466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510b09140c94f6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38f5553ae9742f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b8535e5fe7249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R04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Original R04 Y1/Y3/Y5 files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10 nodes; 60 directed arcs; 10 OD pairs</x:v>
      </x:c>
      <x:c r="C6" s="8" t="str">
        <x:v>One physical network per workbook; Y columns carry regime-specific values.</x:v>
      </x:c>
      <x:c r="D6" s="8" t="str">
        <x:v>https://commalab.di.unipi.it/datasets/mmcf/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10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20261910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R04_Y1_S10_H1_M10</x:v>
      </x:c>
      <x:c r="B2" s="3" t="str">
        <x:v>R04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10</x:v>
      </x:c>
      <x:c r="H2" s="3" t="n">
        <x:v>60</x:v>
      </x:c>
      <x:c r="I2" s="3" t="n">
        <x:v>10</x:v>
      </x:c>
      <x:c r="J2" s="3" t="n">
        <x:v>10</x:v>
      </x:c>
      <x:c r="K2" s="3" t="n">
        <x:v>36</x:v>
      </x:c>
      <x:c r="L2" s="3" t="n">
        <x:v>6</x:v>
      </x:c>
      <x:c r="M2" s="3" t="n">
        <x:v>360</x:v>
      </x:c>
      <x:c r="N2" s="9" t="n">
        <x:f>'Parameters'!$C$35</x:f>
        <x:v>115.0028084999999</x:v>
      </x:c>
    </x:row>
    <x:row r="3" ht="21" customHeight="1">
      <x:c r="A3" s="3" t="str">
        <x:v>R04_Y1_S20_H1_M10</x:v>
      </x:c>
      <x:c r="B3" s="3" t="str">
        <x:v>R04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10</x:v>
      </x:c>
      <x:c r="H3" s="3" t="n">
        <x:v>60</x:v>
      </x:c>
      <x:c r="I3" s="3" t="n">
        <x:v>10</x:v>
      </x:c>
      <x:c r="J3" s="3" t="n">
        <x:v>10</x:v>
      </x:c>
      <x:c r="K3" s="3" t="n">
        <x:v>36</x:v>
      </x:c>
      <x:c r="L3" s="3" t="n">
        <x:v>6</x:v>
      </x:c>
      <x:c r="M3" s="3" t="n">
        <x:v>360</x:v>
      </x:c>
      <x:c r="N3" s="9" t="n">
        <x:f>'Parameters'!$C$35</x:f>
        <x:v>115.0028084999999</x:v>
      </x:c>
    </x:row>
    <x:row r="4" ht="21" customHeight="1">
      <x:c r="A4" s="3" t="str">
        <x:v>R04_Y1_S30_H1_M10</x:v>
      </x:c>
      <x:c r="B4" s="3" t="str">
        <x:v>R04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10</x:v>
      </x:c>
      <x:c r="H4" s="3" t="n">
        <x:v>60</x:v>
      </x:c>
      <x:c r="I4" s="3" t="n">
        <x:v>10</x:v>
      </x:c>
      <x:c r="J4" s="3" t="n">
        <x:v>10</x:v>
      </x:c>
      <x:c r="K4" s="3" t="n">
        <x:v>36</x:v>
      </x:c>
      <x:c r="L4" s="3" t="n">
        <x:v>6</x:v>
      </x:c>
      <x:c r="M4" s="3" t="n">
        <x:v>360</x:v>
      </x:c>
      <x:c r="N4" s="9" t="n">
        <x:f>'Parameters'!$C$35</x:f>
        <x:v>115.0028084999999</x:v>
      </x:c>
    </x:row>
    <x:row r="5" ht="21" customHeight="1">
      <x:c r="A5" s="3" t="str">
        <x:v>R04_Y3_S10_H1_M10</x:v>
      </x:c>
      <x:c r="B5" s="3" t="str">
        <x:v>R04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10</x:v>
      </x:c>
      <x:c r="H5" s="3" t="n">
        <x:v>60</x:v>
      </x:c>
      <x:c r="I5" s="3" t="n">
        <x:v>10</x:v>
      </x:c>
      <x:c r="J5" s="3" t="n">
        <x:v>10</x:v>
      </x:c>
      <x:c r="K5" s="3" t="n">
        <x:v>36</x:v>
      </x:c>
      <x:c r="L5" s="3" t="n">
        <x:v>6</x:v>
      </x:c>
      <x:c r="M5" s="3" t="n">
        <x:v>360</x:v>
      </x:c>
      <x:c r="N5" s="9" t="n">
        <x:f>'Parameters'!$C$35</x:f>
        <x:v>115.0028084999999</x:v>
      </x:c>
    </x:row>
    <x:row r="6" ht="21" customHeight="1">
      <x:c r="A6" s="3" t="str">
        <x:v>R04_Y3_S20_H1_M10</x:v>
      </x:c>
      <x:c r="B6" s="3" t="str">
        <x:v>R04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10</x:v>
      </x:c>
      <x:c r="H6" s="3" t="n">
        <x:v>60</x:v>
      </x:c>
      <x:c r="I6" s="3" t="n">
        <x:v>10</x:v>
      </x:c>
      <x:c r="J6" s="3" t="n">
        <x:v>10</x:v>
      </x:c>
      <x:c r="K6" s="3" t="n">
        <x:v>36</x:v>
      </x:c>
      <x:c r="L6" s="3" t="n">
        <x:v>6</x:v>
      </x:c>
      <x:c r="M6" s="3" t="n">
        <x:v>360</x:v>
      </x:c>
      <x:c r="N6" s="9" t="n">
        <x:f>'Parameters'!$C$35</x:f>
        <x:v>115.0028084999999</x:v>
      </x:c>
    </x:row>
    <x:row r="7" ht="21" customHeight="1">
      <x:c r="A7" s="3" t="str">
        <x:v>R04_Y3_S30_H1_M10</x:v>
      </x:c>
      <x:c r="B7" s="3" t="str">
        <x:v>R04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10</x:v>
      </x:c>
      <x:c r="H7" s="3" t="n">
        <x:v>60</x:v>
      </x:c>
      <x:c r="I7" s="3" t="n">
        <x:v>10</x:v>
      </x:c>
      <x:c r="J7" s="3" t="n">
        <x:v>10</x:v>
      </x:c>
      <x:c r="K7" s="3" t="n">
        <x:v>36</x:v>
      </x:c>
      <x:c r="L7" s="3" t="n">
        <x:v>6</x:v>
      </x:c>
      <x:c r="M7" s="3" t="n">
        <x:v>360</x:v>
      </x:c>
      <x:c r="N7" s="9" t="n">
        <x:f>'Parameters'!$C$35</x:f>
        <x:v>115.0028084999999</x:v>
      </x:c>
    </x:row>
    <x:row r="8" ht="21" customHeight="1">
      <x:c r="A8" s="3" t="str">
        <x:v>R04_Y5_S10_H1_M10</x:v>
      </x:c>
      <x:c r="B8" s="3" t="str">
        <x:v>R04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10</x:v>
      </x:c>
      <x:c r="H8" s="3" t="n">
        <x:v>60</x:v>
      </x:c>
      <x:c r="I8" s="3" t="n">
        <x:v>10</x:v>
      </x:c>
      <x:c r="J8" s="3" t="n">
        <x:v>10</x:v>
      </x:c>
      <x:c r="K8" s="3" t="n">
        <x:v>36</x:v>
      </x:c>
      <x:c r="L8" s="3" t="n">
        <x:v>6</x:v>
      </x:c>
      <x:c r="M8" s="3" t="n">
        <x:v>360</x:v>
      </x:c>
      <x:c r="N8" s="9" t="n">
        <x:f>'Parameters'!$C$35</x:f>
        <x:v>115.0028084999999</x:v>
      </x:c>
    </x:row>
    <x:row r="9" ht="21" customHeight="1">
      <x:c r="A9" s="3" t="str">
        <x:v>R04_Y5_S20_H1_M10</x:v>
      </x:c>
      <x:c r="B9" s="3" t="str">
        <x:v>R04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10</x:v>
      </x:c>
      <x:c r="H9" s="3" t="n">
        <x:v>60</x:v>
      </x:c>
      <x:c r="I9" s="3" t="n">
        <x:v>10</x:v>
      </x:c>
      <x:c r="J9" s="3" t="n">
        <x:v>10</x:v>
      </x:c>
      <x:c r="K9" s="3" t="n">
        <x:v>36</x:v>
      </x:c>
      <x:c r="L9" s="3" t="n">
        <x:v>6</x:v>
      </x:c>
      <x:c r="M9" s="3" t="n">
        <x:v>360</x:v>
      </x:c>
      <x:c r="N9" s="9" t="n">
        <x:f>'Parameters'!$C$35</x:f>
        <x:v>115.0028084999999</x:v>
      </x:c>
    </x:row>
    <x:row r="10" ht="21" customHeight="1">
      <x:c r="A10" s="3" t="str">
        <x:v>R04_Y5_S30_H1_M10</x:v>
      </x:c>
      <x:c r="B10" s="3" t="str">
        <x:v>R04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10</x:v>
      </x:c>
      <x:c r="H10" s="3" t="n">
        <x:v>60</x:v>
      </x:c>
      <x:c r="I10" s="3" t="n">
        <x:v>10</x:v>
      </x:c>
      <x:c r="J10" s="3" t="n">
        <x:v>10</x:v>
      </x:c>
      <x:c r="K10" s="3" t="n">
        <x:v>36</x:v>
      </x:c>
      <x:c r="L10" s="3" t="n">
        <x:v>6</x:v>
      </x:c>
      <x:c r="M10" s="3" t="n">
        <x:v>360</x:v>
      </x:c>
      <x:c r="N10" s="9" t="n">
        <x:f>'Parameters'!$C$35</x:f>
        <x:v>115.0028084999999</x:v>
      </x:c>
    </x:row>
  </x:sheetData>
  <x:pageMargins left="0.7" right="0.7" top="0.75" bottom="0.75" header="0.3" footer="0.3"/>
  <x:tableParts count="1">
    <x:tablePart xmlns:r="http://schemas.openxmlformats.org/officeDocument/2006/relationships" r:id="Rc28f5a72173443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20261910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20262014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20262920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str">
        <x:v>not applicable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Classical R fixed-charge MCF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SUM('ROW_Candidates'!M2:M361)*'Parameters'!$C$20</x:f>
        <x:v>115.0028084999999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62008163d8b2444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</x:cols>
  <x:sheetData>
    <x:row r="1" ht="54" customHeight="1">
      <x:c r="A1" s="6" t="str">
        <x:v>node_id</x:v>
      </x:c>
      <x:c r="B1" s="6" t="str">
        <x:v>network</x:v>
      </x:c>
      <x:c r="C1" s="6" t="str">
        <x:v>note</x:v>
      </x:c>
    </x:row>
    <x:row r="2" ht="21" customHeight="1">
      <x:c r="A2" s="3" t="n">
        <x:v>1</x:v>
      </x:c>
      <x:c r="B2" s="3" t="str">
        <x:v>R04</x:v>
      </x:c>
      <x:c r="C2" s="3" t="str">
        <x:v>Original R04 node</x:v>
      </x:c>
    </x:row>
    <x:row r="3" ht="21" customHeight="1">
      <x:c r="A3" s="3" t="n">
        <x:v>2</x:v>
      </x:c>
      <x:c r="B3" s="3" t="str">
        <x:v>R04</x:v>
      </x:c>
      <x:c r="C3" s="3" t="str">
        <x:v>Original R04 node</x:v>
      </x:c>
    </x:row>
    <x:row r="4" ht="21" customHeight="1">
      <x:c r="A4" s="3" t="n">
        <x:v>3</x:v>
      </x:c>
      <x:c r="B4" s="3" t="str">
        <x:v>R04</x:v>
      </x:c>
      <x:c r="C4" s="3" t="str">
        <x:v>Original R04 node</x:v>
      </x:c>
    </x:row>
    <x:row r="5" ht="21" customHeight="1">
      <x:c r="A5" s="3" t="n">
        <x:v>4</x:v>
      </x:c>
      <x:c r="B5" s="3" t="str">
        <x:v>R04</x:v>
      </x:c>
      <x:c r="C5" s="3" t="str">
        <x:v>Original R04 node</x:v>
      </x:c>
    </x:row>
    <x:row r="6" ht="21" customHeight="1">
      <x:c r="A6" s="3" t="n">
        <x:v>5</x:v>
      </x:c>
      <x:c r="B6" s="3" t="str">
        <x:v>R04</x:v>
      </x:c>
      <x:c r="C6" s="3" t="str">
        <x:v>Original R04 node</x:v>
      </x:c>
    </x:row>
    <x:row r="7" ht="21" customHeight="1">
      <x:c r="A7" s="3" t="n">
        <x:v>6</x:v>
      </x:c>
      <x:c r="B7" s="3" t="str">
        <x:v>R04</x:v>
      </x:c>
      <x:c r="C7" s="3" t="str">
        <x:v>Original R04 node</x:v>
      </x:c>
    </x:row>
    <x:row r="8" ht="21" customHeight="1">
      <x:c r="A8" s="3" t="n">
        <x:v>7</x:v>
      </x:c>
      <x:c r="B8" s="3" t="str">
        <x:v>R04</x:v>
      </x:c>
      <x:c r="C8" s="3" t="str">
        <x:v>Original R04 node</x:v>
      </x:c>
    </x:row>
    <x:row r="9" ht="21" customHeight="1">
      <x:c r="A9" s="3" t="n">
        <x:v>8</x:v>
      </x:c>
      <x:c r="B9" s="3" t="str">
        <x:v>R04</x:v>
      </x:c>
      <x:c r="C9" s="3" t="str">
        <x:v>Original R04 node</x:v>
      </x:c>
    </x:row>
    <x:row r="10" ht="21" customHeight="1">
      <x:c r="A10" s="3" t="n">
        <x:v>9</x:v>
      </x:c>
      <x:c r="B10" s="3" t="str">
        <x:v>R04</x:v>
      </x:c>
      <x:c r="C10" s="3" t="str">
        <x:v>Original R04 node</x:v>
      </x:c>
    </x:row>
    <x:row r="11" ht="21" customHeight="1">
      <x:c r="A11" s="3" t="n">
        <x:v>10</x:v>
      </x:c>
      <x:c r="B11" s="3" t="str">
        <x:v>R04</x:v>
      </x:c>
      <x:c r="C11" s="3" t="str">
        <x:v>Original R04 node</x:v>
      </x:c>
    </x:row>
  </x:sheetData>
  <x:pageMargins left="0.7" right="0.7" top="0.75" bottom="0.75" header="0.3" footer="0.3"/>
  <x:tableParts count="1">
    <x:tablePart xmlns:r="http://schemas.openxmlformats.org/officeDocument/2006/relationships" r:id="Rc76c202ba8674b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100</x:v>
      </x:c>
      <x:c r="F2" s="3"/>
      <x:c r="G2" s="3"/>
      <x:c r="H2" s="3" t="n">
        <x:v>613</x:v>
      </x:c>
      <x:c r="I2" s="3" t="n">
        <x:v>613</x:v>
      </x:c>
      <x:c r="J2" s="3" t="n">
        <x:v>613</x:v>
      </x:c>
      <x:c r="K2" s="3" t="n">
        <x:v>601</x:v>
      </x:c>
      <x:c r="L2" s="3" t="n">
        <x:v>6005</x:v>
      </x:c>
      <x:c r="M2" s="3" t="n">
        <x:v>3003</x:v>
      </x:c>
      <x:c r="N2" s="3" t="n">
        <x:f>ROUNDUP(Y2/'Parameters'!$C$4,0)</x:f>
        <x:v>6</x:v>
      </x:c>
      <x:c r="O2" s="3" t="n">
        <x:f>ROUNDUP(Z2/'Parameters'!$C$4,0)</x:f>
        <x:v>5</x:v>
      </x:c>
      <x:c r="P2" s="3" t="n">
        <x:v>100</x:v>
      </x:c>
      <x:c r="Q2" s="9" t="n">
        <x:v>75</x:v>
      </x:c>
      <x:c r="R2" s="9" t="n">
        <x:f>H2/'Parameters'!$C$3</x:f>
        <x:v>17.02777777777778</x:v>
      </x:c>
      <x:c r="S2" s="9" t="n">
        <x:f>I2/'Parameters'!$C$3</x:f>
        <x:v>17.02777777777778</x:v>
      </x:c>
      <x:c r="T2" s="9" t="n">
        <x:f>J2/'Parameters'!$C$3</x:f>
        <x:v>17.02777777777778</x:v>
      </x:c>
      <x:c r="U2" s="9" t="n">
        <x:v>2</x:v>
      </x:c>
      <x:c r="V2" s="9" t="n">
        <x:v>0.914787</x:v>
      </x:c>
      <x:c r="W2" s="3" t="n">
        <x:v>1</x:v>
      </x:c>
      <x:c r="X2" s="3" t="str">
        <x:v>Original R Y files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3" t="n">
        <x:v>100</x:v>
      </x:c>
      <x:c r="AD2" s="9" t="n">
        <x:v>75</x:v>
      </x:c>
    </x:row>
    <x:row r="3" ht="21" customHeight="1">
      <x:c r="A3" s="3" t="n">
        <x:v>2</x:v>
      </x:c>
      <x:c r="B3" s="3" t="n">
        <x:v>1</x:v>
      </x:c>
      <x:c r="C3" s="3" t="n">
        <x:v>10</x:v>
      </x:c>
      <x:c r="D3" s="3" t="n">
        <x:v>16</x:v>
      </x:c>
      <x:c r="E3" s="3" t="n">
        <x:v>54</x:v>
      </x:c>
      <x:c r="F3" s="3"/>
      <x:c r="G3" s="3"/>
      <x:c r="H3" s="3" t="n">
        <x:v>118</x:v>
      </x:c>
      <x:c r="I3" s="3" t="n">
        <x:v>118</x:v>
      </x:c>
      <x:c r="J3" s="3" t="n">
        <x:v>59</x:v>
      </x:c>
      <x:c r="K3" s="3" t="n">
        <x:v>247</x:v>
      </x:c>
      <x:c r="L3" s="3" t="n">
        <x:v>2462</x:v>
      </x:c>
      <x:c r="M3" s="3" t="n">
        <x:v>1231</x:v>
      </x:c>
      <x:c r="N3" s="3" t="n">
        <x:f>ROUNDUP(Y3/'Parameters'!$C$4,0)</x:f>
        <x:v>5</x:v>
      </x:c>
      <x:c r="O3" s="3" t="n">
        <x:f>ROUNDUP(Z3/'Parameters'!$C$4,0)</x:f>
        <x:v>3</x:v>
      </x:c>
      <x:c r="P3" s="3" t="n">
        <x:v>54</x:v>
      </x:c>
      <x:c r="Q3" s="9" t="n">
        <x:v>40.5</x:v>
      </x:c>
      <x:c r="R3" s="9" t="n">
        <x:f>H3/'Parameters'!$C$3</x:f>
        <x:v>3.2777777777777777</x:v>
      </x:c>
      <x:c r="S3" s="9" t="n">
        <x:f>I3/'Parameters'!$C$3</x:f>
        <x:v>3.2777777777777777</x:v>
      </x:c>
      <x:c r="T3" s="9" t="n">
        <x:f>J3/'Parameters'!$C$3</x:f>
        <x:v>1.6388888888888888</x:v>
      </x:c>
      <x:c r="U3" s="9" t="n">
        <x:v>1.224719</x:v>
      </x:c>
      <x:c r="V3" s="9" t="n">
        <x:v>1.003995</x:v>
      </x:c>
      <x:c r="W3" s="3" t="n">
        <x:v>1</x:v>
      </x:c>
      <x:c r="X3" s="3" t="str">
        <x:v>Original R Y files</x:v>
      </x:c>
      <x:c r="Y3" s="3" t="n">
        <x:v>45</x:v>
      </x:c>
      <x:c r="Z3" s="3" t="n">
        <x:v>30</x:v>
      </x:c>
      <x:c r="AA3" s="3" t="n">
        <x:v>3</x:v>
      </x:c>
      <x:c r="AB3" s="3" t="n">
        <x:v>2</x:v>
      </x:c>
      <x:c r="AC3" s="3" t="n">
        <x:v>54</x:v>
      </x:c>
      <x:c r="AD3" s="9" t="n">
        <x:v>40.5</x:v>
      </x:c>
    </x:row>
    <x:row r="4" ht="21" customHeight="1">
      <x:c r="A4" s="3" t="n">
        <x:v>3</x:v>
      </x:c>
      <x:c r="B4" s="3" t="n">
        <x:v>1</x:v>
      </x:c>
      <x:c r="C4" s="3" t="n">
        <x:v>8</x:v>
      </x:c>
      <x:c r="D4" s="3" t="n">
        <x:v>26</x:v>
      </x:c>
      <x:c r="E4" s="3" t="n">
        <x:v>45</x:v>
      </x:c>
      <x:c r="F4" s="3"/>
      <x:c r="G4" s="3"/>
      <x:c r="H4" s="3" t="n">
        <x:v>219</x:v>
      </x:c>
      <x:c r="I4" s="3" t="n">
        <x:v>219</x:v>
      </x:c>
      <x:c r="J4" s="3" t="n">
        <x:v>110</x:v>
      </x:c>
      <x:c r="K4" s="3" t="n">
        <x:v>379</x:v>
      </x:c>
      <x:c r="L4" s="3" t="n">
        <x:v>3783</x:v>
      </x:c>
      <x:c r="M4" s="3" t="n">
        <x:v>1892</x:v>
      </x:c>
      <x:c r="N4" s="3" t="n">
        <x:f>ROUNDUP(Y4/'Parameters'!$C$4,0)</x:f>
        <x:v>5</x:v>
      </x:c>
      <x:c r="O4" s="3" t="n">
        <x:f>ROUNDUP(Z4/'Parameters'!$C$4,0)</x:f>
        <x:v>3</x:v>
      </x:c>
      <x:c r="P4" s="3" t="n">
        <x:v>45</x:v>
      </x:c>
      <x:c r="Q4" s="9" t="n">
        <x:v>33.75</x:v>
      </x:c>
      <x:c r="R4" s="9" t="n">
        <x:f>H4/'Parameters'!$C$3</x:f>
        <x:v>6.083333333333333</x:v>
      </x:c>
      <x:c r="S4" s="9" t="n">
        <x:f>I4/'Parameters'!$C$3</x:f>
        <x:v>6.083333333333333</x:v>
      </x:c>
      <x:c r="T4" s="9" t="n">
        <x:f>J4/'Parameters'!$C$3</x:f>
        <x:v>3.0555555555555554</x:v>
      </x:c>
      <x:c r="U4" s="9" t="n">
        <x:v>1.073034</x:v>
      </x:c>
      <x:c r="V4" s="9" t="n">
        <x:v>0.923863</x:v>
      </x:c>
      <x:c r="W4" s="3" t="n">
        <x:v>1</x:v>
      </x:c>
      <x:c r="X4" s="3" t="str">
        <x:v>Original R Y files</x:v>
      </x:c>
      <x:c r="Y4" s="3" t="n">
        <x:v>45</x:v>
      </x:c>
      <x:c r="Z4" s="3" t="n">
        <x:v>30</x:v>
      </x:c>
      <x:c r="AA4" s="3" t="n">
        <x:v>3</x:v>
      </x:c>
      <x:c r="AB4" s="3" t="n">
        <x:v>2</x:v>
      </x:c>
      <x:c r="AC4" s="3" t="n">
        <x:v>45</x:v>
      </x:c>
      <x:c r="AD4" s="9" t="n">
        <x:v>33.75</x:v>
      </x:c>
    </x:row>
    <x:row r="5" ht="21" customHeight="1">
      <x:c r="A5" s="3" t="n">
        <x:v>4</x:v>
      </x:c>
      <x:c r="B5" s="3" t="n">
        <x:v>1</x:v>
      </x:c>
      <x:c r="C5" s="3" t="n">
        <x:v>7</x:v>
      </x:c>
      <x:c r="D5" s="3" t="n">
        <x:v>27</x:v>
      </x:c>
      <x:c r="E5" s="3" t="n">
        <x:v>18</x:v>
      </x:c>
      <x:c r="F5" s="3"/>
      <x:c r="G5" s="3"/>
      <x:c r="H5" s="3" t="n">
        <x:v>324</x:v>
      </x:c>
      <x:c r="I5" s="3" t="n">
        <x:v>324</x:v>
      </x:c>
      <x:c r="J5" s="3" t="n">
        <x:v>162</x:v>
      </x:c>
      <x:c r="K5" s="3" t="n">
        <x:v>373</x:v>
      </x:c>
      <x:c r="L5" s="3" t="n">
        <x:v>3723</x:v>
      </x:c>
      <x:c r="M5" s="3" t="n">
        <x:v>1862</x:v>
      </x:c>
      <x:c r="N5" s="3" t="n">
        <x:f>ROUNDUP(Y5/'Parameters'!$C$4,0)</x:f>
        <x:v>3</x:v>
      </x:c>
      <x:c r="O5" s="3" t="n">
        <x:f>ROUNDUP(Z5/'Parameters'!$C$4,0)</x:f>
        <x:v>2</x:v>
      </x:c>
      <x:c r="P5" s="3" t="n">
        <x:v>18</x:v>
      </x:c>
      <x:c r="Q5" s="9" t="n">
        <x:v>13.5</x:v>
      </x:c>
      <x:c r="R5" s="9" t="n">
        <x:f>H5/'Parameters'!$C$3</x:f>
        <x:v>9</x:v>
      </x:c>
      <x:c r="S5" s="9" t="n">
        <x:f>I5/'Parameters'!$C$3</x:f>
        <x:v>9</x:v>
      </x:c>
      <x:c r="T5" s="9" t="n">
        <x:f>J5/'Parameters'!$C$3</x:f>
        <x:v>4.5</x:v>
      </x:c>
      <x:c r="U5" s="9" t="n">
        <x:v>0.617978</x:v>
      </x:c>
      <x:c r="V5" s="9" t="n">
        <x:v>1.111072</x:v>
      </x:c>
      <x:c r="W5" s="3" t="n">
        <x:v>1</x:v>
      </x:c>
      <x:c r="X5" s="3" t="str">
        <x:v>Original R Y files</x:v>
      </x:c>
      <x:c r="Y5" s="3" t="n">
        <x:v>30</x:v>
      </x:c>
      <x:c r="Z5" s="3" t="n">
        <x:v>15</x:v>
      </x:c>
      <x:c r="AA5" s="3" t="n">
        <x:v>2</x:v>
      </x:c>
      <x:c r="AB5" s="3" t="n">
        <x:v>1</x:v>
      </x:c>
      <x:c r="AC5" s="3" t="n">
        <x:v>18</x:v>
      </x:c>
      <x:c r="AD5" s="9" t="n">
        <x:v>13.5</x:v>
      </x:c>
    </x:row>
    <x:row r="6" ht="21" customHeight="1">
      <x:c r="A6" s="3" t="n">
        <x:v>5</x:v>
      </x:c>
      <x:c r="B6" s="3" t="n">
        <x:v>1</x:v>
      </x:c>
      <x:c r="C6" s="3" t="n">
        <x:v>4</x:v>
      </x:c>
      <x:c r="D6" s="3" t="n">
        <x:v>47</x:v>
      </x:c>
      <x:c r="E6" s="3" t="n">
        <x:v>13</x:v>
      </x:c>
      <x:c r="F6" s="3"/>
      <x:c r="G6" s="3"/>
      <x:c r="H6" s="3" t="n">
        <x:v>150</x:v>
      </x:c>
      <x:c r="I6" s="3" t="n">
        <x:v>150</x:v>
      </x:c>
      <x:c r="J6" s="3" t="n">
        <x:v>75</x:v>
      </x:c>
      <x:c r="K6" s="3" t="n">
        <x:v>247</x:v>
      </x:c>
      <x:c r="L6" s="3" t="n">
        <x:v>2462</x:v>
      </x:c>
      <x:c r="M6" s="3" t="n">
        <x:v>1231</x:v>
      </x:c>
      <x:c r="N6" s="3" t="n">
        <x:f>ROUNDUP(Y6/'Parameters'!$C$4,0)</x:f>
        <x:v>3</x:v>
      </x:c>
      <x:c r="O6" s="3" t="n">
        <x:f>ROUNDUP(Z6/'Parameters'!$C$4,0)</x:f>
        <x:v>2</x:v>
      </x:c>
      <x:c r="P6" s="3" t="n">
        <x:v>13</x:v>
      </x:c>
      <x:c r="Q6" s="9" t="n">
        <x:v>9.75</x:v>
      </x:c>
      <x:c r="R6" s="9" t="n">
        <x:f>H6/'Parameters'!$C$3</x:f>
        <x:v>4.166666666666667</x:v>
      </x:c>
      <x:c r="S6" s="9" t="n">
        <x:f>I6/'Parameters'!$C$3</x:f>
        <x:v>4.166666666666667</x:v>
      </x:c>
      <x:c r="T6" s="9" t="n">
        <x:f>J6/'Parameters'!$C$3</x:f>
        <x:v>2.0833333333333335</x:v>
      </x:c>
      <x:c r="U6" s="9" t="n">
        <x:v>0.533708</x:v>
      </x:c>
      <x:c r="V6" s="9" t="n">
        <x:v>1.001665</x:v>
      </x:c>
      <x:c r="W6" s="3" t="n">
        <x:v>1</x:v>
      </x:c>
      <x:c r="X6" s="3" t="str">
        <x:v>Original R Y files</x:v>
      </x:c>
      <x:c r="Y6" s="3" t="n">
        <x:v>30</x:v>
      </x:c>
      <x:c r="Z6" s="3" t="n">
        <x:v>15</x:v>
      </x:c>
      <x:c r="AA6" s="3" t="n">
        <x:v>2</x:v>
      </x:c>
      <x:c r="AB6" s="3" t="n">
        <x:v>1</x:v>
      </x:c>
      <x:c r="AC6" s="3" t="n">
        <x:v>13</x:v>
      </x:c>
      <x:c r="AD6" s="9" t="n">
        <x:v>9.75</x:v>
      </x:c>
    </x:row>
    <x:row r="7" ht="21" customHeight="1">
      <x:c r="A7" s="3" t="n">
        <x:v>6</x:v>
      </x:c>
      <x:c r="B7" s="3" t="n">
        <x:v>1</x:v>
      </x:c>
      <x:c r="C7" s="3" t="n">
        <x:v>9</x:v>
      </x:c>
      <x:c r="D7" s="3" t="n">
        <x:v>51</x:v>
      </x:c>
      <x:c r="E7" s="3" t="n">
        <x:v>73</x:v>
      </x:c>
      <x:c r="F7" s="3"/>
      <x:c r="G7" s="3"/>
      <x:c r="H7" s="3" t="n">
        <x:v>397</x:v>
      </x:c>
      <x:c r="I7" s="3" t="n">
        <x:v>397</x:v>
      </x:c>
      <x:c r="J7" s="3" t="n">
        <x:v>199</x:v>
      </x:c>
      <x:c r="K7" s="3" t="n">
        <x:v>415</x:v>
      </x:c>
      <x:c r="L7" s="3" t="n">
        <x:v>4144</x:v>
      </x:c>
      <x:c r="M7" s="3" t="n">
        <x:v>2072</x:v>
      </x:c>
      <x:c r="N7" s="3" t="n">
        <x:f>ROUNDUP(Y7/'Parameters'!$C$4,0)</x:f>
        <x:v>6</x:v>
      </x:c>
      <x:c r="O7" s="3" t="n">
        <x:f>ROUNDUP(Z7/'Parameters'!$C$4,0)</x:f>
        <x:v>5</x:v>
      </x:c>
      <x:c r="P7" s="3" t="n">
        <x:v>73</x:v>
      </x:c>
      <x:c r="Q7" s="9" t="n">
        <x:v>54.75</x:v>
      </x:c>
      <x:c r="R7" s="9" t="n">
        <x:f>H7/'Parameters'!$C$3</x:f>
        <x:v>11.027777777777779</x:v>
      </x:c>
      <x:c r="S7" s="9" t="n">
        <x:f>I7/'Parameters'!$C$3</x:f>
        <x:v>11.027777777777779</x:v>
      </x:c>
      <x:c r="T7" s="9" t="n">
        <x:f>J7/'Parameters'!$C$3</x:f>
        <x:v>5.527777777777778</x:v>
      </x:c>
      <x:c r="U7" s="9" t="n">
        <x:v>1.544944</x:v>
      </x:c>
      <x:c r="V7" s="9" t="n">
        <x:v>0.942884</x:v>
      </x:c>
      <x:c r="W7" s="3" t="n">
        <x:v>1</x:v>
      </x:c>
      <x:c r="X7" s="3" t="str">
        <x:v>Original R Y files</x:v>
      </x:c>
      <x:c r="Y7" s="3" t="n">
        <x:v>60</x:v>
      </x:c>
      <x:c r="Z7" s="3" t="n">
        <x:v>45</x:v>
      </x:c>
      <x:c r="AA7" s="3" t="n">
        <x:v>4</x:v>
      </x:c>
      <x:c r="AB7" s="3" t="n">
        <x:v>3</x:v>
      </x:c>
      <x:c r="AC7" s="3" t="n">
        <x:v>73</x:v>
      </x:c>
      <x:c r="AD7" s="9" t="n">
        <x:v>54.75</x:v>
      </x:c>
    </x:row>
    <x:row r="8" ht="21" customHeight="1">
      <x:c r="A8" s="3" t="n">
        <x:v>7</x:v>
      </x:c>
      <x:c r="B8" s="3" t="n">
        <x:v>1</x:v>
      </x:c>
      <x:c r="C8" s="3" t="n">
        <x:v>5</x:v>
      </x:c>
      <x:c r="D8" s="3" t="n">
        <x:v>52</x:v>
      </x:c>
      <x:c r="E8" s="3" t="n">
        <x:v>57</x:v>
      </x:c>
      <x:c r="F8" s="3"/>
      <x:c r="G8" s="3"/>
      <x:c r="H8" s="3" t="n">
        <x:v>287</x:v>
      </x:c>
      <x:c r="I8" s="3" t="n">
        <x:v>287</x:v>
      </x:c>
      <x:c r="J8" s="3" t="n">
        <x:v>144</x:v>
      </x:c>
      <x:c r="K8" s="3" t="n">
        <x:v>421</x:v>
      </x:c>
      <x:c r="L8" s="3" t="n">
        <x:v>4204</x:v>
      </x:c>
      <x:c r="M8" s="3" t="n">
        <x:v>2102</x:v>
      </x:c>
      <x:c r="N8" s="3" t="n">
        <x:f>ROUNDUP(Y8/'Parameters'!$C$4,0)</x:f>
        <x:v>5</x:v>
      </x:c>
      <x:c r="O8" s="3" t="n">
        <x:f>ROUNDUP(Z8/'Parameters'!$C$4,0)</x:f>
        <x:v>3</x:v>
      </x:c>
      <x:c r="P8" s="3" t="n">
        <x:v>57</x:v>
      </x:c>
      <x:c r="Q8" s="9" t="n">
        <x:v>42.75</x:v>
      </x:c>
      <x:c r="R8" s="9" t="n">
        <x:f>H8/'Parameters'!$C$3</x:f>
        <x:v>7.972222222222222</x:v>
      </x:c>
      <x:c r="S8" s="9" t="n">
        <x:f>I8/'Parameters'!$C$3</x:f>
        <x:v>7.972222222222222</x:v>
      </x:c>
      <x:c r="T8" s="9" t="n">
        <x:f>J8/'Parameters'!$C$3</x:f>
        <x:v>4</x:v>
      </x:c>
      <x:c r="U8" s="9" t="n">
        <x:v>1.275281</x:v>
      </x:c>
      <x:c r="V8" s="9" t="n">
        <x:v>1.038222</x:v>
      </x:c>
      <x:c r="W8" s="3" t="n">
        <x:v>1</x:v>
      </x:c>
      <x:c r="X8" s="3" t="str">
        <x:v>Original R Y files</x:v>
      </x:c>
      <x:c r="Y8" s="3" t="n">
        <x:v>45</x:v>
      </x:c>
      <x:c r="Z8" s="3" t="n">
        <x:v>30</x:v>
      </x:c>
      <x:c r="AA8" s="3" t="n">
        <x:v>3</x:v>
      </x:c>
      <x:c r="AB8" s="3" t="n">
        <x:v>2</x:v>
      </x:c>
      <x:c r="AC8" s="3" t="n">
        <x:v>57</x:v>
      </x:c>
      <x:c r="AD8" s="9" t="n">
        <x:v>42.75</x:v>
      </x:c>
    </x:row>
    <x:row r="9" ht="21" customHeight="1">
      <x:c r="A9" s="3" t="n">
        <x:v>8</x:v>
      </x:c>
      <x:c r="B9" s="3" t="n">
        <x:v>1</x:v>
      </x:c>
      <x:c r="C9" s="3" t="n">
        <x:v>3</x:v>
      </x:c>
      <x:c r="D9" s="3" t="n">
        <x:v>56</x:v>
      </x:c>
      <x:c r="E9" s="3" t="n">
        <x:v>65</x:v>
      </x:c>
      <x:c r="F9" s="3"/>
      <x:c r="G9" s="3"/>
      <x:c r="H9" s="3" t="n">
        <x:v>150</x:v>
      </x:c>
      <x:c r="I9" s="3" t="n">
        <x:v>150</x:v>
      </x:c>
      <x:c r="J9" s="3" t="n">
        <x:v>75</x:v>
      </x:c>
      <x:c r="K9" s="3" t="n">
        <x:v>517</x:v>
      </x:c>
      <x:c r="L9" s="3" t="n">
        <x:v>5164</x:v>
      </x:c>
      <x:c r="M9" s="3" t="n">
        <x:v>2582</x:v>
      </x:c>
      <x:c r="N9" s="3" t="n">
        <x:f>ROUNDUP(Y9/'Parameters'!$C$4,0)</x:f>
        <x:v>5</x:v>
      </x:c>
      <x:c r="O9" s="3" t="n">
        <x:f>ROUNDUP(Z9/'Parameters'!$C$4,0)</x:f>
        <x:v>3</x:v>
      </x:c>
      <x:c r="P9" s="3" t="n">
        <x:v>65</x:v>
      </x:c>
      <x:c r="Q9" s="9" t="n">
        <x:v>48.75</x:v>
      </x:c>
      <x:c r="R9" s="9" t="n">
        <x:f>H9/'Parameters'!$C$3</x:f>
        <x:v>4.166666666666667</x:v>
      </x:c>
      <x:c r="S9" s="9" t="n">
        <x:f>I9/'Parameters'!$C$3</x:f>
        <x:v>4.166666666666667</x:v>
      </x:c>
      <x:c r="T9" s="9" t="n">
        <x:f>J9/'Parameters'!$C$3</x:f>
        <x:v>2.0833333333333335</x:v>
      </x:c>
      <x:c r="U9" s="9" t="n">
        <x:v>1.410112</x:v>
      </x:c>
      <x:c r="V9" s="9" t="n">
        <x:v>1.122297</x:v>
      </x:c>
      <x:c r="W9" s="3" t="n">
        <x:v>1</x:v>
      </x:c>
      <x:c r="X9" s="3" t="str">
        <x:v>Original R Y files</x:v>
      </x:c>
      <x:c r="Y9" s="3" t="n">
        <x:v>45</x:v>
      </x:c>
      <x:c r="Z9" s="3" t="n">
        <x:v>30</x:v>
      </x:c>
      <x:c r="AA9" s="3" t="n">
        <x:v>3</x:v>
      </x:c>
      <x:c r="AB9" s="3" t="n">
        <x:v>2</x:v>
      </x:c>
      <x:c r="AC9" s="3" t="n">
        <x:v>65</x:v>
      </x:c>
      <x:c r="AD9" s="9" t="n">
        <x:v>48.75</x:v>
      </x:c>
    </x:row>
    <x:row r="10" ht="21" customHeight="1">
      <x:c r="A10" s="3" t="n">
        <x:v>9</x:v>
      </x:c>
      <x:c r="B10" s="3" t="n">
        <x:v>1</x:v>
      </x:c>
      <x:c r="C10" s="3" t="n">
        <x:v>6</x:v>
      </x:c>
      <x:c r="D10" s="3" t="n">
        <x:v>59</x:v>
      </x:c>
      <x:c r="E10" s="3" t="n">
        <x:v>61</x:v>
      </x:c>
      <x:c r="F10" s="3"/>
      <x:c r="G10" s="3"/>
      <x:c r="H10" s="3" t="n">
        <x:v>77</x:v>
      </x:c>
      <x:c r="I10" s="3" t="n">
        <x:v>77</x:v>
      </x:c>
      <x:c r="J10" s="3" t="n">
        <x:v>39</x:v>
      </x:c>
      <x:c r="K10" s="3" t="n">
        <x:v>79</x:v>
      </x:c>
      <x:c r="L10" s="3" t="n">
        <x:v>781</x:v>
      </x:c>
      <x:c r="M10" s="3" t="n">
        <x:v>391</x:v>
      </x:c>
      <x:c r="N10" s="3" t="n">
        <x:f>ROUNDUP(Y10/'Parameters'!$C$4,0)</x:f>
        <x:v>5</x:v>
      </x:c>
      <x:c r="O10" s="3" t="n">
        <x:f>ROUNDUP(Z10/'Parameters'!$C$4,0)</x:f>
        <x:v>3</x:v>
      </x:c>
      <x:c r="P10" s="3" t="n">
        <x:v>61</x:v>
      </x:c>
      <x:c r="Q10" s="9" t="n">
        <x:v>45.75</x:v>
      </x:c>
      <x:c r="R10" s="9" t="n">
        <x:f>H10/'Parameters'!$C$3</x:f>
        <x:v>2.138888888888889</x:v>
      </x:c>
      <x:c r="S10" s="9" t="n">
        <x:f>I10/'Parameters'!$C$3</x:f>
        <x:v>2.138888888888889</x:v>
      </x:c>
      <x:c r="T10" s="9" t="n">
        <x:f>J10/'Parameters'!$C$3</x:f>
        <x:v>1.0833333333333333</x:v>
      </x:c>
      <x:c r="U10" s="9" t="n">
        <x:v>1.342697</x:v>
      </x:c>
      <x:c r="V10" s="9" t="n">
        <x:v>1.132682</x:v>
      </x:c>
      <x:c r="W10" s="3" t="n">
        <x:v>1</x:v>
      </x:c>
      <x:c r="X10" s="3" t="str">
        <x:v>Original R Y files</x:v>
      </x:c>
      <x:c r="Y10" s="3" t="n">
        <x:v>45</x:v>
      </x:c>
      <x:c r="Z10" s="3" t="n">
        <x:v>30</x:v>
      </x:c>
      <x:c r="AA10" s="3" t="n">
        <x:v>3</x:v>
      </x:c>
      <x:c r="AB10" s="3" t="n">
        <x:v>2</x:v>
      </x:c>
      <x:c r="AC10" s="3" t="n">
        <x:v>61</x:v>
      </x:c>
      <x:c r="AD10" s="9" t="n">
        <x:v>45.75</x:v>
      </x:c>
    </x:row>
    <x:row r="11" ht="21" customHeight="1">
      <x:c r="A11" s="3" t="n">
        <x:v>10</x:v>
      </x:c>
      <x:c r="B11" s="3" t="n">
        <x:v>2</x:v>
      </x:c>
      <x:c r="C11" s="3" t="n">
        <x:v>3</x:v>
      </x:c>
      <x:c r="D11" s="3" t="n">
        <x:v>2</x:v>
      </x:c>
      <x:c r="E11" s="3" t="n">
        <x:v>100</x:v>
      </x:c>
      <x:c r="F11" s="3"/>
      <x:c r="G11" s="3"/>
      <x:c r="H11" s="3" t="n">
        <x:v>613</x:v>
      </x:c>
      <x:c r="I11" s="3" t="n">
        <x:v>613</x:v>
      </x:c>
      <x:c r="J11" s="3" t="n">
        <x:v>613</x:v>
      </x:c>
      <x:c r="K11" s="3" t="n">
        <x:v>601</x:v>
      </x:c>
      <x:c r="L11" s="3" t="n">
        <x:v>6005</x:v>
      </x:c>
      <x:c r="M11" s="3" t="n">
        <x:v>3003</x:v>
      </x:c>
      <x:c r="N11" s="3" t="n">
        <x:f>ROUNDUP(Y11/'Parameters'!$C$4,0)</x:f>
        <x:v>6</x:v>
      </x:c>
      <x:c r="O11" s="3" t="n">
        <x:f>ROUNDUP(Z11/'Parameters'!$C$4,0)</x:f>
        <x:v>5</x:v>
      </x:c>
      <x:c r="P11" s="3" t="n">
        <x:v>100</x:v>
      </x:c>
      <x:c r="Q11" s="9" t="n">
        <x:v>75</x:v>
      </x:c>
      <x:c r="R11" s="9" t="n">
        <x:f>H11/'Parameters'!$C$3</x:f>
        <x:v>17.02777777777778</x:v>
      </x:c>
      <x:c r="S11" s="9" t="n">
        <x:f>I11/'Parameters'!$C$3</x:f>
        <x:v>17.02777777777778</x:v>
      </x:c>
      <x:c r="T11" s="9" t="n">
        <x:f>J11/'Parameters'!$C$3</x:f>
        <x:v>17.02777777777778</x:v>
      </x:c>
      <x:c r="U11" s="9" t="n">
        <x:v>2</x:v>
      </x:c>
      <x:c r="V11" s="9" t="n">
        <x:v>0.871154</x:v>
      </x:c>
      <x:c r="W11" s="3" t="n">
        <x:v>1</x:v>
      </x:c>
      <x:c r="X11" s="3" t="str">
        <x:v>Original R Y files</x:v>
      </x:c>
      <x:c r="Y11" s="3" t="n">
        <x:v>60</x:v>
      </x:c>
      <x:c r="Z11" s="3" t="n">
        <x:v>45</x:v>
      </x:c>
      <x:c r="AA11" s="3" t="n">
        <x:v>4</x:v>
      </x:c>
      <x:c r="AB11" s="3" t="n">
        <x:v>3</x:v>
      </x:c>
      <x:c r="AC11" s="3" t="n">
        <x:v>100</x:v>
      </x:c>
      <x:c r="AD11" s="9" t="n">
        <x:v>75</x:v>
      </x:c>
    </x:row>
    <x:row r="12" ht="21" customHeight="1">
      <x:c r="A12" s="3" t="n">
        <x:v>11</x:v>
      </x:c>
      <x:c r="B12" s="3" t="n">
        <x:v>2</x:v>
      </x:c>
      <x:c r="C12" s="3" t="n">
        <x:v>4</x:v>
      </x:c>
      <x:c r="D12" s="3" t="n">
        <x:v>14</x:v>
      </x:c>
      <x:c r="E12" s="3" t="n">
        <x:v>13</x:v>
      </x:c>
      <x:c r="F12" s="3"/>
      <x:c r="G12" s="3"/>
      <x:c r="H12" s="3" t="n">
        <x:v>287</x:v>
      </x:c>
      <x:c r="I12" s="3" t="n">
        <x:v>287</x:v>
      </x:c>
      <x:c r="J12" s="3" t="n">
        <x:v>144</x:v>
      </x:c>
      <x:c r="K12" s="3" t="n">
        <x:v>445</x:v>
      </x:c>
      <x:c r="L12" s="3" t="n">
        <x:v>4444</x:v>
      </x:c>
      <x:c r="M12" s="3" t="n">
        <x:v>2222</x:v>
      </x:c>
      <x:c r="N12" s="3" t="n">
        <x:f>ROUNDUP(Y12/'Parameters'!$C$4,0)</x:f>
        <x:v>3</x:v>
      </x:c>
      <x:c r="O12" s="3" t="n">
        <x:f>ROUNDUP(Z12/'Parameters'!$C$4,0)</x:f>
        <x:v>2</x:v>
      </x:c>
      <x:c r="P12" s="3" t="n">
        <x:v>13</x:v>
      </x:c>
      <x:c r="Q12" s="9" t="n">
        <x:v>9.75</x:v>
      </x:c>
      <x:c r="R12" s="9" t="n">
        <x:f>H12/'Parameters'!$C$3</x:f>
        <x:v>7.972222222222222</x:v>
      </x:c>
      <x:c r="S12" s="9" t="n">
        <x:f>I12/'Parameters'!$C$3</x:f>
        <x:v>7.972222222222222</x:v>
      </x:c>
      <x:c r="T12" s="9" t="n">
        <x:f>J12/'Parameters'!$C$3</x:f>
        <x:v>4</x:v>
      </x:c>
      <x:c r="U12" s="9" t="n">
        <x:v>0.533708</x:v>
      </x:c>
      <x:c r="V12" s="9" t="n">
        <x:v>1.147412</x:v>
      </x:c>
      <x:c r="W12" s="3" t="n">
        <x:v>1</x:v>
      </x:c>
      <x:c r="X12" s="3" t="str">
        <x:v>Original R Y files</x:v>
      </x:c>
      <x:c r="Y12" s="3" t="n">
        <x:v>30</x:v>
      </x:c>
      <x:c r="Z12" s="3" t="n">
        <x:v>15</x:v>
      </x:c>
      <x:c r="AA12" s="3" t="n">
        <x:v>2</x:v>
      </x:c>
      <x:c r="AB12" s="3" t="n">
        <x:v>1</x:v>
      </x:c>
      <x:c r="AC12" s="3" t="n">
        <x:v>13</x:v>
      </x:c>
      <x:c r="AD12" s="9" t="n">
        <x:v>9.75</x:v>
      </x:c>
    </x:row>
    <x:row r="13" ht="21" customHeight="1">
      <x:c r="A13" s="3" t="n">
        <x:v>12</x:v>
      </x:c>
      <x:c r="B13" s="3" t="n">
        <x:v>2</x:v>
      </x:c>
      <x:c r="C13" s="3" t="n">
        <x:v>7</x:v>
      </x:c>
      <x:c r="D13" s="3" t="n">
        <x:v>20</x:v>
      </x:c>
      <x:c r="E13" s="3" t="n">
        <x:v>92</x:v>
      </x:c>
      <x:c r="F13" s="3"/>
      <x:c r="G13" s="3"/>
      <x:c r="H13" s="3" t="n">
        <x:v>166</x:v>
      </x:c>
      <x:c r="I13" s="3" t="n">
        <x:v>166</x:v>
      </x:c>
      <x:c r="J13" s="3" t="n">
        <x:v>83</x:v>
      </x:c>
      <x:c r="K13" s="3" t="n">
        <x:v>343</x:v>
      </x:c>
      <x:c r="L13" s="3" t="n">
        <x:v>3423</x:v>
      </x:c>
      <x:c r="M13" s="3" t="n">
        <x:v>1712</x:v>
      </x:c>
      <x:c r="N13" s="3" t="n">
        <x:f>ROUNDUP(Y13/'Parameters'!$C$4,0)</x:f>
        <x:v>6</x:v>
      </x:c>
      <x:c r="O13" s="3" t="n">
        <x:f>ROUNDUP(Z13/'Parameters'!$C$4,0)</x:f>
        <x:v>5</x:v>
      </x:c>
      <x:c r="P13" s="3" t="n">
        <x:v>92</x:v>
      </x:c>
      <x:c r="Q13" s="9" t="n">
        <x:v>69</x:v>
      </x:c>
      <x:c r="R13" s="9" t="n">
        <x:f>H13/'Parameters'!$C$3</x:f>
        <x:v>4.611111111111111</x:v>
      </x:c>
      <x:c r="S13" s="9" t="n">
        <x:f>I13/'Parameters'!$C$3</x:f>
        <x:v>4.611111111111111</x:v>
      </x:c>
      <x:c r="T13" s="9" t="n">
        <x:f>J13/'Parameters'!$C$3</x:f>
        <x:v>2.3055555555555554</x:v>
      </x:c>
      <x:c r="U13" s="9" t="n">
        <x:v>1.865169</x:v>
      </x:c>
      <x:c r="V13" s="9" t="n">
        <x:v>0.96729</x:v>
      </x:c>
      <x:c r="W13" s="3" t="n">
        <x:v>1</x:v>
      </x:c>
      <x:c r="X13" s="3" t="str">
        <x:v>Original R Y files</x:v>
      </x:c>
      <x:c r="Y13" s="3" t="n">
        <x:v>60</x:v>
      </x:c>
      <x:c r="Z13" s="3" t="n">
        <x:v>45</x:v>
      </x:c>
      <x:c r="AA13" s="3" t="n">
        <x:v>4</x:v>
      </x:c>
      <x:c r="AB13" s="3" t="n">
        <x:v>3</x:v>
      </x:c>
      <x:c r="AC13" s="3" t="n">
        <x:v>92</x:v>
      </x:c>
      <x:c r="AD13" s="9" t="n">
        <x:v>69</x:v>
      </x:c>
    </x:row>
    <x:row r="14" ht="21" customHeight="1">
      <x:c r="A14" s="3" t="n">
        <x:v>13</x:v>
      </x:c>
      <x:c r="B14" s="3" t="n">
        <x:v>2</x:v>
      </x:c>
      <x:c r="C14" s="3" t="n">
        <x:v>9</x:v>
      </x:c>
      <x:c r="D14" s="3" t="n">
        <x:v>29</x:v>
      </x:c>
      <x:c r="E14" s="3" t="n">
        <x:v>13</x:v>
      </x:c>
      <x:c r="F14" s="3"/>
      <x:c r="G14" s="3"/>
      <x:c r="H14" s="3" t="n">
        <x:v>312</x:v>
      </x:c>
      <x:c r="I14" s="3" t="n">
        <x:v>312</x:v>
      </x:c>
      <x:c r="J14" s="3" t="n">
        <x:v>156</x:v>
      </x:c>
      <x:c r="K14" s="3" t="n">
        <x:v>181</x:v>
      </x:c>
      <x:c r="L14" s="3" t="n">
        <x:v>1802</x:v>
      </x:c>
      <x:c r="M14" s="3" t="n">
        <x:v>901</x:v>
      </x:c>
      <x:c r="N14" s="3" t="n">
        <x:f>ROUNDUP(Y14/'Parameters'!$C$4,0)</x:f>
        <x:v>3</x:v>
      </x:c>
      <x:c r="O14" s="3" t="n">
        <x:f>ROUNDUP(Z14/'Parameters'!$C$4,0)</x:f>
        <x:v>2</x:v>
      </x:c>
      <x:c r="P14" s="3" t="n">
        <x:v>13</x:v>
      </x:c>
      <x:c r="Q14" s="9" t="n">
        <x:v>9.75</x:v>
      </x:c>
      <x:c r="R14" s="9" t="n">
        <x:f>H14/'Parameters'!$C$3</x:f>
        <x:v>8.666666666666666</x:v>
      </x:c>
      <x:c r="S14" s="9" t="n">
        <x:f>I14/'Parameters'!$C$3</x:f>
        <x:v>8.666666666666666</x:v>
      </x:c>
      <x:c r="T14" s="9" t="n">
        <x:f>J14/'Parameters'!$C$3</x:f>
        <x:v>4.333333333333333</x:v>
      </x:c>
      <x:c r="U14" s="9" t="n">
        <x:v>0.533708</x:v>
      </x:c>
      <x:c r="V14" s="9" t="n">
        <x:v>1.117625</x:v>
      </x:c>
      <x:c r="W14" s="3" t="n">
        <x:v>1</x:v>
      </x:c>
      <x:c r="X14" s="3" t="str">
        <x:v>Original R Y files</x:v>
      </x:c>
      <x:c r="Y14" s="3" t="n">
        <x:v>30</x:v>
      </x:c>
      <x:c r="Z14" s="3" t="n">
        <x:v>15</x:v>
      </x:c>
      <x:c r="AA14" s="3" t="n">
        <x:v>2</x:v>
      </x:c>
      <x:c r="AB14" s="3" t="n">
        <x:v>1</x:v>
      </x:c>
      <x:c r="AC14" s="3" t="n">
        <x:v>13</x:v>
      </x:c>
      <x:c r="AD14" s="9" t="n">
        <x:v>9.75</x:v>
      </x:c>
    </x:row>
    <x:row r="15" ht="21" customHeight="1">
      <x:c r="A15" s="3" t="n">
        <x:v>14</x:v>
      </x:c>
      <x:c r="B15" s="3" t="n">
        <x:v>2</x:v>
      </x:c>
      <x:c r="C15" s="3" t="n">
        <x:v>8</x:v>
      </x:c>
      <x:c r="D15" s="3" t="n">
        <x:v>32</x:v>
      </x:c>
      <x:c r="E15" s="3" t="n">
        <x:v>93</x:v>
      </x:c>
      <x:c r="F15" s="3"/>
      <x:c r="G15" s="3"/>
      <x:c r="H15" s="3" t="n">
        <x:v>279</x:v>
      </x:c>
      <x:c r="I15" s="3" t="n">
        <x:v>279</x:v>
      </x:c>
      <x:c r="J15" s="3" t="n">
        <x:v>140</x:v>
      </x:c>
      <x:c r="K15" s="3" t="n">
        <x:v>367</x:v>
      </x:c>
      <x:c r="L15" s="3" t="n">
        <x:v>3663</x:v>
      </x:c>
      <x:c r="M15" s="3" t="n">
        <x:v>1832</x:v>
      </x:c>
      <x:c r="N15" s="3" t="n">
        <x:f>ROUNDUP(Y15/'Parameters'!$C$4,0)</x:f>
        <x:v>6</x:v>
      </x:c>
      <x:c r="O15" s="3" t="n">
        <x:f>ROUNDUP(Z15/'Parameters'!$C$4,0)</x:f>
        <x:v>5</x:v>
      </x:c>
      <x:c r="P15" s="3" t="n">
        <x:v>93</x:v>
      </x:c>
      <x:c r="Q15" s="9" t="n">
        <x:v>69.75</x:v>
      </x:c>
      <x:c r="R15" s="9" t="n">
        <x:f>H15/'Parameters'!$C$3</x:f>
        <x:v>7.75</x:v>
      </x:c>
      <x:c r="S15" s="9" t="n">
        <x:f>I15/'Parameters'!$C$3</x:f>
        <x:v>7.75</x:v>
      </x:c>
      <x:c r="T15" s="9" t="n">
        <x:f>J15/'Parameters'!$C$3</x:f>
        <x:v>3.888888888888889</x:v>
      </x:c>
      <x:c r="U15" s="9" t="n">
        <x:v>1.882022</x:v>
      </x:c>
      <x:c r="V15" s="9" t="n">
        <x:v>1.144902</x:v>
      </x:c>
      <x:c r="W15" s="3" t="n">
        <x:v>1</x:v>
      </x:c>
      <x:c r="X15" s="3" t="str">
        <x:v>Original R Y files</x:v>
      </x:c>
      <x:c r="Y15" s="3" t="n">
        <x:v>60</x:v>
      </x:c>
      <x:c r="Z15" s="3" t="n">
        <x:v>45</x:v>
      </x:c>
      <x:c r="AA15" s="3" t="n">
        <x:v>4</x:v>
      </x:c>
      <x:c r="AB15" s="3" t="n">
        <x:v>3</x:v>
      </x:c>
      <x:c r="AC15" s="3" t="n">
        <x:v>93</x:v>
      </x:c>
      <x:c r="AD15" s="9" t="n">
        <x:v>69.75</x:v>
      </x:c>
    </x:row>
    <x:row r="16" ht="21" customHeight="1">
      <x:c r="A16" s="3" t="n">
        <x:v>15</x:v>
      </x:c>
      <x:c r="B16" s="3" t="n">
        <x:v>2</x:v>
      </x:c>
      <x:c r="C16" s="3" t="n">
        <x:v>10</x:v>
      </x:c>
      <x:c r="D16" s="3" t="n">
        <x:v>39</x:v>
      </x:c>
      <x:c r="E16" s="3" t="n">
        <x:v>66</x:v>
      </x:c>
      <x:c r="F16" s="3"/>
      <x:c r="G16" s="3"/>
      <x:c r="H16" s="3" t="n">
        <x:v>267</x:v>
      </x:c>
      <x:c r="I16" s="3" t="n">
        <x:v>267</x:v>
      </x:c>
      <x:c r="J16" s="3" t="n">
        <x:v>134</x:v>
      </x:c>
      <x:c r="K16" s="3" t="n">
        <x:v>517</x:v>
      </x:c>
      <x:c r="L16" s="3" t="n">
        <x:v>5164</x:v>
      </x:c>
      <x:c r="M16" s="3" t="n">
        <x:v>2582</x:v>
      </x:c>
      <x:c r="N16" s="3" t="n">
        <x:f>ROUNDUP(Y16/'Parameters'!$C$4,0)</x:f>
        <x:v>5</x:v>
      </x:c>
      <x:c r="O16" s="3" t="n">
        <x:f>ROUNDUP(Z16/'Parameters'!$C$4,0)</x:f>
        <x:v>3</x:v>
      </x:c>
      <x:c r="P16" s="3" t="n">
        <x:v>66</x:v>
      </x:c>
      <x:c r="Q16" s="9" t="n">
        <x:v>49.5</x:v>
      </x:c>
      <x:c r="R16" s="9" t="n">
        <x:f>H16/'Parameters'!$C$3</x:f>
        <x:v>7.416666666666667</x:v>
      </x:c>
      <x:c r="S16" s="9" t="n">
        <x:f>I16/'Parameters'!$C$3</x:f>
        <x:v>7.416666666666667</x:v>
      </x:c>
      <x:c r="T16" s="9" t="n">
        <x:f>J16/'Parameters'!$C$3</x:f>
        <x:v>3.7222222222222223</x:v>
      </x:c>
      <x:c r="U16" s="9" t="n">
        <x:v>1.426966</x:v>
      </x:c>
      <x:c r="V16" s="9" t="n">
        <x:v>1.146684</x:v>
      </x:c>
      <x:c r="W16" s="3" t="n">
        <x:v>1</x:v>
      </x:c>
      <x:c r="X16" s="3" t="str">
        <x:v>Original R Y files</x:v>
      </x:c>
      <x:c r="Y16" s="3" t="n">
        <x:v>45</x:v>
      </x:c>
      <x:c r="Z16" s="3" t="n">
        <x:v>30</x:v>
      </x:c>
      <x:c r="AA16" s="3" t="n">
        <x:v>3</x:v>
      </x:c>
      <x:c r="AB16" s="3" t="n">
        <x:v>2</x:v>
      </x:c>
      <x:c r="AC16" s="3" t="n">
        <x:v>66</x:v>
      </x:c>
      <x:c r="AD16" s="9" t="n">
        <x:v>49.5</x:v>
      </x:c>
    </x:row>
    <x:row r="17" ht="21" customHeight="1">
      <x:c r="A17" s="3" t="n">
        <x:v>16</x:v>
      </x:c>
      <x:c r="B17" s="3" t="n">
        <x:v>3</x:v>
      </x:c>
      <x:c r="C17" s="3" t="n">
        <x:v>4</x:v>
      </x:c>
      <x:c r="D17" s="3" t="n">
        <x:v>3</x:v>
      </x:c>
      <x:c r="E17" s="3" t="n">
        <x:v>100</x:v>
      </x:c>
      <x:c r="F17" s="3"/>
      <x:c r="G17" s="3"/>
      <x:c r="H17" s="3" t="n">
        <x:v>613</x:v>
      </x:c>
      <x:c r="I17" s="3" t="n">
        <x:v>613</x:v>
      </x:c>
      <x:c r="J17" s="3" t="n">
        <x:v>613</x:v>
      </x:c>
      <x:c r="K17" s="3" t="n">
        <x:v>601</x:v>
      </x:c>
      <x:c r="L17" s="3" t="n">
        <x:v>6005</x:v>
      </x:c>
      <x:c r="M17" s="3" t="n">
        <x:v>3003</x:v>
      </x:c>
      <x:c r="N17" s="3" t="n">
        <x:f>ROUNDUP(Y17/'Parameters'!$C$4,0)</x:f>
        <x:v>6</x:v>
      </x:c>
      <x:c r="O17" s="3" t="n">
        <x:f>ROUNDUP(Z17/'Parameters'!$C$4,0)</x:f>
        <x:v>5</x:v>
      </x:c>
      <x:c r="P17" s="3" t="n">
        <x:v>100</x:v>
      </x:c>
      <x:c r="Q17" s="9" t="n">
        <x:v>75</x:v>
      </x:c>
      <x:c r="R17" s="9" t="n">
        <x:f>H17/'Parameters'!$C$3</x:f>
        <x:v>17.02777777777778</x:v>
      </x:c>
      <x:c r="S17" s="9" t="n">
        <x:f>I17/'Parameters'!$C$3</x:f>
        <x:v>17.02777777777778</x:v>
      </x:c>
      <x:c r="T17" s="9" t="n">
        <x:f>J17/'Parameters'!$C$3</x:f>
        <x:v>17.02777777777778</x:v>
      </x:c>
      <x:c r="U17" s="9" t="n">
        <x:v>2</x:v>
      </x:c>
      <x:c r="V17" s="9" t="n">
        <x:v>1.017658</x:v>
      </x:c>
      <x:c r="W17" s="3" t="n">
        <x:v>1</x:v>
      </x:c>
      <x:c r="X17" s="3" t="str">
        <x:v>Original R Y files</x:v>
      </x:c>
      <x:c r="Y17" s="3" t="n">
        <x:v>60</x:v>
      </x:c>
      <x:c r="Z17" s="3" t="n">
        <x:v>45</x:v>
      </x:c>
      <x:c r="AA17" s="3" t="n">
        <x:v>4</x:v>
      </x:c>
      <x:c r="AB17" s="3" t="n">
        <x:v>3</x:v>
      </x:c>
      <x:c r="AC17" s="3" t="n">
        <x:v>100</x:v>
      </x:c>
      <x:c r="AD17" s="9" t="n">
        <x:v>75</x:v>
      </x:c>
    </x:row>
    <x:row r="18" ht="21" customHeight="1">
      <x:c r="A18" s="3" t="n">
        <x:v>17</x:v>
      </x:c>
      <x:c r="B18" s="3" t="n">
        <x:v>3</x:v>
      </x:c>
      <x:c r="C18" s="3" t="n">
        <x:v>2</x:v>
      </x:c>
      <x:c r="D18" s="3" t="n">
        <x:v>11</x:v>
      </x:c>
      <x:c r="E18" s="3" t="n">
        <x:v>27</x:v>
      </x:c>
      <x:c r="F18" s="3"/>
      <x:c r="G18" s="3"/>
      <x:c r="H18" s="3" t="n">
        <x:v>384</x:v>
      </x:c>
      <x:c r="I18" s="3" t="n">
        <x:v>384</x:v>
      </x:c>
      <x:c r="J18" s="3" t="n">
        <x:v>192</x:v>
      </x:c>
      <x:c r="K18" s="3" t="n">
        <x:v>559</x:v>
      </x:c>
      <x:c r="L18" s="3" t="n">
        <x:v>5585</x:v>
      </x:c>
      <x:c r="M18" s="3" t="n">
        <x:v>2793</x:v>
      </x:c>
      <x:c r="N18" s="3" t="n">
        <x:f>ROUNDUP(Y18/'Parameters'!$C$4,0)</x:f>
        <x:v>3</x:v>
      </x:c>
      <x:c r="O18" s="3" t="n">
        <x:f>ROUNDUP(Z18/'Parameters'!$C$4,0)</x:f>
        <x:v>2</x:v>
      </x:c>
      <x:c r="P18" s="3" t="n">
        <x:v>27</x:v>
      </x:c>
      <x:c r="Q18" s="9" t="n">
        <x:v>20.25</x:v>
      </x:c>
      <x:c r="R18" s="9" t="n">
        <x:f>H18/'Parameters'!$C$3</x:f>
        <x:v>10.666666666666666</x:v>
      </x:c>
      <x:c r="S18" s="9" t="n">
        <x:f>I18/'Parameters'!$C$3</x:f>
        <x:v>10.666666666666666</x:v>
      </x:c>
      <x:c r="T18" s="9" t="n">
        <x:f>J18/'Parameters'!$C$3</x:f>
        <x:v>5.333333333333333</x:v>
      </x:c>
      <x:c r="U18" s="9" t="n">
        <x:v>0.769663</x:v>
      </x:c>
      <x:c r="V18" s="9" t="n">
        <x:v>0.875995</x:v>
      </x:c>
      <x:c r="W18" s="3" t="n">
        <x:v>1</x:v>
      </x:c>
      <x:c r="X18" s="3" t="str">
        <x:v>Original R Y files</x:v>
      </x:c>
      <x:c r="Y18" s="3" t="n">
        <x:v>30</x:v>
      </x:c>
      <x:c r="Z18" s="3" t="n">
        <x:v>15</x:v>
      </x:c>
      <x:c r="AA18" s="3" t="n">
        <x:v>2</x:v>
      </x:c>
      <x:c r="AB18" s="3" t="n">
        <x:v>1</x:v>
      </x:c>
      <x:c r="AC18" s="3" t="n">
        <x:v>27</x:v>
      </x:c>
      <x:c r="AD18" s="9" t="n">
        <x:v>20.25</x:v>
      </x:c>
    </x:row>
    <x:row r="19" ht="21" customHeight="1">
      <x:c r="A19" s="3" t="n">
        <x:v>18</x:v>
      </x:c>
      <x:c r="B19" s="3" t="n">
        <x:v>3</x:v>
      </x:c>
      <x:c r="C19" s="3" t="n">
        <x:v>1</x:v>
      </x:c>
      <x:c r="D19" s="3" t="n">
        <x:v>18</x:v>
      </x:c>
      <x:c r="E19" s="3" t="n">
        <x:v>76</x:v>
      </x:c>
      <x:c r="F19" s="3"/>
      <x:c r="G19" s="3"/>
      <x:c r="H19" s="3" t="n">
        <x:v>186</x:v>
      </x:c>
      <x:c r="I19" s="3" t="n">
        <x:v>186</x:v>
      </x:c>
      <x:c r="J19" s="3" t="n">
        <x:v>93</x:v>
      </x:c>
      <x:c r="K19" s="3" t="n">
        <x:v>145</x:v>
      </x:c>
      <x:c r="L19" s="3" t="n">
        <x:v>1442</x:v>
      </x:c>
      <x:c r="M19" s="3" t="n">
        <x:v>721</x:v>
      </x:c>
      <x:c r="N19" s="3" t="n">
        <x:f>ROUNDUP(Y19/'Parameters'!$C$4,0)</x:f>
        <x:v>6</x:v>
      </x:c>
      <x:c r="O19" s="3" t="n">
        <x:f>ROUNDUP(Z19/'Parameters'!$C$4,0)</x:f>
        <x:v>5</x:v>
      </x:c>
      <x:c r="P19" s="3" t="n">
        <x:v>76</x:v>
      </x:c>
      <x:c r="Q19" s="9" t="n">
        <x:v>57</x:v>
      </x:c>
      <x:c r="R19" s="9" t="n">
        <x:f>H19/'Parameters'!$C$3</x:f>
        <x:v>5.166666666666667</x:v>
      </x:c>
      <x:c r="S19" s="9" t="n">
        <x:f>I19/'Parameters'!$C$3</x:f>
        <x:v>5.166666666666667</x:v>
      </x:c>
      <x:c r="T19" s="9" t="n">
        <x:f>J19/'Parameters'!$C$3</x:f>
        <x:v>2.5833333333333335</x:v>
      </x:c>
      <x:c r="U19" s="9" t="n">
        <x:v>1.595506</x:v>
      </x:c>
      <x:c r="V19" s="9" t="n">
        <x:v>1.015397</x:v>
      </x:c>
      <x:c r="W19" s="3" t="n">
        <x:v>1</x:v>
      </x:c>
      <x:c r="X19" s="3" t="str">
        <x:v>Original R Y files</x:v>
      </x:c>
      <x:c r="Y19" s="3" t="n">
        <x:v>60</x:v>
      </x:c>
      <x:c r="Z19" s="3" t="n">
        <x:v>45</x:v>
      </x:c>
      <x:c r="AA19" s="3" t="n">
        <x:v>4</x:v>
      </x:c>
      <x:c r="AB19" s="3" t="n">
        <x:v>3</x:v>
      </x:c>
      <x:c r="AC19" s="3" t="n">
        <x:v>76</x:v>
      </x:c>
      <x:c r="AD19" s="9" t="n">
        <x:v>57</x:v>
      </x:c>
    </x:row>
    <x:row r="20" ht="21" customHeight="1">
      <x:c r="A20" s="3" t="n">
        <x:v>19</x:v>
      </x:c>
      <x:c r="B20" s="3" t="n">
        <x:v>3</x:v>
      </x:c>
      <x:c r="C20" s="3" t="n">
        <x:v>7</x:v>
      </x:c>
      <x:c r="D20" s="3" t="n">
        <x:v>24</x:v>
      </x:c>
      <x:c r="E20" s="3" t="n">
        <x:v>11</x:v>
      </x:c>
      <x:c r="F20" s="3"/>
      <x:c r="G20" s="3"/>
      <x:c r="H20" s="3" t="n">
        <x:v>207</x:v>
      </x:c>
      <x:c r="I20" s="3" t="n">
        <x:v>207</x:v>
      </x:c>
      <x:c r="J20" s="3" t="n">
        <x:v>104</x:v>
      </x:c>
      <x:c r="K20" s="3" t="n">
        <x:v>241</x:v>
      </x:c>
      <x:c r="L20" s="3" t="n">
        <x:v>2402</x:v>
      </x:c>
      <x:c r="M20" s="3" t="n">
        <x:v>1201</x:v>
      </x:c>
      <x:c r="N20" s="3" t="n">
        <x:f>ROUNDUP(Y20/'Parameters'!$C$4,0)</x:f>
        <x:v>3</x:v>
      </x:c>
      <x:c r="O20" s="3" t="n">
        <x:f>ROUNDUP(Z20/'Parameters'!$C$4,0)</x:f>
        <x:v>2</x:v>
      </x:c>
      <x:c r="P20" s="3" t="n">
        <x:v>11</x:v>
      </x:c>
      <x:c r="Q20" s="9" t="n">
        <x:v>8.25</x:v>
      </x:c>
      <x:c r="R20" s="9" t="n">
        <x:f>H20/'Parameters'!$C$3</x:f>
        <x:v>5.75</x:v>
      </x:c>
      <x:c r="S20" s="9" t="n">
        <x:f>I20/'Parameters'!$C$3</x:f>
        <x:v>5.75</x:v>
      </x:c>
      <x:c r="T20" s="9" t="n">
        <x:f>J20/'Parameters'!$C$3</x:f>
        <x:v>2.888888888888889</x:v>
      </x:c>
      <x:c r="U20" s="9" t="n">
        <x:v>0.5</x:v>
      </x:c>
      <x:c r="V20" s="9" t="n">
        <x:v>0.996008</x:v>
      </x:c>
      <x:c r="W20" s="3" t="n">
        <x:v>1</x:v>
      </x:c>
      <x:c r="X20" s="3" t="str">
        <x:v>Original R Y files</x:v>
      </x:c>
      <x:c r="Y20" s="3" t="n">
        <x:v>30</x:v>
      </x:c>
      <x:c r="Z20" s="3" t="n">
        <x:v>15</x:v>
      </x:c>
      <x:c r="AA20" s="3" t="n">
        <x:v>2</x:v>
      </x:c>
      <x:c r="AB20" s="3" t="n">
        <x:v>1</x:v>
      </x:c>
      <x:c r="AC20" s="3" t="n">
        <x:v>11</x:v>
      </x:c>
      <x:c r="AD20" s="9" t="n">
        <x:v>8.25</x:v>
      </x:c>
    </x:row>
    <x:row r="21" ht="21" customHeight="1">
      <x:c r="A21" s="3" t="n">
        <x:v>20</x:v>
      </x:c>
      <x:c r="B21" s="3" t="n">
        <x:v>3</x:v>
      </x:c>
      <x:c r="C21" s="3" t="n">
        <x:v>10</x:v>
      </x:c>
      <x:c r="D21" s="3" t="n">
        <x:v>35</x:v>
      </x:c>
      <x:c r="E21" s="3" t="n">
        <x:v>25</x:v>
      </x:c>
      <x:c r="F21" s="3"/>
      <x:c r="G21" s="3"/>
      <x:c r="H21" s="3" t="n">
        <x:v>186</x:v>
      </x:c>
      <x:c r="I21" s="3" t="n">
        <x:v>186</x:v>
      </x:c>
      <x:c r="J21" s="3" t="n">
        <x:v>93</x:v>
      </x:c>
      <x:c r="K21" s="3" t="n">
        <x:v>523</x:v>
      </x:c>
      <x:c r="L21" s="3" t="n">
        <x:v>5225</x:v>
      </x:c>
      <x:c r="M21" s="3" t="n">
        <x:v>2613</x:v>
      </x:c>
      <x:c r="N21" s="3" t="n">
        <x:f>ROUNDUP(Y21/'Parameters'!$C$4,0)</x:f>
        <x:v>3</x:v>
      </x:c>
      <x:c r="O21" s="3" t="n">
        <x:f>ROUNDUP(Z21/'Parameters'!$C$4,0)</x:f>
        <x:v>2</x:v>
      </x:c>
      <x:c r="P21" s="3" t="n">
        <x:v>25</x:v>
      </x:c>
      <x:c r="Q21" s="9" t="n">
        <x:v>18.75</x:v>
      </x:c>
      <x:c r="R21" s="9" t="n">
        <x:f>H21/'Parameters'!$C$3</x:f>
        <x:v>5.166666666666667</x:v>
      </x:c>
      <x:c r="S21" s="9" t="n">
        <x:f>I21/'Parameters'!$C$3</x:f>
        <x:v>5.166666666666667</x:v>
      </x:c>
      <x:c r="T21" s="9" t="n">
        <x:f>J21/'Parameters'!$C$3</x:f>
        <x:v>2.5833333333333335</x:v>
      </x:c>
      <x:c r="U21" s="9" t="n">
        <x:v>0.735955</x:v>
      </x:c>
      <x:c r="V21" s="9" t="n">
        <x:v>1.118855</x:v>
      </x:c>
      <x:c r="W21" s="3" t="n">
        <x:v>1</x:v>
      </x:c>
      <x:c r="X21" s="3" t="str">
        <x:v>Original R Y files</x:v>
      </x:c>
      <x:c r="Y21" s="3" t="n">
        <x:v>30</x:v>
      </x:c>
      <x:c r="Z21" s="3" t="n">
        <x:v>15</x:v>
      </x:c>
      <x:c r="AA21" s="3" t="n">
        <x:v>2</x:v>
      </x:c>
      <x:c r="AB21" s="3" t="n">
        <x:v>1</x:v>
      </x:c>
      <x:c r="AC21" s="3" t="n">
        <x:v>25</x:v>
      </x:c>
      <x:c r="AD21" s="9" t="n">
        <x:v>18.75</x:v>
      </x:c>
    </x:row>
    <x:row r="22" ht="21" customHeight="1">
      <x:c r="A22" s="3" t="n">
        <x:v>21</x:v>
      </x:c>
      <x:c r="B22" s="3" t="n">
        <x:v>3</x:v>
      </x:c>
      <x:c r="C22" s="3" t="n">
        <x:v>9</x:v>
      </x:c>
      <x:c r="D22" s="3" t="n">
        <x:v>48</x:v>
      </x:c>
      <x:c r="E22" s="3" t="n">
        <x:v>31</x:v>
      </x:c>
      <x:c r="F22" s="3"/>
      <x:c r="G22" s="3"/>
      <x:c r="H22" s="3" t="n">
        <x:v>336</x:v>
      </x:c>
      <x:c r="I22" s="3" t="n">
        <x:v>336</x:v>
      </x:c>
      <x:c r="J22" s="3" t="n">
        <x:v>168</x:v>
      </x:c>
      <x:c r="K22" s="3" t="n">
        <x:v>73</x:v>
      </x:c>
      <x:c r="L22" s="3" t="n">
        <x:v>721</x:v>
      </x:c>
      <x:c r="M22" s="3" t="n">
        <x:v>361</x:v>
      </x:c>
      <x:c r="N22" s="3" t="n">
        <x:f>ROUNDUP(Y22/'Parameters'!$C$4,0)</x:f>
        <x:v>3</x:v>
      </x:c>
      <x:c r="O22" s="3" t="n">
        <x:f>ROUNDUP(Z22/'Parameters'!$C$4,0)</x:f>
        <x:v>2</x:v>
      </x:c>
      <x:c r="P22" s="3" t="n">
        <x:v>31</x:v>
      </x:c>
      <x:c r="Q22" s="9" t="n">
        <x:v>23.25</x:v>
      </x:c>
      <x:c r="R22" s="9" t="n">
        <x:f>H22/'Parameters'!$C$3</x:f>
        <x:v>9.333333333333334</x:v>
      </x:c>
      <x:c r="S22" s="9" t="n">
        <x:f>I22/'Parameters'!$C$3</x:f>
        <x:v>9.333333333333334</x:v>
      </x:c>
      <x:c r="T22" s="9" t="n">
        <x:f>J22/'Parameters'!$C$3</x:f>
        <x:v>4.666666666666667</x:v>
      </x:c>
      <x:c r="U22" s="9" t="n">
        <x:v>0.837079</x:v>
      </x:c>
      <x:c r="V22" s="9" t="n">
        <x:v>0.947299</x:v>
      </x:c>
      <x:c r="W22" s="3" t="n">
        <x:v>1</x:v>
      </x:c>
      <x:c r="X22" s="3" t="str">
        <x:v>Original R Y files</x:v>
      </x:c>
      <x:c r="Y22" s="3" t="n">
        <x:v>30</x:v>
      </x:c>
      <x:c r="Z22" s="3" t="n">
        <x:v>15</x:v>
      </x:c>
      <x:c r="AA22" s="3" t="n">
        <x:v>2</x:v>
      </x:c>
      <x:c r="AB22" s="3" t="n">
        <x:v>1</x:v>
      </x:c>
      <x:c r="AC22" s="3" t="n">
        <x:v>31</x:v>
      </x:c>
      <x:c r="AD22" s="9" t="n">
        <x:v>23.25</x:v>
      </x:c>
    </x:row>
    <x:row r="23" ht="21" customHeight="1">
      <x:c r="A23" s="3" t="n">
        <x:v>22</x:v>
      </x:c>
      <x:c r="B23" s="3" t="n">
        <x:v>4</x:v>
      </x:c>
      <x:c r="C23" s="3" t="n">
        <x:v>5</x:v>
      </x:c>
      <x:c r="D23" s="3" t="n">
        <x:v>4</x:v>
      </x:c>
      <x:c r="E23" s="3" t="n">
        <x:v>100</x:v>
      </x:c>
      <x:c r="F23" s="3"/>
      <x:c r="G23" s="3"/>
      <x:c r="H23" s="3" t="n">
        <x:v>613</x:v>
      </x:c>
      <x:c r="I23" s="3" t="n">
        <x:v>613</x:v>
      </x:c>
      <x:c r="J23" s="3" t="n">
        <x:v>613</x:v>
      </x:c>
      <x:c r="K23" s="3" t="n">
        <x:v>601</x:v>
      </x:c>
      <x:c r="L23" s="3" t="n">
        <x:v>6005</x:v>
      </x:c>
      <x:c r="M23" s="3" t="n">
        <x:v>3003</x:v>
      </x:c>
      <x:c r="N23" s="3" t="n">
        <x:f>ROUNDUP(Y23/'Parameters'!$C$4,0)</x:f>
        <x:v>6</x:v>
      </x:c>
      <x:c r="O23" s="3" t="n">
        <x:f>ROUNDUP(Z23/'Parameters'!$C$4,0)</x:f>
        <x:v>5</x:v>
      </x:c>
      <x:c r="P23" s="3" t="n">
        <x:v>100</x:v>
      </x:c>
      <x:c r="Q23" s="9" t="n">
        <x:v>75</x:v>
      </x:c>
      <x:c r="R23" s="9" t="n">
        <x:f>H23/'Parameters'!$C$3</x:f>
        <x:v>17.02777777777778</x:v>
      </x:c>
      <x:c r="S23" s="9" t="n">
        <x:f>I23/'Parameters'!$C$3</x:f>
        <x:v>17.02777777777778</x:v>
      </x:c>
      <x:c r="T23" s="9" t="n">
        <x:f>J23/'Parameters'!$C$3</x:f>
        <x:v>17.02777777777778</x:v>
      </x:c>
      <x:c r="U23" s="9" t="n">
        <x:v>2</x:v>
      </x:c>
      <x:c r="V23" s="9" t="n">
        <x:v>0.958485</x:v>
      </x:c>
      <x:c r="W23" s="3" t="n">
        <x:v>1</x:v>
      </x:c>
      <x:c r="X23" s="3" t="str">
        <x:v>Original R Y files</x:v>
      </x:c>
      <x:c r="Y23" s="3" t="n">
        <x:v>60</x:v>
      </x:c>
      <x:c r="Z23" s="3" t="n">
        <x:v>45</x:v>
      </x:c>
      <x:c r="AA23" s="3" t="n">
        <x:v>4</x:v>
      </x:c>
      <x:c r="AB23" s="3" t="n">
        <x:v>3</x:v>
      </x:c>
      <x:c r="AC23" s="3" t="n">
        <x:v>100</x:v>
      </x:c>
      <x:c r="AD23" s="9" t="n">
        <x:v>75</x:v>
      </x:c>
    </x:row>
    <x:row r="24" ht="21" customHeight="1">
      <x:c r="A24" s="3" t="n">
        <x:v>23</x:v>
      </x:c>
      <x:c r="B24" s="3" t="n">
        <x:v>4</x:v>
      </x:c>
      <x:c r="C24" s="3" t="n">
        <x:v>3</x:v>
      </x:c>
      <x:c r="D24" s="3" t="n">
        <x:v>28</x:v>
      </x:c>
      <x:c r="E24" s="3" t="n">
        <x:v>95</x:v>
      </x:c>
      <x:c r="F24" s="3"/>
      <x:c r="G24" s="3"/>
      <x:c r="H24" s="3" t="n">
        <x:v>336</x:v>
      </x:c>
      <x:c r="I24" s="3" t="n">
        <x:v>336</x:v>
      </x:c>
      <x:c r="J24" s="3" t="n">
        <x:v>168</x:v>
      </x:c>
      <x:c r="K24" s="3" t="n">
        <x:v>109</x:v>
      </x:c>
      <x:c r="L24" s="3" t="n">
        <x:v>1081</x:v>
      </x:c>
      <x:c r="M24" s="3" t="n">
        <x:v>541</x:v>
      </x:c>
      <x:c r="N24" s="3" t="n">
        <x:f>ROUNDUP(Y24/'Parameters'!$C$4,0)</x:f>
        <x:v>6</x:v>
      </x:c>
      <x:c r="O24" s="3" t="n">
        <x:f>ROUNDUP(Z24/'Parameters'!$C$4,0)</x:f>
        <x:v>5</x:v>
      </x:c>
      <x:c r="P24" s="3" t="n">
        <x:v>95</x:v>
      </x:c>
      <x:c r="Q24" s="9" t="n">
        <x:v>71.25</x:v>
      </x:c>
      <x:c r="R24" s="9" t="n">
        <x:f>H24/'Parameters'!$C$3</x:f>
        <x:v>9.333333333333334</x:v>
      </x:c>
      <x:c r="S24" s="9" t="n">
        <x:f>I24/'Parameters'!$C$3</x:f>
        <x:v>9.333333333333334</x:v>
      </x:c>
      <x:c r="T24" s="9" t="n">
        <x:f>J24/'Parameters'!$C$3</x:f>
        <x:v>4.666666666666667</x:v>
      </x:c>
      <x:c r="U24" s="9" t="n">
        <x:v>1.91573</x:v>
      </x:c>
      <x:c r="V24" s="9" t="n">
        <x:v>0.944916</x:v>
      </x:c>
      <x:c r="W24" s="3" t="n">
        <x:v>1</x:v>
      </x:c>
      <x:c r="X24" s="3" t="str">
        <x:v>Original R Y files</x:v>
      </x:c>
      <x:c r="Y24" s="3" t="n">
        <x:v>60</x:v>
      </x:c>
      <x:c r="Z24" s="3" t="n">
        <x:v>45</x:v>
      </x:c>
      <x:c r="AA24" s="3" t="n">
        <x:v>4</x:v>
      </x:c>
      <x:c r="AB24" s="3" t="n">
        <x:v>3</x:v>
      </x:c>
      <x:c r="AC24" s="3" t="n">
        <x:v>95</x:v>
      </x:c>
      <x:c r="AD24" s="9" t="n">
        <x:v>71.25</x:v>
      </x:c>
    </x:row>
    <x:row r="25" ht="21" customHeight="1">
      <x:c r="A25" s="3" t="n">
        <x:v>24</x:v>
      </x:c>
      <x:c r="B25" s="3" t="n">
        <x:v>4</x:v>
      </x:c>
      <x:c r="C25" s="3" t="n">
        <x:v>10</x:v>
      </x:c>
      <x:c r="D25" s="3" t="n">
        <x:v>31</x:v>
      </x:c>
      <x:c r="E25" s="3" t="n">
        <x:v>50</x:v>
      </x:c>
      <x:c r="F25" s="3"/>
      <x:c r="G25" s="3"/>
      <x:c r="H25" s="3" t="n">
        <x:v>259</x:v>
      </x:c>
      <x:c r="I25" s="3" t="n">
        <x:v>259</x:v>
      </x:c>
      <x:c r="J25" s="3" t="n">
        <x:v>130</x:v>
      </x:c>
      <x:c r="K25" s="3" t="n">
        <x:v>325</x:v>
      </x:c>
      <x:c r="L25" s="3" t="n">
        <x:v>3243</x:v>
      </x:c>
      <x:c r="M25" s="3" t="n">
        <x:v>1622</x:v>
      </x:c>
      <x:c r="N25" s="3" t="n">
        <x:f>ROUNDUP(Y25/'Parameters'!$C$4,0)</x:f>
        <x:v>5</x:v>
      </x:c>
      <x:c r="O25" s="3" t="n">
        <x:f>ROUNDUP(Z25/'Parameters'!$C$4,0)</x:f>
        <x:v>3</x:v>
      </x:c>
      <x:c r="P25" s="3" t="n">
        <x:v>50</x:v>
      </x:c>
      <x:c r="Q25" s="9" t="n">
        <x:v>37.5</x:v>
      </x:c>
      <x:c r="R25" s="9" t="n">
        <x:f>H25/'Parameters'!$C$3</x:f>
        <x:v>7.194444444444445</x:v>
      </x:c>
      <x:c r="S25" s="9" t="n">
        <x:f>I25/'Parameters'!$C$3</x:f>
        <x:v>7.194444444444445</x:v>
      </x:c>
      <x:c r="T25" s="9" t="n">
        <x:f>J25/'Parameters'!$C$3</x:f>
        <x:v>3.611111111111111</x:v>
      </x:c>
      <x:c r="U25" s="9" t="n">
        <x:v>1.157303</x:v>
      </x:c>
      <x:c r="V25" s="9" t="n">
        <x:v>0.875461</x:v>
      </x:c>
      <x:c r="W25" s="3" t="n">
        <x:v>1</x:v>
      </x:c>
      <x:c r="X25" s="3" t="str">
        <x:v>Original R Y files</x:v>
      </x:c>
      <x:c r="Y25" s="3" t="n">
        <x:v>45</x:v>
      </x:c>
      <x:c r="Z25" s="3" t="n">
        <x:v>30</x:v>
      </x:c>
      <x:c r="AA25" s="3" t="n">
        <x:v>3</x:v>
      </x:c>
      <x:c r="AB25" s="3" t="n">
        <x:v>2</x:v>
      </x:c>
      <x:c r="AC25" s="3" t="n">
        <x:v>50</x:v>
      </x:c>
      <x:c r="AD25" s="9" t="n">
        <x:v>37.5</x:v>
      </x:c>
    </x:row>
    <x:row r="26" ht="21" customHeight="1">
      <x:c r="A26" s="3" t="n">
        <x:v>25</x:v>
      </x:c>
      <x:c r="B26" s="3" t="n">
        <x:v>4</x:v>
      </x:c>
      <x:c r="C26" s="3" t="n">
        <x:v>8</x:v>
      </x:c>
      <x:c r="D26" s="3" t="n">
        <x:v>40</x:v>
      </x:c>
      <x:c r="E26" s="3" t="n">
        <x:v>12</x:v>
      </x:c>
      <x:c r="F26" s="3"/>
      <x:c r="G26" s="3"/>
      <x:c r="H26" s="3" t="n">
        <x:v>190</x:v>
      </x:c>
      <x:c r="I26" s="3" t="n">
        <x:v>190</x:v>
      </x:c>
      <x:c r="J26" s="3" t="n">
        <x:v>95</x:v>
      </x:c>
      <x:c r="K26" s="3" t="n">
        <x:v>295</x:v>
      </x:c>
      <x:c r="L26" s="3" t="n">
        <x:v>2943</x:v>
      </x:c>
      <x:c r="M26" s="3" t="n">
        <x:v>1472</x:v>
      </x:c>
      <x:c r="N26" s="3" t="n">
        <x:f>ROUNDUP(Y26/'Parameters'!$C$4,0)</x:f>
        <x:v>3</x:v>
      </x:c>
      <x:c r="O26" s="3" t="n">
        <x:f>ROUNDUP(Z26/'Parameters'!$C$4,0)</x:f>
        <x:v>2</x:v>
      </x:c>
      <x:c r="P26" s="3" t="n">
        <x:v>12</x:v>
      </x:c>
      <x:c r="Q26" s="9" t="n">
        <x:v>9</x:v>
      </x:c>
      <x:c r="R26" s="9" t="n">
        <x:f>H26/'Parameters'!$C$3</x:f>
        <x:v>5.277777777777778</x:v>
      </x:c>
      <x:c r="S26" s="9" t="n">
        <x:f>I26/'Parameters'!$C$3</x:f>
        <x:v>5.277777777777778</x:v>
      </x:c>
      <x:c r="T26" s="9" t="n">
        <x:f>J26/'Parameters'!$C$3</x:f>
        <x:v>2.638888888888889</x:v>
      </x:c>
      <x:c r="U26" s="9" t="n">
        <x:v>0.516854</x:v>
      </x:c>
      <x:c r="V26" s="9" t="n">
        <x:v>0.993326</x:v>
      </x:c>
      <x:c r="W26" s="3" t="n">
        <x:v>1</x:v>
      </x:c>
      <x:c r="X26" s="3" t="str">
        <x:v>Original R Y files</x:v>
      </x:c>
      <x:c r="Y26" s="3" t="n">
        <x:v>30</x:v>
      </x:c>
      <x:c r="Z26" s="3" t="n">
        <x:v>15</x:v>
      </x:c>
      <x:c r="AA26" s="3" t="n">
        <x:v>2</x:v>
      </x:c>
      <x:c r="AB26" s="3" t="n">
        <x:v>1</x:v>
      </x:c>
      <x:c r="AC26" s="3" t="n">
        <x:v>12</x:v>
      </x:c>
      <x:c r="AD26" s="9" t="n">
        <x:v>9</x:v>
      </x:c>
    </x:row>
    <x:row r="27" ht="21" customHeight="1">
      <x:c r="A27" s="3" t="n">
        <x:v>26</x:v>
      </x:c>
      <x:c r="B27" s="3" t="n">
        <x:v>4</x:v>
      </x:c>
      <x:c r="C27" s="3" t="n">
        <x:v>7</x:v>
      </x:c>
      <x:c r="D27" s="3" t="n">
        <x:v>42</x:v>
      </x:c>
      <x:c r="E27" s="3" t="n">
        <x:v>15</x:v>
      </x:c>
      <x:c r="F27" s="3"/>
      <x:c r="G27" s="3"/>
      <x:c r="H27" s="3" t="n">
        <x:v>235</x:v>
      </x:c>
      <x:c r="I27" s="3" t="n">
        <x:v>235</x:v>
      </x:c>
      <x:c r="J27" s="3" t="n">
        <x:v>118</x:v>
      </x:c>
      <x:c r="K27" s="3" t="n">
        <x:v>541</x:v>
      </x:c>
      <x:c r="L27" s="3" t="n">
        <x:v>5405</x:v>
      </x:c>
      <x:c r="M27" s="3" t="n">
        <x:v>2703</x:v>
      </x:c>
      <x:c r="N27" s="3" t="n">
        <x:f>ROUNDUP(Y27/'Parameters'!$C$4,0)</x:f>
        <x:v>3</x:v>
      </x:c>
      <x:c r="O27" s="3" t="n">
        <x:f>ROUNDUP(Z27/'Parameters'!$C$4,0)</x:f>
        <x:v>2</x:v>
      </x:c>
      <x:c r="P27" s="3" t="n">
        <x:v>15</x:v>
      </x:c>
      <x:c r="Q27" s="9" t="n">
        <x:v>11.25</x:v>
      </x:c>
      <x:c r="R27" s="9" t="n">
        <x:f>H27/'Parameters'!$C$3</x:f>
        <x:v>6.527777777777778</x:v>
      </x:c>
      <x:c r="S27" s="9" t="n">
        <x:f>I27/'Parameters'!$C$3</x:f>
        <x:v>6.527777777777778</x:v>
      </x:c>
      <x:c r="T27" s="9" t="n">
        <x:f>J27/'Parameters'!$C$3</x:f>
        <x:v>3.2777777777777777</x:v>
      </x:c>
      <x:c r="U27" s="9" t="n">
        <x:v>0.567416</x:v>
      </x:c>
      <x:c r="V27" s="9" t="n">
        <x:v>1.099203</x:v>
      </x:c>
      <x:c r="W27" s="3" t="n">
        <x:v>1</x:v>
      </x:c>
      <x:c r="X27" s="3" t="str">
        <x:v>Original R Y files</x:v>
      </x:c>
      <x:c r="Y27" s="3" t="n">
        <x:v>30</x:v>
      </x:c>
      <x:c r="Z27" s="3" t="n">
        <x:v>15</x:v>
      </x:c>
      <x:c r="AA27" s="3" t="n">
        <x:v>2</x:v>
      </x:c>
      <x:c r="AB27" s="3" t="n">
        <x:v>1</x:v>
      </x:c>
      <x:c r="AC27" s="3" t="n">
        <x:v>15</x:v>
      </x:c>
      <x:c r="AD27" s="9" t="n">
        <x:v>11.25</x:v>
      </x:c>
    </x:row>
    <x:row r="28" ht="21" customHeight="1">
      <x:c r="A28" s="3" t="n">
        <x:v>27</x:v>
      </x:c>
      <x:c r="B28" s="3" t="n">
        <x:v>4</x:v>
      </x:c>
      <x:c r="C28" s="3" t="n">
        <x:v>2</x:v>
      </x:c>
      <x:c r="D28" s="3" t="n">
        <x:v>57</x:v>
      </x:c>
      <x:c r="E28" s="3" t="n">
        <x:v>20</x:v>
      </x:c>
      <x:c r="F28" s="3"/>
      <x:c r="G28" s="3"/>
      <x:c r="H28" s="3" t="n">
        <x:v>178</x:v>
      </x:c>
      <x:c r="I28" s="3" t="n">
        <x:v>178</x:v>
      </x:c>
      <x:c r="J28" s="3" t="n">
        <x:v>89</x:v>
      </x:c>
      <x:c r="K28" s="3" t="n">
        <x:v>433</x:v>
      </x:c>
      <x:c r="L28" s="3" t="n">
        <x:v>4324</x:v>
      </x:c>
      <x:c r="M28" s="3" t="n">
        <x:v>2162</x:v>
      </x:c>
      <x:c r="N28" s="3" t="n">
        <x:f>ROUNDUP(Y28/'Parameters'!$C$4,0)</x:f>
        <x:v>3</x:v>
      </x:c>
      <x:c r="O28" s="3" t="n">
        <x:f>ROUNDUP(Z28/'Parameters'!$C$4,0)</x:f>
        <x:v>2</x:v>
      </x:c>
      <x:c r="P28" s="3" t="n">
        <x:v>20</x:v>
      </x:c>
      <x:c r="Q28" s="9" t="n">
        <x:v>15</x:v>
      </x:c>
      <x:c r="R28" s="9" t="n">
        <x:f>H28/'Parameters'!$C$3</x:f>
        <x:v>4.944444444444445</x:v>
      </x:c>
      <x:c r="S28" s="9" t="n">
        <x:f>I28/'Parameters'!$C$3</x:f>
        <x:v>4.944444444444445</x:v>
      </x:c>
      <x:c r="T28" s="9" t="n">
        <x:f>J28/'Parameters'!$C$3</x:f>
        <x:v>2.4722222222222223</x:v>
      </x:c>
      <x:c r="U28" s="9" t="n">
        <x:v>0.651685</x:v>
      </x:c>
      <x:c r="V28" s="9" t="n">
        <x:v>0.861111</x:v>
      </x:c>
      <x:c r="W28" s="3" t="n">
        <x:v>1</x:v>
      </x:c>
      <x:c r="X28" s="3" t="str">
        <x:v>Original R Y files</x:v>
      </x:c>
      <x:c r="Y28" s="3" t="n">
        <x:v>30</x:v>
      </x:c>
      <x:c r="Z28" s="3" t="n">
        <x:v>15</x:v>
      </x:c>
      <x:c r="AA28" s="3" t="n">
        <x:v>2</x:v>
      </x:c>
      <x:c r="AB28" s="3" t="n">
        <x:v>1</x:v>
      </x:c>
      <x:c r="AC28" s="3" t="n">
        <x:v>20</x:v>
      </x:c>
      <x:c r="AD28" s="9" t="n">
        <x:v>15</x:v>
      </x:c>
    </x:row>
    <x:row r="29" ht="21" customHeight="1">
      <x:c r="A29" s="3" t="n">
        <x:v>28</x:v>
      </x:c>
      <x:c r="B29" s="3" t="n">
        <x:v>4</x:v>
      </x:c>
      <x:c r="C29" s="3" t="n">
        <x:v>6</x:v>
      </x:c>
      <x:c r="D29" s="3" t="n">
        <x:v>60</x:v>
      </x:c>
      <x:c r="E29" s="3" t="n">
        <x:v>23</x:v>
      </x:c>
      <x:c r="F29" s="3"/>
      <x:c r="G29" s="3"/>
      <x:c r="H29" s="3" t="n">
        <x:v>122</x:v>
      </x:c>
      <x:c r="I29" s="3" t="n">
        <x:v>122</x:v>
      </x:c>
      <x:c r="J29" s="3" t="n">
        <x:v>61</x:v>
      </x:c>
      <x:c r="K29" s="3" t="n">
        <x:v>481</x:v>
      </x:c>
      <x:c r="L29" s="3" t="n">
        <x:v>4804</x:v>
      </x:c>
      <x:c r="M29" s="3" t="n">
        <x:v>2402</x:v>
      </x:c>
      <x:c r="N29" s="3" t="n">
        <x:f>ROUNDUP(Y29/'Parameters'!$C$4,0)</x:f>
        <x:v>3</x:v>
      </x:c>
      <x:c r="O29" s="3" t="n">
        <x:f>ROUNDUP(Z29/'Parameters'!$C$4,0)</x:f>
        <x:v>2</x:v>
      </x:c>
      <x:c r="P29" s="3" t="n">
        <x:v>23</x:v>
      </x:c>
      <x:c r="Q29" s="9" t="n">
        <x:v>17.25</x:v>
      </x:c>
      <x:c r="R29" s="9" t="n">
        <x:f>H29/'Parameters'!$C$3</x:f>
        <x:v>3.388888888888889</x:v>
      </x:c>
      <x:c r="S29" s="9" t="n">
        <x:f>I29/'Parameters'!$C$3</x:f>
        <x:v>3.388888888888889</x:v>
      </x:c>
      <x:c r="T29" s="9" t="n">
        <x:f>J29/'Parameters'!$C$3</x:f>
        <x:v>1.6944444444444444</x:v>
      </x:c>
      <x:c r="U29" s="9" t="n">
        <x:v>0.702247</x:v>
      </x:c>
      <x:c r="V29" s="9" t="n">
        <x:v>1.137214</x:v>
      </x:c>
      <x:c r="W29" s="3" t="n">
        <x:v>1</x:v>
      </x:c>
      <x:c r="X29" s="3" t="str">
        <x:v>Original R Y files</x:v>
      </x:c>
      <x:c r="Y29" s="3" t="n">
        <x:v>30</x:v>
      </x:c>
      <x:c r="Z29" s="3" t="n">
        <x:v>15</x:v>
      </x:c>
      <x:c r="AA29" s="3" t="n">
        <x:v>2</x:v>
      </x:c>
      <x:c r="AB29" s="3" t="n">
        <x:v>1</x:v>
      </x:c>
      <x:c r="AC29" s="3" t="n">
        <x:v>23</x:v>
      </x:c>
      <x:c r="AD29" s="9" t="n">
        <x:v>17.25</x:v>
      </x:c>
    </x:row>
    <x:row r="30" ht="21" customHeight="1">
      <x:c r="A30" s="3" t="n">
        <x:v>29</x:v>
      </x:c>
      <x:c r="B30" s="3" t="n">
        <x:v>5</x:v>
      </x:c>
      <x:c r="C30" s="3" t="n">
        <x:v>6</x:v>
      </x:c>
      <x:c r="D30" s="3" t="n">
        <x:v>5</x:v>
      </x:c>
      <x:c r="E30" s="3" t="n">
        <x:v>100</x:v>
      </x:c>
      <x:c r="F30" s="3"/>
      <x:c r="G30" s="3"/>
      <x:c r="H30" s="3" t="n">
        <x:v>613</x:v>
      </x:c>
      <x:c r="I30" s="3" t="n">
        <x:v>613</x:v>
      </x:c>
      <x:c r="J30" s="3" t="n">
        <x:v>613</x:v>
      </x:c>
      <x:c r="K30" s="3" t="n">
        <x:v>601</x:v>
      </x:c>
      <x:c r="L30" s="3" t="n">
        <x:v>6005</x:v>
      </x:c>
      <x:c r="M30" s="3" t="n">
        <x:v>3003</x:v>
      </x:c>
      <x:c r="N30" s="3" t="n">
        <x:f>ROUNDUP(Y30/'Parameters'!$C$4,0)</x:f>
        <x:v>6</x:v>
      </x:c>
      <x:c r="O30" s="3" t="n">
        <x:f>ROUNDUP(Z30/'Parameters'!$C$4,0)</x:f>
        <x:v>5</x:v>
      </x:c>
      <x:c r="P30" s="3" t="n">
        <x:v>100</x:v>
      </x:c>
      <x:c r="Q30" s="9" t="n">
        <x:v>75</x:v>
      </x:c>
      <x:c r="R30" s="9" t="n">
        <x:f>H30/'Parameters'!$C$3</x:f>
        <x:v>17.02777777777778</x:v>
      </x:c>
      <x:c r="S30" s="9" t="n">
        <x:f>I30/'Parameters'!$C$3</x:f>
        <x:v>17.02777777777778</x:v>
      </x:c>
      <x:c r="T30" s="9" t="n">
        <x:f>J30/'Parameters'!$C$3</x:f>
        <x:v>17.02777777777778</x:v>
      </x:c>
      <x:c r="U30" s="9" t="n">
        <x:v>2</x:v>
      </x:c>
      <x:c r="V30" s="9" t="n">
        <x:v>0.949994</x:v>
      </x:c>
      <x:c r="W30" s="3" t="n">
        <x:v>1</x:v>
      </x:c>
      <x:c r="X30" s="3" t="str">
        <x:v>Original R Y files</x:v>
      </x:c>
      <x:c r="Y30" s="3" t="n">
        <x:v>60</x:v>
      </x:c>
      <x:c r="Z30" s="3" t="n">
        <x:v>45</x:v>
      </x:c>
      <x:c r="AA30" s="3" t="n">
        <x:v>4</x:v>
      </x:c>
      <x:c r="AB30" s="3" t="n">
        <x:v>3</x:v>
      </x:c>
      <x:c r="AC30" s="3" t="n">
        <x:v>100</x:v>
      </x:c>
      <x:c r="AD30" s="9" t="n">
        <x:v>75</x:v>
      </x:c>
    </x:row>
    <x:row r="31" ht="21" customHeight="1">
      <x:c r="A31" s="3" t="n">
        <x:v>30</x:v>
      </x:c>
      <x:c r="B31" s="3" t="n">
        <x:v>5</x:v>
      </x:c>
      <x:c r="C31" s="3" t="n">
        <x:v>2</x:v>
      </x:c>
      <x:c r="D31" s="3" t="n">
        <x:v>21</x:v>
      </x:c>
      <x:c r="E31" s="3" t="n">
        <x:v>34</x:v>
      </x:c>
      <x:c r="F31" s="3"/>
      <x:c r="G31" s="3"/>
      <x:c r="H31" s="3" t="n">
        <x:v>106</x:v>
      </x:c>
      <x:c r="I31" s="3" t="n">
        <x:v>106</x:v>
      </x:c>
      <x:c r="J31" s="3" t="n">
        <x:v>53</x:v>
      </x:c>
      <x:c r="K31" s="3" t="n">
        <x:v>127</x:v>
      </x:c>
      <x:c r="L31" s="3" t="n">
        <x:v>1261</x:v>
      </x:c>
      <x:c r="M31" s="3" t="n">
        <x:v>631</x:v>
      </x:c>
      <x:c r="N31" s="3" t="n">
        <x:f>ROUNDUP(Y31/'Parameters'!$C$4,0)</x:f>
        <x:v>3</x:v>
      </x:c>
      <x:c r="O31" s="3" t="n">
        <x:f>ROUNDUP(Z31/'Parameters'!$C$4,0)</x:f>
        <x:v>2</x:v>
      </x:c>
      <x:c r="P31" s="3" t="n">
        <x:v>34</x:v>
      </x:c>
      <x:c r="Q31" s="9" t="n">
        <x:v>25.5</x:v>
      </x:c>
      <x:c r="R31" s="9" t="n">
        <x:f>H31/'Parameters'!$C$3</x:f>
        <x:v>2.9444444444444446</x:v>
      </x:c>
      <x:c r="S31" s="9" t="n">
        <x:f>I31/'Parameters'!$C$3</x:f>
        <x:v>2.9444444444444446</x:v>
      </x:c>
      <x:c r="T31" s="9" t="n">
        <x:f>J31/'Parameters'!$C$3</x:f>
        <x:v>1.4722222222222223</x:v>
      </x:c>
      <x:c r="U31" s="9" t="n">
        <x:v>0.88764</x:v>
      </x:c>
      <x:c r="V31" s="9" t="n">
        <x:v>0.882396</x:v>
      </x:c>
      <x:c r="W31" s="3" t="n">
        <x:v>1</x:v>
      </x:c>
      <x:c r="X31" s="3" t="str">
        <x:v>Original R Y files</x:v>
      </x:c>
      <x:c r="Y31" s="3" t="n">
        <x:v>30</x:v>
      </x:c>
      <x:c r="Z31" s="3" t="n">
        <x:v>15</x:v>
      </x:c>
      <x:c r="AA31" s="3" t="n">
        <x:v>2</x:v>
      </x:c>
      <x:c r="AB31" s="3" t="n">
        <x:v>1</x:v>
      </x:c>
      <x:c r="AC31" s="3" t="n">
        <x:v>34</x:v>
      </x:c>
      <x:c r="AD31" s="9" t="n">
        <x:v>25.5</x:v>
      </x:c>
    </x:row>
    <x:row r="32" ht="21" customHeight="1">
      <x:c r="A32" s="3" t="n">
        <x:v>31</x:v>
      </x:c>
      <x:c r="B32" s="3" t="n">
        <x:v>5</x:v>
      </x:c>
      <x:c r="C32" s="3" t="n">
        <x:v>8</x:v>
      </x:c>
      <x:c r="D32" s="3" t="n">
        <x:v>25</x:v>
      </x:c>
      <x:c r="E32" s="3" t="n">
        <x:v>72</x:v>
      </x:c>
      <x:c r="F32" s="3"/>
      <x:c r="G32" s="3"/>
      <x:c r="H32" s="3" t="n">
        <x:v>336</x:v>
      </x:c>
      <x:c r="I32" s="3" t="n">
        <x:v>336</x:v>
      </x:c>
      <x:c r="J32" s="3" t="n">
        <x:v>168</x:v>
      </x:c>
      <x:c r="K32" s="3" t="n">
        <x:v>541</x:v>
      </x:c>
      <x:c r="L32" s="3" t="n">
        <x:v>5405</x:v>
      </x:c>
      <x:c r="M32" s="3" t="n">
        <x:v>2703</x:v>
      </x:c>
      <x:c r="N32" s="3" t="n">
        <x:f>ROUNDUP(Y32/'Parameters'!$C$4,0)</x:f>
        <x:v>5</x:v>
      </x:c>
      <x:c r="O32" s="3" t="n">
        <x:f>ROUNDUP(Z32/'Parameters'!$C$4,0)</x:f>
        <x:v>3</x:v>
      </x:c>
      <x:c r="P32" s="3" t="n">
        <x:v>72</x:v>
      </x:c>
      <x:c r="Q32" s="9" t="n">
        <x:v>54</x:v>
      </x:c>
      <x:c r="R32" s="9" t="n">
        <x:f>H32/'Parameters'!$C$3</x:f>
        <x:v>9.333333333333334</x:v>
      </x:c>
      <x:c r="S32" s="9" t="n">
        <x:f>I32/'Parameters'!$C$3</x:f>
        <x:v>9.333333333333334</x:v>
      </x:c>
      <x:c r="T32" s="9" t="n">
        <x:f>J32/'Parameters'!$C$3</x:f>
        <x:v>4.666666666666667</x:v>
      </x:c>
      <x:c r="U32" s="9" t="n">
        <x:v>1.52809</x:v>
      </x:c>
      <x:c r="V32" s="9" t="n">
        <x:v>0.986718</x:v>
      </x:c>
      <x:c r="W32" s="3" t="n">
        <x:v>1</x:v>
      </x:c>
      <x:c r="X32" s="3" t="str">
        <x:v>Original R Y files</x:v>
      </x:c>
      <x:c r="Y32" s="3" t="n">
        <x:v>45</x:v>
      </x:c>
      <x:c r="Z32" s="3" t="n">
        <x:v>30</x:v>
      </x:c>
      <x:c r="AA32" s="3" t="n">
        <x:v>3</x:v>
      </x:c>
      <x:c r="AB32" s="3" t="n">
        <x:v>2</x:v>
      </x:c>
      <x:c r="AC32" s="3" t="n">
        <x:v>72</x:v>
      </x:c>
      <x:c r="AD32" s="9" t="n">
        <x:v>54</x:v>
      </x:c>
    </x:row>
    <x:row r="33" ht="21" customHeight="1">
      <x:c r="A33" s="3" t="n">
        <x:v>32</x:v>
      </x:c>
      <x:c r="B33" s="3" t="n">
        <x:v>5</x:v>
      </x:c>
      <x:c r="C33" s="3" t="n">
        <x:v>3</x:v>
      </x:c>
      <x:c r="D33" s="3" t="n">
        <x:v>30</x:v>
      </x:c>
      <x:c r="E33" s="3" t="n">
        <x:v>59</x:v>
      </x:c>
      <x:c r="F33" s="3"/>
      <x:c r="G33" s="3"/>
      <x:c r="H33" s="3" t="n">
        <x:v>401</x:v>
      </x:c>
      <x:c r="I33" s="3" t="n">
        <x:v>401</x:v>
      </x:c>
      <x:c r="J33" s="3" t="n">
        <x:v>201</x:v>
      </x:c>
      <x:c r="K33" s="3" t="n">
        <x:v>529</x:v>
      </x:c>
      <x:c r="L33" s="3" t="n">
        <x:v>5285</x:v>
      </x:c>
      <x:c r="M33" s="3" t="n">
        <x:v>2643</x:v>
      </x:c>
      <x:c r="N33" s="3" t="n">
        <x:f>ROUNDUP(Y33/'Parameters'!$C$4,0)</x:f>
        <x:v>5</x:v>
      </x:c>
      <x:c r="O33" s="3" t="n">
        <x:f>ROUNDUP(Z33/'Parameters'!$C$4,0)</x:f>
        <x:v>3</x:v>
      </x:c>
      <x:c r="P33" s="3" t="n">
        <x:v>59</x:v>
      </x:c>
      <x:c r="Q33" s="9" t="n">
        <x:v>44.25</x:v>
      </x:c>
      <x:c r="R33" s="9" t="n">
        <x:f>H33/'Parameters'!$C$3</x:f>
        <x:v>11.13888888888889</x:v>
      </x:c>
      <x:c r="S33" s="9" t="n">
        <x:f>I33/'Parameters'!$C$3</x:f>
        <x:v>11.13888888888889</x:v>
      </x:c>
      <x:c r="T33" s="9" t="n">
        <x:f>J33/'Parameters'!$C$3</x:f>
        <x:v>5.583333333333333</x:v>
      </x:c>
      <x:c r="U33" s="9" t="n">
        <x:v>1.308989</x:v>
      </x:c>
      <x:c r="V33" s="9" t="n">
        <x:v>1.089544</x:v>
      </x:c>
      <x:c r="W33" s="3" t="n">
        <x:v>1</x:v>
      </x:c>
      <x:c r="X33" s="3" t="str">
        <x:v>Original R Y files</x:v>
      </x:c>
      <x:c r="Y33" s="3" t="n">
        <x:v>45</x:v>
      </x:c>
      <x:c r="Z33" s="3" t="n">
        <x:v>30</x:v>
      </x:c>
      <x:c r="AA33" s="3" t="n">
        <x:v>3</x:v>
      </x:c>
      <x:c r="AB33" s="3" t="n">
        <x:v>2</x:v>
      </x:c>
      <x:c r="AC33" s="3" t="n">
        <x:v>59</x:v>
      </x:c>
      <x:c r="AD33" s="9" t="n">
        <x:v>44.25</x:v>
      </x:c>
    </x:row>
    <x:row r="34" ht="21" customHeight="1">
      <x:c r="A34" s="3" t="n">
        <x:v>33</x:v>
      </x:c>
      <x:c r="B34" s="3" t="n">
        <x:v>5</x:v>
      </x:c>
      <x:c r="C34" s="3" t="n">
        <x:v>10</x:v>
      </x:c>
      <x:c r="D34" s="3" t="n">
        <x:v>45</x:v>
      </x:c>
      <x:c r="E34" s="3" t="n">
        <x:v>32</x:v>
      </x:c>
      <x:c r="F34" s="3"/>
      <x:c r="G34" s="3"/>
      <x:c r="H34" s="3" t="n">
        <x:v>166</x:v>
      </x:c>
      <x:c r="I34" s="3" t="n">
        <x:v>166</x:v>
      </x:c>
      <x:c r="J34" s="3" t="n">
        <x:v>83</x:v>
      </x:c>
      <x:c r="K34" s="3" t="n">
        <x:v>583</x:v>
      </x:c>
      <x:c r="L34" s="3" t="n">
        <x:v>5825</x:v>
      </x:c>
      <x:c r="M34" s="3" t="n">
        <x:v>2913</x:v>
      </x:c>
      <x:c r="N34" s="3" t="n">
        <x:f>ROUNDUP(Y34/'Parameters'!$C$4,0)</x:f>
        <x:v>3</x:v>
      </x:c>
      <x:c r="O34" s="3" t="n">
        <x:f>ROUNDUP(Z34/'Parameters'!$C$4,0)</x:f>
        <x:v>2</x:v>
      </x:c>
      <x:c r="P34" s="3" t="n">
        <x:v>32</x:v>
      </x:c>
      <x:c r="Q34" s="9" t="n">
        <x:v>24</x:v>
      </x:c>
      <x:c r="R34" s="9" t="n">
        <x:f>H34/'Parameters'!$C$3</x:f>
        <x:v>4.611111111111111</x:v>
      </x:c>
      <x:c r="S34" s="9" t="n">
        <x:f>I34/'Parameters'!$C$3</x:f>
        <x:v>4.611111111111111</x:v>
      </x:c>
      <x:c r="T34" s="9" t="n">
        <x:f>J34/'Parameters'!$C$3</x:f>
        <x:v>2.3055555555555554</x:v>
      </x:c>
      <x:c r="U34" s="9" t="n">
        <x:v>0.853933</x:v>
      </x:c>
      <x:c r="V34" s="9" t="n">
        <x:v>1.103596</x:v>
      </x:c>
      <x:c r="W34" s="3" t="n">
        <x:v>1</x:v>
      </x:c>
      <x:c r="X34" s="3" t="str">
        <x:v>Original R Y files</x:v>
      </x:c>
      <x:c r="Y34" s="3" t="n">
        <x:v>30</x:v>
      </x:c>
      <x:c r="Z34" s="3" t="n">
        <x:v>15</x:v>
      </x:c>
      <x:c r="AA34" s="3" t="n">
        <x:v>2</x:v>
      </x:c>
      <x:c r="AB34" s="3" t="n">
        <x:v>1</x:v>
      </x:c>
      <x:c r="AC34" s="3" t="n">
        <x:v>32</x:v>
      </x:c>
      <x:c r="AD34" s="9" t="n">
        <x:v>24</x:v>
      </x:c>
    </x:row>
    <x:row r="35" ht="21" customHeight="1">
      <x:c r="A35" s="3" t="n">
        <x:v>34</x:v>
      </x:c>
      <x:c r="B35" s="3" t="n">
        <x:v>6</x:v>
      </x:c>
      <x:c r="C35" s="3" t="n">
        <x:v>7</x:v>
      </x:c>
      <x:c r="D35" s="3" t="n">
        <x:v>6</x:v>
      </x:c>
      <x:c r="E35" s="3" t="n">
        <x:v>100</x:v>
      </x:c>
      <x:c r="F35" s="3"/>
      <x:c r="G35" s="3"/>
      <x:c r="H35" s="3" t="n">
        <x:v>613</x:v>
      </x:c>
      <x:c r="I35" s="3" t="n">
        <x:v>613</x:v>
      </x:c>
      <x:c r="J35" s="3" t="n">
        <x:v>613</x:v>
      </x:c>
      <x:c r="K35" s="3" t="n">
        <x:v>601</x:v>
      </x:c>
      <x:c r="L35" s="3" t="n">
        <x:v>6005</x:v>
      </x:c>
      <x:c r="M35" s="3" t="n">
        <x:v>3003</x:v>
      </x:c>
      <x:c r="N35" s="3" t="n">
        <x:f>ROUNDUP(Y35/'Parameters'!$C$4,0)</x:f>
        <x:v>6</x:v>
      </x:c>
      <x:c r="O35" s="3" t="n">
        <x:f>ROUNDUP(Z35/'Parameters'!$C$4,0)</x:f>
        <x:v>5</x:v>
      </x:c>
      <x:c r="P35" s="3" t="n">
        <x:v>100</x:v>
      </x:c>
      <x:c r="Q35" s="9" t="n">
        <x:v>75</x:v>
      </x:c>
      <x:c r="R35" s="9" t="n">
        <x:f>H35/'Parameters'!$C$3</x:f>
        <x:v>17.02777777777778</x:v>
      </x:c>
      <x:c r="S35" s="9" t="n">
        <x:f>I35/'Parameters'!$C$3</x:f>
        <x:v>17.02777777777778</x:v>
      </x:c>
      <x:c r="T35" s="9" t="n">
        <x:f>J35/'Parameters'!$C$3</x:f>
        <x:v>17.02777777777778</x:v>
      </x:c>
      <x:c r="U35" s="9" t="n">
        <x:v>2</x:v>
      </x:c>
      <x:c r="V35" s="9" t="n">
        <x:v>0.973887</x:v>
      </x:c>
      <x:c r="W35" s="3" t="n">
        <x:v>1</x:v>
      </x:c>
      <x:c r="X35" s="3" t="str">
        <x:v>Original R Y files</x:v>
      </x:c>
      <x:c r="Y35" s="3" t="n">
        <x:v>60</x:v>
      </x:c>
      <x:c r="Z35" s="3" t="n">
        <x:v>45</x:v>
      </x:c>
      <x:c r="AA35" s="3" t="n">
        <x:v>4</x:v>
      </x:c>
      <x:c r="AB35" s="3" t="n">
        <x:v>3</x:v>
      </x:c>
      <x:c r="AC35" s="3" t="n">
        <x:v>100</x:v>
      </x:c>
      <x:c r="AD35" s="9" t="n">
        <x:v>75</x:v>
      </x:c>
    </x:row>
    <x:row r="36" ht="21" customHeight="1">
      <x:c r="A36" s="3" t="n">
        <x:v>35</x:v>
      </x:c>
      <x:c r="B36" s="3" t="n">
        <x:v>6</x:v>
      </x:c>
      <x:c r="C36" s="3" t="n">
        <x:v>10</x:v>
      </x:c>
      <x:c r="D36" s="3" t="n">
        <x:v>15</x:v>
      </x:c>
      <x:c r="E36" s="3" t="n">
        <x:v>41</x:v>
      </x:c>
      <x:c r="F36" s="3"/>
      <x:c r="G36" s="3"/>
      <x:c r="H36" s="3" t="n">
        <x:v>146</x:v>
      </x:c>
      <x:c r="I36" s="3" t="n">
        <x:v>146</x:v>
      </x:c>
      <x:c r="J36" s="3" t="n">
        <x:v>73</x:v>
      </x:c>
      <x:c r="K36" s="3" t="n">
        <x:v>307</x:v>
      </x:c>
      <x:c r="L36" s="3" t="n">
        <x:v>3063</x:v>
      </x:c>
      <x:c r="M36" s="3" t="n">
        <x:v>1532</x:v>
      </x:c>
      <x:c r="N36" s="3" t="n">
        <x:f>ROUNDUP(Y36/'Parameters'!$C$4,0)</x:f>
        <x:v>5</x:v>
      </x:c>
      <x:c r="O36" s="3" t="n">
        <x:f>ROUNDUP(Z36/'Parameters'!$C$4,0)</x:f>
        <x:v>3</x:v>
      </x:c>
      <x:c r="P36" s="3" t="n">
        <x:v>41</x:v>
      </x:c>
      <x:c r="Q36" s="9" t="n">
        <x:v>30.75</x:v>
      </x:c>
      <x:c r="R36" s="9" t="n">
        <x:f>H36/'Parameters'!$C$3</x:f>
        <x:v>4.055555555555555</x:v>
      </x:c>
      <x:c r="S36" s="9" t="n">
        <x:f>I36/'Parameters'!$C$3</x:f>
        <x:v>4.055555555555555</x:v>
      </x:c>
      <x:c r="T36" s="9" t="n">
        <x:f>J36/'Parameters'!$C$3</x:f>
        <x:v>2.0277777777777777</x:v>
      </x:c>
      <x:c r="U36" s="9" t="n">
        <x:v>1.005618</x:v>
      </x:c>
      <x:c r="V36" s="9" t="n">
        <x:v>1.009062</x:v>
      </x:c>
      <x:c r="W36" s="3" t="n">
        <x:v>1</x:v>
      </x:c>
      <x:c r="X36" s="3" t="str">
        <x:v>Original R Y files</x:v>
      </x:c>
      <x:c r="Y36" s="3" t="n">
        <x:v>45</x:v>
      </x:c>
      <x:c r="Z36" s="3" t="n">
        <x:v>30</x:v>
      </x:c>
      <x:c r="AA36" s="3" t="n">
        <x:v>3</x:v>
      </x:c>
      <x:c r="AB36" s="3" t="n">
        <x:v>2</x:v>
      </x:c>
      <x:c r="AC36" s="3" t="n">
        <x:v>41</x:v>
      </x:c>
      <x:c r="AD36" s="9" t="n">
        <x:v>30.75</x:v>
      </x:c>
    </x:row>
    <x:row r="37" ht="21" customHeight="1">
      <x:c r="A37" s="3" t="n">
        <x:v>36</x:v>
      </x:c>
      <x:c r="B37" s="3" t="n">
        <x:v>6</x:v>
      </x:c>
      <x:c r="C37" s="3" t="n">
        <x:v>8</x:v>
      </x:c>
      <x:c r="D37" s="3" t="n">
        <x:v>17</x:v>
      </x:c>
      <x:c r="E37" s="3" t="n">
        <x:v>73</x:v>
      </x:c>
      <x:c r="F37" s="3"/>
      <x:c r="G37" s="3"/>
      <x:c r="H37" s="3" t="n">
        <x:v>251</x:v>
      </x:c>
      <x:c r="I37" s="3" t="n">
        <x:v>251</x:v>
      </x:c>
      <x:c r="J37" s="3" t="n">
        <x:v>126</x:v>
      </x:c>
      <x:c r="K37" s="3" t="n">
        <x:v>397</x:v>
      </x:c>
      <x:c r="L37" s="3" t="n">
        <x:v>3964</x:v>
      </x:c>
      <x:c r="M37" s="3" t="n">
        <x:v>1982</x:v>
      </x:c>
      <x:c r="N37" s="3" t="n">
        <x:f>ROUNDUP(Y37/'Parameters'!$C$4,0)</x:f>
        <x:v>6</x:v>
      </x:c>
      <x:c r="O37" s="3" t="n">
        <x:f>ROUNDUP(Z37/'Parameters'!$C$4,0)</x:f>
        <x:v>5</x:v>
      </x:c>
      <x:c r="P37" s="3" t="n">
        <x:v>73</x:v>
      </x:c>
      <x:c r="Q37" s="9" t="n">
        <x:v>54.75</x:v>
      </x:c>
      <x:c r="R37" s="9" t="n">
        <x:f>H37/'Parameters'!$C$3</x:f>
        <x:v>6.972222222222222</x:v>
      </x:c>
      <x:c r="S37" s="9" t="n">
        <x:f>I37/'Parameters'!$C$3</x:f>
        <x:v>6.972222222222222</x:v>
      </x:c>
      <x:c r="T37" s="9" t="n">
        <x:f>J37/'Parameters'!$C$3</x:f>
        <x:v>3.5</x:v>
      </x:c>
      <x:c r="U37" s="9" t="n">
        <x:v>1.544944</x:v>
      </x:c>
      <x:c r="V37" s="9" t="n">
        <x:v>1.132129</x:v>
      </x:c>
      <x:c r="W37" s="3" t="n">
        <x:v>1</x:v>
      </x:c>
      <x:c r="X37" s="3" t="str">
        <x:v>Original R Y files</x:v>
      </x:c>
      <x:c r="Y37" s="3" t="n">
        <x:v>60</x:v>
      </x:c>
      <x:c r="Z37" s="3" t="n">
        <x:v>45</x:v>
      </x:c>
      <x:c r="AA37" s="3" t="n">
        <x:v>4</x:v>
      </x:c>
      <x:c r="AB37" s="3" t="n">
        <x:v>3</x:v>
      </x:c>
      <x:c r="AC37" s="3" t="n">
        <x:v>73</x:v>
      </x:c>
      <x:c r="AD37" s="9" t="n">
        <x:v>54.75</x:v>
      </x:c>
    </x:row>
    <x:row r="38" ht="21" customHeight="1">
      <x:c r="A38" s="3" t="n">
        <x:v>37</x:v>
      </x:c>
      <x:c r="B38" s="3" t="n">
        <x:v>6</x:v>
      </x:c>
      <x:c r="C38" s="3" t="n">
        <x:v>1</x:v>
      </x:c>
      <x:c r="D38" s="3" t="n">
        <x:v>50</x:v>
      </x:c>
      <x:c r="E38" s="3" t="n">
        <x:v>33</x:v>
      </x:c>
      <x:c r="F38" s="3"/>
      <x:c r="G38" s="3"/>
      <x:c r="H38" s="3" t="n">
        <x:v>227</x:v>
      </x:c>
      <x:c r="I38" s="3" t="n">
        <x:v>227</x:v>
      </x:c>
      <x:c r="J38" s="3" t="n">
        <x:v>114</x:v>
      </x:c>
      <x:c r="K38" s="3" t="n">
        <x:v>91</x:v>
      </x:c>
      <x:c r="L38" s="3" t="n">
        <x:v>901</x:v>
      </x:c>
      <x:c r="M38" s="3" t="n">
        <x:v>451</x:v>
      </x:c>
      <x:c r="N38" s="3" t="n">
        <x:f>ROUNDUP(Y38/'Parameters'!$C$4,0)</x:f>
        <x:v>3</x:v>
      </x:c>
      <x:c r="O38" s="3" t="n">
        <x:f>ROUNDUP(Z38/'Parameters'!$C$4,0)</x:f>
        <x:v>2</x:v>
      </x:c>
      <x:c r="P38" s="3" t="n">
        <x:v>33</x:v>
      </x:c>
      <x:c r="Q38" s="9" t="n">
        <x:v>24.75</x:v>
      </x:c>
      <x:c r="R38" s="9" t="n">
        <x:f>H38/'Parameters'!$C$3</x:f>
        <x:v>6.305555555555555</x:v>
      </x:c>
      <x:c r="S38" s="9" t="n">
        <x:f>I38/'Parameters'!$C$3</x:f>
        <x:v>6.305555555555555</x:v>
      </x:c>
      <x:c r="T38" s="9" t="n">
        <x:f>J38/'Parameters'!$C$3</x:f>
        <x:v>3.1666666666666665</x:v>
      </x:c>
      <x:c r="U38" s="9" t="n">
        <x:v>0.870787</x:v>
      </x:c>
      <x:c r="V38" s="9" t="n">
        <x:v>1.020746</x:v>
      </x:c>
      <x:c r="W38" s="3" t="n">
        <x:v>1</x:v>
      </x:c>
      <x:c r="X38" s="3" t="str">
        <x:v>Original R Y files</x:v>
      </x:c>
      <x:c r="Y38" s="3" t="n">
        <x:v>30</x:v>
      </x:c>
      <x:c r="Z38" s="3" t="n">
        <x:v>15</x:v>
      </x:c>
      <x:c r="AA38" s="3" t="n">
        <x:v>2</x:v>
      </x:c>
      <x:c r="AB38" s="3" t="n">
        <x:v>1</x:v>
      </x:c>
      <x:c r="AC38" s="3" t="n">
        <x:v>33</x:v>
      </x:c>
      <x:c r="AD38" s="9" t="n">
        <x:v>24.75</x:v>
      </x:c>
    </x:row>
    <x:row r="39" ht="21" customHeight="1">
      <x:c r="A39" s="3" t="n">
        <x:v>38</x:v>
      </x:c>
      <x:c r="B39" s="3" t="n">
        <x:v>6</x:v>
      </x:c>
      <x:c r="C39" s="3" t="n">
        <x:v>3</x:v>
      </x:c>
      <x:c r="D39" s="3" t="n">
        <x:v>53</x:v>
      </x:c>
      <x:c r="E39" s="3" t="n">
        <x:v>36</x:v>
      </x:c>
      <x:c r="F39" s="3"/>
      <x:c r="G39" s="3"/>
      <x:c r="H39" s="3" t="n">
        <x:v>69</x:v>
      </x:c>
      <x:c r="I39" s="3" t="n">
        <x:v>69</x:v>
      </x:c>
      <x:c r="J39" s="3" t="n">
        <x:v>35</x:v>
      </x:c>
      <x:c r="K39" s="3" t="n">
        <x:v>175</x:v>
      </x:c>
      <x:c r="L39" s="3" t="n">
        <x:v>1742</x:v>
      </x:c>
      <x:c r="M39" s="3" t="n">
        <x:v>871</x:v>
      </x:c>
      <x:c r="N39" s="3" t="n">
        <x:f>ROUNDUP(Y39/'Parameters'!$C$4,0)</x:f>
        <x:v>3</x:v>
      </x:c>
      <x:c r="O39" s="3" t="n">
        <x:f>ROUNDUP(Z39/'Parameters'!$C$4,0)</x:f>
        <x:v>2</x:v>
      </x:c>
      <x:c r="P39" s="3" t="n">
        <x:v>36</x:v>
      </x:c>
      <x:c r="Q39" s="9" t="n">
        <x:v>27</x:v>
      </x:c>
      <x:c r="R39" s="9" t="n">
        <x:f>H39/'Parameters'!$C$3</x:f>
        <x:v>1.9166666666666667</x:v>
      </x:c>
      <x:c r="S39" s="9" t="n">
        <x:f>I39/'Parameters'!$C$3</x:f>
        <x:v>1.9166666666666667</x:v>
      </x:c>
      <x:c r="T39" s="9" t="n">
        <x:f>J39/'Parameters'!$C$3</x:f>
        <x:v>0.9722222222222222</x:v>
      </x:c>
      <x:c r="U39" s="9" t="n">
        <x:v>0.921348</x:v>
      </x:c>
      <x:c r="V39" s="9" t="n">
        <x:v>1.149081</x:v>
      </x:c>
      <x:c r="W39" s="3" t="n">
        <x:v>1</x:v>
      </x:c>
      <x:c r="X39" s="3" t="str">
        <x:v>Original R Y files</x:v>
      </x:c>
      <x:c r="Y39" s="3" t="n">
        <x:v>30</x:v>
      </x:c>
      <x:c r="Z39" s="3" t="n">
        <x:v>15</x:v>
      </x:c>
      <x:c r="AA39" s="3" t="n">
        <x:v>2</x:v>
      </x:c>
      <x:c r="AB39" s="3" t="n">
        <x:v>1</x:v>
      </x:c>
      <x:c r="AC39" s="3" t="n">
        <x:v>36</x:v>
      </x:c>
      <x:c r="AD39" s="9" t="n">
        <x:v>27</x:v>
      </x:c>
    </x:row>
    <x:row r="40" ht="21" customHeight="1">
      <x:c r="A40" s="3" t="n">
        <x:v>39</x:v>
      </x:c>
      <x:c r="B40" s="3" t="n">
        <x:v>7</x:v>
      </x:c>
      <x:c r="C40" s="3" t="n">
        <x:v>8</x:v>
      </x:c>
      <x:c r="D40" s="3" t="n">
        <x:v>7</x:v>
      </x:c>
      <x:c r="E40" s="3" t="n">
        <x:v>100</x:v>
      </x:c>
      <x:c r="F40" s="3"/>
      <x:c r="G40" s="3"/>
      <x:c r="H40" s="3" t="n">
        <x:v>613</x:v>
      </x:c>
      <x:c r="I40" s="3" t="n">
        <x:v>613</x:v>
      </x:c>
      <x:c r="J40" s="3" t="n">
        <x:v>613</x:v>
      </x:c>
      <x:c r="K40" s="3" t="n">
        <x:v>601</x:v>
      </x:c>
      <x:c r="L40" s="3" t="n">
        <x:v>6005</x:v>
      </x:c>
      <x:c r="M40" s="3" t="n">
        <x:v>3003</x:v>
      </x:c>
      <x:c r="N40" s="3" t="n">
        <x:f>ROUNDUP(Y40/'Parameters'!$C$4,0)</x:f>
        <x:v>6</x:v>
      </x:c>
      <x:c r="O40" s="3" t="n">
        <x:f>ROUNDUP(Z40/'Parameters'!$C$4,0)</x:f>
        <x:v>5</x:v>
      </x:c>
      <x:c r="P40" s="3" t="n">
        <x:v>100</x:v>
      </x:c>
      <x:c r="Q40" s="9" t="n">
        <x:v>75</x:v>
      </x:c>
      <x:c r="R40" s="9" t="n">
        <x:f>H40/'Parameters'!$C$3</x:f>
        <x:v>17.02777777777778</x:v>
      </x:c>
      <x:c r="S40" s="9" t="n">
        <x:f>I40/'Parameters'!$C$3</x:f>
        <x:v>17.02777777777778</x:v>
      </x:c>
      <x:c r="T40" s="9" t="n">
        <x:f>J40/'Parameters'!$C$3</x:f>
        <x:v>17.02777777777778</x:v>
      </x:c>
      <x:c r="U40" s="9" t="n">
        <x:v>2</x:v>
      </x:c>
      <x:c r="V40" s="9" t="n">
        <x:v>1.003268</x:v>
      </x:c>
      <x:c r="W40" s="3" t="n">
        <x:v>1</x:v>
      </x:c>
      <x:c r="X40" s="3" t="str">
        <x:v>Original R Y files</x:v>
      </x:c>
      <x:c r="Y40" s="3" t="n">
        <x:v>60</x:v>
      </x:c>
      <x:c r="Z40" s="3" t="n">
        <x:v>45</x:v>
      </x:c>
      <x:c r="AA40" s="3" t="n">
        <x:v>4</x:v>
      </x:c>
      <x:c r="AB40" s="3" t="n">
        <x:v>3</x:v>
      </x:c>
      <x:c r="AC40" s="3" t="n">
        <x:v>100</x:v>
      </x:c>
      <x:c r="AD40" s="9" t="n">
        <x:v>75</x:v>
      </x:c>
    </x:row>
    <x:row r="41" ht="21" customHeight="1">
      <x:c r="A41" s="3" t="n">
        <x:v>40</x:v>
      </x:c>
      <x:c r="B41" s="3" t="n">
        <x:v>7</x:v>
      </x:c>
      <x:c r="C41" s="3" t="n">
        <x:v>1</x:v>
      </x:c>
      <x:c r="D41" s="3" t="n">
        <x:v>12</x:v>
      </x:c>
      <x:c r="E41" s="3" t="n">
        <x:v>96</x:v>
      </x:c>
      <x:c r="F41" s="3"/>
      <x:c r="G41" s="3"/>
      <x:c r="H41" s="3" t="n">
        <x:v>287</x:v>
      </x:c>
      <x:c r="I41" s="3" t="n">
        <x:v>287</x:v>
      </x:c>
      <x:c r="J41" s="3" t="n">
        <x:v>144</x:v>
      </x:c>
      <x:c r="K41" s="3" t="n">
        <x:v>289</x:v>
      </x:c>
      <x:c r="L41" s="3" t="n">
        <x:v>2883</x:v>
      </x:c>
      <x:c r="M41" s="3" t="n">
        <x:v>1442</x:v>
      </x:c>
      <x:c r="N41" s="3" t="n">
        <x:f>ROUNDUP(Y41/'Parameters'!$C$4,0)</x:f>
        <x:v>6</x:v>
      </x:c>
      <x:c r="O41" s="3" t="n">
        <x:f>ROUNDUP(Z41/'Parameters'!$C$4,0)</x:f>
        <x:v>5</x:v>
      </x:c>
      <x:c r="P41" s="3" t="n">
        <x:v>96</x:v>
      </x:c>
      <x:c r="Q41" s="9" t="n">
        <x:v>72</x:v>
      </x:c>
      <x:c r="R41" s="9" t="n">
        <x:f>H41/'Parameters'!$C$3</x:f>
        <x:v>7.972222222222222</x:v>
      </x:c>
      <x:c r="S41" s="9" t="n">
        <x:f>I41/'Parameters'!$C$3</x:f>
        <x:v>7.972222222222222</x:v>
      </x:c>
      <x:c r="T41" s="9" t="n">
        <x:f>J41/'Parameters'!$C$3</x:f>
        <x:v>4</x:v>
      </x:c>
      <x:c r="U41" s="9" t="n">
        <x:v>1.932584</x:v>
      </x:c>
      <x:c r="V41" s="9" t="n">
        <x:v>1.057592</x:v>
      </x:c>
      <x:c r="W41" s="3" t="n">
        <x:v>1</x:v>
      </x:c>
      <x:c r="X41" s="3" t="str">
        <x:v>Original R Y files</x:v>
      </x:c>
      <x:c r="Y41" s="3" t="n">
        <x:v>60</x:v>
      </x:c>
      <x:c r="Z41" s="3" t="n">
        <x:v>45</x:v>
      </x:c>
      <x:c r="AA41" s="3" t="n">
        <x:v>4</x:v>
      </x:c>
      <x:c r="AB41" s="3" t="n">
        <x:v>3</x:v>
      </x:c>
      <x:c r="AC41" s="3" t="n">
        <x:v>96</x:v>
      </x:c>
      <x:c r="AD41" s="9" t="n">
        <x:v>72</x:v>
      </x:c>
    </x:row>
    <x:row r="42" ht="21" customHeight="1">
      <x:c r="A42" s="3" t="n">
        <x:v>41</x:v>
      </x:c>
      <x:c r="B42" s="3" t="n">
        <x:v>7</x:v>
      </x:c>
      <x:c r="C42" s="3" t="n">
        <x:v>9</x:v>
      </x:c>
      <x:c r="D42" s="3" t="n">
        <x:v>23</x:v>
      </x:c>
      <x:c r="E42" s="3" t="n">
        <x:v>22</x:v>
      </x:c>
      <x:c r="F42" s="3"/>
      <x:c r="G42" s="3"/>
      <x:c r="H42" s="3" t="n">
        <x:v>320</x:v>
      </x:c>
      <x:c r="I42" s="3" t="n">
        <x:v>320</x:v>
      </x:c>
      <x:c r="J42" s="3" t="n">
        <x:v>160</x:v>
      </x:c>
      <x:c r="K42" s="3" t="n">
        <x:v>577</x:v>
      </x:c>
      <x:c r="L42" s="3" t="n">
        <x:v>5765</x:v>
      </x:c>
      <x:c r="M42" s="3" t="n">
        <x:v>2883</x:v>
      </x:c>
      <x:c r="N42" s="3" t="n">
        <x:f>ROUNDUP(Y42/'Parameters'!$C$4,0)</x:f>
        <x:v>3</x:v>
      </x:c>
      <x:c r="O42" s="3" t="n">
        <x:f>ROUNDUP(Z42/'Parameters'!$C$4,0)</x:f>
        <x:v>2</x:v>
      </x:c>
      <x:c r="P42" s="3" t="n">
        <x:v>22</x:v>
      </x:c>
      <x:c r="Q42" s="9" t="n">
        <x:v>16.5</x:v>
      </x:c>
      <x:c r="R42" s="9" t="n">
        <x:f>H42/'Parameters'!$C$3</x:f>
        <x:v>8.88888888888889</x:v>
      </x:c>
      <x:c r="S42" s="9" t="n">
        <x:f>I42/'Parameters'!$C$3</x:f>
        <x:v>8.88888888888889</x:v>
      </x:c>
      <x:c r="T42" s="9" t="n">
        <x:f>J42/'Parameters'!$C$3</x:f>
        <x:v>4.444444444444445</x:v>
      </x:c>
      <x:c r="U42" s="9" t="n">
        <x:v>0.685393</x:v>
      </x:c>
      <x:c r="V42" s="9" t="n">
        <x:v>1.14801</x:v>
      </x:c>
      <x:c r="W42" s="3" t="n">
        <x:v>1</x:v>
      </x:c>
      <x:c r="X42" s="3" t="str">
        <x:v>Original R Y files</x:v>
      </x:c>
      <x:c r="Y42" s="3" t="n">
        <x:v>30</x:v>
      </x:c>
      <x:c r="Z42" s="3" t="n">
        <x:v>15</x:v>
      </x:c>
      <x:c r="AA42" s="3" t="n">
        <x:v>2</x:v>
      </x:c>
      <x:c r="AB42" s="3" t="n">
        <x:v>1</x:v>
      </x:c>
      <x:c r="AC42" s="3" t="n">
        <x:v>22</x:v>
      </x:c>
      <x:c r="AD42" s="9" t="n">
        <x:v>16.5</x:v>
      </x:c>
    </x:row>
    <x:row r="43" ht="21" customHeight="1">
      <x:c r="A43" s="3" t="n">
        <x:v>42</x:v>
      </x:c>
      <x:c r="B43" s="3" t="n">
        <x:v>7</x:v>
      </x:c>
      <x:c r="C43" s="3" t="n">
        <x:v>2</x:v>
      </x:c>
      <x:c r="D43" s="3" t="n">
        <x:v>43</x:v>
      </x:c>
      <x:c r="E43" s="3" t="n">
        <x:v>59</x:v>
      </x:c>
      <x:c r="F43" s="3"/>
      <x:c r="G43" s="3"/>
      <x:c r="H43" s="3" t="n">
        <x:v>324</x:v>
      </x:c>
      <x:c r="I43" s="3" t="n">
        <x:v>324</x:v>
      </x:c>
      <x:c r="J43" s="3" t="n">
        <x:v>162</x:v>
      </x:c>
      <x:c r="K43" s="3" t="n">
        <x:v>91</x:v>
      </x:c>
      <x:c r="L43" s="3" t="n">
        <x:v>901</x:v>
      </x:c>
      <x:c r="M43" s="3" t="n">
        <x:v>451</x:v>
      </x:c>
      <x:c r="N43" s="3" t="n">
        <x:f>ROUNDUP(Y43/'Parameters'!$C$4,0)</x:f>
        <x:v>5</x:v>
      </x:c>
      <x:c r="O43" s="3" t="n">
        <x:f>ROUNDUP(Z43/'Parameters'!$C$4,0)</x:f>
        <x:v>3</x:v>
      </x:c>
      <x:c r="P43" s="3" t="n">
        <x:v>59</x:v>
      </x:c>
      <x:c r="Q43" s="9" t="n">
        <x:v>44.25</x:v>
      </x:c>
      <x:c r="R43" s="9" t="n">
        <x:f>H43/'Parameters'!$C$3</x:f>
        <x:v>9</x:v>
      </x:c>
      <x:c r="S43" s="9" t="n">
        <x:f>I43/'Parameters'!$C$3</x:f>
        <x:v>9</x:v>
      </x:c>
      <x:c r="T43" s="9" t="n">
        <x:f>J43/'Parameters'!$C$3</x:f>
        <x:v>4.5</x:v>
      </x:c>
      <x:c r="U43" s="9" t="n">
        <x:v>1.308989</x:v>
      </x:c>
      <x:c r="V43" s="9" t="n">
        <x:v>0.989237</x:v>
      </x:c>
      <x:c r="W43" s="3" t="n">
        <x:v>1</x:v>
      </x:c>
      <x:c r="X43" s="3" t="str">
        <x:v>Original R Y files</x:v>
      </x:c>
      <x:c r="Y43" s="3" t="n">
        <x:v>45</x:v>
      </x:c>
      <x:c r="Z43" s="3" t="n">
        <x:v>30</x:v>
      </x:c>
      <x:c r="AA43" s="3" t="n">
        <x:v>3</x:v>
      </x:c>
      <x:c r="AB43" s="3" t="n">
        <x:v>2</x:v>
      </x:c>
      <x:c r="AC43" s="3" t="n">
        <x:v>59</x:v>
      </x:c>
      <x:c r="AD43" s="9" t="n">
        <x:v>44.25</x:v>
      </x:c>
    </x:row>
    <x:row r="44" ht="21" customHeight="1">
      <x:c r="A44" s="3" t="n">
        <x:v>43</x:v>
      </x:c>
      <x:c r="B44" s="3" t="n">
        <x:v>7</x:v>
      </x:c>
      <x:c r="C44" s="3" t="n">
        <x:v>3</x:v>
      </x:c>
      <x:c r="D44" s="3" t="n">
        <x:v>58</x:v>
      </x:c>
      <x:c r="E44" s="3" t="n">
        <x:v>38</x:v>
      </x:c>
      <x:c r="F44" s="3"/>
      <x:c r="G44" s="3"/>
      <x:c r="H44" s="3" t="n">
        <x:v>275</x:v>
      </x:c>
      <x:c r="I44" s="3" t="n">
        <x:v>275</x:v>
      </x:c>
      <x:c r="J44" s="3" t="n">
        <x:v>138</x:v>
      </x:c>
      <x:c r="K44" s="3" t="n">
        <x:v>361</x:v>
      </x:c>
      <x:c r="L44" s="3" t="n">
        <x:v>3603</x:v>
      </x:c>
      <x:c r="M44" s="3" t="n">
        <x:v>1802</x:v>
      </x:c>
      <x:c r="N44" s="3" t="n">
        <x:f>ROUNDUP(Y44/'Parameters'!$C$4,0)</x:f>
        <x:v>5</x:v>
      </x:c>
      <x:c r="O44" s="3" t="n">
        <x:f>ROUNDUP(Z44/'Parameters'!$C$4,0)</x:f>
        <x:v>3</x:v>
      </x:c>
      <x:c r="P44" s="3" t="n">
        <x:v>38</x:v>
      </x:c>
      <x:c r="Q44" s="9" t="n">
        <x:v>28.5</x:v>
      </x:c>
      <x:c r="R44" s="9" t="n">
        <x:f>H44/'Parameters'!$C$3</x:f>
        <x:v>7.638888888888889</x:v>
      </x:c>
      <x:c r="S44" s="9" t="n">
        <x:f>I44/'Parameters'!$C$3</x:f>
        <x:v>7.638888888888889</x:v>
      </x:c>
      <x:c r="T44" s="9" t="n">
        <x:f>J44/'Parameters'!$C$3</x:f>
        <x:v>3.8333333333333335</x:v>
      </x:c>
      <x:c r="U44" s="9" t="n">
        <x:v>0.955056</x:v>
      </x:c>
      <x:c r="V44" s="9" t="n">
        <x:v>1.050432</x:v>
      </x:c>
      <x:c r="W44" s="3" t="n">
        <x:v>1</x:v>
      </x:c>
      <x:c r="X44" s="3" t="str">
        <x:v>Original R Y files</x:v>
      </x:c>
      <x:c r="Y44" s="3" t="n">
        <x:v>45</x:v>
      </x:c>
      <x:c r="Z44" s="3" t="n">
        <x:v>30</x:v>
      </x:c>
      <x:c r="AA44" s="3" t="n">
        <x:v>3</x:v>
      </x:c>
      <x:c r="AB44" s="3" t="n">
        <x:v>2</x:v>
      </x:c>
      <x:c r="AC44" s="3" t="n">
        <x:v>38</x:v>
      </x:c>
      <x:c r="AD44" s="9" t="n">
        <x:v>28.5</x:v>
      </x:c>
    </x:row>
    <x:row r="45" ht="21" customHeight="1">
      <x:c r="A45" s="3" t="n">
        <x:v>44</x:v>
      </x:c>
      <x:c r="B45" s="3" t="n">
        <x:v>8</x:v>
      </x:c>
      <x:c r="C45" s="3" t="n">
        <x:v>9</x:v>
      </x:c>
      <x:c r="D45" s="3" t="n">
        <x:v>8</x:v>
      </x:c>
      <x:c r="E45" s="3" t="n">
        <x:v>100</x:v>
      </x:c>
      <x:c r="F45" s="3"/>
      <x:c r="G45" s="3"/>
      <x:c r="H45" s="3" t="n">
        <x:v>613</x:v>
      </x:c>
      <x:c r="I45" s="3" t="n">
        <x:v>613</x:v>
      </x:c>
      <x:c r="J45" s="3" t="n">
        <x:v>613</x:v>
      </x:c>
      <x:c r="K45" s="3" t="n">
        <x:v>601</x:v>
      </x:c>
      <x:c r="L45" s="3" t="n">
        <x:v>6005</x:v>
      </x:c>
      <x:c r="M45" s="3" t="n">
        <x:v>3003</x:v>
      </x:c>
      <x:c r="N45" s="3" t="n">
        <x:f>ROUNDUP(Y45/'Parameters'!$C$4,0)</x:f>
        <x:v>6</x:v>
      </x:c>
      <x:c r="O45" s="3" t="n">
        <x:f>ROUNDUP(Z45/'Parameters'!$C$4,0)</x:f>
        <x:v>5</x:v>
      </x:c>
      <x:c r="P45" s="3" t="n">
        <x:v>100</x:v>
      </x:c>
      <x:c r="Q45" s="9" t="n">
        <x:v>75</x:v>
      </x:c>
      <x:c r="R45" s="9" t="n">
        <x:f>H45/'Parameters'!$C$3</x:f>
        <x:v>17.02777777777778</x:v>
      </x:c>
      <x:c r="S45" s="9" t="n">
        <x:f>I45/'Parameters'!$C$3</x:f>
        <x:v>17.02777777777778</x:v>
      </x:c>
      <x:c r="T45" s="9" t="n">
        <x:f>J45/'Parameters'!$C$3</x:f>
        <x:v>17.02777777777778</x:v>
      </x:c>
      <x:c r="U45" s="9" t="n">
        <x:v>2</x:v>
      </x:c>
      <x:c r="V45" s="9" t="n">
        <x:v>0.868101</x:v>
      </x:c>
      <x:c r="W45" s="3" t="n">
        <x:v>1</x:v>
      </x:c>
      <x:c r="X45" s="3" t="str">
        <x:v>Original R Y files</x:v>
      </x:c>
      <x:c r="Y45" s="3" t="n">
        <x:v>60</x:v>
      </x:c>
      <x:c r="Z45" s="3" t="n">
        <x:v>45</x:v>
      </x:c>
      <x:c r="AA45" s="3" t="n">
        <x:v>4</x:v>
      </x:c>
      <x:c r="AB45" s="3" t="n">
        <x:v>3</x:v>
      </x:c>
      <x:c r="AC45" s="3" t="n">
        <x:v>100</x:v>
      </x:c>
      <x:c r="AD45" s="9" t="n">
        <x:v>75</x:v>
      </x:c>
    </x:row>
    <x:row r="46" ht="21" customHeight="1">
      <x:c r="A46" s="3" t="n">
        <x:v>45</x:v>
      </x:c>
      <x:c r="B46" s="3" t="n">
        <x:v>8</x:v>
      </x:c>
      <x:c r="C46" s="3" t="n">
        <x:v>3</x:v>
      </x:c>
      <x:c r="D46" s="3" t="n">
        <x:v>19</x:v>
      </x:c>
      <x:c r="E46" s="3" t="n">
        <x:v>41</x:v>
      </x:c>
      <x:c r="F46" s="3"/>
      <x:c r="G46" s="3"/>
      <x:c r="H46" s="3" t="n">
        <x:v>194</x:v>
      </x:c>
      <x:c r="I46" s="3" t="n">
        <x:v>194</x:v>
      </x:c>
      <x:c r="J46" s="3" t="n">
        <x:v>97</x:v>
      </x:c>
      <x:c r="K46" s="3" t="n">
        <x:v>343</x:v>
      </x:c>
      <x:c r="L46" s="3" t="n">
        <x:v>3423</x:v>
      </x:c>
      <x:c r="M46" s="3" t="n">
        <x:v>1712</x:v>
      </x:c>
      <x:c r="N46" s="3" t="n">
        <x:f>ROUNDUP(Y46/'Parameters'!$C$4,0)</x:f>
        <x:v>5</x:v>
      </x:c>
      <x:c r="O46" s="3" t="n">
        <x:f>ROUNDUP(Z46/'Parameters'!$C$4,0)</x:f>
        <x:v>3</x:v>
      </x:c>
      <x:c r="P46" s="3" t="n">
        <x:v>41</x:v>
      </x:c>
      <x:c r="Q46" s="9" t="n">
        <x:v>30.75</x:v>
      </x:c>
      <x:c r="R46" s="9" t="n">
        <x:f>H46/'Parameters'!$C$3</x:f>
        <x:v>5.388888888888889</x:v>
      </x:c>
      <x:c r="S46" s="9" t="n">
        <x:f>I46/'Parameters'!$C$3</x:f>
        <x:v>5.388888888888889</x:v>
      </x:c>
      <x:c r="T46" s="9" t="n">
        <x:f>J46/'Parameters'!$C$3</x:f>
        <x:v>2.6944444444444446</x:v>
      </x:c>
      <x:c r="U46" s="9" t="n">
        <x:v>1.005618</x:v>
      </x:c>
      <x:c r="V46" s="9" t="n">
        <x:v>0.944958</x:v>
      </x:c>
      <x:c r="W46" s="3" t="n">
        <x:v>1</x:v>
      </x:c>
      <x:c r="X46" s="3" t="str">
        <x:v>Original R Y files</x:v>
      </x:c>
      <x:c r="Y46" s="3" t="n">
        <x:v>45</x:v>
      </x:c>
      <x:c r="Z46" s="3" t="n">
        <x:v>30</x:v>
      </x:c>
      <x:c r="AA46" s="3" t="n">
        <x:v>3</x:v>
      </x:c>
      <x:c r="AB46" s="3" t="n">
        <x:v>2</x:v>
      </x:c>
      <x:c r="AC46" s="3" t="n">
        <x:v>41</x:v>
      </x:c>
      <x:c r="AD46" s="9" t="n">
        <x:v>30.75</x:v>
      </x:c>
    </x:row>
    <x:row r="47" ht="21" customHeight="1">
      <x:c r="A47" s="3" t="n">
        <x:v>46</x:v>
      </x:c>
      <x:c r="B47" s="3" t="n">
        <x:v>8</x:v>
      </x:c>
      <x:c r="C47" s="3" t="n">
        <x:v>7</x:v>
      </x:c>
      <x:c r="D47" s="3" t="n">
        <x:v>33</x:v>
      </x:c>
      <x:c r="E47" s="3" t="n">
        <x:v>78</x:v>
      </x:c>
      <x:c r="F47" s="3"/>
      <x:c r="G47" s="3"/>
      <x:c r="H47" s="3" t="n">
        <x:v>194</x:v>
      </x:c>
      <x:c r="I47" s="3" t="n">
        <x:v>194</x:v>
      </x:c>
      <x:c r="J47" s="3" t="n">
        <x:v>97</x:v>
      </x:c>
      <x:c r="K47" s="3" t="n">
        <x:v>361</x:v>
      </x:c>
      <x:c r="L47" s="3" t="n">
        <x:v>3603</x:v>
      </x:c>
      <x:c r="M47" s="3" t="n">
        <x:v>1802</x:v>
      </x:c>
      <x:c r="N47" s="3" t="n">
        <x:f>ROUNDUP(Y47/'Parameters'!$C$4,0)</x:f>
        <x:v>6</x:v>
      </x:c>
      <x:c r="O47" s="3" t="n">
        <x:f>ROUNDUP(Z47/'Parameters'!$C$4,0)</x:f>
        <x:v>5</x:v>
      </x:c>
      <x:c r="P47" s="3" t="n">
        <x:v>78</x:v>
      </x:c>
      <x:c r="Q47" s="9" t="n">
        <x:v>58.5</x:v>
      </x:c>
      <x:c r="R47" s="9" t="n">
        <x:f>H47/'Parameters'!$C$3</x:f>
        <x:v>5.388888888888889</x:v>
      </x:c>
      <x:c r="S47" s="9" t="n">
        <x:f>I47/'Parameters'!$C$3</x:f>
        <x:v>5.388888888888889</x:v>
      </x:c>
      <x:c r="T47" s="9" t="n">
        <x:f>J47/'Parameters'!$C$3</x:f>
        <x:v>2.6944444444444446</x:v>
      </x:c>
      <x:c r="U47" s="9" t="n">
        <x:v>1.629213</x:v>
      </x:c>
      <x:c r="V47" s="9" t="n">
        <x:v>0.866232</x:v>
      </x:c>
      <x:c r="W47" s="3" t="n">
        <x:v>1</x:v>
      </x:c>
      <x:c r="X47" s="3" t="str">
        <x:v>Original R Y files</x:v>
      </x:c>
      <x:c r="Y47" s="3" t="n">
        <x:v>60</x:v>
      </x:c>
      <x:c r="Z47" s="3" t="n">
        <x:v>45</x:v>
      </x:c>
      <x:c r="AA47" s="3" t="n">
        <x:v>4</x:v>
      </x:c>
      <x:c r="AB47" s="3" t="n">
        <x:v>3</x:v>
      </x:c>
      <x:c r="AC47" s="3" t="n">
        <x:v>78</x:v>
      </x:c>
      <x:c r="AD47" s="9" t="n">
        <x:v>58.5</x:v>
      </x:c>
    </x:row>
    <x:row r="48" ht="21" customHeight="1">
      <x:c r="A48" s="3" t="n">
        <x:v>47</x:v>
      </x:c>
      <x:c r="B48" s="3" t="n">
        <x:v>8</x:v>
      </x:c>
      <x:c r="C48" s="3" t="n">
        <x:v>2</x:v>
      </x:c>
      <x:c r="D48" s="3" t="n">
        <x:v>34</x:v>
      </x:c>
      <x:c r="E48" s="3" t="n">
        <x:v>30</x:v>
      </x:c>
      <x:c r="F48" s="3"/>
      <x:c r="G48" s="3"/>
      <x:c r="H48" s="3" t="n">
        <x:v>291</x:v>
      </x:c>
      <x:c r="I48" s="3" t="n">
        <x:v>291</x:v>
      </x:c>
      <x:c r="J48" s="3" t="n">
        <x:v>146</x:v>
      </x:c>
      <x:c r="K48" s="3" t="n">
        <x:v>259</x:v>
      </x:c>
      <x:c r="L48" s="3" t="n">
        <x:v>2582</x:v>
      </x:c>
      <x:c r="M48" s="3" t="n">
        <x:v>1291</x:v>
      </x:c>
      <x:c r="N48" s="3" t="n">
        <x:f>ROUNDUP(Y48/'Parameters'!$C$4,0)</x:f>
        <x:v>3</x:v>
      </x:c>
      <x:c r="O48" s="3" t="n">
        <x:f>ROUNDUP(Z48/'Parameters'!$C$4,0)</x:f>
        <x:v>2</x:v>
      </x:c>
      <x:c r="P48" s="3" t="n">
        <x:v>30</x:v>
      </x:c>
      <x:c r="Q48" s="9" t="n">
        <x:v>22.5</x:v>
      </x:c>
      <x:c r="R48" s="9" t="n">
        <x:f>H48/'Parameters'!$C$3</x:f>
        <x:v>8.083333333333334</x:v>
      </x:c>
      <x:c r="S48" s="9" t="n">
        <x:f>I48/'Parameters'!$C$3</x:f>
        <x:v>8.083333333333334</x:v>
      </x:c>
      <x:c r="T48" s="9" t="n">
        <x:f>J48/'Parameters'!$C$3</x:f>
        <x:v>4.055555555555555</x:v>
      </x:c>
      <x:c r="U48" s="9" t="n">
        <x:v>0.820225</x:v>
      </x:c>
      <x:c r="V48" s="9" t="n">
        <x:v>1.135644</x:v>
      </x:c>
      <x:c r="W48" s="3" t="n">
        <x:v>1</x:v>
      </x:c>
      <x:c r="X48" s="3" t="str">
        <x:v>Original R Y files</x:v>
      </x:c>
      <x:c r="Y48" s="3" t="n">
        <x:v>30</x:v>
      </x:c>
      <x:c r="Z48" s="3" t="n">
        <x:v>15</x:v>
      </x:c>
      <x:c r="AA48" s="3" t="n">
        <x:v>2</x:v>
      </x:c>
      <x:c r="AB48" s="3" t="n">
        <x:v>1</x:v>
      </x:c>
      <x:c r="AC48" s="3" t="n">
        <x:v>30</x:v>
      </x:c>
      <x:c r="AD48" s="9" t="n">
        <x:v>22.5</x:v>
      </x:c>
    </x:row>
    <x:row r="49" ht="21" customHeight="1">
      <x:c r="A49" s="3" t="n">
        <x:v>48</x:v>
      </x:c>
      <x:c r="B49" s="3" t="n">
        <x:v>8</x:v>
      </x:c>
      <x:c r="C49" s="3" t="n">
        <x:v>6</x:v>
      </x:c>
      <x:c r="D49" s="3" t="n">
        <x:v>36</x:v>
      </x:c>
      <x:c r="E49" s="3" t="n">
        <x:v>42</x:v>
      </x:c>
      <x:c r="F49" s="3"/>
      <x:c r="G49" s="3"/>
      <x:c r="H49" s="3" t="n">
        <x:v>380</x:v>
      </x:c>
      <x:c r="I49" s="3" t="n">
        <x:v>380</x:v>
      </x:c>
      <x:c r="J49" s="3" t="n">
        <x:v>190</x:v>
      </x:c>
      <x:c r="K49" s="3" t="n">
        <x:v>343</x:v>
      </x:c>
      <x:c r="L49" s="3" t="n">
        <x:v>3423</x:v>
      </x:c>
      <x:c r="M49" s="3" t="n">
        <x:v>1712</x:v>
      </x:c>
      <x:c r="N49" s="3" t="n">
        <x:f>ROUNDUP(Y49/'Parameters'!$C$4,0)</x:f>
        <x:v>5</x:v>
      </x:c>
      <x:c r="O49" s="3" t="n">
        <x:f>ROUNDUP(Z49/'Parameters'!$C$4,0)</x:f>
        <x:v>3</x:v>
      </x:c>
      <x:c r="P49" s="3" t="n">
        <x:v>42</x:v>
      </x:c>
      <x:c r="Q49" s="9" t="n">
        <x:v>31.5</x:v>
      </x:c>
      <x:c r="R49" s="9" t="n">
        <x:f>H49/'Parameters'!$C$3</x:f>
        <x:v>10.555555555555555</x:v>
      </x:c>
      <x:c r="S49" s="9" t="n">
        <x:f>I49/'Parameters'!$C$3</x:f>
        <x:v>10.555555555555555</x:v>
      </x:c>
      <x:c r="T49" s="9" t="n">
        <x:f>J49/'Parameters'!$C$3</x:f>
        <x:v>5.277777777777778</x:v>
      </x:c>
      <x:c r="U49" s="9" t="n">
        <x:v>1.022472</x:v>
      </x:c>
      <x:c r="V49" s="9" t="n">
        <x:v>0.850778</x:v>
      </x:c>
      <x:c r="W49" s="3" t="n">
        <x:v>1</x:v>
      </x:c>
      <x:c r="X49" s="3" t="str">
        <x:v>Original R Y files</x:v>
      </x:c>
      <x:c r="Y49" s="3" t="n">
        <x:v>45</x:v>
      </x:c>
      <x:c r="Z49" s="3" t="n">
        <x:v>30</x:v>
      </x:c>
      <x:c r="AA49" s="3" t="n">
        <x:v>3</x:v>
      </x:c>
      <x:c r="AB49" s="3" t="n">
        <x:v>2</x:v>
      </x:c>
      <x:c r="AC49" s="3" t="n">
        <x:v>42</x:v>
      </x:c>
      <x:c r="AD49" s="9" t="n">
        <x:v>31.5</x:v>
      </x:c>
    </x:row>
    <x:row r="50" ht="21" customHeight="1">
      <x:c r="A50" s="3" t="n">
        <x:v>49</x:v>
      </x:c>
      <x:c r="B50" s="3" t="n">
        <x:v>8</x:v>
      </x:c>
      <x:c r="C50" s="3" t="n">
        <x:v>4</x:v>
      </x:c>
      <x:c r="D50" s="3" t="n">
        <x:v>38</x:v>
      </x:c>
      <x:c r="E50" s="3" t="n">
        <x:v>63</x:v>
      </x:c>
      <x:c r="F50" s="3"/>
      <x:c r="G50" s="3"/>
      <x:c r="H50" s="3" t="n">
        <x:v>57</x:v>
      </x:c>
      <x:c r="I50" s="3" t="n">
        <x:v>57</x:v>
      </x:c>
      <x:c r="J50" s="3" t="n">
        <x:v>29</x:v>
      </x:c>
      <x:c r="K50" s="3" t="n">
        <x:v>229</x:v>
      </x:c>
      <x:c r="L50" s="3" t="n">
        <x:v>2282</x:v>
      </x:c>
      <x:c r="M50" s="3" t="n">
        <x:v>1141</x:v>
      </x:c>
      <x:c r="N50" s="3" t="n">
        <x:f>ROUNDUP(Y50/'Parameters'!$C$4,0)</x:f>
        <x:v>5</x:v>
      </x:c>
      <x:c r="O50" s="3" t="n">
        <x:f>ROUNDUP(Z50/'Parameters'!$C$4,0)</x:f>
        <x:v>3</x:v>
      </x:c>
      <x:c r="P50" s="3" t="n">
        <x:v>63</x:v>
      </x:c>
      <x:c r="Q50" s="9" t="n">
        <x:v>47.25</x:v>
      </x:c>
      <x:c r="R50" s="9" t="n">
        <x:f>H50/'Parameters'!$C$3</x:f>
        <x:v>1.5833333333333333</x:v>
      </x:c>
      <x:c r="S50" s="9" t="n">
        <x:f>I50/'Parameters'!$C$3</x:f>
        <x:v>1.5833333333333333</x:v>
      </x:c>
      <x:c r="T50" s="9" t="n">
        <x:f>J50/'Parameters'!$C$3</x:f>
        <x:v>0.8055555555555556</x:v>
      </x:c>
      <x:c r="U50" s="9" t="n">
        <x:v>1.376404</x:v>
      </x:c>
      <x:c r="V50" s="9" t="n">
        <x:v>0.904949</x:v>
      </x:c>
      <x:c r="W50" s="3" t="n">
        <x:v>1</x:v>
      </x:c>
      <x:c r="X50" s="3" t="str">
        <x:v>Original R Y files</x:v>
      </x:c>
      <x:c r="Y50" s="3" t="n">
        <x:v>45</x:v>
      </x:c>
      <x:c r="Z50" s="3" t="n">
        <x:v>30</x:v>
      </x:c>
      <x:c r="AA50" s="3" t="n">
        <x:v>3</x:v>
      </x:c>
      <x:c r="AB50" s="3" t="n">
        <x:v>2</x:v>
      </x:c>
      <x:c r="AC50" s="3" t="n">
        <x:v>63</x:v>
      </x:c>
      <x:c r="AD50" s="9" t="n">
        <x:v>47.25</x:v>
      </x:c>
    </x:row>
    <x:row r="51" ht="21" customHeight="1">
      <x:c r="A51" s="3" t="n">
        <x:v>50</x:v>
      </x:c>
      <x:c r="B51" s="3" t="n">
        <x:v>8</x:v>
      </x:c>
      <x:c r="C51" s="3" t="n">
        <x:v>5</x:v>
      </x:c>
      <x:c r="D51" s="3" t="n">
        <x:v>44</x:v>
      </x:c>
      <x:c r="E51" s="3" t="n">
        <x:v>54</x:v>
      </x:c>
      <x:c r="F51" s="3"/>
      <x:c r="G51" s="3"/>
      <x:c r="H51" s="3" t="n">
        <x:v>388</x:v>
      </x:c>
      <x:c r="I51" s="3" t="n">
        <x:v>388</x:v>
      </x:c>
      <x:c r="J51" s="3" t="n">
        <x:v>194</x:v>
      </x:c>
      <x:c r="K51" s="3" t="n">
        <x:v>289</x:v>
      </x:c>
      <x:c r="L51" s="3" t="n">
        <x:v>2883</x:v>
      </x:c>
      <x:c r="M51" s="3" t="n">
        <x:v>1442</x:v>
      </x:c>
      <x:c r="N51" s="3" t="n">
        <x:f>ROUNDUP(Y51/'Parameters'!$C$4,0)</x:f>
        <x:v>5</x:v>
      </x:c>
      <x:c r="O51" s="3" t="n">
        <x:f>ROUNDUP(Z51/'Parameters'!$C$4,0)</x:f>
        <x:v>3</x:v>
      </x:c>
      <x:c r="P51" s="3" t="n">
        <x:v>54</x:v>
      </x:c>
      <x:c r="Q51" s="9" t="n">
        <x:v>40.5</x:v>
      </x:c>
      <x:c r="R51" s="9" t="n">
        <x:f>H51/'Parameters'!$C$3</x:f>
        <x:v>10.777777777777779</x:v>
      </x:c>
      <x:c r="S51" s="9" t="n">
        <x:f>I51/'Parameters'!$C$3</x:f>
        <x:v>10.777777777777779</x:v>
      </x:c>
      <x:c r="T51" s="9" t="n">
        <x:f>J51/'Parameters'!$C$3</x:f>
        <x:v>5.388888888888889</x:v>
      </x:c>
      <x:c r="U51" s="9" t="n">
        <x:v>1.224719</x:v>
      </x:c>
      <x:c r="V51" s="9" t="n">
        <x:v>0.990416</x:v>
      </x:c>
      <x:c r="W51" s="3" t="n">
        <x:v>1</x:v>
      </x:c>
      <x:c r="X51" s="3" t="str">
        <x:v>Original R Y files</x:v>
      </x:c>
      <x:c r="Y51" s="3" t="n">
        <x:v>45</x:v>
      </x:c>
      <x:c r="Z51" s="3" t="n">
        <x:v>30</x:v>
      </x:c>
      <x:c r="AA51" s="3" t="n">
        <x:v>3</x:v>
      </x:c>
      <x:c r="AB51" s="3" t="n">
        <x:v>2</x:v>
      </x:c>
      <x:c r="AC51" s="3" t="n">
        <x:v>54</x:v>
      </x:c>
      <x:c r="AD51" s="9" t="n">
        <x:v>40.5</x:v>
      </x:c>
    </x:row>
    <x:row r="52" ht="21" customHeight="1">
      <x:c r="A52" s="3" t="n">
        <x:v>51</x:v>
      </x:c>
      <x:c r="B52" s="3" t="n">
        <x:v>8</x:v>
      </x:c>
      <x:c r="C52" s="3" t="n">
        <x:v>1</x:v>
      </x:c>
      <x:c r="D52" s="3" t="n">
        <x:v>46</x:v>
      </x:c>
      <x:c r="E52" s="3" t="n">
        <x:v>97</x:v>
      </x:c>
      <x:c r="F52" s="3"/>
      <x:c r="G52" s="3"/>
      <x:c r="H52" s="3" t="n">
        <x:v>320</x:v>
      </x:c>
      <x:c r="I52" s="3" t="n">
        <x:v>320</x:v>
      </x:c>
      <x:c r="J52" s="3" t="n">
        <x:v>160</x:v>
      </x:c>
      <x:c r="K52" s="3" t="n">
        <x:v>247</x:v>
      </x:c>
      <x:c r="L52" s="3" t="n">
        <x:v>2462</x:v>
      </x:c>
      <x:c r="M52" s="3" t="n">
        <x:v>1231</x:v>
      </x:c>
      <x:c r="N52" s="3" t="n">
        <x:f>ROUNDUP(Y52/'Parameters'!$C$4,0)</x:f>
        <x:v>6</x:v>
      </x:c>
      <x:c r="O52" s="3" t="n">
        <x:f>ROUNDUP(Z52/'Parameters'!$C$4,0)</x:f>
        <x:v>5</x:v>
      </x:c>
      <x:c r="P52" s="3" t="n">
        <x:v>97</x:v>
      </x:c>
      <x:c r="Q52" s="9" t="n">
        <x:v>72.75</x:v>
      </x:c>
      <x:c r="R52" s="9" t="n">
        <x:f>H52/'Parameters'!$C$3</x:f>
        <x:v>8.88888888888889</x:v>
      </x:c>
      <x:c r="S52" s="9" t="n">
        <x:f>I52/'Parameters'!$C$3</x:f>
        <x:v>8.88888888888889</x:v>
      </x:c>
      <x:c r="T52" s="9" t="n">
        <x:f>J52/'Parameters'!$C$3</x:f>
        <x:v>4.444444444444445</x:v>
      </x:c>
      <x:c r="U52" s="9" t="n">
        <x:v>1.949438</x:v>
      </x:c>
      <x:c r="V52" s="9" t="n">
        <x:v>1.039066</x:v>
      </x:c>
      <x:c r="W52" s="3" t="n">
        <x:v>1</x:v>
      </x:c>
      <x:c r="X52" s="3" t="str">
        <x:v>Original R Y files</x:v>
      </x:c>
      <x:c r="Y52" s="3" t="n">
        <x:v>60</x:v>
      </x:c>
      <x:c r="Z52" s="3" t="n">
        <x:v>45</x:v>
      </x:c>
      <x:c r="AA52" s="3" t="n">
        <x:v>4</x:v>
      </x:c>
      <x:c r="AB52" s="3" t="n">
        <x:v>3</x:v>
      </x:c>
      <x:c r="AC52" s="3" t="n">
        <x:v>97</x:v>
      </x:c>
      <x:c r="AD52" s="9" t="n">
        <x:v>72.75</x:v>
      </x:c>
    </x:row>
    <x:row r="53" ht="21" customHeight="1">
      <x:c r="A53" s="3" t="n">
        <x:v>52</x:v>
      </x:c>
      <x:c r="B53" s="3" t="n">
        <x:v>9</x:v>
      </x:c>
      <x:c r="C53" s="3" t="n">
        <x:v>10</x:v>
      </x:c>
      <x:c r="D53" s="3" t="n">
        <x:v>9</x:v>
      </x:c>
      <x:c r="E53" s="3" t="n">
        <x:v>100</x:v>
      </x:c>
      <x:c r="F53" s="3"/>
      <x:c r="G53" s="3"/>
      <x:c r="H53" s="3" t="n">
        <x:v>613</x:v>
      </x:c>
      <x:c r="I53" s="3" t="n">
        <x:v>613</x:v>
      </x:c>
      <x:c r="J53" s="3" t="n">
        <x:v>613</x:v>
      </x:c>
      <x:c r="K53" s="3" t="n">
        <x:v>601</x:v>
      </x:c>
      <x:c r="L53" s="3" t="n">
        <x:v>6005</x:v>
      </x:c>
      <x:c r="M53" s="3" t="n">
        <x:v>3003</x:v>
      </x:c>
      <x:c r="N53" s="3" t="n">
        <x:f>ROUNDUP(Y53/'Parameters'!$C$4,0)</x:f>
        <x:v>6</x:v>
      </x:c>
      <x:c r="O53" s="3" t="n">
        <x:f>ROUNDUP(Z53/'Parameters'!$C$4,0)</x:f>
        <x:v>5</x:v>
      </x:c>
      <x:c r="P53" s="3" t="n">
        <x:v>100</x:v>
      </x:c>
      <x:c r="Q53" s="9" t="n">
        <x:v>75</x:v>
      </x:c>
      <x:c r="R53" s="9" t="n">
        <x:f>H53/'Parameters'!$C$3</x:f>
        <x:v>17.02777777777778</x:v>
      </x:c>
      <x:c r="S53" s="9" t="n">
        <x:f>I53/'Parameters'!$C$3</x:f>
        <x:v>17.02777777777778</x:v>
      </x:c>
      <x:c r="T53" s="9" t="n">
        <x:f>J53/'Parameters'!$C$3</x:f>
        <x:v>17.02777777777778</x:v>
      </x:c>
      <x:c r="U53" s="9" t="n">
        <x:v>2</x:v>
      </x:c>
      <x:c r="V53" s="9" t="n">
        <x:v>0.954096</x:v>
      </x:c>
      <x:c r="W53" s="3" t="n">
        <x:v>1</x:v>
      </x:c>
      <x:c r="X53" s="3" t="str">
        <x:v>Original R Y files</x:v>
      </x:c>
      <x:c r="Y53" s="3" t="n">
        <x:v>60</x:v>
      </x:c>
      <x:c r="Z53" s="3" t="n">
        <x:v>45</x:v>
      </x:c>
      <x:c r="AA53" s="3" t="n">
        <x:v>4</x:v>
      </x:c>
      <x:c r="AB53" s="3" t="n">
        <x:v>3</x:v>
      </x:c>
      <x:c r="AC53" s="3" t="n">
        <x:v>100</x:v>
      </x:c>
      <x:c r="AD53" s="9" t="n">
        <x:v>75</x:v>
      </x:c>
    </x:row>
    <x:row r="54" ht="21" customHeight="1">
      <x:c r="A54" s="3" t="n">
        <x:v>53</x:v>
      </x:c>
      <x:c r="B54" s="3" t="n">
        <x:v>9</x:v>
      </x:c>
      <x:c r="C54" s="3" t="n">
        <x:v>6</x:v>
      </x:c>
      <x:c r="D54" s="3" t="n">
        <x:v>22</x:v>
      </x:c>
      <x:c r="E54" s="3" t="n">
        <x:v>50</x:v>
      </x:c>
      <x:c r="F54" s="3"/>
      <x:c r="G54" s="3"/>
      <x:c r="H54" s="3" t="n">
        <x:v>348</x:v>
      </x:c>
      <x:c r="I54" s="3" t="n">
        <x:v>348</x:v>
      </x:c>
      <x:c r="J54" s="3" t="n">
        <x:v>174</x:v>
      </x:c>
      <x:c r="K54" s="3" t="n">
        <x:v>301</x:v>
      </x:c>
      <x:c r="L54" s="3" t="n">
        <x:v>3003</x:v>
      </x:c>
      <x:c r="M54" s="3" t="n">
        <x:v>1502</x:v>
      </x:c>
      <x:c r="N54" s="3" t="n">
        <x:f>ROUNDUP(Y54/'Parameters'!$C$4,0)</x:f>
        <x:v>5</x:v>
      </x:c>
      <x:c r="O54" s="3" t="n">
        <x:f>ROUNDUP(Z54/'Parameters'!$C$4,0)</x:f>
        <x:v>3</x:v>
      </x:c>
      <x:c r="P54" s="3" t="n">
        <x:v>50</x:v>
      </x:c>
      <x:c r="Q54" s="9" t="n">
        <x:v>37.5</x:v>
      </x:c>
      <x:c r="R54" s="9" t="n">
        <x:f>H54/'Parameters'!$C$3</x:f>
        <x:v>9.666666666666666</x:v>
      </x:c>
      <x:c r="S54" s="9" t="n">
        <x:f>I54/'Parameters'!$C$3</x:f>
        <x:v>9.666666666666666</x:v>
      </x:c>
      <x:c r="T54" s="9" t="n">
        <x:f>J54/'Parameters'!$C$3</x:f>
        <x:v>4.833333333333333</x:v>
      </x:c>
      <x:c r="U54" s="9" t="n">
        <x:v>1.157303</x:v>
      </x:c>
      <x:c r="V54" s="9" t="n">
        <x:v>1.125574</x:v>
      </x:c>
      <x:c r="W54" s="3" t="n">
        <x:v>1</x:v>
      </x:c>
      <x:c r="X54" s="3" t="str">
        <x:v>Original R Y files</x:v>
      </x:c>
      <x:c r="Y54" s="3" t="n">
        <x:v>45</x:v>
      </x:c>
      <x:c r="Z54" s="3" t="n">
        <x:v>30</x:v>
      </x:c>
      <x:c r="AA54" s="3" t="n">
        <x:v>3</x:v>
      </x:c>
      <x:c r="AB54" s="3" t="n">
        <x:v>2</x:v>
      </x:c>
      <x:c r="AC54" s="3" t="n">
        <x:v>50</x:v>
      </x:c>
      <x:c r="AD54" s="9" t="n">
        <x:v>37.5</x:v>
      </x:c>
    </x:row>
    <x:row r="55" ht="21" customHeight="1">
      <x:c r="A55" s="3" t="n">
        <x:v>54</x:v>
      </x:c>
      <x:c r="B55" s="3" t="n">
        <x:v>9</x:v>
      </x:c>
      <x:c r="C55" s="3" t="n">
        <x:v>2</x:v>
      </x:c>
      <x:c r="D55" s="3" t="n">
        <x:v>37</x:v>
      </x:c>
      <x:c r="E55" s="3" t="n">
        <x:v>35</x:v>
      </x:c>
      <x:c r="F55" s="3"/>
      <x:c r="G55" s="3"/>
      <x:c r="H55" s="3" t="n">
        <x:v>356</x:v>
      </x:c>
      <x:c r="I55" s="3" t="n">
        <x:v>356</x:v>
      </x:c>
      <x:c r="J55" s="3" t="n">
        <x:v>178</x:v>
      </x:c>
      <x:c r="K55" s="3" t="n">
        <x:v>493</x:v>
      </x:c>
      <x:c r="L55" s="3" t="n">
        <x:v>4924</x:v>
      </x:c>
      <x:c r="M55" s="3" t="n">
        <x:v>2462</x:v>
      </x:c>
      <x:c r="N55" s="3" t="n">
        <x:f>ROUNDUP(Y55/'Parameters'!$C$4,0)</x:f>
        <x:v>3</x:v>
      </x:c>
      <x:c r="O55" s="3" t="n">
        <x:f>ROUNDUP(Z55/'Parameters'!$C$4,0)</x:f>
        <x:v>2</x:v>
      </x:c>
      <x:c r="P55" s="3" t="n">
        <x:v>35</x:v>
      </x:c>
      <x:c r="Q55" s="9" t="n">
        <x:v>26.25</x:v>
      </x:c>
      <x:c r="R55" s="9" t="n">
        <x:f>H55/'Parameters'!$C$3</x:f>
        <x:v>9.88888888888889</x:v>
      </x:c>
      <x:c r="S55" s="9" t="n">
        <x:f>I55/'Parameters'!$C$3</x:f>
        <x:v>9.88888888888889</x:v>
      </x:c>
      <x:c r="T55" s="9" t="n">
        <x:f>J55/'Parameters'!$C$3</x:f>
        <x:v>4.944444444444445</x:v>
      </x:c>
      <x:c r="U55" s="9" t="n">
        <x:v>0.904494</x:v>
      </x:c>
      <x:c r="V55" s="9" t="n">
        <x:v>0.854534</x:v>
      </x:c>
      <x:c r="W55" s="3" t="n">
        <x:v>1</x:v>
      </x:c>
      <x:c r="X55" s="3" t="str">
        <x:v>Original R Y files</x:v>
      </x:c>
      <x:c r="Y55" s="3" t="n">
        <x:v>30</x:v>
      </x:c>
      <x:c r="Z55" s="3" t="n">
        <x:v>15</x:v>
      </x:c>
      <x:c r="AA55" s="3" t="n">
        <x:v>2</x:v>
      </x:c>
      <x:c r="AB55" s="3" t="n">
        <x:v>1</x:v>
      </x:c>
      <x:c r="AC55" s="3" t="n">
        <x:v>35</x:v>
      </x:c>
      <x:c r="AD55" s="9" t="n">
        <x:v>26.25</x:v>
      </x:c>
    </x:row>
    <x:row r="56" ht="21" customHeight="1">
      <x:c r="A56" s="3" t="n">
        <x:v>55</x:v>
      </x:c>
      <x:c r="B56" s="3" t="n">
        <x:v>9</x:v>
      </x:c>
      <x:c r="C56" s="3" t="n">
        <x:v>7</x:v>
      </x:c>
      <x:c r="D56" s="3" t="n">
        <x:v>49</x:v>
      </x:c>
      <x:c r="E56" s="3" t="n">
        <x:v>34</x:v>
      </x:c>
      <x:c r="F56" s="3"/>
      <x:c r="G56" s="3"/>
      <x:c r="H56" s="3" t="n">
        <x:v>150</x:v>
      </x:c>
      <x:c r="I56" s="3" t="n">
        <x:v>150</x:v>
      </x:c>
      <x:c r="J56" s="3" t="n">
        <x:v>75</x:v>
      </x:c>
      <x:c r="K56" s="3" t="n">
        <x:v>217</x:v>
      </x:c>
      <x:c r="L56" s="3" t="n">
        <x:v>2162</x:v>
      </x:c>
      <x:c r="M56" s="3" t="n">
        <x:v>1081</x:v>
      </x:c>
      <x:c r="N56" s="3" t="n">
        <x:f>ROUNDUP(Y56/'Parameters'!$C$4,0)</x:f>
        <x:v>3</x:v>
      </x:c>
      <x:c r="O56" s="3" t="n">
        <x:f>ROUNDUP(Z56/'Parameters'!$C$4,0)</x:f>
        <x:v>2</x:v>
      </x:c>
      <x:c r="P56" s="3" t="n">
        <x:v>34</x:v>
      </x:c>
      <x:c r="Q56" s="9" t="n">
        <x:v>25.5</x:v>
      </x:c>
      <x:c r="R56" s="9" t="n">
        <x:f>H56/'Parameters'!$C$3</x:f>
        <x:v>4.166666666666667</x:v>
      </x:c>
      <x:c r="S56" s="9" t="n">
        <x:f>I56/'Parameters'!$C$3</x:f>
        <x:v>4.166666666666667</x:v>
      </x:c>
      <x:c r="T56" s="9" t="n">
        <x:f>J56/'Parameters'!$C$3</x:f>
        <x:v>2.0833333333333335</x:v>
      </x:c>
      <x:c r="U56" s="9" t="n">
        <x:v>0.88764</x:v>
      </x:c>
      <x:c r="V56" s="9" t="n">
        <x:v>0.900033</x:v>
      </x:c>
      <x:c r="W56" s="3" t="n">
        <x:v>1</x:v>
      </x:c>
      <x:c r="X56" s="3" t="str">
        <x:v>Original R Y files</x:v>
      </x:c>
      <x:c r="Y56" s="3" t="n">
        <x:v>30</x:v>
      </x:c>
      <x:c r="Z56" s="3" t="n">
        <x:v>15</x:v>
      </x:c>
      <x:c r="AA56" s="3" t="n">
        <x:v>2</x:v>
      </x:c>
      <x:c r="AB56" s="3" t="n">
        <x:v>1</x:v>
      </x:c>
      <x:c r="AC56" s="3" t="n">
        <x:v>34</x:v>
      </x:c>
      <x:c r="AD56" s="9" t="n">
        <x:v>25.5</x:v>
      </x:c>
    </x:row>
    <x:row r="57" ht="21" customHeight="1">
      <x:c r="A57" s="3" t="n">
        <x:v>56</x:v>
      </x:c>
      <x:c r="B57" s="3" t="n">
        <x:v>9</x:v>
      </x:c>
      <x:c r="C57" s="3" t="n">
        <x:v>3</x:v>
      </x:c>
      <x:c r="D57" s="3" t="n">
        <x:v>54</x:v>
      </x:c>
      <x:c r="E57" s="3" t="n">
        <x:v>47</x:v>
      </x:c>
      <x:c r="F57" s="3"/>
      <x:c r="G57" s="3"/>
      <x:c r="H57" s="3" t="n">
        <x:v>134</x:v>
      </x:c>
      <x:c r="I57" s="3" t="n">
        <x:v>134</x:v>
      </x:c>
      <x:c r="J57" s="3" t="n">
        <x:v>67</x:v>
      </x:c>
      <x:c r="K57" s="3" t="n">
        <x:v>409</x:v>
      </x:c>
      <x:c r="L57" s="3" t="n">
        <x:v>4084</x:v>
      </x:c>
      <x:c r="M57" s="3" t="n">
        <x:v>2042</x:v>
      </x:c>
      <x:c r="N57" s="3" t="n">
        <x:f>ROUNDUP(Y57/'Parameters'!$C$4,0)</x:f>
        <x:v>5</x:v>
      </x:c>
      <x:c r="O57" s="3" t="n">
        <x:f>ROUNDUP(Z57/'Parameters'!$C$4,0)</x:f>
        <x:v>3</x:v>
      </x:c>
      <x:c r="P57" s="3" t="n">
        <x:v>47</x:v>
      </x:c>
      <x:c r="Q57" s="9" t="n">
        <x:v>35.25</x:v>
      </x:c>
      <x:c r="R57" s="9" t="n">
        <x:f>H57/'Parameters'!$C$3</x:f>
        <x:v>3.7222222222222223</x:v>
      </x:c>
      <x:c r="S57" s="9" t="n">
        <x:f>I57/'Parameters'!$C$3</x:f>
        <x:v>3.7222222222222223</x:v>
      </x:c>
      <x:c r="T57" s="9" t="n">
        <x:f>J57/'Parameters'!$C$3</x:f>
        <x:v>1.8611111111111112</x:v>
      </x:c>
      <x:c r="U57" s="9" t="n">
        <x:v>1.106742</x:v>
      </x:c>
      <x:c r="V57" s="9" t="n">
        <x:v>0.893428</x:v>
      </x:c>
      <x:c r="W57" s="3" t="n">
        <x:v>1</x:v>
      </x:c>
      <x:c r="X57" s="3" t="str">
        <x:v>Original R Y files</x:v>
      </x:c>
      <x:c r="Y57" s="3" t="n">
        <x:v>45</x:v>
      </x:c>
      <x:c r="Z57" s="3" t="n">
        <x:v>30</x:v>
      </x:c>
      <x:c r="AA57" s="3" t="n">
        <x:v>3</x:v>
      </x:c>
      <x:c r="AB57" s="3" t="n">
        <x:v>2</x:v>
      </x:c>
      <x:c r="AC57" s="3" t="n">
        <x:v>47</x:v>
      </x:c>
      <x:c r="AD57" s="9" t="n">
        <x:v>35.25</x:v>
      </x:c>
    </x:row>
    <x:row r="58" ht="21" customHeight="1">
      <x:c r="A58" s="3" t="n">
        <x:v>57</x:v>
      </x:c>
      <x:c r="B58" s="3" t="n">
        <x:v>10</x:v>
      </x:c>
      <x:c r="C58" s="3" t="n">
        <x:v>1</x:v>
      </x:c>
      <x:c r="D58" s="3" t="n">
        <x:v>10</x:v>
      </x:c>
      <x:c r="E58" s="3" t="n">
        <x:v>100</x:v>
      </x:c>
      <x:c r="F58" s="3"/>
      <x:c r="G58" s="3"/>
      <x:c r="H58" s="3" t="n">
        <x:v>613</x:v>
      </x:c>
      <x:c r="I58" s="3" t="n">
        <x:v>613</x:v>
      </x:c>
      <x:c r="J58" s="3" t="n">
        <x:v>613</x:v>
      </x:c>
      <x:c r="K58" s="3" t="n">
        <x:v>601</x:v>
      </x:c>
      <x:c r="L58" s="3" t="n">
        <x:v>6005</x:v>
      </x:c>
      <x:c r="M58" s="3" t="n">
        <x:v>3003</x:v>
      </x:c>
      <x:c r="N58" s="3" t="n">
        <x:f>ROUNDUP(Y58/'Parameters'!$C$4,0)</x:f>
        <x:v>6</x:v>
      </x:c>
      <x:c r="O58" s="3" t="n">
        <x:f>ROUNDUP(Z58/'Parameters'!$C$4,0)</x:f>
        <x:v>5</x:v>
      </x:c>
      <x:c r="P58" s="3" t="n">
        <x:v>100</x:v>
      </x:c>
      <x:c r="Q58" s="9" t="n">
        <x:v>75</x:v>
      </x:c>
      <x:c r="R58" s="9" t="n">
        <x:f>H58/'Parameters'!$C$3</x:f>
        <x:v>17.02777777777778</x:v>
      </x:c>
      <x:c r="S58" s="9" t="n">
        <x:f>I58/'Parameters'!$C$3</x:f>
        <x:v>17.02777777777778</x:v>
      </x:c>
      <x:c r="T58" s="9" t="n">
        <x:f>J58/'Parameters'!$C$3</x:f>
        <x:v>17.02777777777778</x:v>
      </x:c>
      <x:c r="U58" s="9" t="n">
        <x:v>2</x:v>
      </x:c>
      <x:c r="V58" s="9" t="n">
        <x:v>1.027979</x:v>
      </x:c>
      <x:c r="W58" s="3" t="n">
        <x:v>1</x:v>
      </x:c>
      <x:c r="X58" s="3" t="str">
        <x:v>Original R Y files</x:v>
      </x:c>
      <x:c r="Y58" s="3" t="n">
        <x:v>60</x:v>
      </x:c>
      <x:c r="Z58" s="3" t="n">
        <x:v>45</x:v>
      </x:c>
      <x:c r="AA58" s="3" t="n">
        <x:v>4</x:v>
      </x:c>
      <x:c r="AB58" s="3" t="n">
        <x:v>3</x:v>
      </x:c>
      <x:c r="AC58" s="3" t="n">
        <x:v>100</x:v>
      </x:c>
      <x:c r="AD58" s="9" t="n">
        <x:v>75</x:v>
      </x:c>
    </x:row>
    <x:row r="59" ht="21" customHeight="1">
      <x:c r="A59" s="3" t="n">
        <x:v>58</x:v>
      </x:c>
      <x:c r="B59" s="3" t="n">
        <x:v>10</x:v>
      </x:c>
      <x:c r="C59" s="3" t="n">
        <x:v>6</x:v>
      </x:c>
      <x:c r="D59" s="3" t="n">
        <x:v>13</x:v>
      </x:c>
      <x:c r="E59" s="3" t="n">
        <x:v>48</x:v>
      </x:c>
      <x:c r="F59" s="3"/>
      <x:c r="G59" s="3"/>
      <x:c r="H59" s="3" t="n">
        <x:v>227</x:v>
      </x:c>
      <x:c r="I59" s="3" t="n">
        <x:v>227</x:v>
      </x:c>
      <x:c r="J59" s="3" t="n">
        <x:v>114</x:v>
      </x:c>
      <x:c r="K59" s="3" t="n">
        <x:v>379</x:v>
      </x:c>
      <x:c r="L59" s="3" t="n">
        <x:v>3783</x:v>
      </x:c>
      <x:c r="M59" s="3" t="n">
        <x:v>1892</x:v>
      </x:c>
      <x:c r="N59" s="3" t="n">
        <x:f>ROUNDUP(Y59/'Parameters'!$C$4,0)</x:f>
        <x:v>5</x:v>
      </x:c>
      <x:c r="O59" s="3" t="n">
        <x:f>ROUNDUP(Z59/'Parameters'!$C$4,0)</x:f>
        <x:v>3</x:v>
      </x:c>
      <x:c r="P59" s="3" t="n">
        <x:v>48</x:v>
      </x:c>
      <x:c r="Q59" s="9" t="n">
        <x:v>36</x:v>
      </x:c>
      <x:c r="R59" s="9" t="n">
        <x:f>H59/'Parameters'!$C$3</x:f>
        <x:v>6.305555555555555</x:v>
      </x:c>
      <x:c r="S59" s="9" t="n">
        <x:f>I59/'Parameters'!$C$3</x:f>
        <x:v>6.305555555555555</x:v>
      </x:c>
      <x:c r="T59" s="9" t="n">
        <x:f>J59/'Parameters'!$C$3</x:f>
        <x:v>3.1666666666666665</x:v>
      </x:c>
      <x:c r="U59" s="9" t="n">
        <x:v>1.123596</x:v>
      </x:c>
      <x:c r="V59" s="9" t="n">
        <x:v>0.952676</x:v>
      </x:c>
      <x:c r="W59" s="3" t="n">
        <x:v>1</x:v>
      </x:c>
      <x:c r="X59" s="3" t="str">
        <x:v>Original R Y files</x:v>
      </x:c>
      <x:c r="Y59" s="3" t="n">
        <x:v>45</x:v>
      </x:c>
      <x:c r="Z59" s="3" t="n">
        <x:v>30</x:v>
      </x:c>
      <x:c r="AA59" s="3" t="n">
        <x:v>3</x:v>
      </x:c>
      <x:c r="AB59" s="3" t="n">
        <x:v>2</x:v>
      </x:c>
      <x:c r="AC59" s="3" t="n">
        <x:v>48</x:v>
      </x:c>
      <x:c r="AD59" s="9" t="n">
        <x:v>36</x:v>
      </x:c>
    </x:row>
    <x:row r="60" ht="21" customHeight="1">
      <x:c r="A60" s="3" t="n">
        <x:v>59</x:v>
      </x:c>
      <x:c r="B60" s="3" t="n">
        <x:v>10</x:v>
      </x:c>
      <x:c r="C60" s="3" t="n">
        <x:v>4</x:v>
      </x:c>
      <x:c r="D60" s="3" t="n">
        <x:v>41</x:v>
      </x:c>
      <x:c r="E60" s="3" t="n">
        <x:v>97</x:v>
      </x:c>
      <x:c r="F60" s="3"/>
      <x:c r="G60" s="3"/>
      <x:c r="H60" s="3" t="n">
        <x:v>57</x:v>
      </x:c>
      <x:c r="I60" s="3" t="n">
        <x:v>57</x:v>
      </x:c>
      <x:c r="J60" s="3" t="n">
        <x:v>29</x:v>
      </x:c>
      <x:c r="K60" s="3" t="n">
        <x:v>541</x:v>
      </x:c>
      <x:c r="L60" s="3" t="n">
        <x:v>5405</x:v>
      </x:c>
      <x:c r="M60" s="3" t="n">
        <x:v>2703</x:v>
      </x:c>
      <x:c r="N60" s="3" t="n">
        <x:f>ROUNDUP(Y60/'Parameters'!$C$4,0)</x:f>
        <x:v>6</x:v>
      </x:c>
      <x:c r="O60" s="3" t="n">
        <x:f>ROUNDUP(Z60/'Parameters'!$C$4,0)</x:f>
        <x:v>5</x:v>
      </x:c>
      <x:c r="P60" s="3" t="n">
        <x:v>97</x:v>
      </x:c>
      <x:c r="Q60" s="9" t="n">
        <x:v>72.75</x:v>
      </x:c>
      <x:c r="R60" s="9" t="n">
        <x:f>H60/'Parameters'!$C$3</x:f>
        <x:v>1.5833333333333333</x:v>
      </x:c>
      <x:c r="S60" s="9" t="n">
        <x:f>I60/'Parameters'!$C$3</x:f>
        <x:v>1.5833333333333333</x:v>
      </x:c>
      <x:c r="T60" s="9" t="n">
        <x:f>J60/'Parameters'!$C$3</x:f>
        <x:v>0.8055555555555556</x:v>
      </x:c>
      <x:c r="U60" s="9" t="n">
        <x:v>1.949438</x:v>
      </x:c>
      <x:c r="V60" s="9" t="n">
        <x:v>1.114542</x:v>
      </x:c>
      <x:c r="W60" s="3" t="n">
        <x:v>1</x:v>
      </x:c>
      <x:c r="X60" s="3" t="str">
        <x:v>Original R Y files</x:v>
      </x:c>
      <x:c r="Y60" s="3" t="n">
        <x:v>60</x:v>
      </x:c>
      <x:c r="Z60" s="3" t="n">
        <x:v>45</x:v>
      </x:c>
      <x:c r="AA60" s="3" t="n">
        <x:v>4</x:v>
      </x:c>
      <x:c r="AB60" s="3" t="n">
        <x:v>3</x:v>
      </x:c>
      <x:c r="AC60" s="3" t="n">
        <x:v>97</x:v>
      </x:c>
      <x:c r="AD60" s="9" t="n">
        <x:v>72.75</x:v>
      </x:c>
    </x:row>
    <x:row r="61" ht="21" customHeight="1">
      <x:c r="A61" s="3" t="n">
        <x:v>60</x:v>
      </x:c>
      <x:c r="B61" s="3" t="n">
        <x:v>10</x:v>
      </x:c>
      <x:c r="C61" s="3" t="n">
        <x:v>9</x:v>
      </x:c>
      <x:c r="D61" s="3" t="n">
        <x:v>55</x:v>
      </x:c>
      <x:c r="E61" s="3" t="n">
        <x:v>70</x:v>
      </x:c>
      <x:c r="F61" s="3"/>
      <x:c r="G61" s="3"/>
      <x:c r="H61" s="3" t="n">
        <x:v>372</x:v>
      </x:c>
      <x:c r="I61" s="3" t="n">
        <x:v>372</x:v>
      </x:c>
      <x:c r="J61" s="3" t="n">
        <x:v>186</x:v>
      </x:c>
      <x:c r="K61" s="3" t="n">
        <x:v>199</x:v>
      </x:c>
      <x:c r="L61" s="3" t="n">
        <x:v>1982</x:v>
      </x:c>
      <x:c r="M61" s="3" t="n">
        <x:v>991</x:v>
      </x:c>
      <x:c r="N61" s="3" t="n">
        <x:f>ROUNDUP(Y61/'Parameters'!$C$4,0)</x:f>
        <x:v>5</x:v>
      </x:c>
      <x:c r="O61" s="3" t="n">
        <x:f>ROUNDUP(Z61/'Parameters'!$C$4,0)</x:f>
        <x:v>3</x:v>
      </x:c>
      <x:c r="P61" s="3" t="n">
        <x:v>70</x:v>
      </x:c>
      <x:c r="Q61" s="9" t="n">
        <x:v>52.5</x:v>
      </x:c>
      <x:c r="R61" s="9" t="n">
        <x:f>H61/'Parameters'!$C$3</x:f>
        <x:v>10.333333333333334</x:v>
      </x:c>
      <x:c r="S61" s="9" t="n">
        <x:f>I61/'Parameters'!$C$3</x:f>
        <x:v>10.333333333333334</x:v>
      </x:c>
      <x:c r="T61" s="9" t="n">
        <x:f>J61/'Parameters'!$C$3</x:f>
        <x:v>5.166666666666667</x:v>
      </x:c>
      <x:c r="U61" s="9" t="n">
        <x:v>1.494382</x:v>
      </x:c>
      <x:c r="V61" s="9" t="n">
        <x:v>1.092245</x:v>
      </x:c>
      <x:c r="W61" s="3" t="n">
        <x:v>1</x:v>
      </x:c>
      <x:c r="X61" s="3" t="str">
        <x:v>Original R Y files</x:v>
      </x:c>
      <x:c r="Y61" s="3" t="n">
        <x:v>45</x:v>
      </x:c>
      <x:c r="Z61" s="3" t="n">
        <x:v>30</x:v>
      </x:c>
      <x:c r="AA61" s="3" t="n">
        <x:v>3</x:v>
      </x:c>
      <x:c r="AB61" s="3" t="n">
        <x:v>2</x:v>
      </x:c>
      <x:c r="AC61" s="3" t="n">
        <x:v>70</x:v>
      </x:c>
      <x:c r="AD61" s="9" t="n">
        <x:v>52.5</x:v>
      </x:c>
    </x:row>
  </x:sheetData>
  <x:pageMargins left="0.7" right="0.7" top="0.75" bottom="0.75" header="0.3" footer="0.3"/>
  <x:tableParts count="1">
    <x:tablePart xmlns:r="http://schemas.openxmlformats.org/officeDocument/2006/relationships" r:id="R822f68ab09cb438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original_R_demand</x:v>
      </x:c>
      <x:c r="E1" s="6" t="str">
        <x:v>selected_OD_weight</x:v>
      </x:c>
      <x:c r="F1" s="6" t="str">
        <x:v>selection_rule</x:v>
      </x:c>
    </x:row>
    <x:row r="2" ht="21" customHeight="1">
      <x:c r="A2" s="3" t="n">
        <x:v>1</x:v>
      </x:c>
      <x:c r="B2" s="3" t="n">
        <x:v>10</x:v>
      </x:c>
      <x:c r="C2" s="3" t="n">
        <x:v>6</x:v>
      </x:c>
      <x:c r="D2" s="3" t="n">
        <x:v>71</x:v>
      </x:c>
      <x:c r="E2" s="3" t="n">
        <x:v>71</x:v>
      </x:c>
      <x:c r="F2" s="3" t="str">
        <x:v>All original R commodities retained</x:v>
      </x:c>
    </x:row>
    <x:row r="3" ht="21" customHeight="1">
      <x:c r="A3" s="3" t="n">
        <x:v>2</x:v>
      </x:c>
      <x:c r="B3" s="3" t="n">
        <x:v>5</x:v>
      </x:c>
      <x:c r="C3" s="3" t="n">
        <x:v>8</x:v>
      </x:c>
      <x:c r="D3" s="3" t="n">
        <x:v>32</x:v>
      </x:c>
      <x:c r="E3" s="3" t="n">
        <x:v>32</x:v>
      </x:c>
      <x:c r="F3" s="3" t="str">
        <x:v>All original R commodities retained</x:v>
      </x:c>
    </x:row>
    <x:row r="4" ht="21" customHeight="1">
      <x:c r="A4" s="3" t="n">
        <x:v>3</x:v>
      </x:c>
      <x:c r="B4" s="3" t="n">
        <x:v>9</x:v>
      </x:c>
      <x:c r="C4" s="3" t="n">
        <x:v>6</x:v>
      </x:c>
      <x:c r="D4" s="3" t="n">
        <x:v>78</x:v>
      </x:c>
      <x:c r="E4" s="3" t="n">
        <x:v>78</x:v>
      </x:c>
      <x:c r="F4" s="3" t="str">
        <x:v>All original R commodities retained</x:v>
      </x:c>
    </x:row>
    <x:row r="5" ht="21" customHeight="1">
      <x:c r="A5" s="3" t="n">
        <x:v>4</x:v>
      </x:c>
      <x:c r="B5" s="3" t="n">
        <x:v>5</x:v>
      </x:c>
      <x:c r="C5" s="3" t="n">
        <x:v>6</x:v>
      </x:c>
      <x:c r="D5" s="3" t="n">
        <x:v>40</x:v>
      </x:c>
      <x:c r="E5" s="3" t="n">
        <x:v>40</x:v>
      </x:c>
      <x:c r="F5" s="3" t="str">
        <x:v>All original R commodities retained</x:v>
      </x:c>
    </x:row>
    <x:row r="6" ht="21" customHeight="1">
      <x:c r="A6" s="3" t="n">
        <x:v>5</x:v>
      </x:c>
      <x:c r="B6" s="3" t="n">
        <x:v>3</x:v>
      </x:c>
      <x:c r="C6" s="3" t="n">
        <x:v>4</x:v>
      </x:c>
      <x:c r="D6" s="3" t="n">
        <x:v>53</x:v>
      </x:c>
      <x:c r="E6" s="3" t="n">
        <x:v>53</x:v>
      </x:c>
      <x:c r="F6" s="3" t="str">
        <x:v>All original R commodities retained</x:v>
      </x:c>
    </x:row>
    <x:row r="7" ht="21" customHeight="1">
      <x:c r="A7" s="3" t="n">
        <x:v>6</x:v>
      </x:c>
      <x:c r="B7" s="3" t="n">
        <x:v>1</x:v>
      </x:c>
      <x:c r="C7" s="3" t="n">
        <x:v>4</x:v>
      </x:c>
      <x:c r="D7" s="3" t="n">
        <x:v>80</x:v>
      </x:c>
      <x:c r="E7" s="3" t="n">
        <x:v>80</x:v>
      </x:c>
      <x:c r="F7" s="3" t="str">
        <x:v>All original R commodities retained</x:v>
      </x:c>
    </x:row>
    <x:row r="8" ht="21" customHeight="1">
      <x:c r="A8" s="3" t="n">
        <x:v>7</x:v>
      </x:c>
      <x:c r="B8" s="3" t="n">
        <x:v>8</x:v>
      </x:c>
      <x:c r="C8" s="3" t="n">
        <x:v>7</x:v>
      </x:c>
      <x:c r="D8" s="3" t="n">
        <x:v>57</x:v>
      </x:c>
      <x:c r="E8" s="3" t="n">
        <x:v>57</x:v>
      </x:c>
      <x:c r="F8" s="3" t="str">
        <x:v>All original R commodities retained</x:v>
      </x:c>
    </x:row>
    <x:row r="9" ht="21" customHeight="1">
      <x:c r="A9" s="3" t="n">
        <x:v>8</x:v>
      </x:c>
      <x:c r="B9" s="3" t="n">
        <x:v>8</x:v>
      </x:c>
      <x:c r="C9" s="3" t="n">
        <x:v>2</x:v>
      </x:c>
      <x:c r="D9" s="3" t="n">
        <x:v>72</x:v>
      </x:c>
      <x:c r="E9" s="3" t="n">
        <x:v>72</x:v>
      </x:c>
      <x:c r="F9" s="3" t="str">
        <x:v>All original R commodities retained</x:v>
      </x:c>
    </x:row>
    <x:row r="10" ht="21" customHeight="1">
      <x:c r="A10" s="3" t="n">
        <x:v>9</x:v>
      </x:c>
      <x:c r="B10" s="3" t="n">
        <x:v>10</x:v>
      </x:c>
      <x:c r="C10" s="3" t="n">
        <x:v>7</x:v>
      </x:c>
      <x:c r="D10" s="3" t="n">
        <x:v>57</x:v>
      </x:c>
      <x:c r="E10" s="3" t="n">
        <x:v>57</x:v>
      </x:c>
      <x:c r="F10" s="3" t="str">
        <x:v>All original R commodities retained</x:v>
      </x:c>
    </x:row>
    <x:row r="11" ht="21" customHeight="1">
      <x:c r="A11" s="3" t="n">
        <x:v>10</x:v>
      </x:c>
      <x:c r="B11" s="3" t="n">
        <x:v>7</x:v>
      </x:c>
      <x:c r="C11" s="3" t="n">
        <x:v>9</x:v>
      </x:c>
      <x:c r="D11" s="3" t="n">
        <x:v>73</x:v>
      </x:c>
      <x:c r="E11" s="3" t="n">
        <x:v>73</x:v>
      </x:c>
      <x:c r="F11" s="3" t="str">
        <x:v>All original R commodities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07978f2eb6cf44a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2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1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1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1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1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2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1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1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2c68602f3a554a3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5</x:v>
      </x:c>
      <x:c r="D2" s="3" t="n">
        <x:v>10</x:v>
      </x:c>
      <x:c r="E2" s="3" t="n">
        <x:v>6</x:v>
      </x:c>
      <x:c r="F2" s="3" t="n">
        <x:v>71</x:v>
      </x:c>
      <x:c r="G2" s="3" t="n">
        <x:v>12</x:v>
      </x:c>
      <x:c r="H2" s="3" t="str">
        <x:v>02:00</x:v>
      </x:c>
      <x:c r="I2" s="3" t="n">
        <x:v>5</x:v>
      </x:c>
      <x:c r="J2" s="3" t="n">
        <x:v>3</x:v>
      </x:c>
      <x:c r="K2" s="3" t="n">
        <x:v>22</x:v>
      </x:c>
      <x:c r="L2" s="3" t="str">
        <x:v>03:40</x:v>
      </x:c>
      <x:c r="M2" s="3" t="n">
        <x:v>48</x:v>
      </x:c>
      <x:c r="N2" s="3" t="n">
        <x:v>288</x:v>
      </x:c>
      <x:c r="O2" s="3" t="str">
        <x:v>58</x:v>
      </x:c>
      <x:c r="P2" s="3" t="n">
        <x:v>120</x:v>
      </x:c>
      <x:c r="Q2" s="3" t="n">
        <x:v>225</x:v>
      </x:c>
      <x:c r="R2" s="3" t="n">
        <x:v>5</x:v>
      </x:c>
    </x:row>
    <x:row r="3" ht="21" customHeight="1">
      <x:c r="A3" s="3" t="n">
        <x:v>2</x:v>
      </x:c>
      <x:c r="B3" s="3" t="n">
        <x:v>2</x:v>
      </x:c>
      <x:c r="C3" s="3" t="n">
        <x:v>2</x:v>
      </x:c>
      <x:c r="D3" s="3" t="n">
        <x:v>5</x:v>
      </x:c>
      <x:c r="E3" s="3" t="n">
        <x:v>8</x:v>
      </x:c>
      <x:c r="F3" s="3" t="n">
        <x:v>32</x:v>
      </x:c>
      <x:c r="G3" s="3" t="n">
        <x:v>3</x:v>
      </x:c>
      <x:c r="H3" s="3" t="str">
        <x:v>00:30</x:v>
      </x:c>
      <x:c r="I3" s="3" t="n">
        <x:v>5</x:v>
      </x:c>
      <x:c r="J3" s="3" t="n">
        <x:v>3</x:v>
      </x:c>
      <x:c r="K3" s="3" t="n">
        <x:v>13</x:v>
      </x:c>
      <x:c r="L3" s="3" t="str">
        <x:v>02:10</x:v>
      </x:c>
      <x:c r="M3" s="3" t="n">
        <x:v>59</x:v>
      </x:c>
      <x:c r="N3" s="3" t="n">
        <x:v>354</x:v>
      </x:c>
      <x:c r="O3" s="3" t="str">
        <x:v>30-11-25</x:v>
      </x:c>
      <x:c r="P3" s="3" t="n">
        <x:v>30</x:v>
      </x:c>
      <x:c r="Q3" s="3" t="n">
        <x:v>135</x:v>
      </x:c>
      <x:c r="R3" s="3" t="n">
        <x:v>5</x:v>
      </x:c>
    </x:row>
    <x:row r="4" ht="21" customHeight="1">
      <x:c r="A4" s="3" t="n">
        <x:v>3</x:v>
      </x:c>
      <x:c r="B4" s="3" t="n">
        <x:v>3</x:v>
      </x:c>
      <x:c r="C4" s="3" t="n">
        <x:v>8</x:v>
      </x:c>
      <x:c r="D4" s="3" t="n">
        <x:v>9</x:v>
      </x:c>
      <x:c r="E4" s="3" t="n">
        <x:v>6</x:v>
      </x:c>
      <x:c r="F4" s="3" t="n">
        <x:v>78</x:v>
      </x:c>
      <x:c r="G4" s="3" t="n">
        <x:v>21</x:v>
      </x:c>
      <x:c r="H4" s="3" t="str">
        <x:v>03:30</x:v>
      </x:c>
      <x:c r="I4" s="3" t="n">
        <x:v>5</x:v>
      </x:c>
      <x:c r="J4" s="3" t="n">
        <x:v>3</x:v>
      </x:c>
      <x:c r="K4" s="3" t="n">
        <x:v>31</x:v>
      </x:c>
      <x:c r="L4" s="3" t="str">
        <x:v>05:10</x:v>
      </x:c>
      <x:c r="M4" s="3" t="n">
        <x:v>50</x:v>
      </x:c>
      <x:c r="N4" s="3" t="n">
        <x:v>300</x:v>
      </x:c>
      <x:c r="O4" s="3" t="str">
        <x:v>53</x:v>
      </x:c>
      <x:c r="P4" s="3" t="n">
        <x:v>210</x:v>
      </x:c>
      <x:c r="Q4" s="3" t="n">
        <x:v>315</x:v>
      </x:c>
      <x:c r="R4" s="3" t="n">
        <x:v>5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5</x:v>
      </x:c>
      <x:c r="E5" s="3" t="n">
        <x:v>6</x:v>
      </x:c>
      <x:c r="F5" s="3" t="n">
        <x:v>40</x:v>
      </x:c>
      <x:c r="G5" s="3" t="n">
        <x:v>0</x:v>
      </x:c>
      <x:c r="H5" s="3" t="str">
        <x:v>00:00</x:v>
      </x:c>
      <x:c r="I5" s="3" t="n">
        <x:v>6</x:v>
      </x:c>
      <x:c r="J5" s="3" t="n">
        <x:v>5</x:v>
      </x:c>
      <x:c r="K5" s="3" t="n">
        <x:v>12</x:v>
      </x:c>
      <x:c r="L5" s="3" t="str">
        <x:v>02:00</x:v>
      </x:c>
      <x:c r="M5" s="3" t="n">
        <x:v>70</x:v>
      </x:c>
      <x:c r="N5" s="3" t="n">
        <x:v>420</x:v>
      </x:c>
      <x:c r="O5" s="3" t="str">
        <x:v>30-11-28</x:v>
      </x:c>
      <x:c r="P5" s="3" t="n">
        <x:v>0</x:v>
      </x:c>
      <x:c r="Q5" s="3" t="n">
        <x:v>120</x:v>
      </x:c>
      <x:c r="R5" s="3" t="n">
        <x:v>0</x:v>
      </x:c>
    </x:row>
    <x:row r="6" ht="21" customHeight="1">
      <x:c r="A6" s="3" t="n">
        <x:v>5</x:v>
      </x:c>
      <x:c r="B6" s="3" t="n">
        <x:v>5</x:v>
      </x:c>
      <x:c r="C6" s="3" t="n">
        <x:v>4</x:v>
      </x:c>
      <x:c r="D6" s="3" t="n">
        <x:v>3</x:v>
      </x:c>
      <x:c r="E6" s="3" t="n">
        <x:v>4</x:v>
      </x:c>
      <x:c r="F6" s="3" t="n">
        <x:v>53</x:v>
      </x:c>
      <x:c r="G6" s="3" t="n">
        <x:v>9</x:v>
      </x:c>
      <x:c r="H6" s="3" t="str">
        <x:v>01:30</x:v>
      </x:c>
      <x:c r="I6" s="3" t="n">
        <x:v>6</x:v>
      </x:c>
      <x:c r="J6" s="3" t="n">
        <x:v>4</x:v>
      </x:c>
      <x:c r="K6" s="3" t="n">
        <x:v>21</x:v>
      </x:c>
      <x:c r="L6" s="3" t="str">
        <x:v>03:30</x:v>
      </x:c>
      <x:c r="M6" s="3" t="n">
        <x:v>40</x:v>
      </x:c>
      <x:c r="N6" s="3" t="n">
        <x:v>240</x:v>
      </x:c>
      <x:c r="O6" s="3" t="str">
        <x:v>17-11</x:v>
      </x:c>
      <x:c r="P6" s="3" t="n">
        <x:v>90</x:v>
      </x:c>
      <x:c r="Q6" s="3" t="n">
        <x:v>210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1</x:v>
      </x:c>
      <x:c r="D7" s="3" t="n">
        <x:v>1</x:v>
      </x:c>
      <x:c r="E7" s="3" t="n">
        <x:v>4</x:v>
      </x:c>
      <x:c r="F7" s="3" t="n">
        <x:v>80</x:v>
      </x:c>
      <x:c r="G7" s="3" t="n">
        <x:v>0</x:v>
      </x:c>
      <x:c r="H7" s="3" t="str">
        <x:v>00:00</x:v>
      </x:c>
      <x:c r="I7" s="3" t="n">
        <x:v>3</x:v>
      </x:c>
      <x:c r="J7" s="3" t="n">
        <x:v>2</x:v>
      </x:c>
      <x:c r="K7" s="3" t="n">
        <x:v>7</x:v>
      </x:c>
      <x:c r="L7" s="3" t="str">
        <x:v>01:10</x:v>
      </x:c>
      <x:c r="M7" s="3" t="n">
        <x:v>13</x:v>
      </x:c>
      <x:c r="N7" s="3" t="n">
        <x:v>78</x:v>
      </x:c>
      <x:c r="O7" s="3" t="str">
        <x:v>5</x:v>
      </x:c>
      <x:c r="P7" s="3" t="n">
        <x:v>0</x:v>
      </x:c>
      <x:c r="Q7" s="3" t="n">
        <x:v>75</x:v>
      </x:c>
      <x:c r="R7" s="3" t="n">
        <x:v>5</x:v>
      </x:c>
    </x:row>
    <x:row r="8" ht="21" customHeight="1">
      <x:c r="A8" s="3" t="n">
        <x:v>7</x:v>
      </x:c>
      <x:c r="B8" s="3" t="n">
        <x:v>7</x:v>
      </x:c>
      <x:c r="C8" s="3" t="n">
        <x:v>7</x:v>
      </x:c>
      <x:c r="D8" s="3" t="n">
        <x:v>8</x:v>
      </x:c>
      <x:c r="E8" s="3" t="n">
        <x:v>7</x:v>
      </x:c>
      <x:c r="F8" s="3" t="n">
        <x:v>57</x:v>
      </x:c>
      <x:c r="G8" s="3" t="n">
        <x:v>18</x:v>
      </x:c>
      <x:c r="H8" s="3" t="str">
        <x:v>03:00</x:v>
      </x:c>
      <x:c r="I8" s="3" t="n">
        <x:v>6</x:v>
      </x:c>
      <x:c r="J8" s="3" t="n">
        <x:v>5</x:v>
      </x:c>
      <x:c r="K8" s="3" t="n">
        <x:v>30</x:v>
      </x:c>
      <x:c r="L8" s="3" t="str">
        <x:v>05:00</x:v>
      </x:c>
      <x:c r="M8" s="3" t="n">
        <x:v>52</x:v>
      </x:c>
      <x:c r="N8" s="3" t="n">
        <x:v>312</x:v>
      </x:c>
      <x:c r="O8" s="3" t="str">
        <x:v>45-19</x:v>
      </x:c>
      <x:c r="P8" s="3" t="n">
        <x:v>180</x:v>
      </x:c>
      <x:c r="Q8" s="3" t="n">
        <x:v>300</x:v>
      </x:c>
      <x:c r="R8" s="3" t="n">
        <x:v>0</x:v>
      </x:c>
    </x:row>
    <x:row r="9" ht="21" customHeight="1">
      <x:c r="A9" s="3" t="n">
        <x:v>8</x:v>
      </x:c>
      <x:c r="B9" s="3" t="n">
        <x:v>8</x:v>
      </x:c>
      <x:c r="C9" s="3" t="n">
        <x:v>3</x:v>
      </x:c>
      <x:c r="D9" s="3" t="n">
        <x:v>8</x:v>
      </x:c>
      <x:c r="E9" s="3" t="n">
        <x:v>2</x:v>
      </x:c>
      <x:c r="F9" s="3" t="n">
        <x:v>72</x:v>
      </x:c>
      <x:c r="G9" s="3" t="n">
        <x:v>6</x:v>
      </x:c>
      <x:c r="H9" s="3" t="str">
        <x:v>01:00</x:v>
      </x:c>
      <x:c r="I9" s="3" t="n">
        <x:v>3</x:v>
      </x:c>
      <x:c r="J9" s="3" t="n">
        <x:v>2</x:v>
      </x:c>
      <x:c r="K9" s="3" t="n">
        <x:v>13</x:v>
      </x:c>
      <x:c r="L9" s="3" t="str">
        <x:v>02:10</x:v>
      </x:c>
      <x:c r="M9" s="3" t="n">
        <x:v>30</x:v>
      </x:c>
      <x:c r="N9" s="3" t="n">
        <x:v>180</x:v>
      </x:c>
      <x:c r="O9" s="3" t="str">
        <x:v>47</x:v>
      </x:c>
      <x:c r="P9" s="3" t="n">
        <x:v>60</x:v>
      </x:c>
      <x:c r="Q9" s="3" t="n">
        <x:v>135</x:v>
      </x:c>
      <x:c r="R9" s="3" t="n">
        <x:v>5</x:v>
      </x:c>
    </x:row>
    <x:row r="10" ht="21" customHeight="1">
      <x:c r="A10" s="3" t="n">
        <x:v>9</x:v>
      </x:c>
      <x:c r="B10" s="3" t="n">
        <x:v>9</x:v>
      </x:c>
      <x:c r="C10" s="3" t="n">
        <x:v>6</x:v>
      </x:c>
      <x:c r="D10" s="3" t="n">
        <x:v>10</x:v>
      </x:c>
      <x:c r="E10" s="3" t="n">
        <x:v>7</x:v>
      </x:c>
      <x:c r="F10" s="3" t="n">
        <x:v>57</x:v>
      </x:c>
      <x:c r="G10" s="3" t="n">
        <x:v>15</x:v>
      </x:c>
      <x:c r="H10" s="3" t="str">
        <x:v>02:30</x:v>
      </x:c>
      <x:c r="I10" s="3" t="n">
        <x:v>8</x:v>
      </x:c>
      <x:c r="J10" s="3" t="n">
        <x:v>5</x:v>
      </x:c>
      <x:c r="K10" s="3" t="n">
        <x:v>30</x:v>
      </x:c>
      <x:c r="L10" s="3" t="str">
        <x:v>05:00</x:v>
      </x:c>
      <x:c r="M10" s="3" t="n">
        <x:v>95</x:v>
      </x:c>
      <x:c r="N10" s="3" t="n">
        <x:v>570</x:v>
      </x:c>
      <x:c r="O10" s="3" t="str">
        <x:v>58-38-19</x:v>
      </x:c>
      <x:c r="P10" s="3" t="n">
        <x:v>150</x:v>
      </x:c>
      <x:c r="Q10" s="3" t="n">
        <x:v>300</x:v>
      </x:c>
      <x:c r="R10" s="3" t="n">
        <x:v>0</x:v>
      </x:c>
    </x:row>
    <x:row r="11" ht="21" customHeight="1">
      <x:c r="A11" s="3" t="n">
        <x:v>10</x:v>
      </x:c>
      <x:c r="B11" s="3" t="n">
        <x:v>10</x:v>
      </x:c>
      <x:c r="C11" s="3" t="n">
        <x:v>6</x:v>
      </x:c>
      <x:c r="D11" s="3" t="n">
        <x:v>7</x:v>
      </x:c>
      <x:c r="E11" s="3" t="n">
        <x:v>9</x:v>
      </x:c>
      <x:c r="F11" s="3" t="n">
        <x:v>73</x:v>
      </x:c>
      <x:c r="G11" s="3" t="n">
        <x:v>15</x:v>
      </x:c>
      <x:c r="H11" s="3" t="str">
        <x:v>02:30</x:v>
      </x:c>
      <x:c r="I11" s="3" t="n">
        <x:v>3</x:v>
      </x:c>
      <x:c r="J11" s="3" t="n">
        <x:v>2</x:v>
      </x:c>
      <x:c r="K11" s="3" t="n">
        <x:v>22</x:v>
      </x:c>
      <x:c r="L11" s="3" t="str">
        <x:v>03:40</x:v>
      </x:c>
      <x:c r="M11" s="3" t="n">
        <x:v>22</x:v>
      </x:c>
      <x:c r="N11" s="3" t="n">
        <x:v>132</x:v>
      </x:c>
      <x:c r="O11" s="3" t="str">
        <x:v>41</x:v>
      </x:c>
      <x:c r="P11" s="3" t="n">
        <x:v>150</x:v>
      </x:c>
      <x:c r="Q11" s="3" t="n">
        <x:v>225</x:v>
      </x:c>
      <x:c r="R11" s="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504e4e4241c4ea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f95095f5c8a343d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4c5b7f454a434d6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4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5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2</x:v>
      </x:c>
      <x:c r="B37" s="3" t="n">
        <x:v>3</x:v>
      </x:c>
      <x:c r="C37" s="3" t="n">
        <x:v>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2</x:v>
      </x:c>
      <x:c r="B38" s="3" t="n">
        <x:v>4</x:v>
      </x:c>
      <x:c r="C38" s="3" t="n">
        <x:v>7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8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9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10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11</x:v>
      </x:c>
      <x:c r="D42" s="3" t="n">
        <x:v>2</x:v>
      </x:c>
      <x:c r="E42" s="3" t="n">
        <x:v>2</x:v>
      </x:c>
      <x:c r="F42" s="3" t="n">
        <x:v>1</x:v>
      </x:c>
    </x:row>
    <x:row r="43" ht="21" customHeight="1">
      <x:c r="A43" s="3" t="n">
        <x:v>2</x:v>
      </x:c>
      <x:c r="B43" s="3" t="n">
        <x:v>9</x:v>
      </x:c>
      <x:c r="C43" s="3" t="n">
        <x:v>12</x:v>
      </x:c>
      <x:c r="D43" s="3" t="n">
        <x:v>2</x:v>
      </x:c>
      <x:c r="E43" s="3" t="n">
        <x:v>2</x:v>
      </x:c>
      <x:c r="F43" s="3" t="n">
        <x:v>1</x:v>
      </x:c>
    </x:row>
    <x:row r="44" ht="21" customHeight="1">
      <x:c r="A44" s="3" t="n">
        <x:v>2</x:v>
      </x:c>
      <x:c r="B44" s="3" t="n">
        <x:v>10</x:v>
      </x:c>
      <x:c r="C44" s="3" t="n">
        <x:v>13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14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15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16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17</x:v>
      </x:c>
      <x:c r="D48" s="3" t="n">
        <x:v>3</x:v>
      </x:c>
      <x:c r="E48" s="3" t="n">
        <x:v>3</x:v>
      </x:c>
      <x:c r="F48" s="3" t="n">
        <x:v>1</x:v>
      </x:c>
    </x:row>
    <x:row r="49" ht="21" customHeight="1">
      <x:c r="A49" s="3" t="n">
        <x:v>2</x:v>
      </x:c>
      <x:c r="B49" s="3" t="n">
        <x:v>15</x:v>
      </x:c>
      <x:c r="C49" s="3" t="n">
        <x:v>18</x:v>
      </x:c>
      <x:c r="D49" s="3" t="n">
        <x:v>3</x:v>
      </x:c>
      <x:c r="E49" s="3" t="n">
        <x:v>3</x:v>
      </x:c>
      <x:c r="F49" s="3" t="n">
        <x:v>1</x:v>
      </x:c>
    </x:row>
    <x:row r="50" ht="21" customHeight="1">
      <x:c r="A50" s="3" t="n">
        <x:v>2</x:v>
      </x:c>
      <x:c r="B50" s="3" t="n">
        <x:v>16</x:v>
      </x:c>
      <x:c r="C50" s="3" t="n">
        <x:v>19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20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21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22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23</x:v>
      </x:c>
      <x:c r="D54" s="3" t="n">
        <x:v>4</x:v>
      </x:c>
      <x:c r="E54" s="3" t="n">
        <x:v>4</x:v>
      </x:c>
      <x:c r="F54" s="3" t="n">
        <x:v>1</x:v>
      </x:c>
    </x:row>
    <x:row r="55" ht="21" customHeight="1">
      <x:c r="A55" s="3" t="n">
        <x:v>2</x:v>
      </x:c>
      <x:c r="B55" s="3" t="n">
        <x:v>21</x:v>
      </x:c>
      <x:c r="C55" s="3" t="n">
        <x:v>24</x:v>
      </x:c>
      <x:c r="D55" s="3" t="n">
        <x:v>4</x:v>
      </x:c>
      <x:c r="E55" s="3" t="n">
        <x:v>4</x:v>
      </x:c>
      <x:c r="F55" s="3" t="n">
        <x:v>1</x:v>
      </x:c>
    </x:row>
    <x:row r="56" ht="21" customHeight="1">
      <x:c r="A56" s="3" t="n">
        <x:v>2</x:v>
      </x:c>
      <x:c r="B56" s="3" t="n">
        <x:v>22</x:v>
      </x:c>
      <x:c r="C56" s="3" t="n">
        <x:v>25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26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27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28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29</x:v>
      </x:c>
      <x:c r="D60" s="3" t="n">
        <x:v>5</x:v>
      </x:c>
      <x:c r="E60" s="3" t="n">
        <x:v>5</x:v>
      </x:c>
      <x:c r="F60" s="3" t="n">
        <x:v>1</x:v>
      </x:c>
    </x:row>
    <x:row r="61" ht="21" customHeight="1">
      <x:c r="A61" s="3" t="n">
        <x:v>2</x:v>
      </x:c>
      <x:c r="B61" s="3" t="n">
        <x:v>27</x:v>
      </x:c>
      <x:c r="C61" s="3" t="n">
        <x:v>30</x:v>
      </x:c>
      <x:c r="D61" s="3" t="n">
        <x:v>5</x:v>
      </x:c>
      <x:c r="E61" s="3" t="n">
        <x:v>5</x:v>
      </x:c>
      <x:c r="F61" s="3" t="n">
        <x:v>1</x:v>
      </x:c>
    </x:row>
    <x:row r="62" ht="21" customHeight="1">
      <x:c r="A62" s="3" t="n">
        <x:v>2</x:v>
      </x:c>
      <x:c r="B62" s="3" t="n">
        <x:v>28</x:v>
      </x:c>
      <x:c r="C62" s="3" t="n">
        <x:v>31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32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33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34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2</x:v>
      </x:c>
      <x:c r="B66" s="3" t="n">
        <x:v>32</x:v>
      </x:c>
      <x:c r="C66" s="3" t="n">
        <x:v>35</x:v>
      </x:c>
      <x:c r="D66" s="3" t="n">
        <x:v>6</x:v>
      </x:c>
      <x:c r="E66" s="3" t="n">
        <x:v>6</x:v>
      </x:c>
      <x:c r="F66" s="3" t="n">
        <x:v>1</x:v>
      </x:c>
    </x:row>
    <x:row r="67" ht="21" customHeight="1">
      <x:c r="A67" s="3" t="n">
        <x:v>2</x:v>
      </x:c>
      <x:c r="B67" s="3" t="n">
        <x:v>33</x:v>
      </x:c>
      <x:c r="C67" s="3" t="n">
        <x:v>36</x:v>
      </x:c>
      <x:c r="D67" s="3" t="n">
        <x:v>6</x:v>
      </x:c>
      <x:c r="E67" s="3" t="n">
        <x:v>6</x:v>
      </x:c>
      <x:c r="F67" s="3" t="n">
        <x:v>1</x:v>
      </x:c>
    </x:row>
    <x:row r="68" ht="21" customHeight="1">
      <x:c r="A68" s="3" t="n">
        <x:v>3</x:v>
      </x:c>
      <x:c r="B68" s="3" t="n">
        <x:v>0</x:v>
      </x:c>
      <x:c r="C68" s="3" t="n">
        <x:v>3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1</x:v>
      </x:c>
      <x:c r="C69" s="3" t="n">
        <x:v>4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2</x:v>
      </x:c>
      <x:c r="C70" s="3" t="n">
        <x:v>5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3</x:v>
      </x:c>
      <x:c r="B71" s="3" t="n">
        <x:v>3</x:v>
      </x:c>
      <x:c r="C71" s="3" t="n">
        <x:v>6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3</x:v>
      </x:c>
      <x:c r="B72" s="3" t="n">
        <x:v>4</x:v>
      </x:c>
      <x:c r="C72" s="3" t="n">
        <x:v>7</x:v>
      </x:c>
      <x:c r="D72" s="3" t="n">
        <x:v>1</x:v>
      </x:c>
      <x:c r="E72" s="3" t="n">
        <x:v>2</x:v>
      </x:c>
      <x:c r="F72" s="3" t="n">
        <x:v>2</x:v>
      </x:c>
    </x:row>
    <x:row r="73" ht="21" customHeight="1">
      <x:c r="A73" s="3" t="n">
        <x:v>3</x:v>
      </x:c>
      <x:c r="B73" s="3" t="n">
        <x:v>5</x:v>
      </x:c>
      <x:c r="C73" s="3" t="n">
        <x:v>8</x:v>
      </x:c>
      <x:c r="D73" s="3" t="n">
        <x:v>1</x:v>
      </x:c>
      <x:c r="E73" s="3" t="n">
        <x:v>2</x:v>
      </x:c>
      <x:c r="F73" s="3" t="n">
        <x:v>2</x:v>
      </x:c>
    </x:row>
    <x:row r="74" ht="21" customHeight="1">
      <x:c r="A74" s="3" t="n">
        <x:v>3</x:v>
      </x:c>
      <x:c r="B74" s="3" t="n">
        <x:v>6</x:v>
      </x:c>
      <x:c r="C74" s="3" t="n">
        <x:v>9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7</x:v>
      </x:c>
      <x:c r="C75" s="3" t="n">
        <x:v>10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8</x:v>
      </x:c>
      <x:c r="C76" s="3" t="n">
        <x:v>11</x:v>
      </x:c>
      <x:c r="D76" s="3" t="n">
        <x:v>2</x:v>
      </x:c>
      <x:c r="E76" s="3" t="n">
        <x:v>2</x:v>
      </x:c>
      <x:c r="F76" s="3" t="n">
        <x:v>1</x:v>
      </x:c>
    </x:row>
    <x:row r="77" ht="21" customHeight="1">
      <x:c r="A77" s="3" t="n">
        <x:v>3</x:v>
      </x:c>
      <x:c r="B77" s="3" t="n">
        <x:v>9</x:v>
      </x:c>
      <x:c r="C77" s="3" t="n">
        <x:v>12</x:v>
      </x:c>
      <x:c r="D77" s="3" t="n">
        <x:v>2</x:v>
      </x:c>
      <x:c r="E77" s="3" t="n">
        <x:v>2</x:v>
      </x:c>
      <x:c r="F77" s="3" t="n">
        <x:v>1</x:v>
      </x:c>
    </x:row>
    <x:row r="78" ht="21" customHeight="1">
      <x:c r="A78" s="3" t="n">
        <x:v>3</x:v>
      </x:c>
      <x:c r="B78" s="3" t="n">
        <x:v>10</x:v>
      </x:c>
      <x:c r="C78" s="3" t="n">
        <x:v>13</x:v>
      </x:c>
      <x:c r="D78" s="3" t="n">
        <x:v>2</x:v>
      </x:c>
      <x:c r="E78" s="3" t="n">
        <x:v>3</x:v>
      </x:c>
      <x:c r="F78" s="3" t="n">
        <x:v>2</x:v>
      </x:c>
    </x:row>
    <x:row r="79" ht="21" customHeight="1">
      <x:c r="A79" s="3" t="n">
        <x:v>3</x:v>
      </x:c>
      <x:c r="B79" s="3" t="n">
        <x:v>11</x:v>
      </x:c>
      <x:c r="C79" s="3" t="n">
        <x:v>14</x:v>
      </x:c>
      <x:c r="D79" s="3" t="n">
        <x:v>2</x:v>
      </x:c>
      <x:c r="E79" s="3" t="n">
        <x:v>3</x:v>
      </x:c>
      <x:c r="F79" s="3" t="n">
        <x:v>2</x:v>
      </x:c>
    </x:row>
    <x:row r="80" ht="21" customHeight="1">
      <x:c r="A80" s="3" t="n">
        <x:v>3</x:v>
      </x:c>
      <x:c r="B80" s="3" t="n">
        <x:v>12</x:v>
      </x:c>
      <x:c r="C80" s="3" t="n">
        <x:v>15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13</x:v>
      </x:c>
      <x:c r="C81" s="3" t="n">
        <x:v>16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14</x:v>
      </x:c>
      <x:c r="C82" s="3" t="n">
        <x:v>17</x:v>
      </x:c>
      <x:c r="D82" s="3" t="n">
        <x:v>3</x:v>
      </x:c>
      <x:c r="E82" s="3" t="n">
        <x:v>3</x:v>
      </x:c>
      <x:c r="F82" s="3" t="n">
        <x:v>1</x:v>
      </x:c>
    </x:row>
    <x:row r="83" ht="21" customHeight="1">
      <x:c r="A83" s="3" t="n">
        <x:v>3</x:v>
      </x:c>
      <x:c r="B83" s="3" t="n">
        <x:v>15</x:v>
      </x:c>
      <x:c r="C83" s="3" t="n">
        <x:v>18</x:v>
      </x:c>
      <x:c r="D83" s="3" t="n">
        <x:v>3</x:v>
      </x:c>
      <x:c r="E83" s="3" t="n">
        <x:v>3</x:v>
      </x:c>
      <x:c r="F83" s="3" t="n">
        <x:v>1</x:v>
      </x:c>
    </x:row>
    <x:row r="84" ht="21" customHeight="1">
      <x:c r="A84" s="3" t="n">
        <x:v>3</x:v>
      </x:c>
      <x:c r="B84" s="3" t="n">
        <x:v>16</x:v>
      </x:c>
      <x:c r="C84" s="3" t="n">
        <x:v>19</x:v>
      </x:c>
      <x:c r="D84" s="3" t="n">
        <x:v>3</x:v>
      </x:c>
      <x:c r="E84" s="3" t="n">
        <x:v>4</x:v>
      </x:c>
      <x:c r="F84" s="3" t="n">
        <x:v>2</x:v>
      </x:c>
    </x:row>
    <x:row r="85" ht="21" customHeight="1">
      <x:c r="A85" s="3" t="n">
        <x:v>3</x:v>
      </x:c>
      <x:c r="B85" s="3" t="n">
        <x:v>17</x:v>
      </x:c>
      <x:c r="C85" s="3" t="n">
        <x:v>20</x:v>
      </x:c>
      <x:c r="D85" s="3" t="n">
        <x:v>3</x:v>
      </x:c>
      <x:c r="E85" s="3" t="n">
        <x:v>4</x:v>
      </x:c>
      <x:c r="F85" s="3" t="n">
        <x:v>2</x:v>
      </x:c>
    </x:row>
    <x:row r="86" ht="21" customHeight="1">
      <x:c r="A86" s="3" t="n">
        <x:v>3</x:v>
      </x:c>
      <x:c r="B86" s="3" t="n">
        <x:v>18</x:v>
      </x:c>
      <x:c r="C86" s="3" t="n">
        <x:v>21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19</x:v>
      </x:c>
      <x:c r="C87" s="3" t="n">
        <x:v>22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20</x:v>
      </x:c>
      <x:c r="C88" s="3" t="n">
        <x:v>23</x:v>
      </x:c>
      <x:c r="D88" s="3" t="n">
        <x:v>4</x:v>
      </x:c>
      <x:c r="E88" s="3" t="n">
        <x:v>4</x:v>
      </x:c>
      <x:c r="F88" s="3" t="n">
        <x:v>1</x:v>
      </x:c>
    </x:row>
    <x:row r="89" ht="21" customHeight="1">
      <x:c r="A89" s="3" t="n">
        <x:v>3</x:v>
      </x:c>
      <x:c r="B89" s="3" t="n">
        <x:v>21</x:v>
      </x:c>
      <x:c r="C89" s="3" t="n">
        <x:v>24</x:v>
      </x:c>
      <x:c r="D89" s="3" t="n">
        <x:v>4</x:v>
      </x:c>
      <x:c r="E89" s="3" t="n">
        <x:v>4</x:v>
      </x:c>
      <x:c r="F89" s="3" t="n">
        <x:v>1</x:v>
      </x:c>
    </x:row>
    <x:row r="90" ht="21" customHeight="1">
      <x:c r="A90" s="3" t="n">
        <x:v>3</x:v>
      </x:c>
      <x:c r="B90" s="3" t="n">
        <x:v>22</x:v>
      </x:c>
      <x:c r="C90" s="3" t="n">
        <x:v>25</x:v>
      </x:c>
      <x:c r="D90" s="3" t="n">
        <x:v>4</x:v>
      </x:c>
      <x:c r="E90" s="3" t="n">
        <x:v>5</x:v>
      </x:c>
      <x:c r="F90" s="3" t="n">
        <x:v>2</x:v>
      </x:c>
    </x:row>
    <x:row r="91" ht="21" customHeight="1">
      <x:c r="A91" s="3" t="n">
        <x:v>3</x:v>
      </x:c>
      <x:c r="B91" s="3" t="n">
        <x:v>23</x:v>
      </x:c>
      <x:c r="C91" s="3" t="n">
        <x:v>26</x:v>
      </x:c>
      <x:c r="D91" s="3" t="n">
        <x:v>4</x:v>
      </x:c>
      <x:c r="E91" s="3" t="n">
        <x:v>5</x:v>
      </x:c>
      <x:c r="F91" s="3" t="n">
        <x:v>2</x:v>
      </x:c>
    </x:row>
    <x:row r="92" ht="21" customHeight="1">
      <x:c r="A92" s="3" t="n">
        <x:v>3</x:v>
      </x:c>
      <x:c r="B92" s="3" t="n">
        <x:v>24</x:v>
      </x:c>
      <x:c r="C92" s="3" t="n">
        <x:v>27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25</x:v>
      </x:c>
      <x:c r="C93" s="3" t="n">
        <x:v>28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26</x:v>
      </x:c>
      <x:c r="C94" s="3" t="n">
        <x:v>29</x:v>
      </x:c>
      <x:c r="D94" s="3" t="n">
        <x:v>5</x:v>
      </x:c>
      <x:c r="E94" s="3" t="n">
        <x:v>5</x:v>
      </x:c>
      <x:c r="F94" s="3" t="n">
        <x:v>1</x:v>
      </x:c>
    </x:row>
    <x:row r="95" ht="21" customHeight="1">
      <x:c r="A95" s="3" t="n">
        <x:v>3</x:v>
      </x:c>
      <x:c r="B95" s="3" t="n">
        <x:v>27</x:v>
      </x:c>
      <x:c r="C95" s="3" t="n">
        <x:v>30</x:v>
      </x:c>
      <x:c r="D95" s="3" t="n">
        <x:v>5</x:v>
      </x:c>
      <x:c r="E95" s="3" t="n">
        <x:v>5</x:v>
      </x:c>
      <x:c r="F95" s="3" t="n">
        <x:v>1</x:v>
      </x:c>
    </x:row>
    <x:row r="96" ht="21" customHeight="1">
      <x:c r="A96" s="3" t="n">
        <x:v>3</x:v>
      </x:c>
      <x:c r="B96" s="3" t="n">
        <x:v>28</x:v>
      </x:c>
      <x:c r="C96" s="3" t="n">
        <x:v>31</x:v>
      </x:c>
      <x:c r="D96" s="3" t="n">
        <x:v>5</x:v>
      </x:c>
      <x:c r="E96" s="3" t="n">
        <x:v>6</x:v>
      </x:c>
      <x:c r="F96" s="3" t="n">
        <x:v>2</x:v>
      </x:c>
    </x:row>
    <x:row r="97" ht="21" customHeight="1">
      <x:c r="A97" s="3" t="n">
        <x:v>3</x:v>
      </x:c>
      <x:c r="B97" s="3" t="n">
        <x:v>29</x:v>
      </x:c>
      <x:c r="C97" s="3" t="n">
        <x:v>32</x:v>
      </x:c>
      <x:c r="D97" s="3" t="n">
        <x:v>5</x:v>
      </x:c>
      <x:c r="E97" s="3" t="n">
        <x:v>6</x:v>
      </x:c>
      <x:c r="F97" s="3" t="n">
        <x:v>2</x:v>
      </x:c>
    </x:row>
    <x:row r="98" ht="21" customHeight="1">
      <x:c r="A98" s="3" t="n">
        <x:v>3</x:v>
      </x:c>
      <x:c r="B98" s="3" t="n">
        <x:v>30</x:v>
      </x:c>
      <x:c r="C98" s="3" t="n">
        <x:v>33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31</x:v>
      </x:c>
      <x:c r="C99" s="3" t="n">
        <x:v>34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3</x:v>
      </x:c>
      <x:c r="B100" s="3" t="n">
        <x:v>32</x:v>
      </x:c>
      <x:c r="C100" s="3" t="n">
        <x:v>35</x:v>
      </x:c>
      <x:c r="D100" s="3" t="n">
        <x:v>6</x:v>
      </x:c>
      <x:c r="E100" s="3" t="n">
        <x:v>6</x:v>
      </x:c>
      <x:c r="F100" s="3" t="n">
        <x:v>1</x:v>
      </x:c>
    </x:row>
    <x:row r="101" ht="21" customHeight="1">
      <x:c r="A101" s="3" t="n">
        <x:v>3</x:v>
      </x:c>
      <x:c r="B101" s="3" t="n">
        <x:v>33</x:v>
      </x:c>
      <x:c r="C101" s="3" t="n">
        <x:v>36</x:v>
      </x:c>
      <x:c r="D101" s="3" t="n">
        <x:v>6</x:v>
      </x:c>
      <x:c r="E101" s="3" t="n">
        <x:v>6</x:v>
      </x:c>
      <x:c r="F101" s="3" t="n">
        <x:v>1</x:v>
      </x:c>
    </x:row>
    <x:row r="102" ht="21" customHeight="1">
      <x:c r="A102" s="3" t="n">
        <x:v>4</x:v>
      </x:c>
      <x:c r="B102" s="3" t="n">
        <x:v>0</x:v>
      </x:c>
      <x:c r="C102" s="3" t="n">
        <x:v>2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4</x:v>
      </x:c>
      <x:c r="B103" s="3" t="n">
        <x:v>1</x:v>
      </x:c>
      <x:c r="C103" s="3" t="n">
        <x:v>3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2</x:v>
      </x:c>
      <x:c r="C104" s="3" t="n">
        <x:v>4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4</x:v>
      </x:c>
      <x:c r="B105" s="3" t="n">
        <x:v>3</x:v>
      </x:c>
      <x:c r="C105" s="3" t="n">
        <x:v>5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4</x:v>
      </x:c>
      <x:c r="B106" s="3" t="n">
        <x:v>4</x:v>
      </x:c>
      <x:c r="C106" s="3" t="n">
        <x:v>6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4</x:v>
      </x:c>
      <x:c r="B107" s="3" t="n">
        <x:v>5</x:v>
      </x:c>
      <x:c r="C107" s="3" t="n">
        <x:v>7</x:v>
      </x:c>
      <x:c r="D107" s="3" t="n">
        <x:v>1</x:v>
      </x:c>
      <x:c r="E107" s="3" t="n">
        <x:v>2</x:v>
      </x:c>
      <x:c r="F107" s="3" t="n">
        <x:v>2</x:v>
      </x:c>
    </x:row>
    <x:row r="108" ht="21" customHeight="1">
      <x:c r="A108" s="3" t="n">
        <x:v>4</x:v>
      </x:c>
      <x:c r="B108" s="3" t="n">
        <x:v>6</x:v>
      </x:c>
      <x:c r="C108" s="3" t="n">
        <x:v>8</x:v>
      </x:c>
      <x:c r="D108" s="3" t="n">
        <x:v>2</x:v>
      </x:c>
      <x:c r="E108" s="3" t="n">
        <x:v>2</x:v>
      </x:c>
      <x:c r="F108" s="3" t="n">
        <x:v>1</x:v>
      </x:c>
    </x:row>
    <x:row r="109" ht="21" customHeight="1">
      <x:c r="A109" s="3" t="n">
        <x:v>4</x:v>
      </x:c>
      <x:c r="B109" s="3" t="n">
        <x:v>7</x:v>
      </x:c>
      <x:c r="C109" s="3" t="n">
        <x:v>9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8</x:v>
      </x:c>
      <x:c r="C110" s="3" t="n">
        <x:v>10</x:v>
      </x:c>
      <x:c r="D110" s="3" t="n">
        <x:v>2</x:v>
      </x:c>
      <x:c r="E110" s="3" t="n">
        <x:v>2</x:v>
      </x:c>
      <x:c r="F110" s="3" t="n">
        <x:v>1</x:v>
      </x:c>
    </x:row>
    <x:row r="111" ht="21" customHeight="1">
      <x:c r="A111" s="3" t="n">
        <x:v>4</x:v>
      </x:c>
      <x:c r="B111" s="3" t="n">
        <x:v>9</x:v>
      </x:c>
      <x:c r="C111" s="3" t="n">
        <x:v>11</x:v>
      </x:c>
      <x:c r="D111" s="3" t="n">
        <x:v>2</x:v>
      </x:c>
      <x:c r="E111" s="3" t="n">
        <x:v>2</x:v>
      </x:c>
      <x:c r="F111" s="3" t="n">
        <x:v>1</x:v>
      </x:c>
    </x:row>
    <x:row r="112" ht="21" customHeight="1">
      <x:c r="A112" s="3" t="n">
        <x:v>4</x:v>
      </x:c>
      <x:c r="B112" s="3" t="n">
        <x:v>10</x:v>
      </x:c>
      <x:c r="C112" s="3" t="n">
        <x:v>12</x:v>
      </x:c>
      <x:c r="D112" s="3" t="n">
        <x:v>2</x:v>
      </x:c>
      <x:c r="E112" s="3" t="n">
        <x:v>2</x:v>
      </x:c>
      <x:c r="F112" s="3" t="n">
        <x:v>1</x:v>
      </x:c>
    </x:row>
    <x:row r="113" ht="21" customHeight="1">
      <x:c r="A113" s="3" t="n">
        <x:v>4</x:v>
      </x:c>
      <x:c r="B113" s="3" t="n">
        <x:v>11</x:v>
      </x:c>
      <x:c r="C113" s="3" t="n">
        <x:v>13</x:v>
      </x:c>
      <x:c r="D113" s="3" t="n">
        <x:v>2</x:v>
      </x:c>
      <x:c r="E113" s="3" t="n">
        <x:v>3</x:v>
      </x:c>
      <x:c r="F113" s="3" t="n">
        <x:v>2</x:v>
      </x:c>
    </x:row>
    <x:row r="114" ht="21" customHeight="1">
      <x:c r="A114" s="3" t="n">
        <x:v>4</x:v>
      </x:c>
      <x:c r="B114" s="3" t="n">
        <x:v>12</x:v>
      </x:c>
      <x:c r="C114" s="3" t="n">
        <x:v>14</x:v>
      </x:c>
      <x:c r="D114" s="3" t="n">
        <x:v>3</x:v>
      </x:c>
      <x:c r="E114" s="3" t="n">
        <x:v>3</x:v>
      </x:c>
      <x:c r="F114" s="3" t="n">
        <x:v>1</x:v>
      </x:c>
    </x:row>
    <x:row r="115" ht="21" customHeight="1">
      <x:c r="A115" s="3" t="n">
        <x:v>4</x:v>
      </x:c>
      <x:c r="B115" s="3" t="n">
        <x:v>13</x:v>
      </x:c>
      <x:c r="C115" s="3" t="n">
        <x:v>15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14</x:v>
      </x:c>
      <x:c r="C116" s="3" t="n">
        <x:v>16</x:v>
      </x:c>
      <x:c r="D116" s="3" t="n">
        <x:v>3</x:v>
      </x:c>
      <x:c r="E116" s="3" t="n">
        <x:v>3</x:v>
      </x:c>
      <x:c r="F116" s="3" t="n">
        <x:v>1</x:v>
      </x:c>
    </x:row>
    <x:row r="117" ht="21" customHeight="1">
      <x:c r="A117" s="3" t="n">
        <x:v>4</x:v>
      </x:c>
      <x:c r="B117" s="3" t="n">
        <x:v>15</x:v>
      </x:c>
      <x:c r="C117" s="3" t="n">
        <x:v>17</x:v>
      </x:c>
      <x:c r="D117" s="3" t="n">
        <x:v>3</x:v>
      </x:c>
      <x:c r="E117" s="3" t="n">
        <x:v>3</x:v>
      </x:c>
      <x:c r="F117" s="3" t="n">
        <x:v>1</x:v>
      </x:c>
    </x:row>
    <x:row r="118" ht="21" customHeight="1">
      <x:c r="A118" s="3" t="n">
        <x:v>4</x:v>
      </x:c>
      <x:c r="B118" s="3" t="n">
        <x:v>16</x:v>
      </x:c>
      <x:c r="C118" s="3" t="n">
        <x:v>18</x:v>
      </x:c>
      <x:c r="D118" s="3" t="n">
        <x:v>3</x:v>
      </x:c>
      <x:c r="E118" s="3" t="n">
        <x:v>3</x:v>
      </x:c>
      <x:c r="F118" s="3" t="n">
        <x:v>1</x:v>
      </x:c>
    </x:row>
    <x:row r="119" ht="21" customHeight="1">
      <x:c r="A119" s="3" t="n">
        <x:v>4</x:v>
      </x:c>
      <x:c r="B119" s="3" t="n">
        <x:v>17</x:v>
      </x:c>
      <x:c r="C119" s="3" t="n">
        <x:v>19</x:v>
      </x:c>
      <x:c r="D119" s="3" t="n">
        <x:v>3</x:v>
      </x:c>
      <x:c r="E119" s="3" t="n">
        <x:v>4</x:v>
      </x:c>
      <x:c r="F119" s="3" t="n">
        <x:v>2</x:v>
      </x:c>
    </x:row>
    <x:row r="120" ht="21" customHeight="1">
      <x:c r="A120" s="3" t="n">
        <x:v>4</x:v>
      </x:c>
      <x:c r="B120" s="3" t="n">
        <x:v>18</x:v>
      </x:c>
      <x:c r="C120" s="3" t="n">
        <x:v>20</x:v>
      </x:c>
      <x:c r="D120" s="3" t="n">
        <x:v>4</x:v>
      </x:c>
      <x:c r="E120" s="3" t="n">
        <x:v>4</x:v>
      </x:c>
      <x:c r="F120" s="3" t="n">
        <x:v>1</x:v>
      </x:c>
    </x:row>
    <x:row r="121" ht="21" customHeight="1">
      <x:c r="A121" s="3" t="n">
        <x:v>4</x:v>
      </x:c>
      <x:c r="B121" s="3" t="n">
        <x:v>19</x:v>
      </x:c>
      <x:c r="C121" s="3" t="n">
        <x:v>21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20</x:v>
      </x:c>
      <x:c r="C122" s="3" t="n">
        <x:v>22</x:v>
      </x:c>
      <x:c r="D122" s="3" t="n">
        <x:v>4</x:v>
      </x:c>
      <x:c r="E122" s="3" t="n">
        <x:v>4</x:v>
      </x:c>
      <x:c r="F122" s="3" t="n">
        <x:v>1</x:v>
      </x:c>
    </x:row>
    <x:row r="123" ht="21" customHeight="1">
      <x:c r="A123" s="3" t="n">
        <x:v>4</x:v>
      </x:c>
      <x:c r="B123" s="3" t="n">
        <x:v>21</x:v>
      </x:c>
      <x:c r="C123" s="3" t="n">
        <x:v>23</x:v>
      </x:c>
      <x:c r="D123" s="3" t="n">
        <x:v>4</x:v>
      </x:c>
      <x:c r="E123" s="3" t="n">
        <x:v>4</x:v>
      </x:c>
      <x:c r="F123" s="3" t="n">
        <x:v>1</x:v>
      </x:c>
    </x:row>
    <x:row r="124" ht="21" customHeight="1">
      <x:c r="A124" s="3" t="n">
        <x:v>4</x:v>
      </x:c>
      <x:c r="B124" s="3" t="n">
        <x:v>22</x:v>
      </x:c>
      <x:c r="C124" s="3" t="n">
        <x:v>24</x:v>
      </x:c>
      <x:c r="D124" s="3" t="n">
        <x:v>4</x:v>
      </x:c>
      <x:c r="E124" s="3" t="n">
        <x:v>4</x:v>
      </x:c>
      <x:c r="F124" s="3" t="n">
        <x:v>1</x:v>
      </x:c>
    </x:row>
    <x:row r="125" ht="21" customHeight="1">
      <x:c r="A125" s="3" t="n">
        <x:v>4</x:v>
      </x:c>
      <x:c r="B125" s="3" t="n">
        <x:v>23</x:v>
      </x:c>
      <x:c r="C125" s="3" t="n">
        <x:v>25</x:v>
      </x:c>
      <x:c r="D125" s="3" t="n">
        <x:v>4</x:v>
      </x:c>
      <x:c r="E125" s="3" t="n">
        <x:v>5</x:v>
      </x:c>
      <x:c r="F125" s="3" t="n">
        <x:v>2</x:v>
      </x:c>
    </x:row>
    <x:row r="126" ht="21" customHeight="1">
      <x:c r="A126" s="3" t="n">
        <x:v>4</x:v>
      </x:c>
      <x:c r="B126" s="3" t="n">
        <x:v>24</x:v>
      </x:c>
      <x:c r="C126" s="3" t="n">
        <x:v>26</x:v>
      </x:c>
      <x:c r="D126" s="3" t="n">
        <x:v>5</x:v>
      </x:c>
      <x:c r="E126" s="3" t="n">
        <x:v>5</x:v>
      </x:c>
      <x:c r="F126" s="3" t="n">
        <x:v>1</x:v>
      </x:c>
    </x:row>
    <x:row r="127" ht="21" customHeight="1">
      <x:c r="A127" s="3" t="n">
        <x:v>4</x:v>
      </x:c>
      <x:c r="B127" s="3" t="n">
        <x:v>25</x:v>
      </x:c>
      <x:c r="C127" s="3" t="n">
        <x:v>27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26</x:v>
      </x:c>
      <x:c r="C128" s="3" t="n">
        <x:v>28</x:v>
      </x:c>
      <x:c r="D128" s="3" t="n">
        <x:v>5</x:v>
      </x:c>
      <x:c r="E128" s="3" t="n">
        <x:v>5</x:v>
      </x:c>
      <x:c r="F128" s="3" t="n">
        <x:v>1</x:v>
      </x:c>
    </x:row>
    <x:row r="129" ht="21" customHeight="1">
      <x:c r="A129" s="3" t="n">
        <x:v>4</x:v>
      </x:c>
      <x:c r="B129" s="3" t="n">
        <x:v>27</x:v>
      </x:c>
      <x:c r="C129" s="3" t="n">
        <x:v>29</x:v>
      </x:c>
      <x:c r="D129" s="3" t="n">
        <x:v>5</x:v>
      </x:c>
      <x:c r="E129" s="3" t="n">
        <x:v>5</x:v>
      </x:c>
      <x:c r="F129" s="3" t="n">
        <x:v>1</x:v>
      </x:c>
    </x:row>
    <x:row r="130" ht="21" customHeight="1">
      <x:c r="A130" s="3" t="n">
        <x:v>4</x:v>
      </x:c>
      <x:c r="B130" s="3" t="n">
        <x:v>28</x:v>
      </x:c>
      <x:c r="C130" s="3" t="n">
        <x:v>30</x:v>
      </x:c>
      <x:c r="D130" s="3" t="n">
        <x:v>5</x:v>
      </x:c>
      <x:c r="E130" s="3" t="n">
        <x:v>5</x:v>
      </x:c>
      <x:c r="F130" s="3" t="n">
        <x:v>1</x:v>
      </x:c>
    </x:row>
    <x:row r="131" ht="21" customHeight="1">
      <x:c r="A131" s="3" t="n">
        <x:v>4</x:v>
      </x:c>
      <x:c r="B131" s="3" t="n">
        <x:v>29</x:v>
      </x:c>
      <x:c r="C131" s="3" t="n">
        <x:v>31</x:v>
      </x:c>
      <x:c r="D131" s="3" t="n">
        <x:v>5</x:v>
      </x:c>
      <x:c r="E131" s="3" t="n">
        <x:v>6</x:v>
      </x:c>
      <x:c r="F131" s="3" t="n">
        <x:v>2</x:v>
      </x:c>
    </x:row>
    <x:row r="132" ht="21" customHeight="1">
      <x:c r="A132" s="3" t="n">
        <x:v>4</x:v>
      </x:c>
      <x:c r="B132" s="3" t="n">
        <x:v>30</x:v>
      </x:c>
      <x:c r="C132" s="3" t="n">
        <x:v>32</x:v>
      </x:c>
      <x:c r="D132" s="3" t="n">
        <x:v>6</x:v>
      </x:c>
      <x:c r="E132" s="3" t="n">
        <x:v>6</x:v>
      </x:c>
      <x:c r="F132" s="3" t="n">
        <x:v>1</x:v>
      </x:c>
    </x:row>
    <x:row r="133" ht="21" customHeight="1">
      <x:c r="A133" s="3" t="n">
        <x:v>4</x:v>
      </x:c>
      <x:c r="B133" s="3" t="n">
        <x:v>31</x:v>
      </x:c>
      <x:c r="C133" s="3" t="n">
        <x:v>33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4</x:v>
      </x:c>
      <x:c r="B134" s="3" t="n">
        <x:v>32</x:v>
      </x:c>
      <x:c r="C134" s="3" t="n">
        <x:v>34</x:v>
      </x:c>
      <x:c r="D134" s="3" t="n">
        <x:v>6</x:v>
      </x:c>
      <x:c r="E134" s="3" t="n">
        <x:v>6</x:v>
      </x:c>
      <x:c r="F134" s="3" t="n">
        <x:v>1</x:v>
      </x:c>
    </x:row>
    <x:row r="135" ht="21" customHeight="1">
      <x:c r="A135" s="3" t="n">
        <x:v>4</x:v>
      </x:c>
      <x:c r="B135" s="3" t="n">
        <x:v>33</x:v>
      </x:c>
      <x:c r="C135" s="3" t="n">
        <x:v>35</x:v>
      </x:c>
      <x:c r="D135" s="3" t="n">
        <x:v>6</x:v>
      </x:c>
      <x:c r="E135" s="3" t="n">
        <x:v>6</x:v>
      </x:c>
      <x:c r="F135" s="3" t="n">
        <x:v>1</x:v>
      </x:c>
    </x:row>
    <x:row r="136" ht="21" customHeight="1">
      <x:c r="A136" s="3" t="n">
        <x:v>4</x:v>
      </x:c>
      <x:c r="B136" s="3" t="n">
        <x:v>34</x:v>
      </x:c>
      <x:c r="C136" s="3" t="n">
        <x:v>36</x:v>
      </x:c>
      <x:c r="D136" s="3" t="n">
        <x:v>6</x:v>
      </x:c>
      <x:c r="E136" s="3" t="n">
        <x:v>6</x:v>
      </x:c>
      <x:c r="F136" s="3" t="n">
        <x:v>1</x:v>
      </x:c>
    </x:row>
    <x:row r="137" ht="21" customHeight="1">
      <x:c r="A137" s="3" t="n">
        <x:v>5</x:v>
      </x:c>
      <x:c r="B137" s="3" t="n">
        <x:v>0</x:v>
      </x:c>
      <x:c r="C137" s="3" t="n">
        <x:v>2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5</x:v>
      </x:c>
      <x:c r="B138" s="3" t="n">
        <x:v>1</x:v>
      </x:c>
      <x:c r="C138" s="3" t="n">
        <x:v>3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5</x:v>
      </x:c>
      <x:c r="B139" s="3" t="n">
        <x:v>2</x:v>
      </x:c>
      <x:c r="C139" s="3" t="n">
        <x:v>4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5</x:v>
      </x:c>
      <x:c r="B140" s="3" t="n">
        <x:v>3</x:v>
      </x:c>
      <x:c r="C140" s="3" t="n">
        <x:v>5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5</x:v>
      </x:c>
      <x:c r="B141" s="3" t="n">
        <x:v>4</x:v>
      </x:c>
      <x:c r="C141" s="3" t="n">
        <x:v>6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5</x:v>
      </x:c>
      <x:c r="B142" s="3" t="n">
        <x:v>5</x:v>
      </x:c>
      <x:c r="C142" s="3" t="n">
        <x:v>7</x:v>
      </x:c>
      <x:c r="D142" s="3" t="n">
        <x:v>1</x:v>
      </x:c>
      <x:c r="E142" s="3" t="n">
        <x:v>2</x:v>
      </x:c>
      <x:c r="F142" s="3" t="n">
        <x:v>2</x:v>
      </x:c>
    </x:row>
    <x:row r="143" ht="21" customHeight="1">
      <x:c r="A143" s="3" t="n">
        <x:v>5</x:v>
      </x:c>
      <x:c r="B143" s="3" t="n">
        <x:v>6</x:v>
      </x:c>
      <x:c r="C143" s="3" t="n">
        <x:v>8</x:v>
      </x:c>
      <x:c r="D143" s="3" t="n">
        <x:v>2</x:v>
      </x:c>
      <x:c r="E143" s="3" t="n">
        <x:v>2</x:v>
      </x:c>
      <x:c r="F143" s="3" t="n">
        <x:v>1</x:v>
      </x:c>
    </x:row>
    <x:row r="144" ht="21" customHeight="1">
      <x:c r="A144" s="3" t="n">
        <x:v>5</x:v>
      </x:c>
      <x:c r="B144" s="3" t="n">
        <x:v>7</x:v>
      </x:c>
      <x:c r="C144" s="3" t="n">
        <x:v>9</x:v>
      </x:c>
      <x:c r="D144" s="3" t="n">
        <x:v>2</x:v>
      </x:c>
      <x:c r="E144" s="3" t="n">
        <x:v>2</x:v>
      </x:c>
      <x:c r="F144" s="3" t="n">
        <x:v>1</x:v>
      </x:c>
    </x:row>
    <x:row r="145" ht="21" customHeight="1">
      <x:c r="A145" s="3" t="n">
        <x:v>5</x:v>
      </x:c>
      <x:c r="B145" s="3" t="n">
        <x:v>8</x:v>
      </x:c>
      <x:c r="C145" s="3" t="n">
        <x:v>10</x:v>
      </x:c>
      <x:c r="D145" s="3" t="n">
        <x:v>2</x:v>
      </x:c>
      <x:c r="E145" s="3" t="n">
        <x:v>2</x:v>
      </x:c>
      <x:c r="F145" s="3" t="n">
        <x:v>1</x:v>
      </x:c>
    </x:row>
    <x:row r="146" ht="21" customHeight="1">
      <x:c r="A146" s="3" t="n">
        <x:v>5</x:v>
      </x:c>
      <x:c r="B146" s="3" t="n">
        <x:v>9</x:v>
      </x:c>
      <x:c r="C146" s="3" t="n">
        <x:v>11</x:v>
      </x:c>
      <x:c r="D146" s="3" t="n">
        <x:v>2</x:v>
      </x:c>
      <x:c r="E146" s="3" t="n">
        <x:v>2</x:v>
      </x:c>
      <x:c r="F146" s="3" t="n">
        <x:v>1</x:v>
      </x:c>
    </x:row>
    <x:row r="147" ht="21" customHeight="1">
      <x:c r="A147" s="3" t="n">
        <x:v>5</x:v>
      </x:c>
      <x:c r="B147" s="3" t="n">
        <x:v>10</x:v>
      </x:c>
      <x:c r="C147" s="3" t="n">
        <x:v>12</x:v>
      </x:c>
      <x:c r="D147" s="3" t="n">
        <x:v>2</x:v>
      </x:c>
      <x:c r="E147" s="3" t="n">
        <x:v>2</x:v>
      </x:c>
      <x:c r="F147" s="3" t="n">
        <x:v>1</x:v>
      </x:c>
    </x:row>
    <x:row r="148" ht="21" customHeight="1">
      <x:c r="A148" s="3" t="n">
        <x:v>5</x:v>
      </x:c>
      <x:c r="B148" s="3" t="n">
        <x:v>11</x:v>
      </x:c>
      <x:c r="C148" s="3" t="n">
        <x:v>13</x:v>
      </x:c>
      <x:c r="D148" s="3" t="n">
        <x:v>2</x:v>
      </x:c>
      <x:c r="E148" s="3" t="n">
        <x:v>3</x:v>
      </x:c>
      <x:c r="F148" s="3" t="n">
        <x:v>2</x:v>
      </x:c>
    </x:row>
    <x:row r="149" ht="21" customHeight="1">
      <x:c r="A149" s="3" t="n">
        <x:v>5</x:v>
      </x:c>
      <x:c r="B149" s="3" t="n">
        <x:v>12</x:v>
      </x:c>
      <x:c r="C149" s="3" t="n">
        <x:v>14</x:v>
      </x:c>
      <x:c r="D149" s="3" t="n">
        <x:v>3</x:v>
      </x:c>
      <x:c r="E149" s="3" t="n">
        <x:v>3</x:v>
      </x:c>
      <x:c r="F149" s="3" t="n">
        <x:v>1</x:v>
      </x:c>
    </x:row>
    <x:row r="150" ht="21" customHeight="1">
      <x:c r="A150" s="3" t="n">
        <x:v>5</x:v>
      </x:c>
      <x:c r="B150" s="3" t="n">
        <x:v>13</x:v>
      </x:c>
      <x:c r="C150" s="3" t="n">
        <x:v>15</x:v>
      </x:c>
      <x:c r="D150" s="3" t="n">
        <x:v>3</x:v>
      </x:c>
      <x:c r="E150" s="3" t="n">
        <x:v>3</x:v>
      </x:c>
      <x:c r="F150" s="3" t="n">
        <x:v>1</x:v>
      </x:c>
    </x:row>
    <x:row r="151" ht="21" customHeight="1">
      <x:c r="A151" s="3" t="n">
        <x:v>5</x:v>
      </x:c>
      <x:c r="B151" s="3" t="n">
        <x:v>14</x:v>
      </x:c>
      <x:c r="C151" s="3" t="n">
        <x:v>16</x:v>
      </x:c>
      <x:c r="D151" s="3" t="n">
        <x:v>3</x:v>
      </x:c>
      <x:c r="E151" s="3" t="n">
        <x:v>3</x:v>
      </x:c>
      <x:c r="F151" s="3" t="n">
        <x:v>1</x:v>
      </x:c>
    </x:row>
    <x:row r="152" ht="21" customHeight="1">
      <x:c r="A152" s="3" t="n">
        <x:v>5</x:v>
      </x:c>
      <x:c r="B152" s="3" t="n">
        <x:v>15</x:v>
      </x:c>
      <x:c r="C152" s="3" t="n">
        <x:v>17</x:v>
      </x:c>
      <x:c r="D152" s="3" t="n">
        <x:v>3</x:v>
      </x:c>
      <x:c r="E152" s="3" t="n">
        <x:v>3</x:v>
      </x:c>
      <x:c r="F152" s="3" t="n">
        <x:v>1</x:v>
      </x:c>
    </x:row>
    <x:row r="153" ht="21" customHeight="1">
      <x:c r="A153" s="3" t="n">
        <x:v>5</x:v>
      </x:c>
      <x:c r="B153" s="3" t="n">
        <x:v>16</x:v>
      </x:c>
      <x:c r="C153" s="3" t="n">
        <x:v>18</x:v>
      </x:c>
      <x:c r="D153" s="3" t="n">
        <x:v>3</x:v>
      </x:c>
      <x:c r="E153" s="3" t="n">
        <x:v>3</x:v>
      </x:c>
      <x:c r="F153" s="3" t="n">
        <x:v>1</x:v>
      </x:c>
    </x:row>
    <x:row r="154" ht="21" customHeight="1">
      <x:c r="A154" s="3" t="n">
        <x:v>5</x:v>
      </x:c>
      <x:c r="B154" s="3" t="n">
        <x:v>17</x:v>
      </x:c>
      <x:c r="C154" s="3" t="n">
        <x:v>19</x:v>
      </x:c>
      <x:c r="D154" s="3" t="n">
        <x:v>3</x:v>
      </x:c>
      <x:c r="E154" s="3" t="n">
        <x:v>4</x:v>
      </x:c>
      <x:c r="F154" s="3" t="n">
        <x:v>2</x:v>
      </x:c>
    </x:row>
    <x:row r="155" ht="21" customHeight="1">
      <x:c r="A155" s="3" t="n">
        <x:v>5</x:v>
      </x:c>
      <x:c r="B155" s="3" t="n">
        <x:v>18</x:v>
      </x:c>
      <x:c r="C155" s="3" t="n">
        <x:v>20</x:v>
      </x:c>
      <x:c r="D155" s="3" t="n">
        <x:v>4</x:v>
      </x:c>
      <x:c r="E155" s="3" t="n">
        <x:v>4</x:v>
      </x:c>
      <x:c r="F155" s="3" t="n">
        <x:v>1</x:v>
      </x:c>
    </x:row>
    <x:row r="156" ht="21" customHeight="1">
      <x:c r="A156" s="3" t="n">
        <x:v>5</x:v>
      </x:c>
      <x:c r="B156" s="3" t="n">
        <x:v>19</x:v>
      </x:c>
      <x:c r="C156" s="3" t="n">
        <x:v>21</x:v>
      </x:c>
      <x:c r="D156" s="3" t="n">
        <x:v>4</x:v>
      </x:c>
      <x:c r="E156" s="3" t="n">
        <x:v>4</x:v>
      </x:c>
      <x:c r="F156" s="3" t="n">
        <x:v>1</x:v>
      </x:c>
    </x:row>
    <x:row r="157" ht="21" customHeight="1">
      <x:c r="A157" s="3" t="n">
        <x:v>5</x:v>
      </x:c>
      <x:c r="B157" s="3" t="n">
        <x:v>20</x:v>
      </x:c>
      <x:c r="C157" s="3" t="n">
        <x:v>22</x:v>
      </x:c>
      <x:c r="D157" s="3" t="n">
        <x:v>4</x:v>
      </x:c>
      <x:c r="E157" s="3" t="n">
        <x:v>4</x:v>
      </x:c>
      <x:c r="F157" s="3" t="n">
        <x:v>1</x:v>
      </x:c>
    </x:row>
    <x:row r="158" ht="21" customHeight="1">
      <x:c r="A158" s="3" t="n">
        <x:v>5</x:v>
      </x:c>
      <x:c r="B158" s="3" t="n">
        <x:v>21</x:v>
      </x:c>
      <x:c r="C158" s="3" t="n">
        <x:v>23</x:v>
      </x:c>
      <x:c r="D158" s="3" t="n">
        <x:v>4</x:v>
      </x:c>
      <x:c r="E158" s="3" t="n">
        <x:v>4</x:v>
      </x:c>
      <x:c r="F158" s="3" t="n">
        <x:v>1</x:v>
      </x:c>
    </x:row>
    <x:row r="159" ht="21" customHeight="1">
      <x:c r="A159" s="3" t="n">
        <x:v>5</x:v>
      </x:c>
      <x:c r="B159" s="3" t="n">
        <x:v>22</x:v>
      </x:c>
      <x:c r="C159" s="3" t="n">
        <x:v>24</x:v>
      </x:c>
      <x:c r="D159" s="3" t="n">
        <x:v>4</x:v>
      </x:c>
      <x:c r="E159" s="3" t="n">
        <x:v>4</x:v>
      </x:c>
      <x:c r="F159" s="3" t="n">
        <x:v>1</x:v>
      </x:c>
    </x:row>
    <x:row r="160" ht="21" customHeight="1">
      <x:c r="A160" s="3" t="n">
        <x:v>5</x:v>
      </x:c>
      <x:c r="B160" s="3" t="n">
        <x:v>23</x:v>
      </x:c>
      <x:c r="C160" s="3" t="n">
        <x:v>25</x:v>
      </x:c>
      <x:c r="D160" s="3" t="n">
        <x:v>4</x:v>
      </x:c>
      <x:c r="E160" s="3" t="n">
        <x:v>5</x:v>
      </x:c>
      <x:c r="F160" s="3" t="n">
        <x:v>2</x:v>
      </x:c>
    </x:row>
    <x:row r="161" ht="21" customHeight="1">
      <x:c r="A161" s="3" t="n">
        <x:v>5</x:v>
      </x:c>
      <x:c r="B161" s="3" t="n">
        <x:v>24</x:v>
      </x:c>
      <x:c r="C161" s="3" t="n">
        <x:v>26</x:v>
      </x:c>
      <x:c r="D161" s="3" t="n">
        <x:v>5</x:v>
      </x:c>
      <x:c r="E161" s="3" t="n">
        <x:v>5</x:v>
      </x:c>
      <x:c r="F161" s="3" t="n">
        <x:v>1</x:v>
      </x:c>
    </x:row>
    <x:row r="162" ht="21" customHeight="1">
      <x:c r="A162" s="3" t="n">
        <x:v>5</x:v>
      </x:c>
      <x:c r="B162" s="3" t="n">
        <x:v>25</x:v>
      </x:c>
      <x:c r="C162" s="3" t="n">
        <x:v>27</x:v>
      </x:c>
      <x:c r="D162" s="3" t="n">
        <x:v>5</x:v>
      </x:c>
      <x:c r="E162" s="3" t="n">
        <x:v>5</x:v>
      </x:c>
      <x:c r="F162" s="3" t="n">
        <x:v>1</x:v>
      </x:c>
    </x:row>
    <x:row r="163" ht="21" customHeight="1">
      <x:c r="A163" s="3" t="n">
        <x:v>5</x:v>
      </x:c>
      <x:c r="B163" s="3" t="n">
        <x:v>26</x:v>
      </x:c>
      <x:c r="C163" s="3" t="n">
        <x:v>28</x:v>
      </x:c>
      <x:c r="D163" s="3" t="n">
        <x:v>5</x:v>
      </x:c>
      <x:c r="E163" s="3" t="n">
        <x:v>5</x:v>
      </x:c>
      <x:c r="F163" s="3" t="n">
        <x:v>1</x:v>
      </x:c>
    </x:row>
    <x:row r="164" ht="21" customHeight="1">
      <x:c r="A164" s="3" t="n">
        <x:v>5</x:v>
      </x:c>
      <x:c r="B164" s="3" t="n">
        <x:v>27</x:v>
      </x:c>
      <x:c r="C164" s="3" t="n">
        <x:v>29</x:v>
      </x:c>
      <x:c r="D164" s="3" t="n">
        <x:v>5</x:v>
      </x:c>
      <x:c r="E164" s="3" t="n">
        <x:v>5</x:v>
      </x:c>
      <x:c r="F164" s="3" t="n">
        <x:v>1</x:v>
      </x:c>
    </x:row>
    <x:row r="165" ht="21" customHeight="1">
      <x:c r="A165" s="3" t="n">
        <x:v>5</x:v>
      </x:c>
      <x:c r="B165" s="3" t="n">
        <x:v>28</x:v>
      </x:c>
      <x:c r="C165" s="3" t="n">
        <x:v>30</x:v>
      </x:c>
      <x:c r="D165" s="3" t="n">
        <x:v>5</x:v>
      </x:c>
      <x:c r="E165" s="3" t="n">
        <x:v>5</x:v>
      </x:c>
      <x:c r="F165" s="3" t="n">
        <x:v>1</x:v>
      </x:c>
    </x:row>
    <x:row r="166" ht="21" customHeight="1">
      <x:c r="A166" s="3" t="n">
        <x:v>5</x:v>
      </x:c>
      <x:c r="B166" s="3" t="n">
        <x:v>29</x:v>
      </x:c>
      <x:c r="C166" s="3" t="n">
        <x:v>31</x:v>
      </x:c>
      <x:c r="D166" s="3" t="n">
        <x:v>5</x:v>
      </x:c>
      <x:c r="E166" s="3" t="n">
        <x:v>6</x:v>
      </x:c>
      <x:c r="F166" s="3" t="n">
        <x:v>2</x:v>
      </x:c>
    </x:row>
    <x:row r="167" ht="21" customHeight="1">
      <x:c r="A167" s="3" t="n">
        <x:v>5</x:v>
      </x:c>
      <x:c r="B167" s="3" t="n">
        <x:v>30</x:v>
      </x:c>
      <x:c r="C167" s="3" t="n">
        <x:v>32</x:v>
      </x:c>
      <x:c r="D167" s="3" t="n">
        <x:v>6</x:v>
      </x:c>
      <x:c r="E167" s="3" t="n">
        <x:v>6</x:v>
      </x:c>
      <x:c r="F167" s="3" t="n">
        <x:v>1</x:v>
      </x:c>
    </x:row>
    <x:row r="168" ht="21" customHeight="1">
      <x:c r="A168" s="3" t="n">
        <x:v>5</x:v>
      </x:c>
      <x:c r="B168" s="3" t="n">
        <x:v>31</x:v>
      </x:c>
      <x:c r="C168" s="3" t="n">
        <x:v>33</x:v>
      </x:c>
      <x:c r="D168" s="3" t="n">
        <x:v>6</x:v>
      </x:c>
      <x:c r="E168" s="3" t="n">
        <x:v>6</x:v>
      </x:c>
      <x:c r="F168" s="3" t="n">
        <x:v>1</x:v>
      </x:c>
    </x:row>
    <x:row r="169" ht="21" customHeight="1">
      <x:c r="A169" s="3" t="n">
        <x:v>5</x:v>
      </x:c>
      <x:c r="B169" s="3" t="n">
        <x:v>32</x:v>
      </x:c>
      <x:c r="C169" s="3" t="n">
        <x:v>34</x:v>
      </x:c>
      <x:c r="D169" s="3" t="n">
        <x:v>6</x:v>
      </x:c>
      <x:c r="E169" s="3" t="n">
        <x:v>6</x:v>
      </x:c>
      <x:c r="F169" s="3" t="n">
        <x:v>1</x:v>
      </x:c>
    </x:row>
    <x:row r="170" ht="21" customHeight="1">
      <x:c r="A170" s="3" t="n">
        <x:v>5</x:v>
      </x:c>
      <x:c r="B170" s="3" t="n">
        <x:v>33</x:v>
      </x:c>
      <x:c r="C170" s="3" t="n">
        <x:v>35</x:v>
      </x:c>
      <x:c r="D170" s="3" t="n">
        <x:v>6</x:v>
      </x:c>
      <x:c r="E170" s="3" t="n">
        <x:v>6</x:v>
      </x:c>
      <x:c r="F170" s="3" t="n">
        <x:v>1</x:v>
      </x:c>
    </x:row>
    <x:row r="171" ht="21" customHeight="1">
      <x:c r="A171" s="3" t="n">
        <x:v>5</x:v>
      </x:c>
      <x:c r="B171" s="3" t="n">
        <x:v>34</x:v>
      </x:c>
      <x:c r="C171" s="3" t="n">
        <x:v>36</x:v>
      </x:c>
      <x:c r="D171" s="3" t="n">
        <x:v>6</x:v>
      </x:c>
      <x:c r="E171" s="3" t="n">
        <x:v>6</x:v>
      </x:c>
      <x:c r="F171" s="3" t="n">
        <x:v>1</x:v>
      </x:c>
    </x:row>
    <x:row r="172" ht="21" customHeight="1">
      <x:c r="A172" s="3" t="n">
        <x:v>6</x:v>
      </x:c>
      <x:c r="B172" s="3" t="n">
        <x:v>0</x:v>
      </x:c>
      <x:c r="C172" s="3" t="n">
        <x:v>5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6</x:v>
      </x:c>
      <x:c r="B173" s="3" t="n">
        <x:v>1</x:v>
      </x:c>
      <x:c r="C173" s="3" t="n">
        <x:v>6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6</x:v>
      </x:c>
      <x:c r="B174" s="3" t="n">
        <x:v>2</x:v>
      </x:c>
      <x:c r="C174" s="3" t="n">
        <x:v>7</x:v>
      </x:c>
      <x:c r="D174" s="3" t="n">
        <x:v>1</x:v>
      </x:c>
      <x:c r="E174" s="3" t="n">
        <x:v>2</x:v>
      </x:c>
      <x:c r="F174" s="3" t="n">
        <x:v>2</x:v>
      </x:c>
    </x:row>
    <x:row r="175" ht="21" customHeight="1">
      <x:c r="A175" s="3" t="n">
        <x:v>6</x:v>
      </x:c>
      <x:c r="B175" s="3" t="n">
        <x:v>3</x:v>
      </x:c>
      <x:c r="C175" s="3" t="n">
        <x:v>8</x:v>
      </x:c>
      <x:c r="D175" s="3" t="n">
        <x:v>1</x:v>
      </x:c>
      <x:c r="E175" s="3" t="n">
        <x:v>2</x:v>
      </x:c>
      <x:c r="F175" s="3" t="n">
        <x:v>2</x:v>
      </x:c>
    </x:row>
    <x:row r="176" ht="21" customHeight="1">
      <x:c r="A176" s="3" t="n">
        <x:v>6</x:v>
      </x:c>
      <x:c r="B176" s="3" t="n">
        <x:v>4</x:v>
      </x:c>
      <x:c r="C176" s="3" t="n">
        <x:v>9</x:v>
      </x:c>
      <x:c r="D176" s="3" t="n">
        <x:v>1</x:v>
      </x:c>
      <x:c r="E176" s="3" t="n">
        <x:v>2</x:v>
      </x:c>
      <x:c r="F176" s="3" t="n">
        <x:v>2</x:v>
      </x:c>
    </x:row>
    <x:row r="177" ht="21" customHeight="1">
      <x:c r="A177" s="3" t="n">
        <x:v>6</x:v>
      </x:c>
      <x:c r="B177" s="3" t="n">
        <x:v>5</x:v>
      </x:c>
      <x:c r="C177" s="3" t="n">
        <x:v>10</x:v>
      </x:c>
      <x:c r="D177" s="3" t="n">
        <x:v>1</x:v>
      </x:c>
      <x:c r="E177" s="3" t="n">
        <x:v>2</x:v>
      </x:c>
      <x:c r="F177" s="3" t="n">
        <x:v>2</x:v>
      </x:c>
    </x:row>
    <x:row r="178" ht="21" customHeight="1">
      <x:c r="A178" s="3" t="n">
        <x:v>6</x:v>
      </x:c>
      <x:c r="B178" s="3" t="n">
        <x:v>6</x:v>
      </x:c>
      <x:c r="C178" s="3" t="n">
        <x:v>11</x:v>
      </x:c>
      <x:c r="D178" s="3" t="n">
        <x:v>2</x:v>
      </x:c>
      <x:c r="E178" s="3" t="n">
        <x:v>2</x:v>
      </x:c>
      <x:c r="F178" s="3" t="n">
        <x:v>1</x:v>
      </x:c>
    </x:row>
    <x:row r="179" ht="21" customHeight="1">
      <x:c r="A179" s="3" t="n">
        <x:v>6</x:v>
      </x:c>
      <x:c r="B179" s="3" t="n">
        <x:v>7</x:v>
      </x:c>
      <x:c r="C179" s="3" t="n">
        <x:v>12</x:v>
      </x:c>
      <x:c r="D179" s="3" t="n">
        <x:v>2</x:v>
      </x:c>
      <x:c r="E179" s="3" t="n">
        <x:v>2</x:v>
      </x:c>
      <x:c r="F179" s="3" t="n">
        <x:v>1</x:v>
      </x:c>
    </x:row>
    <x:row r="180" ht="21" customHeight="1">
      <x:c r="A180" s="3" t="n">
        <x:v>6</x:v>
      </x:c>
      <x:c r="B180" s="3" t="n">
        <x:v>8</x:v>
      </x:c>
      <x:c r="C180" s="3" t="n">
        <x:v>13</x:v>
      </x:c>
      <x:c r="D180" s="3" t="n">
        <x:v>2</x:v>
      </x:c>
      <x:c r="E180" s="3" t="n">
        <x:v>3</x:v>
      </x:c>
      <x:c r="F180" s="3" t="n">
        <x:v>2</x:v>
      </x:c>
    </x:row>
    <x:row r="181" ht="21" customHeight="1">
      <x:c r="A181" s="3" t="n">
        <x:v>6</x:v>
      </x:c>
      <x:c r="B181" s="3" t="n">
        <x:v>9</x:v>
      </x:c>
      <x:c r="C181" s="3" t="n">
        <x:v>14</x:v>
      </x:c>
      <x:c r="D181" s="3" t="n">
        <x:v>2</x:v>
      </x:c>
      <x:c r="E181" s="3" t="n">
        <x:v>3</x:v>
      </x:c>
      <x:c r="F181" s="3" t="n">
        <x:v>2</x:v>
      </x:c>
    </x:row>
    <x:row r="182" ht="21" customHeight="1">
      <x:c r="A182" s="3" t="n">
        <x:v>6</x:v>
      </x:c>
      <x:c r="B182" s="3" t="n">
        <x:v>10</x:v>
      </x:c>
      <x:c r="C182" s="3" t="n">
        <x:v>15</x:v>
      </x:c>
      <x:c r="D182" s="3" t="n">
        <x:v>2</x:v>
      </x:c>
      <x:c r="E182" s="3" t="n">
        <x:v>3</x:v>
      </x:c>
      <x:c r="F182" s="3" t="n">
        <x:v>2</x:v>
      </x:c>
    </x:row>
    <x:row r="183" ht="21" customHeight="1">
      <x:c r="A183" s="3" t="n">
        <x:v>6</x:v>
      </x:c>
      <x:c r="B183" s="3" t="n">
        <x:v>11</x:v>
      </x:c>
      <x:c r="C183" s="3" t="n">
        <x:v>16</x:v>
      </x:c>
      <x:c r="D183" s="3" t="n">
        <x:v>2</x:v>
      </x:c>
      <x:c r="E183" s="3" t="n">
        <x:v>3</x:v>
      </x:c>
      <x:c r="F183" s="3" t="n">
        <x:v>2</x:v>
      </x:c>
    </x:row>
    <x:row r="184" ht="21" customHeight="1">
      <x:c r="A184" s="3" t="n">
        <x:v>6</x:v>
      </x:c>
      <x:c r="B184" s="3" t="n">
        <x:v>12</x:v>
      </x:c>
      <x:c r="C184" s="3" t="n">
        <x:v>17</x:v>
      </x:c>
      <x:c r="D184" s="3" t="n">
        <x:v>3</x:v>
      </x:c>
      <x:c r="E184" s="3" t="n">
        <x:v>3</x:v>
      </x:c>
      <x:c r="F184" s="3" t="n">
        <x:v>1</x:v>
      </x:c>
    </x:row>
    <x:row r="185" ht="21" customHeight="1">
      <x:c r="A185" s="3" t="n">
        <x:v>6</x:v>
      </x:c>
      <x:c r="B185" s="3" t="n">
        <x:v>13</x:v>
      </x:c>
      <x:c r="C185" s="3" t="n">
        <x:v>18</x:v>
      </x:c>
      <x:c r="D185" s="3" t="n">
        <x:v>3</x:v>
      </x:c>
      <x:c r="E185" s="3" t="n">
        <x:v>3</x:v>
      </x:c>
      <x:c r="F185" s="3" t="n">
        <x:v>1</x:v>
      </x:c>
    </x:row>
    <x:row r="186" ht="21" customHeight="1">
      <x:c r="A186" s="3" t="n">
        <x:v>6</x:v>
      </x:c>
      <x:c r="B186" s="3" t="n">
        <x:v>14</x:v>
      </x:c>
      <x:c r="C186" s="3" t="n">
        <x:v>19</x:v>
      </x:c>
      <x:c r="D186" s="3" t="n">
        <x:v>3</x:v>
      </x:c>
      <x:c r="E186" s="3" t="n">
        <x:v>4</x:v>
      </x:c>
      <x:c r="F186" s="3" t="n">
        <x:v>2</x:v>
      </x:c>
    </x:row>
    <x:row r="187" ht="21" customHeight="1">
      <x:c r="A187" s="3" t="n">
        <x:v>6</x:v>
      </x:c>
      <x:c r="B187" s="3" t="n">
        <x:v>15</x:v>
      </x:c>
      <x:c r="C187" s="3" t="n">
        <x:v>20</x:v>
      </x:c>
      <x:c r="D187" s="3" t="n">
        <x:v>3</x:v>
      </x:c>
      <x:c r="E187" s="3" t="n">
        <x:v>4</x:v>
      </x:c>
      <x:c r="F187" s="3" t="n">
        <x:v>2</x:v>
      </x:c>
    </x:row>
    <x:row r="188" ht="21" customHeight="1">
      <x:c r="A188" s="3" t="n">
        <x:v>6</x:v>
      </x:c>
      <x:c r="B188" s="3" t="n">
        <x:v>16</x:v>
      </x:c>
      <x:c r="C188" s="3" t="n">
        <x:v>21</x:v>
      </x:c>
      <x:c r="D188" s="3" t="n">
        <x:v>3</x:v>
      </x:c>
      <x:c r="E188" s="3" t="n">
        <x:v>4</x:v>
      </x:c>
      <x:c r="F188" s="3" t="n">
        <x:v>2</x:v>
      </x:c>
    </x:row>
    <x:row r="189" ht="21" customHeight="1">
      <x:c r="A189" s="3" t="n">
        <x:v>6</x:v>
      </x:c>
      <x:c r="B189" s="3" t="n">
        <x:v>17</x:v>
      </x:c>
      <x:c r="C189" s="3" t="n">
        <x:v>22</x:v>
      </x:c>
      <x:c r="D189" s="3" t="n">
        <x:v>3</x:v>
      </x:c>
      <x:c r="E189" s="3" t="n">
        <x:v>4</x:v>
      </x:c>
      <x:c r="F189" s="3" t="n">
        <x:v>2</x:v>
      </x:c>
    </x:row>
    <x:row r="190" ht="21" customHeight="1">
      <x:c r="A190" s="3" t="n">
        <x:v>6</x:v>
      </x:c>
      <x:c r="B190" s="3" t="n">
        <x:v>18</x:v>
      </x:c>
      <x:c r="C190" s="3" t="n">
        <x:v>23</x:v>
      </x:c>
      <x:c r="D190" s="3" t="n">
        <x:v>4</x:v>
      </x:c>
      <x:c r="E190" s="3" t="n">
        <x:v>4</x:v>
      </x:c>
      <x:c r="F190" s="3" t="n">
        <x:v>1</x:v>
      </x:c>
    </x:row>
    <x:row r="191" ht="21" customHeight="1">
      <x:c r="A191" s="3" t="n">
        <x:v>6</x:v>
      </x:c>
      <x:c r="B191" s="3" t="n">
        <x:v>19</x:v>
      </x:c>
      <x:c r="C191" s="3" t="n">
        <x:v>24</x:v>
      </x:c>
      <x:c r="D191" s="3" t="n">
        <x:v>4</x:v>
      </x:c>
      <x:c r="E191" s="3" t="n">
        <x:v>4</x:v>
      </x:c>
      <x:c r="F191" s="3" t="n">
        <x:v>1</x:v>
      </x:c>
    </x:row>
    <x:row r="192" ht="21" customHeight="1">
      <x:c r="A192" s="3" t="n">
        <x:v>6</x:v>
      </x:c>
      <x:c r="B192" s="3" t="n">
        <x:v>20</x:v>
      </x:c>
      <x:c r="C192" s="3" t="n">
        <x:v>25</x:v>
      </x:c>
      <x:c r="D192" s="3" t="n">
        <x:v>4</x:v>
      </x:c>
      <x:c r="E192" s="3" t="n">
        <x:v>5</x:v>
      </x:c>
      <x:c r="F192" s="3" t="n">
        <x:v>2</x:v>
      </x:c>
    </x:row>
    <x:row r="193" ht="21" customHeight="1">
      <x:c r="A193" s="3" t="n">
        <x:v>6</x:v>
      </x:c>
      <x:c r="B193" s="3" t="n">
        <x:v>21</x:v>
      </x:c>
      <x:c r="C193" s="3" t="n">
        <x:v>26</x:v>
      </x:c>
      <x:c r="D193" s="3" t="n">
        <x:v>4</x:v>
      </x:c>
      <x:c r="E193" s="3" t="n">
        <x:v>5</x:v>
      </x:c>
      <x:c r="F193" s="3" t="n">
        <x:v>2</x:v>
      </x:c>
    </x:row>
    <x:row r="194" ht="21" customHeight="1">
      <x:c r="A194" s="3" t="n">
        <x:v>6</x:v>
      </x:c>
      <x:c r="B194" s="3" t="n">
        <x:v>22</x:v>
      </x:c>
      <x:c r="C194" s="3" t="n">
        <x:v>27</x:v>
      </x:c>
      <x:c r="D194" s="3" t="n">
        <x:v>4</x:v>
      </x:c>
      <x:c r="E194" s="3" t="n">
        <x:v>5</x:v>
      </x:c>
      <x:c r="F194" s="3" t="n">
        <x:v>2</x:v>
      </x:c>
    </x:row>
    <x:row r="195" ht="21" customHeight="1">
      <x:c r="A195" s="3" t="n">
        <x:v>6</x:v>
      </x:c>
      <x:c r="B195" s="3" t="n">
        <x:v>23</x:v>
      </x:c>
      <x:c r="C195" s="3" t="n">
        <x:v>28</x:v>
      </x:c>
      <x:c r="D195" s="3" t="n">
        <x:v>4</x:v>
      </x:c>
      <x:c r="E195" s="3" t="n">
        <x:v>5</x:v>
      </x:c>
      <x:c r="F195" s="3" t="n">
        <x:v>2</x:v>
      </x:c>
    </x:row>
    <x:row r="196" ht="21" customHeight="1">
      <x:c r="A196" s="3" t="n">
        <x:v>6</x:v>
      </x:c>
      <x:c r="B196" s="3" t="n">
        <x:v>24</x:v>
      </x:c>
      <x:c r="C196" s="3" t="n">
        <x:v>29</x:v>
      </x:c>
      <x:c r="D196" s="3" t="n">
        <x:v>5</x:v>
      </x:c>
      <x:c r="E196" s="3" t="n">
        <x:v>5</x:v>
      </x:c>
      <x:c r="F196" s="3" t="n">
        <x:v>1</x:v>
      </x:c>
    </x:row>
    <x:row r="197" ht="21" customHeight="1">
      <x:c r="A197" s="3" t="n">
        <x:v>6</x:v>
      </x:c>
      <x:c r="B197" s="3" t="n">
        <x:v>25</x:v>
      </x:c>
      <x:c r="C197" s="3" t="n">
        <x:v>30</x:v>
      </x:c>
      <x:c r="D197" s="3" t="n">
        <x:v>5</x:v>
      </x:c>
      <x:c r="E197" s="3" t="n">
        <x:v>5</x:v>
      </x:c>
      <x:c r="F197" s="3" t="n">
        <x:v>1</x:v>
      </x:c>
    </x:row>
    <x:row r="198" ht="21" customHeight="1">
      <x:c r="A198" s="3" t="n">
        <x:v>6</x:v>
      </x:c>
      <x:c r="B198" s="3" t="n">
        <x:v>26</x:v>
      </x:c>
      <x:c r="C198" s="3" t="n">
        <x:v>31</x:v>
      </x:c>
      <x:c r="D198" s="3" t="n">
        <x:v>5</x:v>
      </x:c>
      <x:c r="E198" s="3" t="n">
        <x:v>6</x:v>
      </x:c>
      <x:c r="F198" s="3" t="n">
        <x:v>2</x:v>
      </x:c>
    </x:row>
    <x:row r="199" ht="21" customHeight="1">
      <x:c r="A199" s="3" t="n">
        <x:v>6</x:v>
      </x:c>
      <x:c r="B199" s="3" t="n">
        <x:v>27</x:v>
      </x:c>
      <x:c r="C199" s="3" t="n">
        <x:v>32</x:v>
      </x:c>
      <x:c r="D199" s="3" t="n">
        <x:v>5</x:v>
      </x:c>
      <x:c r="E199" s="3" t="n">
        <x:v>6</x:v>
      </x:c>
      <x:c r="F199" s="3" t="n">
        <x:v>2</x:v>
      </x:c>
    </x:row>
    <x:row r="200" ht="21" customHeight="1">
      <x:c r="A200" s="3" t="n">
        <x:v>6</x:v>
      </x:c>
      <x:c r="B200" s="3" t="n">
        <x:v>28</x:v>
      </x:c>
      <x:c r="C200" s="3" t="n">
        <x:v>33</x:v>
      </x:c>
      <x:c r="D200" s="3" t="n">
        <x:v>5</x:v>
      </x:c>
      <x:c r="E200" s="3" t="n">
        <x:v>6</x:v>
      </x:c>
      <x:c r="F200" s="3" t="n">
        <x:v>2</x:v>
      </x:c>
    </x:row>
    <x:row r="201" ht="21" customHeight="1">
      <x:c r="A201" s="3" t="n">
        <x:v>6</x:v>
      </x:c>
      <x:c r="B201" s="3" t="n">
        <x:v>29</x:v>
      </x:c>
      <x:c r="C201" s="3" t="n">
        <x:v>34</x:v>
      </x:c>
      <x:c r="D201" s="3" t="n">
        <x:v>5</x:v>
      </x:c>
      <x:c r="E201" s="3" t="n">
        <x:v>6</x:v>
      </x:c>
      <x:c r="F201" s="3" t="n">
        <x:v>2</x:v>
      </x:c>
    </x:row>
    <x:row r="202" ht="21" customHeight="1">
      <x:c r="A202" s="3" t="n">
        <x:v>6</x:v>
      </x:c>
      <x:c r="B202" s="3" t="n">
        <x:v>30</x:v>
      </x:c>
      <x:c r="C202" s="3" t="n">
        <x:v>35</x:v>
      </x:c>
      <x:c r="D202" s="3" t="n">
        <x:v>6</x:v>
      </x:c>
      <x:c r="E202" s="3" t="n">
        <x:v>6</x:v>
      </x:c>
      <x:c r="F202" s="3" t="n">
        <x:v>1</x:v>
      </x:c>
    </x:row>
    <x:row r="203" ht="21" customHeight="1">
      <x:c r="A203" s="3" t="n">
        <x:v>6</x:v>
      </x:c>
      <x:c r="B203" s="3" t="n">
        <x:v>31</x:v>
      </x:c>
      <x:c r="C203" s="3" t="n">
        <x:v>36</x:v>
      </x:c>
      <x:c r="D203" s="3" t="n">
        <x:v>6</x:v>
      </x:c>
      <x:c r="E203" s="3" t="n">
        <x:v>6</x:v>
      </x:c>
      <x:c r="F203" s="3" t="n">
        <x:v>1</x:v>
      </x:c>
    </x:row>
    <x:row r="204" ht="21" customHeight="1">
      <x:c r="A204" s="3" t="n">
        <x:v>7</x:v>
      </x:c>
      <x:c r="B204" s="3" t="n">
        <x:v>0</x:v>
      </x:c>
      <x:c r="C204" s="3" t="n">
        <x:v>3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7</x:v>
      </x:c>
      <x:c r="B205" s="3" t="n">
        <x:v>1</x:v>
      </x:c>
      <x:c r="C205" s="3" t="n">
        <x:v>4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7</x:v>
      </x:c>
      <x:c r="B206" s="3" t="n">
        <x:v>2</x:v>
      </x:c>
      <x:c r="C206" s="3" t="n">
        <x:v>5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7</x:v>
      </x:c>
      <x:c r="B207" s="3" t="n">
        <x:v>3</x:v>
      </x:c>
      <x:c r="C207" s="3" t="n">
        <x:v>6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7</x:v>
      </x:c>
      <x:c r="B208" s="3" t="n">
        <x:v>4</x:v>
      </x:c>
      <x:c r="C208" s="3" t="n">
        <x:v>7</x:v>
      </x:c>
      <x:c r="D208" s="3" t="n">
        <x:v>1</x:v>
      </x:c>
      <x:c r="E208" s="3" t="n">
        <x:v>2</x:v>
      </x:c>
      <x:c r="F208" s="3" t="n">
        <x:v>2</x:v>
      </x:c>
    </x:row>
    <x:row r="209" ht="21" customHeight="1">
      <x:c r="A209" s="3" t="n">
        <x:v>7</x:v>
      </x:c>
      <x:c r="B209" s="3" t="n">
        <x:v>5</x:v>
      </x:c>
      <x:c r="C209" s="3" t="n">
        <x:v>8</x:v>
      </x:c>
      <x:c r="D209" s="3" t="n">
        <x:v>1</x:v>
      </x:c>
      <x:c r="E209" s="3" t="n">
        <x:v>2</x:v>
      </x:c>
      <x:c r="F209" s="3" t="n">
        <x:v>2</x:v>
      </x:c>
    </x:row>
    <x:row r="210" ht="21" customHeight="1">
      <x:c r="A210" s="3" t="n">
        <x:v>7</x:v>
      </x:c>
      <x:c r="B210" s="3" t="n">
        <x:v>6</x:v>
      </x:c>
      <x:c r="C210" s="3" t="n">
        <x:v>9</x:v>
      </x:c>
      <x:c r="D210" s="3" t="n">
        <x:v>2</x:v>
      </x:c>
      <x:c r="E210" s="3" t="n">
        <x:v>2</x:v>
      </x:c>
      <x:c r="F210" s="3" t="n">
        <x:v>1</x:v>
      </x:c>
    </x:row>
    <x:row r="211" ht="21" customHeight="1">
      <x:c r="A211" s="3" t="n">
        <x:v>7</x:v>
      </x:c>
      <x:c r="B211" s="3" t="n">
        <x:v>7</x:v>
      </x:c>
      <x:c r="C211" s="3" t="n">
        <x:v>10</x:v>
      </x:c>
      <x:c r="D211" s="3" t="n">
        <x:v>2</x:v>
      </x:c>
      <x:c r="E211" s="3" t="n">
        <x:v>2</x:v>
      </x:c>
      <x:c r="F211" s="3" t="n">
        <x:v>1</x:v>
      </x:c>
    </x:row>
    <x:row r="212" ht="21" customHeight="1">
      <x:c r="A212" s="3" t="n">
        <x:v>7</x:v>
      </x:c>
      <x:c r="B212" s="3" t="n">
        <x:v>8</x:v>
      </x:c>
      <x:c r="C212" s="3" t="n">
        <x:v>11</x:v>
      </x:c>
      <x:c r="D212" s="3" t="n">
        <x:v>2</x:v>
      </x:c>
      <x:c r="E212" s="3" t="n">
        <x:v>2</x:v>
      </x:c>
      <x:c r="F212" s="3" t="n">
        <x:v>1</x:v>
      </x:c>
    </x:row>
    <x:row r="213" ht="21" customHeight="1">
      <x:c r="A213" s="3" t="n">
        <x:v>7</x:v>
      </x:c>
      <x:c r="B213" s="3" t="n">
        <x:v>9</x:v>
      </x:c>
      <x:c r="C213" s="3" t="n">
        <x:v>12</x:v>
      </x:c>
      <x:c r="D213" s="3" t="n">
        <x:v>2</x:v>
      </x:c>
      <x:c r="E213" s="3" t="n">
        <x:v>2</x:v>
      </x:c>
      <x:c r="F213" s="3" t="n">
        <x:v>1</x:v>
      </x:c>
    </x:row>
    <x:row r="214" ht="21" customHeight="1">
      <x:c r="A214" s="3" t="n">
        <x:v>7</x:v>
      </x:c>
      <x:c r="B214" s="3" t="n">
        <x:v>10</x:v>
      </x:c>
      <x:c r="C214" s="3" t="n">
        <x:v>13</x:v>
      </x:c>
      <x:c r="D214" s="3" t="n">
        <x:v>2</x:v>
      </x:c>
      <x:c r="E214" s="3" t="n">
        <x:v>3</x:v>
      </x:c>
      <x:c r="F214" s="3" t="n">
        <x:v>2</x:v>
      </x:c>
    </x:row>
    <x:row r="215" ht="21" customHeight="1">
      <x:c r="A215" s="3" t="n">
        <x:v>7</x:v>
      </x:c>
      <x:c r="B215" s="3" t="n">
        <x:v>11</x:v>
      </x:c>
      <x:c r="C215" s="3" t="n">
        <x:v>14</x:v>
      </x:c>
      <x:c r="D215" s="3" t="n">
        <x:v>2</x:v>
      </x:c>
      <x:c r="E215" s="3" t="n">
        <x:v>3</x:v>
      </x:c>
      <x:c r="F215" s="3" t="n">
        <x:v>2</x:v>
      </x:c>
    </x:row>
    <x:row r="216" ht="21" customHeight="1">
      <x:c r="A216" s="3" t="n">
        <x:v>7</x:v>
      </x:c>
      <x:c r="B216" s="3" t="n">
        <x:v>12</x:v>
      </x:c>
      <x:c r="C216" s="3" t="n">
        <x:v>15</x:v>
      </x:c>
      <x:c r="D216" s="3" t="n">
        <x:v>3</x:v>
      </x:c>
      <x:c r="E216" s="3" t="n">
        <x:v>3</x:v>
      </x:c>
      <x:c r="F216" s="3" t="n">
        <x:v>1</x:v>
      </x:c>
    </x:row>
    <x:row r="217" ht="21" customHeight="1">
      <x:c r="A217" s="3" t="n">
        <x:v>7</x:v>
      </x:c>
      <x:c r="B217" s="3" t="n">
        <x:v>13</x:v>
      </x:c>
      <x:c r="C217" s="3" t="n">
        <x:v>16</x:v>
      </x:c>
      <x:c r="D217" s="3" t="n">
        <x:v>3</x:v>
      </x:c>
      <x:c r="E217" s="3" t="n">
        <x:v>3</x:v>
      </x:c>
      <x:c r="F217" s="3" t="n">
        <x:v>1</x:v>
      </x:c>
    </x:row>
    <x:row r="218" ht="21" customHeight="1">
      <x:c r="A218" s="3" t="n">
        <x:v>7</x:v>
      </x:c>
      <x:c r="B218" s="3" t="n">
        <x:v>14</x:v>
      </x:c>
      <x:c r="C218" s="3" t="n">
        <x:v>17</x:v>
      </x:c>
      <x:c r="D218" s="3" t="n">
        <x:v>3</x:v>
      </x:c>
      <x:c r="E218" s="3" t="n">
        <x:v>3</x:v>
      </x:c>
      <x:c r="F218" s="3" t="n">
        <x:v>1</x:v>
      </x:c>
    </x:row>
    <x:row r="219" ht="21" customHeight="1">
      <x:c r="A219" s="3" t="n">
        <x:v>7</x:v>
      </x:c>
      <x:c r="B219" s="3" t="n">
        <x:v>15</x:v>
      </x:c>
      <x:c r="C219" s="3" t="n">
        <x:v>18</x:v>
      </x:c>
      <x:c r="D219" s="3" t="n">
        <x:v>3</x:v>
      </x:c>
      <x:c r="E219" s="3" t="n">
        <x:v>3</x:v>
      </x:c>
      <x:c r="F219" s="3" t="n">
        <x:v>1</x:v>
      </x:c>
    </x:row>
    <x:row r="220" ht="21" customHeight="1">
      <x:c r="A220" s="3" t="n">
        <x:v>7</x:v>
      </x:c>
      <x:c r="B220" s="3" t="n">
        <x:v>16</x:v>
      </x:c>
      <x:c r="C220" s="3" t="n">
        <x:v>19</x:v>
      </x:c>
      <x:c r="D220" s="3" t="n">
        <x:v>3</x:v>
      </x:c>
      <x:c r="E220" s="3" t="n">
        <x:v>4</x:v>
      </x:c>
      <x:c r="F220" s="3" t="n">
        <x:v>2</x:v>
      </x:c>
    </x:row>
    <x:row r="221" ht="21" customHeight="1">
      <x:c r="A221" s="3" t="n">
        <x:v>7</x:v>
      </x:c>
      <x:c r="B221" s="3" t="n">
        <x:v>17</x:v>
      </x:c>
      <x:c r="C221" s="3" t="n">
        <x:v>20</x:v>
      </x:c>
      <x:c r="D221" s="3" t="n">
        <x:v>3</x:v>
      </x:c>
      <x:c r="E221" s="3" t="n">
        <x:v>4</x:v>
      </x:c>
      <x:c r="F221" s="3" t="n">
        <x:v>2</x:v>
      </x:c>
    </x:row>
    <x:row r="222" ht="21" customHeight="1">
      <x:c r="A222" s="3" t="n">
        <x:v>7</x:v>
      </x:c>
      <x:c r="B222" s="3" t="n">
        <x:v>18</x:v>
      </x:c>
      <x:c r="C222" s="3" t="n">
        <x:v>21</x:v>
      </x:c>
      <x:c r="D222" s="3" t="n">
        <x:v>4</x:v>
      </x:c>
      <x:c r="E222" s="3" t="n">
        <x:v>4</x:v>
      </x:c>
      <x:c r="F222" s="3" t="n">
        <x:v>1</x:v>
      </x:c>
    </x:row>
    <x:row r="223" ht="21" customHeight="1">
      <x:c r="A223" s="3" t="n">
        <x:v>7</x:v>
      </x:c>
      <x:c r="B223" s="3" t="n">
        <x:v>19</x:v>
      </x:c>
      <x:c r="C223" s="3" t="n">
        <x:v>22</x:v>
      </x:c>
      <x:c r="D223" s="3" t="n">
        <x:v>4</x:v>
      </x:c>
      <x:c r="E223" s="3" t="n">
        <x:v>4</x:v>
      </x:c>
      <x:c r="F223" s="3" t="n">
        <x:v>1</x:v>
      </x:c>
    </x:row>
    <x:row r="224" ht="21" customHeight="1">
      <x:c r="A224" s="3" t="n">
        <x:v>7</x:v>
      </x:c>
      <x:c r="B224" s="3" t="n">
        <x:v>20</x:v>
      </x:c>
      <x:c r="C224" s="3" t="n">
        <x:v>23</x:v>
      </x:c>
      <x:c r="D224" s="3" t="n">
        <x:v>4</x:v>
      </x:c>
      <x:c r="E224" s="3" t="n">
        <x:v>4</x:v>
      </x:c>
      <x:c r="F224" s="3" t="n">
        <x:v>1</x:v>
      </x:c>
    </x:row>
    <x:row r="225" ht="21" customHeight="1">
      <x:c r="A225" s="3" t="n">
        <x:v>7</x:v>
      </x:c>
      <x:c r="B225" s="3" t="n">
        <x:v>21</x:v>
      </x:c>
      <x:c r="C225" s="3" t="n">
        <x:v>24</x:v>
      </x:c>
      <x:c r="D225" s="3" t="n">
        <x:v>4</x:v>
      </x:c>
      <x:c r="E225" s="3" t="n">
        <x:v>4</x:v>
      </x:c>
      <x:c r="F225" s="3" t="n">
        <x:v>1</x:v>
      </x:c>
    </x:row>
    <x:row r="226" ht="21" customHeight="1">
      <x:c r="A226" s="3" t="n">
        <x:v>7</x:v>
      </x:c>
      <x:c r="B226" s="3" t="n">
        <x:v>22</x:v>
      </x:c>
      <x:c r="C226" s="3" t="n">
        <x:v>25</x:v>
      </x:c>
      <x:c r="D226" s="3" t="n">
        <x:v>4</x:v>
      </x:c>
      <x:c r="E226" s="3" t="n">
        <x:v>5</x:v>
      </x:c>
      <x:c r="F226" s="3" t="n">
        <x:v>2</x:v>
      </x:c>
    </x:row>
    <x:row r="227" ht="21" customHeight="1">
      <x:c r="A227" s="3" t="n">
        <x:v>7</x:v>
      </x:c>
      <x:c r="B227" s="3" t="n">
        <x:v>23</x:v>
      </x:c>
      <x:c r="C227" s="3" t="n">
        <x:v>26</x:v>
      </x:c>
      <x:c r="D227" s="3" t="n">
        <x:v>4</x:v>
      </x:c>
      <x:c r="E227" s="3" t="n">
        <x:v>5</x:v>
      </x:c>
      <x:c r="F227" s="3" t="n">
        <x:v>2</x:v>
      </x:c>
    </x:row>
    <x:row r="228" ht="21" customHeight="1">
      <x:c r="A228" s="3" t="n">
        <x:v>7</x:v>
      </x:c>
      <x:c r="B228" s="3" t="n">
        <x:v>24</x:v>
      </x:c>
      <x:c r="C228" s="3" t="n">
        <x:v>27</x:v>
      </x:c>
      <x:c r="D228" s="3" t="n">
        <x:v>5</x:v>
      </x:c>
      <x:c r="E228" s="3" t="n">
        <x:v>5</x:v>
      </x:c>
      <x:c r="F228" s="3" t="n">
        <x:v>1</x:v>
      </x:c>
    </x:row>
    <x:row r="229" ht="21" customHeight="1">
      <x:c r="A229" s="3" t="n">
        <x:v>7</x:v>
      </x:c>
      <x:c r="B229" s="3" t="n">
        <x:v>25</x:v>
      </x:c>
      <x:c r="C229" s="3" t="n">
        <x:v>28</x:v>
      </x:c>
      <x:c r="D229" s="3" t="n">
        <x:v>5</x:v>
      </x:c>
      <x:c r="E229" s="3" t="n">
        <x:v>5</x:v>
      </x:c>
      <x:c r="F229" s="3" t="n">
        <x:v>1</x:v>
      </x:c>
    </x:row>
    <x:row r="230" ht="21" customHeight="1">
      <x:c r="A230" s="3" t="n">
        <x:v>7</x:v>
      </x:c>
      <x:c r="B230" s="3" t="n">
        <x:v>26</x:v>
      </x:c>
      <x:c r="C230" s="3" t="n">
        <x:v>29</x:v>
      </x:c>
      <x:c r="D230" s="3" t="n">
        <x:v>5</x:v>
      </x:c>
      <x:c r="E230" s="3" t="n">
        <x:v>5</x:v>
      </x:c>
      <x:c r="F230" s="3" t="n">
        <x:v>1</x:v>
      </x:c>
    </x:row>
    <x:row r="231" ht="21" customHeight="1">
      <x:c r="A231" s="3" t="n">
        <x:v>7</x:v>
      </x:c>
      <x:c r="B231" s="3" t="n">
        <x:v>27</x:v>
      </x:c>
      <x:c r="C231" s="3" t="n">
        <x:v>30</x:v>
      </x:c>
      <x:c r="D231" s="3" t="n">
        <x:v>5</x:v>
      </x:c>
      <x:c r="E231" s="3" t="n">
        <x:v>5</x:v>
      </x:c>
      <x:c r="F231" s="3" t="n">
        <x:v>1</x:v>
      </x:c>
    </x:row>
    <x:row r="232" ht="21" customHeight="1">
      <x:c r="A232" s="3" t="n">
        <x:v>7</x:v>
      </x:c>
      <x:c r="B232" s="3" t="n">
        <x:v>28</x:v>
      </x:c>
      <x:c r="C232" s="3" t="n">
        <x:v>31</x:v>
      </x:c>
      <x:c r="D232" s="3" t="n">
        <x:v>5</x:v>
      </x:c>
      <x:c r="E232" s="3" t="n">
        <x:v>6</x:v>
      </x:c>
      <x:c r="F232" s="3" t="n">
        <x:v>2</x:v>
      </x:c>
    </x:row>
    <x:row r="233" ht="21" customHeight="1">
      <x:c r="A233" s="3" t="n">
        <x:v>7</x:v>
      </x:c>
      <x:c r="B233" s="3" t="n">
        <x:v>29</x:v>
      </x:c>
      <x:c r="C233" s="3" t="n">
        <x:v>32</x:v>
      </x:c>
      <x:c r="D233" s="3" t="n">
        <x:v>5</x:v>
      </x:c>
      <x:c r="E233" s="3" t="n">
        <x:v>6</x:v>
      </x:c>
      <x:c r="F233" s="3" t="n">
        <x:v>2</x:v>
      </x:c>
    </x:row>
    <x:row r="234" ht="21" customHeight="1">
      <x:c r="A234" s="3" t="n">
        <x:v>7</x:v>
      </x:c>
      <x:c r="B234" s="3" t="n">
        <x:v>30</x:v>
      </x:c>
      <x:c r="C234" s="3" t="n">
        <x:v>33</x:v>
      </x:c>
      <x:c r="D234" s="3" t="n">
        <x:v>6</x:v>
      </x:c>
      <x:c r="E234" s="3" t="n">
        <x:v>6</x:v>
      </x:c>
      <x:c r="F234" s="3" t="n">
        <x:v>1</x:v>
      </x:c>
    </x:row>
    <x:row r="235" ht="21" customHeight="1">
      <x:c r="A235" s="3" t="n">
        <x:v>7</x:v>
      </x:c>
      <x:c r="B235" s="3" t="n">
        <x:v>31</x:v>
      </x:c>
      <x:c r="C235" s="3" t="n">
        <x:v>34</x:v>
      </x:c>
      <x:c r="D235" s="3" t="n">
        <x:v>6</x:v>
      </x:c>
      <x:c r="E235" s="3" t="n">
        <x:v>6</x:v>
      </x:c>
      <x:c r="F235" s="3" t="n">
        <x:v>1</x:v>
      </x:c>
    </x:row>
    <x:row r="236" ht="21" customHeight="1">
      <x:c r="A236" s="3" t="n">
        <x:v>7</x:v>
      </x:c>
      <x:c r="B236" s="3" t="n">
        <x:v>32</x:v>
      </x:c>
      <x:c r="C236" s="3" t="n">
        <x:v>35</x:v>
      </x:c>
      <x:c r="D236" s="3" t="n">
        <x:v>6</x:v>
      </x:c>
      <x:c r="E236" s="3" t="n">
        <x:v>6</x:v>
      </x:c>
      <x:c r="F236" s="3" t="n">
        <x:v>1</x:v>
      </x:c>
    </x:row>
    <x:row r="237" ht="21" customHeight="1">
      <x:c r="A237" s="3" t="n">
        <x:v>7</x:v>
      </x:c>
      <x:c r="B237" s="3" t="n">
        <x:v>33</x:v>
      </x:c>
      <x:c r="C237" s="3" t="n">
        <x:v>36</x:v>
      </x:c>
      <x:c r="D237" s="3" t="n">
        <x:v>6</x:v>
      </x:c>
      <x:c r="E237" s="3" t="n">
        <x:v>6</x:v>
      </x:c>
      <x:c r="F237" s="3" t="n">
        <x:v>1</x:v>
      </x:c>
    </x:row>
    <x:row r="238" ht="21" customHeight="1">
      <x:c r="A238" s="3" t="n">
        <x:v>8</x:v>
      </x:c>
      <x:c r="B238" s="3" t="n">
        <x:v>0</x:v>
      </x:c>
      <x:c r="C238" s="3" t="n">
        <x:v>3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8</x:v>
      </x:c>
      <x:c r="B239" s="3" t="n">
        <x:v>1</x:v>
      </x:c>
      <x:c r="C239" s="3" t="n">
        <x:v>4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8</x:v>
      </x:c>
      <x:c r="B240" s="3" t="n">
        <x:v>2</x:v>
      </x:c>
      <x:c r="C240" s="3" t="n">
        <x:v>5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8</x:v>
      </x:c>
      <x:c r="B241" s="3" t="n">
        <x:v>3</x:v>
      </x:c>
      <x:c r="C241" s="3" t="n">
        <x:v>6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8</x:v>
      </x:c>
      <x:c r="B242" s="3" t="n">
        <x:v>4</x:v>
      </x:c>
      <x:c r="C242" s="3" t="n">
        <x:v>7</x:v>
      </x:c>
      <x:c r="D242" s="3" t="n">
        <x:v>1</x:v>
      </x:c>
      <x:c r="E242" s="3" t="n">
        <x:v>2</x:v>
      </x:c>
      <x:c r="F242" s="3" t="n">
        <x:v>2</x:v>
      </x:c>
    </x:row>
    <x:row r="243" ht="21" customHeight="1">
      <x:c r="A243" s="3" t="n">
        <x:v>8</x:v>
      </x:c>
      <x:c r="B243" s="3" t="n">
        <x:v>5</x:v>
      </x:c>
      <x:c r="C243" s="3" t="n">
        <x:v>8</x:v>
      </x:c>
      <x:c r="D243" s="3" t="n">
        <x:v>1</x:v>
      </x:c>
      <x:c r="E243" s="3" t="n">
        <x:v>2</x:v>
      </x:c>
      <x:c r="F243" s="3" t="n">
        <x:v>2</x:v>
      </x:c>
    </x:row>
    <x:row r="244" ht="21" customHeight="1">
      <x:c r="A244" s="3" t="n">
        <x:v>8</x:v>
      </x:c>
      <x:c r="B244" s="3" t="n">
        <x:v>6</x:v>
      </x:c>
      <x:c r="C244" s="3" t="n">
        <x:v>9</x:v>
      </x:c>
      <x:c r="D244" s="3" t="n">
        <x:v>2</x:v>
      </x:c>
      <x:c r="E244" s="3" t="n">
        <x:v>2</x:v>
      </x:c>
      <x:c r="F244" s="3" t="n">
        <x:v>1</x:v>
      </x:c>
    </x:row>
    <x:row r="245" ht="21" customHeight="1">
      <x:c r="A245" s="3" t="n">
        <x:v>8</x:v>
      </x:c>
      <x:c r="B245" s="3" t="n">
        <x:v>7</x:v>
      </x:c>
      <x:c r="C245" s="3" t="n">
        <x:v>10</x:v>
      </x:c>
      <x:c r="D245" s="3" t="n">
        <x:v>2</x:v>
      </x:c>
      <x:c r="E245" s="3" t="n">
        <x:v>2</x:v>
      </x:c>
      <x:c r="F245" s="3" t="n">
        <x:v>1</x:v>
      </x:c>
    </x:row>
    <x:row r="246" ht="21" customHeight="1">
      <x:c r="A246" s="3" t="n">
        <x:v>8</x:v>
      </x:c>
      <x:c r="B246" s="3" t="n">
        <x:v>8</x:v>
      </x:c>
      <x:c r="C246" s="3" t="n">
        <x:v>11</x:v>
      </x:c>
      <x:c r="D246" s="3" t="n">
        <x:v>2</x:v>
      </x:c>
      <x:c r="E246" s="3" t="n">
        <x:v>2</x:v>
      </x:c>
      <x:c r="F246" s="3" t="n">
        <x:v>1</x:v>
      </x:c>
    </x:row>
    <x:row r="247" ht="21" customHeight="1">
      <x:c r="A247" s="3" t="n">
        <x:v>8</x:v>
      </x:c>
      <x:c r="B247" s="3" t="n">
        <x:v>9</x:v>
      </x:c>
      <x:c r="C247" s="3" t="n">
        <x:v>12</x:v>
      </x:c>
      <x:c r="D247" s="3" t="n">
        <x:v>2</x:v>
      </x:c>
      <x:c r="E247" s="3" t="n">
        <x:v>2</x:v>
      </x:c>
      <x:c r="F247" s="3" t="n">
        <x:v>1</x:v>
      </x:c>
    </x:row>
    <x:row r="248" ht="21" customHeight="1">
      <x:c r="A248" s="3" t="n">
        <x:v>8</x:v>
      </x:c>
      <x:c r="B248" s="3" t="n">
        <x:v>10</x:v>
      </x:c>
      <x:c r="C248" s="3" t="n">
        <x:v>13</x:v>
      </x:c>
      <x:c r="D248" s="3" t="n">
        <x:v>2</x:v>
      </x:c>
      <x:c r="E248" s="3" t="n">
        <x:v>3</x:v>
      </x:c>
      <x:c r="F248" s="3" t="n">
        <x:v>2</x:v>
      </x:c>
    </x:row>
    <x:row r="249" ht="21" customHeight="1">
      <x:c r="A249" s="3" t="n">
        <x:v>8</x:v>
      </x:c>
      <x:c r="B249" s="3" t="n">
        <x:v>11</x:v>
      </x:c>
      <x:c r="C249" s="3" t="n">
        <x:v>14</x:v>
      </x:c>
      <x:c r="D249" s="3" t="n">
        <x:v>2</x:v>
      </x:c>
      <x:c r="E249" s="3" t="n">
        <x:v>3</x:v>
      </x:c>
      <x:c r="F249" s="3" t="n">
        <x:v>2</x:v>
      </x:c>
    </x:row>
    <x:row r="250" ht="21" customHeight="1">
      <x:c r="A250" s="3" t="n">
        <x:v>8</x:v>
      </x:c>
      <x:c r="B250" s="3" t="n">
        <x:v>12</x:v>
      </x:c>
      <x:c r="C250" s="3" t="n">
        <x:v>15</x:v>
      </x:c>
      <x:c r="D250" s="3" t="n">
        <x:v>3</x:v>
      </x:c>
      <x:c r="E250" s="3" t="n">
        <x:v>3</x:v>
      </x:c>
      <x:c r="F250" s="3" t="n">
        <x:v>1</x:v>
      </x:c>
    </x:row>
    <x:row r="251" ht="21" customHeight="1">
      <x:c r="A251" s="3" t="n">
        <x:v>8</x:v>
      </x:c>
      <x:c r="B251" s="3" t="n">
        <x:v>13</x:v>
      </x:c>
      <x:c r="C251" s="3" t="n">
        <x:v>16</x:v>
      </x:c>
      <x:c r="D251" s="3" t="n">
        <x:v>3</x:v>
      </x:c>
      <x:c r="E251" s="3" t="n">
        <x:v>3</x:v>
      </x:c>
      <x:c r="F251" s="3" t="n">
        <x:v>1</x:v>
      </x:c>
    </x:row>
    <x:row r="252" ht="21" customHeight="1">
      <x:c r="A252" s="3" t="n">
        <x:v>8</x:v>
      </x:c>
      <x:c r="B252" s="3" t="n">
        <x:v>14</x:v>
      </x:c>
      <x:c r="C252" s="3" t="n">
        <x:v>17</x:v>
      </x:c>
      <x:c r="D252" s="3" t="n">
        <x:v>3</x:v>
      </x:c>
      <x:c r="E252" s="3" t="n">
        <x:v>3</x:v>
      </x:c>
      <x:c r="F252" s="3" t="n">
        <x:v>1</x:v>
      </x:c>
    </x:row>
    <x:row r="253" ht="21" customHeight="1">
      <x:c r="A253" s="3" t="n">
        <x:v>8</x:v>
      </x:c>
      <x:c r="B253" s="3" t="n">
        <x:v>15</x:v>
      </x:c>
      <x:c r="C253" s="3" t="n">
        <x:v>18</x:v>
      </x:c>
      <x:c r="D253" s="3" t="n">
        <x:v>3</x:v>
      </x:c>
      <x:c r="E253" s="3" t="n">
        <x:v>3</x:v>
      </x:c>
      <x:c r="F253" s="3" t="n">
        <x:v>1</x:v>
      </x:c>
    </x:row>
    <x:row r="254" ht="21" customHeight="1">
      <x:c r="A254" s="3" t="n">
        <x:v>8</x:v>
      </x:c>
      <x:c r="B254" s="3" t="n">
        <x:v>16</x:v>
      </x:c>
      <x:c r="C254" s="3" t="n">
        <x:v>19</x:v>
      </x:c>
      <x:c r="D254" s="3" t="n">
        <x:v>3</x:v>
      </x:c>
      <x:c r="E254" s="3" t="n">
        <x:v>4</x:v>
      </x:c>
      <x:c r="F254" s="3" t="n">
        <x:v>2</x:v>
      </x:c>
    </x:row>
    <x:row r="255" ht="21" customHeight="1">
      <x:c r="A255" s="3" t="n">
        <x:v>8</x:v>
      </x:c>
      <x:c r="B255" s="3" t="n">
        <x:v>17</x:v>
      </x:c>
      <x:c r="C255" s="3" t="n">
        <x:v>20</x:v>
      </x:c>
      <x:c r="D255" s="3" t="n">
        <x:v>3</x:v>
      </x:c>
      <x:c r="E255" s="3" t="n">
        <x:v>4</x:v>
      </x:c>
      <x:c r="F255" s="3" t="n">
        <x:v>2</x:v>
      </x:c>
    </x:row>
    <x:row r="256" ht="21" customHeight="1">
      <x:c r="A256" s="3" t="n">
        <x:v>8</x:v>
      </x:c>
      <x:c r="B256" s="3" t="n">
        <x:v>18</x:v>
      </x:c>
      <x:c r="C256" s="3" t="n">
        <x:v>21</x:v>
      </x:c>
      <x:c r="D256" s="3" t="n">
        <x:v>4</x:v>
      </x:c>
      <x:c r="E256" s="3" t="n">
        <x:v>4</x:v>
      </x:c>
      <x:c r="F256" s="3" t="n">
        <x:v>1</x:v>
      </x:c>
    </x:row>
    <x:row r="257" ht="21" customHeight="1">
      <x:c r="A257" s="3" t="n">
        <x:v>8</x:v>
      </x:c>
      <x:c r="B257" s="3" t="n">
        <x:v>19</x:v>
      </x:c>
      <x:c r="C257" s="3" t="n">
        <x:v>22</x:v>
      </x:c>
      <x:c r="D257" s="3" t="n">
        <x:v>4</x:v>
      </x:c>
      <x:c r="E257" s="3" t="n">
        <x:v>4</x:v>
      </x:c>
      <x:c r="F257" s="3" t="n">
        <x:v>1</x:v>
      </x:c>
    </x:row>
    <x:row r="258" ht="21" customHeight="1">
      <x:c r="A258" s="3" t="n">
        <x:v>8</x:v>
      </x:c>
      <x:c r="B258" s="3" t="n">
        <x:v>20</x:v>
      </x:c>
      <x:c r="C258" s="3" t="n">
        <x:v>23</x:v>
      </x:c>
      <x:c r="D258" s="3" t="n">
        <x:v>4</x:v>
      </x:c>
      <x:c r="E258" s="3" t="n">
        <x:v>4</x:v>
      </x:c>
      <x:c r="F258" s="3" t="n">
        <x:v>1</x:v>
      </x:c>
    </x:row>
    <x:row r="259" ht="21" customHeight="1">
      <x:c r="A259" s="3" t="n">
        <x:v>8</x:v>
      </x:c>
      <x:c r="B259" s="3" t="n">
        <x:v>21</x:v>
      </x:c>
      <x:c r="C259" s="3" t="n">
        <x:v>24</x:v>
      </x:c>
      <x:c r="D259" s="3" t="n">
        <x:v>4</x:v>
      </x:c>
      <x:c r="E259" s="3" t="n">
        <x:v>4</x:v>
      </x:c>
      <x:c r="F259" s="3" t="n">
        <x:v>1</x:v>
      </x:c>
    </x:row>
    <x:row r="260" ht="21" customHeight="1">
      <x:c r="A260" s="3" t="n">
        <x:v>8</x:v>
      </x:c>
      <x:c r="B260" s="3" t="n">
        <x:v>22</x:v>
      </x:c>
      <x:c r="C260" s="3" t="n">
        <x:v>25</x:v>
      </x:c>
      <x:c r="D260" s="3" t="n">
        <x:v>4</x:v>
      </x:c>
      <x:c r="E260" s="3" t="n">
        <x:v>5</x:v>
      </x:c>
      <x:c r="F260" s="3" t="n">
        <x:v>2</x:v>
      </x:c>
    </x:row>
    <x:row r="261" ht="21" customHeight="1">
      <x:c r="A261" s="3" t="n">
        <x:v>8</x:v>
      </x:c>
      <x:c r="B261" s="3" t="n">
        <x:v>23</x:v>
      </x:c>
      <x:c r="C261" s="3" t="n">
        <x:v>26</x:v>
      </x:c>
      <x:c r="D261" s="3" t="n">
        <x:v>4</x:v>
      </x:c>
      <x:c r="E261" s="3" t="n">
        <x:v>5</x:v>
      </x:c>
      <x:c r="F261" s="3" t="n">
        <x:v>2</x:v>
      </x:c>
    </x:row>
    <x:row r="262" ht="21" customHeight="1">
      <x:c r="A262" s="3" t="n">
        <x:v>8</x:v>
      </x:c>
      <x:c r="B262" s="3" t="n">
        <x:v>24</x:v>
      </x:c>
      <x:c r="C262" s="3" t="n">
        <x:v>27</x:v>
      </x:c>
      <x:c r="D262" s="3" t="n">
        <x:v>5</x:v>
      </x:c>
      <x:c r="E262" s="3" t="n">
        <x:v>5</x:v>
      </x:c>
      <x:c r="F262" s="3" t="n">
        <x:v>1</x:v>
      </x:c>
    </x:row>
    <x:row r="263" ht="21" customHeight="1">
      <x:c r="A263" s="3" t="n">
        <x:v>8</x:v>
      </x:c>
      <x:c r="B263" s="3" t="n">
        <x:v>25</x:v>
      </x:c>
      <x:c r="C263" s="3" t="n">
        <x:v>28</x:v>
      </x:c>
      <x:c r="D263" s="3" t="n">
        <x:v>5</x:v>
      </x:c>
      <x:c r="E263" s="3" t="n">
        <x:v>5</x:v>
      </x:c>
      <x:c r="F263" s="3" t="n">
        <x:v>1</x:v>
      </x:c>
    </x:row>
    <x:row r="264" ht="21" customHeight="1">
      <x:c r="A264" s="3" t="n">
        <x:v>8</x:v>
      </x:c>
      <x:c r="B264" s="3" t="n">
        <x:v>26</x:v>
      </x:c>
      <x:c r="C264" s="3" t="n">
        <x:v>29</x:v>
      </x:c>
      <x:c r="D264" s="3" t="n">
        <x:v>5</x:v>
      </x:c>
      <x:c r="E264" s="3" t="n">
        <x:v>5</x:v>
      </x:c>
      <x:c r="F264" s="3" t="n">
        <x:v>1</x:v>
      </x:c>
    </x:row>
    <x:row r="265" ht="21" customHeight="1">
      <x:c r="A265" s="3" t="n">
        <x:v>8</x:v>
      </x:c>
      <x:c r="B265" s="3" t="n">
        <x:v>27</x:v>
      </x:c>
      <x:c r="C265" s="3" t="n">
        <x:v>30</x:v>
      </x:c>
      <x:c r="D265" s="3" t="n">
        <x:v>5</x:v>
      </x:c>
      <x:c r="E265" s="3" t="n">
        <x:v>5</x:v>
      </x:c>
      <x:c r="F265" s="3" t="n">
        <x:v>1</x:v>
      </x:c>
    </x:row>
    <x:row r="266" ht="21" customHeight="1">
      <x:c r="A266" s="3" t="n">
        <x:v>8</x:v>
      </x:c>
      <x:c r="B266" s="3" t="n">
        <x:v>28</x:v>
      </x:c>
      <x:c r="C266" s="3" t="n">
        <x:v>31</x:v>
      </x:c>
      <x:c r="D266" s="3" t="n">
        <x:v>5</x:v>
      </x:c>
      <x:c r="E266" s="3" t="n">
        <x:v>6</x:v>
      </x:c>
      <x:c r="F266" s="3" t="n">
        <x:v>2</x:v>
      </x:c>
    </x:row>
    <x:row r="267" ht="21" customHeight="1">
      <x:c r="A267" s="3" t="n">
        <x:v>8</x:v>
      </x:c>
      <x:c r="B267" s="3" t="n">
        <x:v>29</x:v>
      </x:c>
      <x:c r="C267" s="3" t="n">
        <x:v>32</x:v>
      </x:c>
      <x:c r="D267" s="3" t="n">
        <x:v>5</x:v>
      </x:c>
      <x:c r="E267" s="3" t="n">
        <x:v>6</x:v>
      </x:c>
      <x:c r="F267" s="3" t="n">
        <x:v>2</x:v>
      </x:c>
    </x:row>
    <x:row r="268" ht="21" customHeight="1">
      <x:c r="A268" s="3" t="n">
        <x:v>8</x:v>
      </x:c>
      <x:c r="B268" s="3" t="n">
        <x:v>30</x:v>
      </x:c>
      <x:c r="C268" s="3" t="n">
        <x:v>33</x:v>
      </x:c>
      <x:c r="D268" s="3" t="n">
        <x:v>6</x:v>
      </x:c>
      <x:c r="E268" s="3" t="n">
        <x:v>6</x:v>
      </x:c>
      <x:c r="F268" s="3" t="n">
        <x:v>1</x:v>
      </x:c>
    </x:row>
    <x:row r="269" ht="21" customHeight="1">
      <x:c r="A269" s="3" t="n">
        <x:v>8</x:v>
      </x:c>
      <x:c r="B269" s="3" t="n">
        <x:v>31</x:v>
      </x:c>
      <x:c r="C269" s="3" t="n">
        <x:v>34</x:v>
      </x:c>
      <x:c r="D269" s="3" t="n">
        <x:v>6</x:v>
      </x:c>
      <x:c r="E269" s="3" t="n">
        <x:v>6</x:v>
      </x:c>
      <x:c r="F269" s="3" t="n">
        <x:v>1</x:v>
      </x:c>
    </x:row>
    <x:row r="270" ht="21" customHeight="1">
      <x:c r="A270" s="3" t="n">
        <x:v>8</x:v>
      </x:c>
      <x:c r="B270" s="3" t="n">
        <x:v>32</x:v>
      </x:c>
      <x:c r="C270" s="3" t="n">
        <x:v>35</x:v>
      </x:c>
      <x:c r="D270" s="3" t="n">
        <x:v>6</x:v>
      </x:c>
      <x:c r="E270" s="3" t="n">
        <x:v>6</x:v>
      </x:c>
      <x:c r="F270" s="3" t="n">
        <x:v>1</x:v>
      </x:c>
    </x:row>
    <x:row r="271" ht="21" customHeight="1">
      <x:c r="A271" s="3" t="n">
        <x:v>8</x:v>
      </x:c>
      <x:c r="B271" s="3" t="n">
        <x:v>33</x:v>
      </x:c>
      <x:c r="C271" s="3" t="n">
        <x:v>36</x:v>
      </x:c>
      <x:c r="D271" s="3" t="n">
        <x:v>6</x:v>
      </x:c>
      <x:c r="E271" s="3" t="n">
        <x:v>6</x:v>
      </x:c>
      <x:c r="F271" s="3" t="n">
        <x:v>1</x:v>
      </x:c>
    </x:row>
    <x:row r="272" ht="21" customHeight="1">
      <x:c r="A272" s="3" t="n">
        <x:v>9</x:v>
      </x:c>
      <x:c r="B272" s="3" t="n">
        <x:v>0</x:v>
      </x:c>
      <x:c r="C272" s="3" t="n">
        <x:v>3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9</x:v>
      </x:c>
      <x:c r="B273" s="3" t="n">
        <x:v>1</x:v>
      </x:c>
      <x:c r="C273" s="3" t="n">
        <x:v>4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9</x:v>
      </x:c>
      <x:c r="B274" s="3" t="n">
        <x:v>2</x:v>
      </x:c>
      <x:c r="C274" s="3" t="n">
        <x:v>5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9</x:v>
      </x:c>
      <x:c r="B275" s="3" t="n">
        <x:v>3</x:v>
      </x:c>
      <x:c r="C275" s="3" t="n">
        <x:v>6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9</x:v>
      </x:c>
      <x:c r="B276" s="3" t="n">
        <x:v>4</x:v>
      </x:c>
      <x:c r="C276" s="3" t="n">
        <x:v>7</x:v>
      </x:c>
      <x:c r="D276" s="3" t="n">
        <x:v>1</x:v>
      </x:c>
      <x:c r="E276" s="3" t="n">
        <x:v>2</x:v>
      </x:c>
      <x:c r="F276" s="3" t="n">
        <x:v>2</x:v>
      </x:c>
    </x:row>
    <x:row r="277" ht="21" customHeight="1">
      <x:c r="A277" s="3" t="n">
        <x:v>9</x:v>
      </x:c>
      <x:c r="B277" s="3" t="n">
        <x:v>5</x:v>
      </x:c>
      <x:c r="C277" s="3" t="n">
        <x:v>8</x:v>
      </x:c>
      <x:c r="D277" s="3" t="n">
        <x:v>1</x:v>
      </x:c>
      <x:c r="E277" s="3" t="n">
        <x:v>2</x:v>
      </x:c>
      <x:c r="F277" s="3" t="n">
        <x:v>2</x:v>
      </x:c>
    </x:row>
    <x:row r="278" ht="21" customHeight="1">
      <x:c r="A278" s="3" t="n">
        <x:v>9</x:v>
      </x:c>
      <x:c r="B278" s="3" t="n">
        <x:v>6</x:v>
      </x:c>
      <x:c r="C278" s="3" t="n">
        <x:v>9</x:v>
      </x:c>
      <x:c r="D278" s="3" t="n">
        <x:v>2</x:v>
      </x:c>
      <x:c r="E278" s="3" t="n">
        <x:v>2</x:v>
      </x:c>
      <x:c r="F278" s="3" t="n">
        <x:v>1</x:v>
      </x:c>
    </x:row>
    <x:row r="279" ht="21" customHeight="1">
      <x:c r="A279" s="3" t="n">
        <x:v>9</x:v>
      </x:c>
      <x:c r="B279" s="3" t="n">
        <x:v>7</x:v>
      </x:c>
      <x:c r="C279" s="3" t="n">
        <x:v>10</x:v>
      </x:c>
      <x:c r="D279" s="3" t="n">
        <x:v>2</x:v>
      </x:c>
      <x:c r="E279" s="3" t="n">
        <x:v>2</x:v>
      </x:c>
      <x:c r="F279" s="3" t="n">
        <x:v>1</x:v>
      </x:c>
    </x:row>
    <x:row r="280" ht="21" customHeight="1">
      <x:c r="A280" s="3" t="n">
        <x:v>9</x:v>
      </x:c>
      <x:c r="B280" s="3" t="n">
        <x:v>8</x:v>
      </x:c>
      <x:c r="C280" s="3" t="n">
        <x:v>11</x:v>
      </x:c>
      <x:c r="D280" s="3" t="n">
        <x:v>2</x:v>
      </x:c>
      <x:c r="E280" s="3" t="n">
        <x:v>2</x:v>
      </x:c>
      <x:c r="F280" s="3" t="n">
        <x:v>1</x:v>
      </x:c>
    </x:row>
    <x:row r="281" ht="21" customHeight="1">
      <x:c r="A281" s="3" t="n">
        <x:v>9</x:v>
      </x:c>
      <x:c r="B281" s="3" t="n">
        <x:v>9</x:v>
      </x:c>
      <x:c r="C281" s="3" t="n">
        <x:v>12</x:v>
      </x:c>
      <x:c r="D281" s="3" t="n">
        <x:v>2</x:v>
      </x:c>
      <x:c r="E281" s="3" t="n">
        <x:v>2</x:v>
      </x:c>
      <x:c r="F281" s="3" t="n">
        <x:v>1</x:v>
      </x:c>
    </x:row>
    <x:row r="282" ht="21" customHeight="1">
      <x:c r="A282" s="3" t="n">
        <x:v>9</x:v>
      </x:c>
      <x:c r="B282" s="3" t="n">
        <x:v>10</x:v>
      </x:c>
      <x:c r="C282" s="3" t="n">
        <x:v>13</x:v>
      </x:c>
      <x:c r="D282" s="3" t="n">
        <x:v>2</x:v>
      </x:c>
      <x:c r="E282" s="3" t="n">
        <x:v>3</x:v>
      </x:c>
      <x:c r="F282" s="3" t="n">
        <x:v>2</x:v>
      </x:c>
    </x:row>
    <x:row r="283" ht="21" customHeight="1">
      <x:c r="A283" s="3" t="n">
        <x:v>9</x:v>
      </x:c>
      <x:c r="B283" s="3" t="n">
        <x:v>11</x:v>
      </x:c>
      <x:c r="C283" s="3" t="n">
        <x:v>14</x:v>
      </x:c>
      <x:c r="D283" s="3" t="n">
        <x:v>2</x:v>
      </x:c>
      <x:c r="E283" s="3" t="n">
        <x:v>3</x:v>
      </x:c>
      <x:c r="F283" s="3" t="n">
        <x:v>2</x:v>
      </x:c>
    </x:row>
    <x:row r="284" ht="21" customHeight="1">
      <x:c r="A284" s="3" t="n">
        <x:v>9</x:v>
      </x:c>
      <x:c r="B284" s="3" t="n">
        <x:v>12</x:v>
      </x:c>
      <x:c r="C284" s="3" t="n">
        <x:v>15</x:v>
      </x:c>
      <x:c r="D284" s="3" t="n">
        <x:v>3</x:v>
      </x:c>
      <x:c r="E284" s="3" t="n">
        <x:v>3</x:v>
      </x:c>
      <x:c r="F284" s="3" t="n">
        <x:v>1</x:v>
      </x:c>
    </x:row>
    <x:row r="285" ht="21" customHeight="1">
      <x:c r="A285" s="3" t="n">
        <x:v>9</x:v>
      </x:c>
      <x:c r="B285" s="3" t="n">
        <x:v>13</x:v>
      </x:c>
      <x:c r="C285" s="3" t="n">
        <x:v>16</x:v>
      </x:c>
      <x:c r="D285" s="3" t="n">
        <x:v>3</x:v>
      </x:c>
      <x:c r="E285" s="3" t="n">
        <x:v>3</x:v>
      </x:c>
      <x:c r="F285" s="3" t="n">
        <x:v>1</x:v>
      </x:c>
    </x:row>
    <x:row r="286" ht="21" customHeight="1">
      <x:c r="A286" s="3" t="n">
        <x:v>9</x:v>
      </x:c>
      <x:c r="B286" s="3" t="n">
        <x:v>14</x:v>
      </x:c>
      <x:c r="C286" s="3" t="n">
        <x:v>17</x:v>
      </x:c>
      <x:c r="D286" s="3" t="n">
        <x:v>3</x:v>
      </x:c>
      <x:c r="E286" s="3" t="n">
        <x:v>3</x:v>
      </x:c>
      <x:c r="F286" s="3" t="n">
        <x:v>1</x:v>
      </x:c>
    </x:row>
    <x:row r="287" ht="21" customHeight="1">
      <x:c r="A287" s="3" t="n">
        <x:v>9</x:v>
      </x:c>
      <x:c r="B287" s="3" t="n">
        <x:v>15</x:v>
      </x:c>
      <x:c r="C287" s="3" t="n">
        <x:v>18</x:v>
      </x:c>
      <x:c r="D287" s="3" t="n">
        <x:v>3</x:v>
      </x:c>
      <x:c r="E287" s="3" t="n">
        <x:v>3</x:v>
      </x:c>
      <x:c r="F287" s="3" t="n">
        <x:v>1</x:v>
      </x:c>
    </x:row>
    <x:row r="288" ht="21" customHeight="1">
      <x:c r="A288" s="3" t="n">
        <x:v>9</x:v>
      </x:c>
      <x:c r="B288" s="3" t="n">
        <x:v>16</x:v>
      </x:c>
      <x:c r="C288" s="3" t="n">
        <x:v>19</x:v>
      </x:c>
      <x:c r="D288" s="3" t="n">
        <x:v>3</x:v>
      </x:c>
      <x:c r="E288" s="3" t="n">
        <x:v>4</x:v>
      </x:c>
      <x:c r="F288" s="3" t="n">
        <x:v>2</x:v>
      </x:c>
    </x:row>
    <x:row r="289" ht="21" customHeight="1">
      <x:c r="A289" s="3" t="n">
        <x:v>9</x:v>
      </x:c>
      <x:c r="B289" s="3" t="n">
        <x:v>17</x:v>
      </x:c>
      <x:c r="C289" s="3" t="n">
        <x:v>20</x:v>
      </x:c>
      <x:c r="D289" s="3" t="n">
        <x:v>3</x:v>
      </x:c>
      <x:c r="E289" s="3" t="n">
        <x:v>4</x:v>
      </x:c>
      <x:c r="F289" s="3" t="n">
        <x:v>2</x:v>
      </x:c>
    </x:row>
    <x:row r="290" ht="21" customHeight="1">
      <x:c r="A290" s="3" t="n">
        <x:v>9</x:v>
      </x:c>
      <x:c r="B290" s="3" t="n">
        <x:v>18</x:v>
      </x:c>
      <x:c r="C290" s="3" t="n">
        <x:v>21</x:v>
      </x:c>
      <x:c r="D290" s="3" t="n">
        <x:v>4</x:v>
      </x:c>
      <x:c r="E290" s="3" t="n">
        <x:v>4</x:v>
      </x:c>
      <x:c r="F290" s="3" t="n">
        <x:v>1</x:v>
      </x:c>
    </x:row>
    <x:row r="291" ht="21" customHeight="1">
      <x:c r="A291" s="3" t="n">
        <x:v>9</x:v>
      </x:c>
      <x:c r="B291" s="3" t="n">
        <x:v>19</x:v>
      </x:c>
      <x:c r="C291" s="3" t="n">
        <x:v>22</x:v>
      </x:c>
      <x:c r="D291" s="3" t="n">
        <x:v>4</x:v>
      </x:c>
      <x:c r="E291" s="3" t="n">
        <x:v>4</x:v>
      </x:c>
      <x:c r="F291" s="3" t="n">
        <x:v>1</x:v>
      </x:c>
    </x:row>
    <x:row r="292" ht="21" customHeight="1">
      <x:c r="A292" s="3" t="n">
        <x:v>9</x:v>
      </x:c>
      <x:c r="B292" s="3" t="n">
        <x:v>20</x:v>
      </x:c>
      <x:c r="C292" s="3" t="n">
        <x:v>23</x:v>
      </x:c>
      <x:c r="D292" s="3" t="n">
        <x:v>4</x:v>
      </x:c>
      <x:c r="E292" s="3" t="n">
        <x:v>4</x:v>
      </x:c>
      <x:c r="F292" s="3" t="n">
        <x:v>1</x:v>
      </x:c>
    </x:row>
    <x:row r="293" ht="21" customHeight="1">
      <x:c r="A293" s="3" t="n">
        <x:v>9</x:v>
      </x:c>
      <x:c r="B293" s="3" t="n">
        <x:v>21</x:v>
      </x:c>
      <x:c r="C293" s="3" t="n">
        <x:v>24</x:v>
      </x:c>
      <x:c r="D293" s="3" t="n">
        <x:v>4</x:v>
      </x:c>
      <x:c r="E293" s="3" t="n">
        <x:v>4</x:v>
      </x:c>
      <x:c r="F293" s="3" t="n">
        <x:v>1</x:v>
      </x:c>
    </x:row>
    <x:row r="294" ht="21" customHeight="1">
      <x:c r="A294" s="3" t="n">
        <x:v>9</x:v>
      </x:c>
      <x:c r="B294" s="3" t="n">
        <x:v>22</x:v>
      </x:c>
      <x:c r="C294" s="3" t="n">
        <x:v>25</x:v>
      </x:c>
      <x:c r="D294" s="3" t="n">
        <x:v>4</x:v>
      </x:c>
      <x:c r="E294" s="3" t="n">
        <x:v>5</x:v>
      </x:c>
      <x:c r="F294" s="3" t="n">
        <x:v>2</x:v>
      </x:c>
    </x:row>
    <x:row r="295" ht="21" customHeight="1">
      <x:c r="A295" s="3" t="n">
        <x:v>9</x:v>
      </x:c>
      <x:c r="B295" s="3" t="n">
        <x:v>23</x:v>
      </x:c>
      <x:c r="C295" s="3" t="n">
        <x:v>26</x:v>
      </x:c>
      <x:c r="D295" s="3" t="n">
        <x:v>4</x:v>
      </x:c>
      <x:c r="E295" s="3" t="n">
        <x:v>5</x:v>
      </x:c>
      <x:c r="F295" s="3" t="n">
        <x:v>2</x:v>
      </x:c>
    </x:row>
    <x:row r="296" ht="21" customHeight="1">
      <x:c r="A296" s="3" t="n">
        <x:v>9</x:v>
      </x:c>
      <x:c r="B296" s="3" t="n">
        <x:v>24</x:v>
      </x:c>
      <x:c r="C296" s="3" t="n">
        <x:v>27</x:v>
      </x:c>
      <x:c r="D296" s="3" t="n">
        <x:v>5</x:v>
      </x:c>
      <x:c r="E296" s="3" t="n">
        <x:v>5</x:v>
      </x:c>
      <x:c r="F296" s="3" t="n">
        <x:v>1</x:v>
      </x:c>
    </x:row>
    <x:row r="297" ht="21" customHeight="1">
      <x:c r="A297" s="3" t="n">
        <x:v>9</x:v>
      </x:c>
      <x:c r="B297" s="3" t="n">
        <x:v>25</x:v>
      </x:c>
      <x:c r="C297" s="3" t="n">
        <x:v>28</x:v>
      </x:c>
      <x:c r="D297" s="3" t="n">
        <x:v>5</x:v>
      </x:c>
      <x:c r="E297" s="3" t="n">
        <x:v>5</x:v>
      </x:c>
      <x:c r="F297" s="3" t="n">
        <x:v>1</x:v>
      </x:c>
    </x:row>
    <x:row r="298" ht="21" customHeight="1">
      <x:c r="A298" s="3" t="n">
        <x:v>9</x:v>
      </x:c>
      <x:c r="B298" s="3" t="n">
        <x:v>26</x:v>
      </x:c>
      <x:c r="C298" s="3" t="n">
        <x:v>29</x:v>
      </x:c>
      <x:c r="D298" s="3" t="n">
        <x:v>5</x:v>
      </x:c>
      <x:c r="E298" s="3" t="n">
        <x:v>5</x:v>
      </x:c>
      <x:c r="F298" s="3" t="n">
        <x:v>1</x:v>
      </x:c>
    </x:row>
    <x:row r="299" ht="21" customHeight="1">
      <x:c r="A299" s="3" t="n">
        <x:v>9</x:v>
      </x:c>
      <x:c r="B299" s="3" t="n">
        <x:v>27</x:v>
      </x:c>
      <x:c r="C299" s="3" t="n">
        <x:v>30</x:v>
      </x:c>
      <x:c r="D299" s="3" t="n">
        <x:v>5</x:v>
      </x:c>
      <x:c r="E299" s="3" t="n">
        <x:v>5</x:v>
      </x:c>
      <x:c r="F299" s="3" t="n">
        <x:v>1</x:v>
      </x:c>
    </x:row>
    <x:row r="300" ht="21" customHeight="1">
      <x:c r="A300" s="3" t="n">
        <x:v>9</x:v>
      </x:c>
      <x:c r="B300" s="3" t="n">
        <x:v>28</x:v>
      </x:c>
      <x:c r="C300" s="3" t="n">
        <x:v>31</x:v>
      </x:c>
      <x:c r="D300" s="3" t="n">
        <x:v>5</x:v>
      </x:c>
      <x:c r="E300" s="3" t="n">
        <x:v>6</x:v>
      </x:c>
      <x:c r="F300" s="3" t="n">
        <x:v>2</x:v>
      </x:c>
    </x:row>
    <x:row r="301" ht="21" customHeight="1">
      <x:c r="A301" s="3" t="n">
        <x:v>9</x:v>
      </x:c>
      <x:c r="B301" s="3" t="n">
        <x:v>29</x:v>
      </x:c>
      <x:c r="C301" s="3" t="n">
        <x:v>32</x:v>
      </x:c>
      <x:c r="D301" s="3" t="n">
        <x:v>5</x:v>
      </x:c>
      <x:c r="E301" s="3" t="n">
        <x:v>6</x:v>
      </x:c>
      <x:c r="F301" s="3" t="n">
        <x:v>2</x:v>
      </x:c>
    </x:row>
    <x:row r="302" ht="21" customHeight="1">
      <x:c r="A302" s="3" t="n">
        <x:v>9</x:v>
      </x:c>
      <x:c r="B302" s="3" t="n">
        <x:v>30</x:v>
      </x:c>
      <x:c r="C302" s="3" t="n">
        <x:v>33</x:v>
      </x:c>
      <x:c r="D302" s="3" t="n">
        <x:v>6</x:v>
      </x:c>
      <x:c r="E302" s="3" t="n">
        <x:v>6</x:v>
      </x:c>
      <x:c r="F302" s="3" t="n">
        <x:v>1</x:v>
      </x:c>
    </x:row>
    <x:row r="303" ht="21" customHeight="1">
      <x:c r="A303" s="3" t="n">
        <x:v>9</x:v>
      </x:c>
      <x:c r="B303" s="3" t="n">
        <x:v>31</x:v>
      </x:c>
      <x:c r="C303" s="3" t="n">
        <x:v>34</x:v>
      </x:c>
      <x:c r="D303" s="3" t="n">
        <x:v>6</x:v>
      </x:c>
      <x:c r="E303" s="3" t="n">
        <x:v>6</x:v>
      </x:c>
      <x:c r="F303" s="3" t="n">
        <x:v>1</x:v>
      </x:c>
    </x:row>
    <x:row r="304" ht="21" customHeight="1">
      <x:c r="A304" s="3" t="n">
        <x:v>9</x:v>
      </x:c>
      <x:c r="B304" s="3" t="n">
        <x:v>32</x:v>
      </x:c>
      <x:c r="C304" s="3" t="n">
        <x:v>35</x:v>
      </x:c>
      <x:c r="D304" s="3" t="n">
        <x:v>6</x:v>
      </x:c>
      <x:c r="E304" s="3" t="n">
        <x:v>6</x:v>
      </x:c>
      <x:c r="F304" s="3" t="n">
        <x:v>1</x:v>
      </x:c>
    </x:row>
    <x:row r="305" ht="21" customHeight="1">
      <x:c r="A305" s="3" t="n">
        <x:v>9</x:v>
      </x:c>
      <x:c r="B305" s="3" t="n">
        <x:v>33</x:v>
      </x:c>
      <x:c r="C305" s="3" t="n">
        <x:v>36</x:v>
      </x:c>
      <x:c r="D305" s="3" t="n">
        <x:v>6</x:v>
      </x:c>
      <x:c r="E305" s="3" t="n">
        <x:v>6</x:v>
      </x:c>
      <x:c r="F305" s="3" t="n">
        <x:v>1</x:v>
      </x:c>
    </x:row>
    <x:row r="306" ht="21" customHeight="1">
      <x:c r="A306" s="3" t="n">
        <x:v>10</x:v>
      </x:c>
      <x:c r="B306" s="3" t="n">
        <x:v>0</x:v>
      </x:c>
      <x:c r="C306" s="3" t="n">
        <x:v>5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10</x:v>
      </x:c>
      <x:c r="B307" s="3" t="n">
        <x:v>1</x:v>
      </x:c>
      <x:c r="C307" s="3" t="n">
        <x:v>6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10</x:v>
      </x:c>
      <x:c r="B308" s="3" t="n">
        <x:v>2</x:v>
      </x:c>
      <x:c r="C308" s="3" t="n">
        <x:v>7</x:v>
      </x:c>
      <x:c r="D308" s="3" t="n">
        <x:v>1</x:v>
      </x:c>
      <x:c r="E308" s="3" t="n">
        <x:v>2</x:v>
      </x:c>
      <x:c r="F308" s="3" t="n">
        <x:v>2</x:v>
      </x:c>
    </x:row>
    <x:row r="309" ht="21" customHeight="1">
      <x:c r="A309" s="3" t="n">
        <x:v>10</x:v>
      </x:c>
      <x:c r="B309" s="3" t="n">
        <x:v>3</x:v>
      </x:c>
      <x:c r="C309" s="3" t="n">
        <x:v>8</x:v>
      </x:c>
      <x:c r="D309" s="3" t="n">
        <x:v>1</x:v>
      </x:c>
      <x:c r="E309" s="3" t="n">
        <x:v>2</x:v>
      </x:c>
      <x:c r="F309" s="3" t="n">
        <x:v>2</x:v>
      </x:c>
    </x:row>
    <x:row r="310" ht="21" customHeight="1">
      <x:c r="A310" s="3" t="n">
        <x:v>10</x:v>
      </x:c>
      <x:c r="B310" s="3" t="n">
        <x:v>4</x:v>
      </x:c>
      <x:c r="C310" s="3" t="n">
        <x:v>9</x:v>
      </x:c>
      <x:c r="D310" s="3" t="n">
        <x:v>1</x:v>
      </x:c>
      <x:c r="E310" s="3" t="n">
        <x:v>2</x:v>
      </x:c>
      <x:c r="F310" s="3" t="n">
        <x:v>2</x:v>
      </x:c>
    </x:row>
    <x:row r="311" ht="21" customHeight="1">
      <x:c r="A311" s="3" t="n">
        <x:v>10</x:v>
      </x:c>
      <x:c r="B311" s="3" t="n">
        <x:v>5</x:v>
      </x:c>
      <x:c r="C311" s="3" t="n">
        <x:v>10</x:v>
      </x:c>
      <x:c r="D311" s="3" t="n">
        <x:v>1</x:v>
      </x:c>
      <x:c r="E311" s="3" t="n">
        <x:v>2</x:v>
      </x:c>
      <x:c r="F311" s="3" t="n">
        <x:v>2</x:v>
      </x:c>
    </x:row>
    <x:row r="312" ht="21" customHeight="1">
      <x:c r="A312" s="3" t="n">
        <x:v>10</x:v>
      </x:c>
      <x:c r="B312" s="3" t="n">
        <x:v>6</x:v>
      </x:c>
      <x:c r="C312" s="3" t="n">
        <x:v>11</x:v>
      </x:c>
      <x:c r="D312" s="3" t="n">
        <x:v>2</x:v>
      </x:c>
      <x:c r="E312" s="3" t="n">
        <x:v>2</x:v>
      </x:c>
      <x:c r="F312" s="3" t="n">
        <x:v>1</x:v>
      </x:c>
    </x:row>
    <x:row r="313" ht="21" customHeight="1">
      <x:c r="A313" s="3" t="n">
        <x:v>10</x:v>
      </x:c>
      <x:c r="B313" s="3" t="n">
        <x:v>7</x:v>
      </x:c>
      <x:c r="C313" s="3" t="n">
        <x:v>12</x:v>
      </x:c>
      <x:c r="D313" s="3" t="n">
        <x:v>2</x:v>
      </x:c>
      <x:c r="E313" s="3" t="n">
        <x:v>2</x:v>
      </x:c>
      <x:c r="F313" s="3" t="n">
        <x:v>1</x:v>
      </x:c>
    </x:row>
    <x:row r="314" ht="21" customHeight="1">
      <x:c r="A314" s="3" t="n">
        <x:v>10</x:v>
      </x:c>
      <x:c r="B314" s="3" t="n">
        <x:v>8</x:v>
      </x:c>
      <x:c r="C314" s="3" t="n">
        <x:v>13</x:v>
      </x:c>
      <x:c r="D314" s="3" t="n">
        <x:v>2</x:v>
      </x:c>
      <x:c r="E314" s="3" t="n">
        <x:v>3</x:v>
      </x:c>
      <x:c r="F314" s="3" t="n">
        <x:v>2</x:v>
      </x:c>
    </x:row>
    <x:row r="315" ht="21" customHeight="1">
      <x:c r="A315" s="3" t="n">
        <x:v>10</x:v>
      </x:c>
      <x:c r="B315" s="3" t="n">
        <x:v>9</x:v>
      </x:c>
      <x:c r="C315" s="3" t="n">
        <x:v>14</x:v>
      </x:c>
      <x:c r="D315" s="3" t="n">
        <x:v>2</x:v>
      </x:c>
      <x:c r="E315" s="3" t="n">
        <x:v>3</x:v>
      </x:c>
      <x:c r="F315" s="3" t="n">
        <x:v>2</x:v>
      </x:c>
    </x:row>
    <x:row r="316" ht="21" customHeight="1">
      <x:c r="A316" s="3" t="n">
        <x:v>10</x:v>
      </x:c>
      <x:c r="B316" s="3" t="n">
        <x:v>10</x:v>
      </x:c>
      <x:c r="C316" s="3" t="n">
        <x:v>15</x:v>
      </x:c>
      <x:c r="D316" s="3" t="n">
        <x:v>2</x:v>
      </x:c>
      <x:c r="E316" s="3" t="n">
        <x:v>3</x:v>
      </x:c>
      <x:c r="F316" s="3" t="n">
        <x:v>2</x:v>
      </x:c>
    </x:row>
    <x:row r="317" ht="21" customHeight="1">
      <x:c r="A317" s="3" t="n">
        <x:v>10</x:v>
      </x:c>
      <x:c r="B317" s="3" t="n">
        <x:v>11</x:v>
      </x:c>
      <x:c r="C317" s="3" t="n">
        <x:v>16</x:v>
      </x:c>
      <x:c r="D317" s="3" t="n">
        <x:v>2</x:v>
      </x:c>
      <x:c r="E317" s="3" t="n">
        <x:v>3</x:v>
      </x:c>
      <x:c r="F317" s="3" t="n">
        <x:v>2</x:v>
      </x:c>
    </x:row>
    <x:row r="318" ht="21" customHeight="1">
      <x:c r="A318" s="3" t="n">
        <x:v>10</x:v>
      </x:c>
      <x:c r="B318" s="3" t="n">
        <x:v>12</x:v>
      </x:c>
      <x:c r="C318" s="3" t="n">
        <x:v>17</x:v>
      </x:c>
      <x:c r="D318" s="3" t="n">
        <x:v>3</x:v>
      </x:c>
      <x:c r="E318" s="3" t="n">
        <x:v>3</x:v>
      </x:c>
      <x:c r="F318" s="3" t="n">
        <x:v>1</x:v>
      </x:c>
    </x:row>
    <x:row r="319" ht="21" customHeight="1">
      <x:c r="A319" s="3" t="n">
        <x:v>10</x:v>
      </x:c>
      <x:c r="B319" s="3" t="n">
        <x:v>13</x:v>
      </x:c>
      <x:c r="C319" s="3" t="n">
        <x:v>18</x:v>
      </x:c>
      <x:c r="D319" s="3" t="n">
        <x:v>3</x:v>
      </x:c>
      <x:c r="E319" s="3" t="n">
        <x:v>3</x:v>
      </x:c>
      <x:c r="F319" s="3" t="n">
        <x:v>1</x:v>
      </x:c>
    </x:row>
    <x:row r="320" ht="21" customHeight="1">
      <x:c r="A320" s="3" t="n">
        <x:v>10</x:v>
      </x:c>
      <x:c r="B320" s="3" t="n">
        <x:v>14</x:v>
      </x:c>
      <x:c r="C320" s="3" t="n">
        <x:v>19</x:v>
      </x:c>
      <x:c r="D320" s="3" t="n">
        <x:v>3</x:v>
      </x:c>
      <x:c r="E320" s="3" t="n">
        <x:v>4</x:v>
      </x:c>
      <x:c r="F320" s="3" t="n">
        <x:v>2</x:v>
      </x:c>
    </x:row>
    <x:row r="321" ht="21" customHeight="1">
      <x:c r="A321" s="3" t="n">
        <x:v>10</x:v>
      </x:c>
      <x:c r="B321" s="3" t="n">
        <x:v>15</x:v>
      </x:c>
      <x:c r="C321" s="3" t="n">
        <x:v>20</x:v>
      </x:c>
      <x:c r="D321" s="3" t="n">
        <x:v>3</x:v>
      </x:c>
      <x:c r="E321" s="3" t="n">
        <x:v>4</x:v>
      </x:c>
      <x:c r="F321" s="3" t="n">
        <x:v>2</x:v>
      </x:c>
    </x:row>
    <x:row r="322" ht="21" customHeight="1">
      <x:c r="A322" s="3" t="n">
        <x:v>10</x:v>
      </x:c>
      <x:c r="B322" s="3" t="n">
        <x:v>16</x:v>
      </x:c>
      <x:c r="C322" s="3" t="n">
        <x:v>21</x:v>
      </x:c>
      <x:c r="D322" s="3" t="n">
        <x:v>3</x:v>
      </x:c>
      <x:c r="E322" s="3" t="n">
        <x:v>4</x:v>
      </x:c>
      <x:c r="F322" s="3" t="n">
        <x:v>2</x:v>
      </x:c>
    </x:row>
    <x:row r="323" ht="21" customHeight="1">
      <x:c r="A323" s="3" t="n">
        <x:v>10</x:v>
      </x:c>
      <x:c r="B323" s="3" t="n">
        <x:v>17</x:v>
      </x:c>
      <x:c r="C323" s="3" t="n">
        <x:v>22</x:v>
      </x:c>
      <x:c r="D323" s="3" t="n">
        <x:v>3</x:v>
      </x:c>
      <x:c r="E323" s="3" t="n">
        <x:v>4</x:v>
      </x:c>
      <x:c r="F323" s="3" t="n">
        <x:v>2</x:v>
      </x:c>
    </x:row>
    <x:row r="324" ht="21" customHeight="1">
      <x:c r="A324" s="3" t="n">
        <x:v>10</x:v>
      </x:c>
      <x:c r="B324" s="3" t="n">
        <x:v>18</x:v>
      </x:c>
      <x:c r="C324" s="3" t="n">
        <x:v>23</x:v>
      </x:c>
      <x:c r="D324" s="3" t="n">
        <x:v>4</x:v>
      </x:c>
      <x:c r="E324" s="3" t="n">
        <x:v>4</x:v>
      </x:c>
      <x:c r="F324" s="3" t="n">
        <x:v>1</x:v>
      </x:c>
    </x:row>
    <x:row r="325" ht="21" customHeight="1">
      <x:c r="A325" s="3" t="n">
        <x:v>10</x:v>
      </x:c>
      <x:c r="B325" s="3" t="n">
        <x:v>19</x:v>
      </x:c>
      <x:c r="C325" s="3" t="n">
        <x:v>24</x:v>
      </x:c>
      <x:c r="D325" s="3" t="n">
        <x:v>4</x:v>
      </x:c>
      <x:c r="E325" s="3" t="n">
        <x:v>4</x:v>
      </x:c>
      <x:c r="F325" s="3" t="n">
        <x:v>1</x:v>
      </x:c>
    </x:row>
    <x:row r="326" ht="21" customHeight="1">
      <x:c r="A326" s="3" t="n">
        <x:v>10</x:v>
      </x:c>
      <x:c r="B326" s="3" t="n">
        <x:v>20</x:v>
      </x:c>
      <x:c r="C326" s="3" t="n">
        <x:v>25</x:v>
      </x:c>
      <x:c r="D326" s="3" t="n">
        <x:v>4</x:v>
      </x:c>
      <x:c r="E326" s="3" t="n">
        <x:v>5</x:v>
      </x:c>
      <x:c r="F326" s="3" t="n">
        <x:v>2</x:v>
      </x:c>
    </x:row>
    <x:row r="327" ht="21" customHeight="1">
      <x:c r="A327" s="3" t="n">
        <x:v>10</x:v>
      </x:c>
      <x:c r="B327" s="3" t="n">
        <x:v>21</x:v>
      </x:c>
      <x:c r="C327" s="3" t="n">
        <x:v>26</x:v>
      </x:c>
      <x:c r="D327" s="3" t="n">
        <x:v>4</x:v>
      </x:c>
      <x:c r="E327" s="3" t="n">
        <x:v>5</x:v>
      </x:c>
      <x:c r="F327" s="3" t="n">
        <x:v>2</x:v>
      </x:c>
    </x:row>
    <x:row r="328" ht="21" customHeight="1">
      <x:c r="A328" s="3" t="n">
        <x:v>10</x:v>
      </x:c>
      <x:c r="B328" s="3" t="n">
        <x:v>22</x:v>
      </x:c>
      <x:c r="C328" s="3" t="n">
        <x:v>27</x:v>
      </x:c>
      <x:c r="D328" s="3" t="n">
        <x:v>4</x:v>
      </x:c>
      <x:c r="E328" s="3" t="n">
        <x:v>5</x:v>
      </x:c>
      <x:c r="F328" s="3" t="n">
        <x:v>2</x:v>
      </x:c>
    </x:row>
    <x:row r="329" ht="21" customHeight="1">
      <x:c r="A329" s="3" t="n">
        <x:v>10</x:v>
      </x:c>
      <x:c r="B329" s="3" t="n">
        <x:v>23</x:v>
      </x:c>
      <x:c r="C329" s="3" t="n">
        <x:v>28</x:v>
      </x:c>
      <x:c r="D329" s="3" t="n">
        <x:v>4</x:v>
      </x:c>
      <x:c r="E329" s="3" t="n">
        <x:v>5</x:v>
      </x:c>
      <x:c r="F329" s="3" t="n">
        <x:v>2</x:v>
      </x:c>
    </x:row>
    <x:row r="330" ht="21" customHeight="1">
      <x:c r="A330" s="3" t="n">
        <x:v>10</x:v>
      </x:c>
      <x:c r="B330" s="3" t="n">
        <x:v>24</x:v>
      </x:c>
      <x:c r="C330" s="3" t="n">
        <x:v>29</x:v>
      </x:c>
      <x:c r="D330" s="3" t="n">
        <x:v>5</x:v>
      </x:c>
      <x:c r="E330" s="3" t="n">
        <x:v>5</x:v>
      </x:c>
      <x:c r="F330" s="3" t="n">
        <x:v>1</x:v>
      </x:c>
    </x:row>
    <x:row r="331" ht="21" customHeight="1">
      <x:c r="A331" s="3" t="n">
        <x:v>10</x:v>
      </x:c>
      <x:c r="B331" s="3" t="n">
        <x:v>25</x:v>
      </x:c>
      <x:c r="C331" s="3" t="n">
        <x:v>30</x:v>
      </x:c>
      <x:c r="D331" s="3" t="n">
        <x:v>5</x:v>
      </x:c>
      <x:c r="E331" s="3" t="n">
        <x:v>5</x:v>
      </x:c>
      <x:c r="F331" s="3" t="n">
        <x:v>1</x:v>
      </x:c>
    </x:row>
    <x:row r="332" ht="21" customHeight="1">
      <x:c r="A332" s="3" t="n">
        <x:v>10</x:v>
      </x:c>
      <x:c r="B332" s="3" t="n">
        <x:v>26</x:v>
      </x:c>
      <x:c r="C332" s="3" t="n">
        <x:v>31</x:v>
      </x:c>
      <x:c r="D332" s="3" t="n">
        <x:v>5</x:v>
      </x:c>
      <x:c r="E332" s="3" t="n">
        <x:v>6</x:v>
      </x:c>
      <x:c r="F332" s="3" t="n">
        <x:v>2</x:v>
      </x:c>
    </x:row>
    <x:row r="333" ht="21" customHeight="1">
      <x:c r="A333" s="3" t="n">
        <x:v>10</x:v>
      </x:c>
      <x:c r="B333" s="3" t="n">
        <x:v>27</x:v>
      </x:c>
      <x:c r="C333" s="3" t="n">
        <x:v>32</x:v>
      </x:c>
      <x:c r="D333" s="3" t="n">
        <x:v>5</x:v>
      </x:c>
      <x:c r="E333" s="3" t="n">
        <x:v>6</x:v>
      </x:c>
      <x:c r="F333" s="3" t="n">
        <x:v>2</x:v>
      </x:c>
    </x:row>
    <x:row r="334" ht="21" customHeight="1">
      <x:c r="A334" s="3" t="n">
        <x:v>10</x:v>
      </x:c>
      <x:c r="B334" s="3" t="n">
        <x:v>28</x:v>
      </x:c>
      <x:c r="C334" s="3" t="n">
        <x:v>33</x:v>
      </x:c>
      <x:c r="D334" s="3" t="n">
        <x:v>5</x:v>
      </x:c>
      <x:c r="E334" s="3" t="n">
        <x:v>6</x:v>
      </x:c>
      <x:c r="F334" s="3" t="n">
        <x:v>2</x:v>
      </x:c>
    </x:row>
    <x:row r="335" ht="21" customHeight="1">
      <x:c r="A335" s="3" t="n">
        <x:v>10</x:v>
      </x:c>
      <x:c r="B335" s="3" t="n">
        <x:v>29</x:v>
      </x:c>
      <x:c r="C335" s="3" t="n">
        <x:v>34</x:v>
      </x:c>
      <x:c r="D335" s="3" t="n">
        <x:v>5</x:v>
      </x:c>
      <x:c r="E335" s="3" t="n">
        <x:v>6</x:v>
      </x:c>
      <x:c r="F335" s="3" t="n">
        <x:v>2</x:v>
      </x:c>
    </x:row>
    <x:row r="336" ht="21" customHeight="1">
      <x:c r="A336" s="3" t="n">
        <x:v>10</x:v>
      </x:c>
      <x:c r="B336" s="3" t="n">
        <x:v>30</x:v>
      </x:c>
      <x:c r="C336" s="3" t="n">
        <x:v>35</x:v>
      </x:c>
      <x:c r="D336" s="3" t="n">
        <x:v>6</x:v>
      </x:c>
      <x:c r="E336" s="3" t="n">
        <x:v>6</x:v>
      </x:c>
      <x:c r="F336" s="3" t="n">
        <x:v>1</x:v>
      </x:c>
    </x:row>
    <x:row r="337" ht="21" customHeight="1">
      <x:c r="A337" s="3" t="n">
        <x:v>10</x:v>
      </x:c>
      <x:c r="B337" s="3" t="n">
        <x:v>31</x:v>
      </x:c>
      <x:c r="C337" s="3" t="n">
        <x:v>36</x:v>
      </x:c>
      <x:c r="D337" s="3" t="n">
        <x:v>6</x:v>
      </x:c>
      <x:c r="E337" s="3" t="n">
        <x:v>6</x:v>
      </x:c>
      <x:c r="F337" s="3" t="n">
        <x:v>1</x:v>
      </x:c>
    </x:row>
    <x:row r="338" ht="21" customHeight="1">
      <x:c r="A338" s="3" t="n">
        <x:v>11</x:v>
      </x:c>
      <x:c r="B338" s="3" t="n">
        <x:v>0</x:v>
      </x:c>
      <x:c r="C338" s="3" t="n">
        <x:v>2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11</x:v>
      </x:c>
      <x:c r="B339" s="3" t="n">
        <x:v>1</x:v>
      </x:c>
      <x:c r="C339" s="3" t="n">
        <x:v>3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11</x:v>
      </x:c>
      <x:c r="B340" s="3" t="n">
        <x:v>2</x:v>
      </x:c>
      <x:c r="C340" s="3" t="n">
        <x:v>4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11</x:v>
      </x:c>
      <x:c r="B341" s="3" t="n">
        <x:v>3</x:v>
      </x:c>
      <x:c r="C341" s="3" t="n">
        <x:v>5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11</x:v>
      </x:c>
      <x:c r="B342" s="3" t="n">
        <x:v>4</x:v>
      </x:c>
      <x:c r="C342" s="3" t="n">
        <x:v>6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11</x:v>
      </x:c>
      <x:c r="B343" s="3" t="n">
        <x:v>5</x:v>
      </x:c>
      <x:c r="C343" s="3" t="n">
        <x:v>7</x:v>
      </x:c>
      <x:c r="D343" s="3" t="n">
        <x:v>1</x:v>
      </x:c>
      <x:c r="E343" s="3" t="n">
        <x:v>2</x:v>
      </x:c>
      <x:c r="F343" s="3" t="n">
        <x:v>2</x:v>
      </x:c>
    </x:row>
    <x:row r="344" ht="21" customHeight="1">
      <x:c r="A344" s="3" t="n">
        <x:v>11</x:v>
      </x:c>
      <x:c r="B344" s="3" t="n">
        <x:v>6</x:v>
      </x:c>
      <x:c r="C344" s="3" t="n">
        <x:v>8</x:v>
      </x:c>
      <x:c r="D344" s="3" t="n">
        <x:v>2</x:v>
      </x:c>
      <x:c r="E344" s="3" t="n">
        <x:v>2</x:v>
      </x:c>
      <x:c r="F344" s="3" t="n">
        <x:v>1</x:v>
      </x:c>
    </x:row>
    <x:row r="345" ht="21" customHeight="1">
      <x:c r="A345" s="3" t="n">
        <x:v>11</x:v>
      </x:c>
      <x:c r="B345" s="3" t="n">
        <x:v>7</x:v>
      </x:c>
      <x:c r="C345" s="3" t="n">
        <x:v>9</x:v>
      </x:c>
      <x:c r="D345" s="3" t="n">
        <x:v>2</x:v>
      </x:c>
      <x:c r="E345" s="3" t="n">
        <x:v>2</x:v>
      </x:c>
      <x:c r="F345" s="3" t="n">
        <x:v>1</x:v>
      </x:c>
    </x:row>
    <x:row r="346" ht="21" customHeight="1">
      <x:c r="A346" s="3" t="n">
        <x:v>11</x:v>
      </x:c>
      <x:c r="B346" s="3" t="n">
        <x:v>8</x:v>
      </x:c>
      <x:c r="C346" s="3" t="n">
        <x:v>10</x:v>
      </x:c>
      <x:c r="D346" s="3" t="n">
        <x:v>2</x:v>
      </x:c>
      <x:c r="E346" s="3" t="n">
        <x:v>2</x:v>
      </x:c>
      <x:c r="F346" s="3" t="n">
        <x:v>1</x:v>
      </x:c>
    </x:row>
    <x:row r="347" ht="21" customHeight="1">
      <x:c r="A347" s="3" t="n">
        <x:v>11</x:v>
      </x:c>
      <x:c r="B347" s="3" t="n">
        <x:v>9</x:v>
      </x:c>
      <x:c r="C347" s="3" t="n">
        <x:v>11</x:v>
      </x:c>
      <x:c r="D347" s="3" t="n">
        <x:v>2</x:v>
      </x:c>
      <x:c r="E347" s="3" t="n">
        <x:v>2</x:v>
      </x:c>
      <x:c r="F347" s="3" t="n">
        <x:v>1</x:v>
      </x:c>
    </x:row>
    <x:row r="348" ht="21" customHeight="1">
      <x:c r="A348" s="3" t="n">
        <x:v>11</x:v>
      </x:c>
      <x:c r="B348" s="3" t="n">
        <x:v>10</x:v>
      </x:c>
      <x:c r="C348" s="3" t="n">
        <x:v>12</x:v>
      </x:c>
      <x:c r="D348" s="3" t="n">
        <x:v>2</x:v>
      </x:c>
      <x:c r="E348" s="3" t="n">
        <x:v>2</x:v>
      </x:c>
      <x:c r="F348" s="3" t="n">
        <x:v>1</x:v>
      </x:c>
    </x:row>
    <x:row r="349" ht="21" customHeight="1">
      <x:c r="A349" s="3" t="n">
        <x:v>11</x:v>
      </x:c>
      <x:c r="B349" s="3" t="n">
        <x:v>11</x:v>
      </x:c>
      <x:c r="C349" s="3" t="n">
        <x:v>13</x:v>
      </x:c>
      <x:c r="D349" s="3" t="n">
        <x:v>2</x:v>
      </x:c>
      <x:c r="E349" s="3" t="n">
        <x:v>3</x:v>
      </x:c>
      <x:c r="F349" s="3" t="n">
        <x:v>2</x:v>
      </x:c>
    </x:row>
    <x:row r="350" ht="21" customHeight="1">
      <x:c r="A350" s="3" t="n">
        <x:v>11</x:v>
      </x:c>
      <x:c r="B350" s="3" t="n">
        <x:v>12</x:v>
      </x:c>
      <x:c r="C350" s="3" t="n">
        <x:v>14</x:v>
      </x:c>
      <x:c r="D350" s="3" t="n">
        <x:v>3</x:v>
      </x:c>
      <x:c r="E350" s="3" t="n">
        <x:v>3</x:v>
      </x:c>
      <x:c r="F350" s="3" t="n">
        <x:v>1</x:v>
      </x:c>
    </x:row>
    <x:row r="351" ht="21" customHeight="1">
      <x:c r="A351" s="3" t="n">
        <x:v>11</x:v>
      </x:c>
      <x:c r="B351" s="3" t="n">
        <x:v>13</x:v>
      </x:c>
      <x:c r="C351" s="3" t="n">
        <x:v>15</x:v>
      </x:c>
      <x:c r="D351" s="3" t="n">
        <x:v>3</x:v>
      </x:c>
      <x:c r="E351" s="3" t="n">
        <x:v>3</x:v>
      </x:c>
      <x:c r="F351" s="3" t="n">
        <x:v>1</x:v>
      </x:c>
    </x:row>
    <x:row r="352" ht="21" customHeight="1">
      <x:c r="A352" s="3" t="n">
        <x:v>11</x:v>
      </x:c>
      <x:c r="B352" s="3" t="n">
        <x:v>14</x:v>
      </x:c>
      <x:c r="C352" s="3" t="n">
        <x:v>16</x:v>
      </x:c>
      <x:c r="D352" s="3" t="n">
        <x:v>3</x:v>
      </x:c>
      <x:c r="E352" s="3" t="n">
        <x:v>3</x:v>
      </x:c>
      <x:c r="F352" s="3" t="n">
        <x:v>1</x:v>
      </x:c>
    </x:row>
    <x:row r="353" ht="21" customHeight="1">
      <x:c r="A353" s="3" t="n">
        <x:v>11</x:v>
      </x:c>
      <x:c r="B353" s="3" t="n">
        <x:v>15</x:v>
      </x:c>
      <x:c r="C353" s="3" t="n">
        <x:v>17</x:v>
      </x:c>
      <x:c r="D353" s="3" t="n">
        <x:v>3</x:v>
      </x:c>
      <x:c r="E353" s="3" t="n">
        <x:v>3</x:v>
      </x:c>
      <x:c r="F353" s="3" t="n">
        <x:v>1</x:v>
      </x:c>
    </x:row>
    <x:row r="354" ht="21" customHeight="1">
      <x:c r="A354" s="3" t="n">
        <x:v>11</x:v>
      </x:c>
      <x:c r="B354" s="3" t="n">
        <x:v>16</x:v>
      </x:c>
      <x:c r="C354" s="3" t="n">
        <x:v>18</x:v>
      </x:c>
      <x:c r="D354" s="3" t="n">
        <x:v>3</x:v>
      </x:c>
      <x:c r="E354" s="3" t="n">
        <x:v>3</x:v>
      </x:c>
      <x:c r="F354" s="3" t="n">
        <x:v>1</x:v>
      </x:c>
    </x:row>
    <x:row r="355" ht="21" customHeight="1">
      <x:c r="A355" s="3" t="n">
        <x:v>11</x:v>
      </x:c>
      <x:c r="B355" s="3" t="n">
        <x:v>17</x:v>
      </x:c>
      <x:c r="C355" s="3" t="n">
        <x:v>19</x:v>
      </x:c>
      <x:c r="D355" s="3" t="n">
        <x:v>3</x:v>
      </x:c>
      <x:c r="E355" s="3" t="n">
        <x:v>4</x:v>
      </x:c>
      <x:c r="F355" s="3" t="n">
        <x:v>2</x:v>
      </x:c>
    </x:row>
    <x:row r="356" ht="21" customHeight="1">
      <x:c r="A356" s="3" t="n">
        <x:v>11</x:v>
      </x:c>
      <x:c r="B356" s="3" t="n">
        <x:v>18</x:v>
      </x:c>
      <x:c r="C356" s="3" t="n">
        <x:v>20</x:v>
      </x:c>
      <x:c r="D356" s="3" t="n">
        <x:v>4</x:v>
      </x:c>
      <x:c r="E356" s="3" t="n">
        <x:v>4</x:v>
      </x:c>
      <x:c r="F356" s="3" t="n">
        <x:v>1</x:v>
      </x:c>
    </x:row>
    <x:row r="357" ht="21" customHeight="1">
      <x:c r="A357" s="3" t="n">
        <x:v>11</x:v>
      </x:c>
      <x:c r="B357" s="3" t="n">
        <x:v>19</x:v>
      </x:c>
      <x:c r="C357" s="3" t="n">
        <x:v>21</x:v>
      </x:c>
      <x:c r="D357" s="3" t="n">
        <x:v>4</x:v>
      </x:c>
      <x:c r="E357" s="3" t="n">
        <x:v>4</x:v>
      </x:c>
      <x:c r="F357" s="3" t="n">
        <x:v>1</x:v>
      </x:c>
    </x:row>
    <x:row r="358" ht="21" customHeight="1">
      <x:c r="A358" s="3" t="n">
        <x:v>11</x:v>
      </x:c>
      <x:c r="B358" s="3" t="n">
        <x:v>20</x:v>
      </x:c>
      <x:c r="C358" s="3" t="n">
        <x:v>22</x:v>
      </x:c>
      <x:c r="D358" s="3" t="n">
        <x:v>4</x:v>
      </x:c>
      <x:c r="E358" s="3" t="n">
        <x:v>4</x:v>
      </x:c>
      <x:c r="F358" s="3" t="n">
        <x:v>1</x:v>
      </x:c>
    </x:row>
    <x:row r="359" ht="21" customHeight="1">
      <x:c r="A359" s="3" t="n">
        <x:v>11</x:v>
      </x:c>
      <x:c r="B359" s="3" t="n">
        <x:v>21</x:v>
      </x:c>
      <x:c r="C359" s="3" t="n">
        <x:v>23</x:v>
      </x:c>
      <x:c r="D359" s="3" t="n">
        <x:v>4</x:v>
      </x:c>
      <x:c r="E359" s="3" t="n">
        <x:v>4</x:v>
      </x:c>
      <x:c r="F359" s="3" t="n">
        <x:v>1</x:v>
      </x:c>
    </x:row>
    <x:row r="360" ht="21" customHeight="1">
      <x:c r="A360" s="3" t="n">
        <x:v>11</x:v>
      </x:c>
      <x:c r="B360" s="3" t="n">
        <x:v>22</x:v>
      </x:c>
      <x:c r="C360" s="3" t="n">
        <x:v>24</x:v>
      </x:c>
      <x:c r="D360" s="3" t="n">
        <x:v>4</x:v>
      </x:c>
      <x:c r="E360" s="3" t="n">
        <x:v>4</x:v>
      </x:c>
      <x:c r="F360" s="3" t="n">
        <x:v>1</x:v>
      </x:c>
    </x:row>
    <x:row r="361" ht="21" customHeight="1">
      <x:c r="A361" s="3" t="n">
        <x:v>11</x:v>
      </x:c>
      <x:c r="B361" s="3" t="n">
        <x:v>23</x:v>
      </x:c>
      <x:c r="C361" s="3" t="n">
        <x:v>25</x:v>
      </x:c>
      <x:c r="D361" s="3" t="n">
        <x:v>4</x:v>
      </x:c>
      <x:c r="E361" s="3" t="n">
        <x:v>5</x:v>
      </x:c>
      <x:c r="F361" s="3" t="n">
        <x:v>2</x:v>
      </x:c>
    </x:row>
    <x:row r="362" ht="21" customHeight="1">
      <x:c r="A362" s="3" t="n">
        <x:v>11</x:v>
      </x:c>
      <x:c r="B362" s="3" t="n">
        <x:v>24</x:v>
      </x:c>
      <x:c r="C362" s="3" t="n">
        <x:v>26</x:v>
      </x:c>
      <x:c r="D362" s="3" t="n">
        <x:v>5</x:v>
      </x:c>
      <x:c r="E362" s="3" t="n">
        <x:v>5</x:v>
      </x:c>
      <x:c r="F362" s="3" t="n">
        <x:v>1</x:v>
      </x:c>
    </x:row>
    <x:row r="363" ht="21" customHeight="1">
      <x:c r="A363" s="3" t="n">
        <x:v>11</x:v>
      </x:c>
      <x:c r="B363" s="3" t="n">
        <x:v>25</x:v>
      </x:c>
      <x:c r="C363" s="3" t="n">
        <x:v>27</x:v>
      </x:c>
      <x:c r="D363" s="3" t="n">
        <x:v>5</x:v>
      </x:c>
      <x:c r="E363" s="3" t="n">
        <x:v>5</x:v>
      </x:c>
      <x:c r="F363" s="3" t="n">
        <x:v>1</x:v>
      </x:c>
    </x:row>
    <x:row r="364" ht="21" customHeight="1">
      <x:c r="A364" s="3" t="n">
        <x:v>11</x:v>
      </x:c>
      <x:c r="B364" s="3" t="n">
        <x:v>26</x:v>
      </x:c>
      <x:c r="C364" s="3" t="n">
        <x:v>28</x:v>
      </x:c>
      <x:c r="D364" s="3" t="n">
        <x:v>5</x:v>
      </x:c>
      <x:c r="E364" s="3" t="n">
        <x:v>5</x:v>
      </x:c>
      <x:c r="F364" s="3" t="n">
        <x:v>1</x:v>
      </x:c>
    </x:row>
    <x:row r="365" ht="21" customHeight="1">
      <x:c r="A365" s="3" t="n">
        <x:v>11</x:v>
      </x:c>
      <x:c r="B365" s="3" t="n">
        <x:v>27</x:v>
      </x:c>
      <x:c r="C365" s="3" t="n">
        <x:v>29</x:v>
      </x:c>
      <x:c r="D365" s="3" t="n">
        <x:v>5</x:v>
      </x:c>
      <x:c r="E365" s="3" t="n">
        <x:v>5</x:v>
      </x:c>
      <x:c r="F365" s="3" t="n">
        <x:v>1</x:v>
      </x:c>
    </x:row>
    <x:row r="366" ht="21" customHeight="1">
      <x:c r="A366" s="3" t="n">
        <x:v>11</x:v>
      </x:c>
      <x:c r="B366" s="3" t="n">
        <x:v>28</x:v>
      </x:c>
      <x:c r="C366" s="3" t="n">
        <x:v>30</x:v>
      </x:c>
      <x:c r="D366" s="3" t="n">
        <x:v>5</x:v>
      </x:c>
      <x:c r="E366" s="3" t="n">
        <x:v>5</x:v>
      </x:c>
      <x:c r="F366" s="3" t="n">
        <x:v>1</x:v>
      </x:c>
    </x:row>
    <x:row r="367" ht="21" customHeight="1">
      <x:c r="A367" s="3" t="n">
        <x:v>11</x:v>
      </x:c>
      <x:c r="B367" s="3" t="n">
        <x:v>29</x:v>
      </x:c>
      <x:c r="C367" s="3" t="n">
        <x:v>31</x:v>
      </x:c>
      <x:c r="D367" s="3" t="n">
        <x:v>5</x:v>
      </x:c>
      <x:c r="E367" s="3" t="n">
        <x:v>6</x:v>
      </x:c>
      <x:c r="F367" s="3" t="n">
        <x:v>2</x:v>
      </x:c>
    </x:row>
    <x:row r="368" ht="21" customHeight="1">
      <x:c r="A368" s="3" t="n">
        <x:v>11</x:v>
      </x:c>
      <x:c r="B368" s="3" t="n">
        <x:v>30</x:v>
      </x:c>
      <x:c r="C368" s="3" t="n">
        <x:v>32</x:v>
      </x:c>
      <x:c r="D368" s="3" t="n">
        <x:v>6</x:v>
      </x:c>
      <x:c r="E368" s="3" t="n">
        <x:v>6</x:v>
      </x:c>
      <x:c r="F368" s="3" t="n">
        <x:v>1</x:v>
      </x:c>
    </x:row>
    <x:row r="369" ht="21" customHeight="1">
      <x:c r="A369" s="3" t="n">
        <x:v>11</x:v>
      </x:c>
      <x:c r="B369" s="3" t="n">
        <x:v>31</x:v>
      </x:c>
      <x:c r="C369" s="3" t="n">
        <x:v>33</x:v>
      </x:c>
      <x:c r="D369" s="3" t="n">
        <x:v>6</x:v>
      </x:c>
      <x:c r="E369" s="3" t="n">
        <x:v>6</x:v>
      </x:c>
      <x:c r="F369" s="3" t="n">
        <x:v>1</x:v>
      </x:c>
    </x:row>
    <x:row r="370" ht="21" customHeight="1">
      <x:c r="A370" s="3" t="n">
        <x:v>11</x:v>
      </x:c>
      <x:c r="B370" s="3" t="n">
        <x:v>32</x:v>
      </x:c>
      <x:c r="C370" s="3" t="n">
        <x:v>34</x:v>
      </x:c>
      <x:c r="D370" s="3" t="n">
        <x:v>6</x:v>
      </x:c>
      <x:c r="E370" s="3" t="n">
        <x:v>6</x:v>
      </x:c>
      <x:c r="F370" s="3" t="n">
        <x:v>1</x:v>
      </x:c>
    </x:row>
    <x:row r="371" ht="21" customHeight="1">
      <x:c r="A371" s="3" t="n">
        <x:v>11</x:v>
      </x:c>
      <x:c r="B371" s="3" t="n">
        <x:v>33</x:v>
      </x:c>
      <x:c r="C371" s="3" t="n">
        <x:v>35</x:v>
      </x:c>
      <x:c r="D371" s="3" t="n">
        <x:v>6</x:v>
      </x:c>
      <x:c r="E371" s="3" t="n">
        <x:v>6</x:v>
      </x:c>
      <x:c r="F371" s="3" t="n">
        <x:v>1</x:v>
      </x:c>
    </x:row>
    <x:row r="372" ht="21" customHeight="1">
      <x:c r="A372" s="3" t="n">
        <x:v>11</x:v>
      </x:c>
      <x:c r="B372" s="3" t="n">
        <x:v>34</x:v>
      </x:c>
      <x:c r="C372" s="3" t="n">
        <x:v>36</x:v>
      </x:c>
      <x:c r="D372" s="3" t="n">
        <x:v>6</x:v>
      </x:c>
      <x:c r="E372" s="3" t="n">
        <x:v>6</x:v>
      </x:c>
      <x:c r="F372" s="3" t="n">
        <x:v>1</x:v>
      </x:c>
    </x:row>
    <x:row r="373" ht="21" customHeight="1">
      <x:c r="A373" s="3" t="n">
        <x:v>12</x:v>
      </x:c>
      <x:c r="B373" s="3" t="n">
        <x:v>0</x:v>
      </x:c>
      <x:c r="C373" s="3" t="n">
        <x:v>5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12</x:v>
      </x:c>
      <x:c r="B374" s="3" t="n">
        <x:v>1</x:v>
      </x:c>
      <x:c r="C374" s="3" t="n">
        <x:v>6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12</x:v>
      </x:c>
      <x:c r="B375" s="3" t="n">
        <x:v>2</x:v>
      </x:c>
      <x:c r="C375" s="3" t="n">
        <x:v>7</x:v>
      </x:c>
      <x:c r="D375" s="3" t="n">
        <x:v>1</x:v>
      </x:c>
      <x:c r="E375" s="3" t="n">
        <x:v>2</x:v>
      </x:c>
      <x:c r="F375" s="3" t="n">
        <x:v>2</x:v>
      </x:c>
    </x:row>
    <x:row r="376" ht="21" customHeight="1">
      <x:c r="A376" s="3" t="n">
        <x:v>12</x:v>
      </x:c>
      <x:c r="B376" s="3" t="n">
        <x:v>3</x:v>
      </x:c>
      <x:c r="C376" s="3" t="n">
        <x:v>8</x:v>
      </x:c>
      <x:c r="D376" s="3" t="n">
        <x:v>1</x:v>
      </x:c>
      <x:c r="E376" s="3" t="n">
        <x:v>2</x:v>
      </x:c>
      <x:c r="F376" s="3" t="n">
        <x:v>2</x:v>
      </x:c>
    </x:row>
    <x:row r="377" ht="21" customHeight="1">
      <x:c r="A377" s="3" t="n">
        <x:v>12</x:v>
      </x:c>
      <x:c r="B377" s="3" t="n">
        <x:v>4</x:v>
      </x:c>
      <x:c r="C377" s="3" t="n">
        <x:v>9</x:v>
      </x:c>
      <x:c r="D377" s="3" t="n">
        <x:v>1</x:v>
      </x:c>
      <x:c r="E377" s="3" t="n">
        <x:v>2</x:v>
      </x:c>
      <x:c r="F377" s="3" t="n">
        <x:v>2</x:v>
      </x:c>
    </x:row>
    <x:row r="378" ht="21" customHeight="1">
      <x:c r="A378" s="3" t="n">
        <x:v>12</x:v>
      </x:c>
      <x:c r="B378" s="3" t="n">
        <x:v>5</x:v>
      </x:c>
      <x:c r="C378" s="3" t="n">
        <x:v>10</x:v>
      </x:c>
      <x:c r="D378" s="3" t="n">
        <x:v>1</x:v>
      </x:c>
      <x:c r="E378" s="3" t="n">
        <x:v>2</x:v>
      </x:c>
      <x:c r="F378" s="3" t="n">
        <x:v>2</x:v>
      </x:c>
    </x:row>
    <x:row r="379" ht="21" customHeight="1">
      <x:c r="A379" s="3" t="n">
        <x:v>12</x:v>
      </x:c>
      <x:c r="B379" s="3" t="n">
        <x:v>6</x:v>
      </x:c>
      <x:c r="C379" s="3" t="n">
        <x:v>11</x:v>
      </x:c>
      <x:c r="D379" s="3" t="n">
        <x:v>2</x:v>
      </x:c>
      <x:c r="E379" s="3" t="n">
        <x:v>2</x:v>
      </x:c>
      <x:c r="F379" s="3" t="n">
        <x:v>1</x:v>
      </x:c>
    </x:row>
    <x:row r="380" ht="21" customHeight="1">
      <x:c r="A380" s="3" t="n">
        <x:v>12</x:v>
      </x:c>
      <x:c r="B380" s="3" t="n">
        <x:v>7</x:v>
      </x:c>
      <x:c r="C380" s="3" t="n">
        <x:v>12</x:v>
      </x:c>
      <x:c r="D380" s="3" t="n">
        <x:v>2</x:v>
      </x:c>
      <x:c r="E380" s="3" t="n">
        <x:v>2</x:v>
      </x:c>
      <x:c r="F380" s="3" t="n">
        <x:v>1</x:v>
      </x:c>
    </x:row>
    <x:row r="381" ht="21" customHeight="1">
      <x:c r="A381" s="3" t="n">
        <x:v>12</x:v>
      </x:c>
      <x:c r="B381" s="3" t="n">
        <x:v>8</x:v>
      </x:c>
      <x:c r="C381" s="3" t="n">
        <x:v>13</x:v>
      </x:c>
      <x:c r="D381" s="3" t="n">
        <x:v>2</x:v>
      </x:c>
      <x:c r="E381" s="3" t="n">
        <x:v>3</x:v>
      </x:c>
      <x:c r="F381" s="3" t="n">
        <x:v>2</x:v>
      </x:c>
    </x:row>
    <x:row r="382" ht="21" customHeight="1">
      <x:c r="A382" s="3" t="n">
        <x:v>12</x:v>
      </x:c>
      <x:c r="B382" s="3" t="n">
        <x:v>9</x:v>
      </x:c>
      <x:c r="C382" s="3" t="n">
        <x:v>14</x:v>
      </x:c>
      <x:c r="D382" s="3" t="n">
        <x:v>2</x:v>
      </x:c>
      <x:c r="E382" s="3" t="n">
        <x:v>3</x:v>
      </x:c>
      <x:c r="F382" s="3" t="n">
        <x:v>2</x:v>
      </x:c>
    </x:row>
    <x:row r="383" ht="21" customHeight="1">
      <x:c r="A383" s="3" t="n">
        <x:v>12</x:v>
      </x:c>
      <x:c r="B383" s="3" t="n">
        <x:v>10</x:v>
      </x:c>
      <x:c r="C383" s="3" t="n">
        <x:v>15</x:v>
      </x:c>
      <x:c r="D383" s="3" t="n">
        <x:v>2</x:v>
      </x:c>
      <x:c r="E383" s="3" t="n">
        <x:v>3</x:v>
      </x:c>
      <x:c r="F383" s="3" t="n">
        <x:v>2</x:v>
      </x:c>
    </x:row>
    <x:row r="384" ht="21" customHeight="1">
      <x:c r="A384" s="3" t="n">
        <x:v>12</x:v>
      </x:c>
      <x:c r="B384" s="3" t="n">
        <x:v>11</x:v>
      </x:c>
      <x:c r="C384" s="3" t="n">
        <x:v>16</x:v>
      </x:c>
      <x:c r="D384" s="3" t="n">
        <x:v>2</x:v>
      </x:c>
      <x:c r="E384" s="3" t="n">
        <x:v>3</x:v>
      </x:c>
      <x:c r="F384" s="3" t="n">
        <x:v>2</x:v>
      </x:c>
    </x:row>
    <x:row r="385" ht="21" customHeight="1">
      <x:c r="A385" s="3" t="n">
        <x:v>12</x:v>
      </x:c>
      <x:c r="B385" s="3" t="n">
        <x:v>12</x:v>
      </x:c>
      <x:c r="C385" s="3" t="n">
        <x:v>17</x:v>
      </x:c>
      <x:c r="D385" s="3" t="n">
        <x:v>3</x:v>
      </x:c>
      <x:c r="E385" s="3" t="n">
        <x:v>3</x:v>
      </x:c>
      <x:c r="F385" s="3" t="n">
        <x:v>1</x:v>
      </x:c>
    </x:row>
    <x:row r="386" ht="21" customHeight="1">
      <x:c r="A386" s="3" t="n">
        <x:v>12</x:v>
      </x:c>
      <x:c r="B386" s="3" t="n">
        <x:v>13</x:v>
      </x:c>
      <x:c r="C386" s="3" t="n">
        <x:v>18</x:v>
      </x:c>
      <x:c r="D386" s="3" t="n">
        <x:v>3</x:v>
      </x:c>
      <x:c r="E386" s="3" t="n">
        <x:v>3</x:v>
      </x:c>
      <x:c r="F386" s="3" t="n">
        <x:v>1</x:v>
      </x:c>
    </x:row>
    <x:row r="387" ht="21" customHeight="1">
      <x:c r="A387" s="3" t="n">
        <x:v>12</x:v>
      </x:c>
      <x:c r="B387" s="3" t="n">
        <x:v>14</x:v>
      </x:c>
      <x:c r="C387" s="3" t="n">
        <x:v>19</x:v>
      </x:c>
      <x:c r="D387" s="3" t="n">
        <x:v>3</x:v>
      </x:c>
      <x:c r="E387" s="3" t="n">
        <x:v>4</x:v>
      </x:c>
      <x:c r="F387" s="3" t="n">
        <x:v>2</x:v>
      </x:c>
    </x:row>
    <x:row r="388" ht="21" customHeight="1">
      <x:c r="A388" s="3" t="n">
        <x:v>12</x:v>
      </x:c>
      <x:c r="B388" s="3" t="n">
        <x:v>15</x:v>
      </x:c>
      <x:c r="C388" s="3" t="n">
        <x:v>20</x:v>
      </x:c>
      <x:c r="D388" s="3" t="n">
        <x:v>3</x:v>
      </x:c>
      <x:c r="E388" s="3" t="n">
        <x:v>4</x:v>
      </x:c>
      <x:c r="F388" s="3" t="n">
        <x:v>2</x:v>
      </x:c>
    </x:row>
    <x:row r="389" ht="21" customHeight="1">
      <x:c r="A389" s="3" t="n">
        <x:v>12</x:v>
      </x:c>
      <x:c r="B389" s="3" t="n">
        <x:v>16</x:v>
      </x:c>
      <x:c r="C389" s="3" t="n">
        <x:v>21</x:v>
      </x:c>
      <x:c r="D389" s="3" t="n">
        <x:v>3</x:v>
      </x:c>
      <x:c r="E389" s="3" t="n">
        <x:v>4</x:v>
      </x:c>
      <x:c r="F389" s="3" t="n">
        <x:v>2</x:v>
      </x:c>
    </x:row>
    <x:row r="390" ht="21" customHeight="1">
      <x:c r="A390" s="3" t="n">
        <x:v>12</x:v>
      </x:c>
      <x:c r="B390" s="3" t="n">
        <x:v>17</x:v>
      </x:c>
      <x:c r="C390" s="3" t="n">
        <x:v>22</x:v>
      </x:c>
      <x:c r="D390" s="3" t="n">
        <x:v>3</x:v>
      </x:c>
      <x:c r="E390" s="3" t="n">
        <x:v>4</x:v>
      </x:c>
      <x:c r="F390" s="3" t="n">
        <x:v>2</x:v>
      </x:c>
    </x:row>
    <x:row r="391" ht="21" customHeight="1">
      <x:c r="A391" s="3" t="n">
        <x:v>12</x:v>
      </x:c>
      <x:c r="B391" s="3" t="n">
        <x:v>18</x:v>
      </x:c>
      <x:c r="C391" s="3" t="n">
        <x:v>23</x:v>
      </x:c>
      <x:c r="D391" s="3" t="n">
        <x:v>4</x:v>
      </x:c>
      <x:c r="E391" s="3" t="n">
        <x:v>4</x:v>
      </x:c>
      <x:c r="F391" s="3" t="n">
        <x:v>1</x:v>
      </x:c>
    </x:row>
    <x:row r="392" ht="21" customHeight="1">
      <x:c r="A392" s="3" t="n">
        <x:v>12</x:v>
      </x:c>
      <x:c r="B392" s="3" t="n">
        <x:v>19</x:v>
      </x:c>
      <x:c r="C392" s="3" t="n">
        <x:v>24</x:v>
      </x:c>
      <x:c r="D392" s="3" t="n">
        <x:v>4</x:v>
      </x:c>
      <x:c r="E392" s="3" t="n">
        <x:v>4</x:v>
      </x:c>
      <x:c r="F392" s="3" t="n">
        <x:v>1</x:v>
      </x:c>
    </x:row>
    <x:row r="393" ht="21" customHeight="1">
      <x:c r="A393" s="3" t="n">
        <x:v>12</x:v>
      </x:c>
      <x:c r="B393" s="3" t="n">
        <x:v>20</x:v>
      </x:c>
      <x:c r="C393" s="3" t="n">
        <x:v>25</x:v>
      </x:c>
      <x:c r="D393" s="3" t="n">
        <x:v>4</x:v>
      </x:c>
      <x:c r="E393" s="3" t="n">
        <x:v>5</x:v>
      </x:c>
      <x:c r="F393" s="3" t="n">
        <x:v>2</x:v>
      </x:c>
    </x:row>
    <x:row r="394" ht="21" customHeight="1">
      <x:c r="A394" s="3" t="n">
        <x:v>12</x:v>
      </x:c>
      <x:c r="B394" s="3" t="n">
        <x:v>21</x:v>
      </x:c>
      <x:c r="C394" s="3" t="n">
        <x:v>26</x:v>
      </x:c>
      <x:c r="D394" s="3" t="n">
        <x:v>4</x:v>
      </x:c>
      <x:c r="E394" s="3" t="n">
        <x:v>5</x:v>
      </x:c>
      <x:c r="F394" s="3" t="n">
        <x:v>2</x:v>
      </x:c>
    </x:row>
    <x:row r="395" ht="21" customHeight="1">
      <x:c r="A395" s="3" t="n">
        <x:v>12</x:v>
      </x:c>
      <x:c r="B395" s="3" t="n">
        <x:v>22</x:v>
      </x:c>
      <x:c r="C395" s="3" t="n">
        <x:v>27</x:v>
      </x:c>
      <x:c r="D395" s="3" t="n">
        <x:v>4</x:v>
      </x:c>
      <x:c r="E395" s="3" t="n">
        <x:v>5</x:v>
      </x:c>
      <x:c r="F395" s="3" t="n">
        <x:v>2</x:v>
      </x:c>
    </x:row>
    <x:row r="396" ht="21" customHeight="1">
      <x:c r="A396" s="3" t="n">
        <x:v>12</x:v>
      </x:c>
      <x:c r="B396" s="3" t="n">
        <x:v>23</x:v>
      </x:c>
      <x:c r="C396" s="3" t="n">
        <x:v>28</x:v>
      </x:c>
      <x:c r="D396" s="3" t="n">
        <x:v>4</x:v>
      </x:c>
      <x:c r="E396" s="3" t="n">
        <x:v>5</x:v>
      </x:c>
      <x:c r="F396" s="3" t="n">
        <x:v>2</x:v>
      </x:c>
    </x:row>
    <x:row r="397" ht="21" customHeight="1">
      <x:c r="A397" s="3" t="n">
        <x:v>12</x:v>
      </x:c>
      <x:c r="B397" s="3" t="n">
        <x:v>24</x:v>
      </x:c>
      <x:c r="C397" s="3" t="n">
        <x:v>29</x:v>
      </x:c>
      <x:c r="D397" s="3" t="n">
        <x:v>5</x:v>
      </x:c>
      <x:c r="E397" s="3" t="n">
        <x:v>5</x:v>
      </x:c>
      <x:c r="F397" s="3" t="n">
        <x:v>1</x:v>
      </x:c>
    </x:row>
    <x:row r="398" ht="21" customHeight="1">
      <x:c r="A398" s="3" t="n">
        <x:v>12</x:v>
      </x:c>
      <x:c r="B398" s="3" t="n">
        <x:v>25</x:v>
      </x:c>
      <x:c r="C398" s="3" t="n">
        <x:v>30</x:v>
      </x:c>
      <x:c r="D398" s="3" t="n">
        <x:v>5</x:v>
      </x:c>
      <x:c r="E398" s="3" t="n">
        <x:v>5</x:v>
      </x:c>
      <x:c r="F398" s="3" t="n">
        <x:v>1</x:v>
      </x:c>
    </x:row>
    <x:row r="399" ht="21" customHeight="1">
      <x:c r="A399" s="3" t="n">
        <x:v>12</x:v>
      </x:c>
      <x:c r="B399" s="3" t="n">
        <x:v>26</x:v>
      </x:c>
      <x:c r="C399" s="3" t="n">
        <x:v>31</x:v>
      </x:c>
      <x:c r="D399" s="3" t="n">
        <x:v>5</x:v>
      </x:c>
      <x:c r="E399" s="3" t="n">
        <x:v>6</x:v>
      </x:c>
      <x:c r="F399" s="3" t="n">
        <x:v>2</x:v>
      </x:c>
    </x:row>
    <x:row r="400" ht="21" customHeight="1">
      <x:c r="A400" s="3" t="n">
        <x:v>12</x:v>
      </x:c>
      <x:c r="B400" s="3" t="n">
        <x:v>27</x:v>
      </x:c>
      <x:c r="C400" s="3" t="n">
        <x:v>32</x:v>
      </x:c>
      <x:c r="D400" s="3" t="n">
        <x:v>5</x:v>
      </x:c>
      <x:c r="E400" s="3" t="n">
        <x:v>6</x:v>
      </x:c>
      <x:c r="F400" s="3" t="n">
        <x:v>2</x:v>
      </x:c>
    </x:row>
    <x:row r="401" ht="21" customHeight="1">
      <x:c r="A401" s="3" t="n">
        <x:v>12</x:v>
      </x:c>
      <x:c r="B401" s="3" t="n">
        <x:v>28</x:v>
      </x:c>
      <x:c r="C401" s="3" t="n">
        <x:v>33</x:v>
      </x:c>
      <x:c r="D401" s="3" t="n">
        <x:v>5</x:v>
      </x:c>
      <x:c r="E401" s="3" t="n">
        <x:v>6</x:v>
      </x:c>
      <x:c r="F401" s="3" t="n">
        <x:v>2</x:v>
      </x:c>
    </x:row>
    <x:row r="402" ht="21" customHeight="1">
      <x:c r="A402" s="3" t="n">
        <x:v>12</x:v>
      </x:c>
      <x:c r="B402" s="3" t="n">
        <x:v>29</x:v>
      </x:c>
      <x:c r="C402" s="3" t="n">
        <x:v>34</x:v>
      </x:c>
      <x:c r="D402" s="3" t="n">
        <x:v>5</x:v>
      </x:c>
      <x:c r="E402" s="3" t="n">
        <x:v>6</x:v>
      </x:c>
      <x:c r="F402" s="3" t="n">
        <x:v>2</x:v>
      </x:c>
    </x:row>
    <x:row r="403" ht="21" customHeight="1">
      <x:c r="A403" s="3" t="n">
        <x:v>12</x:v>
      </x:c>
      <x:c r="B403" s="3" t="n">
        <x:v>30</x:v>
      </x:c>
      <x:c r="C403" s="3" t="n">
        <x:v>35</x:v>
      </x:c>
      <x:c r="D403" s="3" t="n">
        <x:v>6</x:v>
      </x:c>
      <x:c r="E403" s="3" t="n">
        <x:v>6</x:v>
      </x:c>
      <x:c r="F403" s="3" t="n">
        <x:v>1</x:v>
      </x:c>
    </x:row>
    <x:row r="404" ht="21" customHeight="1">
      <x:c r="A404" s="3" t="n">
        <x:v>12</x:v>
      </x:c>
      <x:c r="B404" s="3" t="n">
        <x:v>31</x:v>
      </x:c>
      <x:c r="C404" s="3" t="n">
        <x:v>36</x:v>
      </x:c>
      <x:c r="D404" s="3" t="n">
        <x:v>6</x:v>
      </x:c>
      <x:c r="E404" s="3" t="n">
        <x:v>6</x:v>
      </x:c>
      <x:c r="F404" s="3" t="n">
        <x:v>1</x:v>
      </x:c>
    </x:row>
    <x:row r="405" ht="21" customHeight="1">
      <x:c r="A405" s="3" t="n">
        <x:v>13</x:v>
      </x:c>
      <x:c r="B405" s="3" t="n">
        <x:v>0</x:v>
      </x:c>
      <x:c r="C405" s="3" t="n">
        <x:v>2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13</x:v>
      </x:c>
      <x:c r="B406" s="3" t="n">
        <x:v>1</x:v>
      </x:c>
      <x:c r="C406" s="3" t="n">
        <x:v>3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13</x:v>
      </x:c>
      <x:c r="B407" s="3" t="n">
        <x:v>2</x:v>
      </x:c>
      <x:c r="C407" s="3" t="n">
        <x:v>4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13</x:v>
      </x:c>
      <x:c r="B408" s="3" t="n">
        <x:v>3</x:v>
      </x:c>
      <x:c r="C408" s="3" t="n">
        <x:v>5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13</x:v>
      </x:c>
      <x:c r="B409" s="3" t="n">
        <x:v>4</x:v>
      </x:c>
      <x:c r="C409" s="3" t="n">
        <x:v>6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13</x:v>
      </x:c>
      <x:c r="B410" s="3" t="n">
        <x:v>5</x:v>
      </x:c>
      <x:c r="C410" s="3" t="n">
        <x:v>7</x:v>
      </x:c>
      <x:c r="D410" s="3" t="n">
        <x:v>1</x:v>
      </x:c>
      <x:c r="E410" s="3" t="n">
        <x:v>2</x:v>
      </x:c>
      <x:c r="F410" s="3" t="n">
        <x:v>2</x:v>
      </x:c>
    </x:row>
    <x:row r="411" ht="21" customHeight="1">
      <x:c r="A411" s="3" t="n">
        <x:v>13</x:v>
      </x:c>
      <x:c r="B411" s="3" t="n">
        <x:v>6</x:v>
      </x:c>
      <x:c r="C411" s="3" t="n">
        <x:v>8</x:v>
      </x:c>
      <x:c r="D411" s="3" t="n">
        <x:v>2</x:v>
      </x:c>
      <x:c r="E411" s="3" t="n">
        <x:v>2</x:v>
      </x:c>
      <x:c r="F411" s="3" t="n">
        <x:v>1</x:v>
      </x:c>
    </x:row>
    <x:row r="412" ht="21" customHeight="1">
      <x:c r="A412" s="3" t="n">
        <x:v>13</x:v>
      </x:c>
      <x:c r="B412" s="3" t="n">
        <x:v>7</x:v>
      </x:c>
      <x:c r="C412" s="3" t="n">
        <x:v>9</x:v>
      </x:c>
      <x:c r="D412" s="3" t="n">
        <x:v>2</x:v>
      </x:c>
      <x:c r="E412" s="3" t="n">
        <x:v>2</x:v>
      </x:c>
      <x:c r="F412" s="3" t="n">
        <x:v>1</x:v>
      </x:c>
    </x:row>
    <x:row r="413" ht="21" customHeight="1">
      <x:c r="A413" s="3" t="n">
        <x:v>13</x:v>
      </x:c>
      <x:c r="B413" s="3" t="n">
        <x:v>8</x:v>
      </x:c>
      <x:c r="C413" s="3" t="n">
        <x:v>10</x:v>
      </x:c>
      <x:c r="D413" s="3" t="n">
        <x:v>2</x:v>
      </x:c>
      <x:c r="E413" s="3" t="n">
        <x:v>2</x:v>
      </x:c>
      <x:c r="F413" s="3" t="n">
        <x:v>1</x:v>
      </x:c>
    </x:row>
    <x:row r="414" ht="21" customHeight="1">
      <x:c r="A414" s="3" t="n">
        <x:v>13</x:v>
      </x:c>
      <x:c r="B414" s="3" t="n">
        <x:v>9</x:v>
      </x:c>
      <x:c r="C414" s="3" t="n">
        <x:v>11</x:v>
      </x:c>
      <x:c r="D414" s="3" t="n">
        <x:v>2</x:v>
      </x:c>
      <x:c r="E414" s="3" t="n">
        <x:v>2</x:v>
      </x:c>
      <x:c r="F414" s="3" t="n">
        <x:v>1</x:v>
      </x:c>
    </x:row>
    <x:row r="415" ht="21" customHeight="1">
      <x:c r="A415" s="3" t="n">
        <x:v>13</x:v>
      </x:c>
      <x:c r="B415" s="3" t="n">
        <x:v>10</x:v>
      </x:c>
      <x:c r="C415" s="3" t="n">
        <x:v>12</x:v>
      </x:c>
      <x:c r="D415" s="3" t="n">
        <x:v>2</x:v>
      </x:c>
      <x:c r="E415" s="3" t="n">
        <x:v>2</x:v>
      </x:c>
      <x:c r="F415" s="3" t="n">
        <x:v>1</x:v>
      </x:c>
    </x:row>
    <x:row r="416" ht="21" customHeight="1">
      <x:c r="A416" s="3" t="n">
        <x:v>13</x:v>
      </x:c>
      <x:c r="B416" s="3" t="n">
        <x:v>11</x:v>
      </x:c>
      <x:c r="C416" s="3" t="n">
        <x:v>13</x:v>
      </x:c>
      <x:c r="D416" s="3" t="n">
        <x:v>2</x:v>
      </x:c>
      <x:c r="E416" s="3" t="n">
        <x:v>3</x:v>
      </x:c>
      <x:c r="F416" s="3" t="n">
        <x:v>2</x:v>
      </x:c>
    </x:row>
    <x:row r="417" ht="21" customHeight="1">
      <x:c r="A417" s="3" t="n">
        <x:v>13</x:v>
      </x:c>
      <x:c r="B417" s="3" t="n">
        <x:v>12</x:v>
      </x:c>
      <x:c r="C417" s="3" t="n">
        <x:v>14</x:v>
      </x:c>
      <x:c r="D417" s="3" t="n">
        <x:v>3</x:v>
      </x:c>
      <x:c r="E417" s="3" t="n">
        <x:v>3</x:v>
      </x:c>
      <x:c r="F417" s="3" t="n">
        <x:v>1</x:v>
      </x:c>
    </x:row>
    <x:row r="418" ht="21" customHeight="1">
      <x:c r="A418" s="3" t="n">
        <x:v>13</x:v>
      </x:c>
      <x:c r="B418" s="3" t="n">
        <x:v>13</x:v>
      </x:c>
      <x:c r="C418" s="3" t="n">
        <x:v>15</x:v>
      </x:c>
      <x:c r="D418" s="3" t="n">
        <x:v>3</x:v>
      </x:c>
      <x:c r="E418" s="3" t="n">
        <x:v>3</x:v>
      </x:c>
      <x:c r="F418" s="3" t="n">
        <x:v>1</x:v>
      </x:c>
    </x:row>
    <x:row r="419" ht="21" customHeight="1">
      <x:c r="A419" s="3" t="n">
        <x:v>13</x:v>
      </x:c>
      <x:c r="B419" s="3" t="n">
        <x:v>14</x:v>
      </x:c>
      <x:c r="C419" s="3" t="n">
        <x:v>16</x:v>
      </x:c>
      <x:c r="D419" s="3" t="n">
        <x:v>3</x:v>
      </x:c>
      <x:c r="E419" s="3" t="n">
        <x:v>3</x:v>
      </x:c>
      <x:c r="F419" s="3" t="n">
        <x:v>1</x:v>
      </x:c>
    </x:row>
    <x:row r="420" ht="21" customHeight="1">
      <x:c r="A420" s="3" t="n">
        <x:v>13</x:v>
      </x:c>
      <x:c r="B420" s="3" t="n">
        <x:v>15</x:v>
      </x:c>
      <x:c r="C420" s="3" t="n">
        <x:v>17</x:v>
      </x:c>
      <x:c r="D420" s="3" t="n">
        <x:v>3</x:v>
      </x:c>
      <x:c r="E420" s="3" t="n">
        <x:v>3</x:v>
      </x:c>
      <x:c r="F420" s="3" t="n">
        <x:v>1</x:v>
      </x:c>
    </x:row>
    <x:row r="421" ht="21" customHeight="1">
      <x:c r="A421" s="3" t="n">
        <x:v>13</x:v>
      </x:c>
      <x:c r="B421" s="3" t="n">
        <x:v>16</x:v>
      </x:c>
      <x:c r="C421" s="3" t="n">
        <x:v>18</x:v>
      </x:c>
      <x:c r="D421" s="3" t="n">
        <x:v>3</x:v>
      </x:c>
      <x:c r="E421" s="3" t="n">
        <x:v>3</x:v>
      </x:c>
      <x:c r="F421" s="3" t="n">
        <x:v>1</x:v>
      </x:c>
    </x:row>
    <x:row r="422" ht="21" customHeight="1">
      <x:c r="A422" s="3" t="n">
        <x:v>13</x:v>
      </x:c>
      <x:c r="B422" s="3" t="n">
        <x:v>17</x:v>
      </x:c>
      <x:c r="C422" s="3" t="n">
        <x:v>19</x:v>
      </x:c>
      <x:c r="D422" s="3" t="n">
        <x:v>3</x:v>
      </x:c>
      <x:c r="E422" s="3" t="n">
        <x:v>4</x:v>
      </x:c>
      <x:c r="F422" s="3" t="n">
        <x:v>2</x:v>
      </x:c>
    </x:row>
    <x:row r="423" ht="21" customHeight="1">
      <x:c r="A423" s="3" t="n">
        <x:v>13</x:v>
      </x:c>
      <x:c r="B423" s="3" t="n">
        <x:v>18</x:v>
      </x:c>
      <x:c r="C423" s="3" t="n">
        <x:v>20</x:v>
      </x:c>
      <x:c r="D423" s="3" t="n">
        <x:v>4</x:v>
      </x:c>
      <x:c r="E423" s="3" t="n">
        <x:v>4</x:v>
      </x:c>
      <x:c r="F423" s="3" t="n">
        <x:v>1</x:v>
      </x:c>
    </x:row>
    <x:row r="424" ht="21" customHeight="1">
      <x:c r="A424" s="3" t="n">
        <x:v>13</x:v>
      </x:c>
      <x:c r="B424" s="3" t="n">
        <x:v>19</x:v>
      </x:c>
      <x:c r="C424" s="3" t="n">
        <x:v>21</x:v>
      </x:c>
      <x:c r="D424" s="3" t="n">
        <x:v>4</x:v>
      </x:c>
      <x:c r="E424" s="3" t="n">
        <x:v>4</x:v>
      </x:c>
      <x:c r="F424" s="3" t="n">
        <x:v>1</x:v>
      </x:c>
    </x:row>
    <x:row r="425" ht="21" customHeight="1">
      <x:c r="A425" s="3" t="n">
        <x:v>13</x:v>
      </x:c>
      <x:c r="B425" s="3" t="n">
        <x:v>20</x:v>
      </x:c>
      <x:c r="C425" s="3" t="n">
        <x:v>22</x:v>
      </x:c>
      <x:c r="D425" s="3" t="n">
        <x:v>4</x:v>
      </x:c>
      <x:c r="E425" s="3" t="n">
        <x:v>4</x:v>
      </x:c>
      <x:c r="F425" s="3" t="n">
        <x:v>1</x:v>
      </x:c>
    </x:row>
    <x:row r="426" ht="21" customHeight="1">
      <x:c r="A426" s="3" t="n">
        <x:v>13</x:v>
      </x:c>
      <x:c r="B426" s="3" t="n">
        <x:v>21</x:v>
      </x:c>
      <x:c r="C426" s="3" t="n">
        <x:v>23</x:v>
      </x:c>
      <x:c r="D426" s="3" t="n">
        <x:v>4</x:v>
      </x:c>
      <x:c r="E426" s="3" t="n">
        <x:v>4</x:v>
      </x:c>
      <x:c r="F426" s="3" t="n">
        <x:v>1</x:v>
      </x:c>
    </x:row>
    <x:row r="427" ht="21" customHeight="1">
      <x:c r="A427" s="3" t="n">
        <x:v>13</x:v>
      </x:c>
      <x:c r="B427" s="3" t="n">
        <x:v>22</x:v>
      </x:c>
      <x:c r="C427" s="3" t="n">
        <x:v>24</x:v>
      </x:c>
      <x:c r="D427" s="3" t="n">
        <x:v>4</x:v>
      </x:c>
      <x:c r="E427" s="3" t="n">
        <x:v>4</x:v>
      </x:c>
      <x:c r="F427" s="3" t="n">
        <x:v>1</x:v>
      </x:c>
    </x:row>
    <x:row r="428" ht="21" customHeight="1">
      <x:c r="A428" s="3" t="n">
        <x:v>13</x:v>
      </x:c>
      <x:c r="B428" s="3" t="n">
        <x:v>23</x:v>
      </x:c>
      <x:c r="C428" s="3" t="n">
        <x:v>25</x:v>
      </x:c>
      <x:c r="D428" s="3" t="n">
        <x:v>4</x:v>
      </x:c>
      <x:c r="E428" s="3" t="n">
        <x:v>5</x:v>
      </x:c>
      <x:c r="F428" s="3" t="n">
        <x:v>2</x:v>
      </x:c>
    </x:row>
    <x:row r="429" ht="21" customHeight="1">
      <x:c r="A429" s="3" t="n">
        <x:v>13</x:v>
      </x:c>
      <x:c r="B429" s="3" t="n">
        <x:v>24</x:v>
      </x:c>
      <x:c r="C429" s="3" t="n">
        <x:v>26</x:v>
      </x:c>
      <x:c r="D429" s="3" t="n">
        <x:v>5</x:v>
      </x:c>
      <x:c r="E429" s="3" t="n">
        <x:v>5</x:v>
      </x:c>
      <x:c r="F429" s="3" t="n">
        <x:v>1</x:v>
      </x:c>
    </x:row>
    <x:row r="430" ht="21" customHeight="1">
      <x:c r="A430" s="3" t="n">
        <x:v>13</x:v>
      </x:c>
      <x:c r="B430" s="3" t="n">
        <x:v>25</x:v>
      </x:c>
      <x:c r="C430" s="3" t="n">
        <x:v>27</x:v>
      </x:c>
      <x:c r="D430" s="3" t="n">
        <x:v>5</x:v>
      </x:c>
      <x:c r="E430" s="3" t="n">
        <x:v>5</x:v>
      </x:c>
      <x:c r="F430" s="3" t="n">
        <x:v>1</x:v>
      </x:c>
    </x:row>
    <x:row r="431" ht="21" customHeight="1">
      <x:c r="A431" s="3" t="n">
        <x:v>13</x:v>
      </x:c>
      <x:c r="B431" s="3" t="n">
        <x:v>26</x:v>
      </x:c>
      <x:c r="C431" s="3" t="n">
        <x:v>28</x:v>
      </x:c>
      <x:c r="D431" s="3" t="n">
        <x:v>5</x:v>
      </x:c>
      <x:c r="E431" s="3" t="n">
        <x:v>5</x:v>
      </x:c>
      <x:c r="F431" s="3" t="n">
        <x:v>1</x:v>
      </x:c>
    </x:row>
    <x:row r="432" ht="21" customHeight="1">
      <x:c r="A432" s="3" t="n">
        <x:v>13</x:v>
      </x:c>
      <x:c r="B432" s="3" t="n">
        <x:v>27</x:v>
      </x:c>
      <x:c r="C432" s="3" t="n">
        <x:v>29</x:v>
      </x:c>
      <x:c r="D432" s="3" t="n">
        <x:v>5</x:v>
      </x:c>
      <x:c r="E432" s="3" t="n">
        <x:v>5</x:v>
      </x:c>
      <x:c r="F432" s="3" t="n">
        <x:v>1</x:v>
      </x:c>
    </x:row>
    <x:row r="433" ht="21" customHeight="1">
      <x:c r="A433" s="3" t="n">
        <x:v>13</x:v>
      </x:c>
      <x:c r="B433" s="3" t="n">
        <x:v>28</x:v>
      </x:c>
      <x:c r="C433" s="3" t="n">
        <x:v>30</x:v>
      </x:c>
      <x:c r="D433" s="3" t="n">
        <x:v>5</x:v>
      </x:c>
      <x:c r="E433" s="3" t="n">
        <x:v>5</x:v>
      </x:c>
      <x:c r="F433" s="3" t="n">
        <x:v>1</x:v>
      </x:c>
    </x:row>
    <x:row r="434" ht="21" customHeight="1">
      <x:c r="A434" s="3" t="n">
        <x:v>13</x:v>
      </x:c>
      <x:c r="B434" s="3" t="n">
        <x:v>29</x:v>
      </x:c>
      <x:c r="C434" s="3" t="n">
        <x:v>31</x:v>
      </x:c>
      <x:c r="D434" s="3" t="n">
        <x:v>5</x:v>
      </x:c>
      <x:c r="E434" s="3" t="n">
        <x:v>6</x:v>
      </x:c>
      <x:c r="F434" s="3" t="n">
        <x:v>2</x:v>
      </x:c>
    </x:row>
    <x:row r="435" ht="21" customHeight="1">
      <x:c r="A435" s="3" t="n">
        <x:v>13</x:v>
      </x:c>
      <x:c r="B435" s="3" t="n">
        <x:v>30</x:v>
      </x:c>
      <x:c r="C435" s="3" t="n">
        <x:v>32</x:v>
      </x:c>
      <x:c r="D435" s="3" t="n">
        <x:v>6</x:v>
      </x:c>
      <x:c r="E435" s="3" t="n">
        <x:v>6</x:v>
      </x:c>
      <x:c r="F435" s="3" t="n">
        <x:v>1</x:v>
      </x:c>
    </x:row>
    <x:row r="436" ht="21" customHeight="1">
      <x:c r="A436" s="3" t="n">
        <x:v>13</x:v>
      </x:c>
      <x:c r="B436" s="3" t="n">
        <x:v>31</x:v>
      </x:c>
      <x:c r="C436" s="3" t="n">
        <x:v>33</x:v>
      </x:c>
      <x:c r="D436" s="3" t="n">
        <x:v>6</x:v>
      </x:c>
      <x:c r="E436" s="3" t="n">
        <x:v>6</x:v>
      </x:c>
      <x:c r="F436" s="3" t="n">
        <x:v>1</x:v>
      </x:c>
    </x:row>
    <x:row r="437" ht="21" customHeight="1">
      <x:c r="A437" s="3" t="n">
        <x:v>13</x:v>
      </x:c>
      <x:c r="B437" s="3" t="n">
        <x:v>32</x:v>
      </x:c>
      <x:c r="C437" s="3" t="n">
        <x:v>34</x:v>
      </x:c>
      <x:c r="D437" s="3" t="n">
        <x:v>6</x:v>
      </x:c>
      <x:c r="E437" s="3" t="n">
        <x:v>6</x:v>
      </x:c>
      <x:c r="F437" s="3" t="n">
        <x:v>1</x:v>
      </x:c>
    </x:row>
    <x:row r="438" ht="21" customHeight="1">
      <x:c r="A438" s="3" t="n">
        <x:v>13</x:v>
      </x:c>
      <x:c r="B438" s="3" t="n">
        <x:v>33</x:v>
      </x:c>
      <x:c r="C438" s="3" t="n">
        <x:v>35</x:v>
      </x:c>
      <x:c r="D438" s="3" t="n">
        <x:v>6</x:v>
      </x:c>
      <x:c r="E438" s="3" t="n">
        <x:v>6</x:v>
      </x:c>
      <x:c r="F438" s="3" t="n">
        <x:v>1</x:v>
      </x:c>
    </x:row>
    <x:row r="439" ht="21" customHeight="1">
      <x:c r="A439" s="3" t="n">
        <x:v>13</x:v>
      </x:c>
      <x:c r="B439" s="3" t="n">
        <x:v>34</x:v>
      </x:c>
      <x:c r="C439" s="3" t="n">
        <x:v>36</x:v>
      </x:c>
      <x:c r="D439" s="3" t="n">
        <x:v>6</x:v>
      </x:c>
      <x:c r="E439" s="3" t="n">
        <x:v>6</x:v>
      </x:c>
      <x:c r="F439" s="3" t="n">
        <x:v>1</x:v>
      </x:c>
    </x:row>
    <x:row r="440" ht="21" customHeight="1">
      <x:c r="A440" s="3" t="n">
        <x:v>14</x:v>
      </x:c>
      <x:c r="B440" s="3" t="n">
        <x:v>0</x:v>
      </x:c>
      <x:c r="C440" s="3" t="n">
        <x:v>5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14</x:v>
      </x:c>
      <x:c r="B441" s="3" t="n">
        <x:v>1</x:v>
      </x:c>
      <x:c r="C441" s="3" t="n">
        <x:v>6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14</x:v>
      </x:c>
      <x:c r="B442" s="3" t="n">
        <x:v>2</x:v>
      </x:c>
      <x:c r="C442" s="3" t="n">
        <x:v>7</x:v>
      </x:c>
      <x:c r="D442" s="3" t="n">
        <x:v>1</x:v>
      </x:c>
      <x:c r="E442" s="3" t="n">
        <x:v>2</x:v>
      </x:c>
      <x:c r="F442" s="3" t="n">
        <x:v>2</x:v>
      </x:c>
    </x:row>
    <x:row r="443" ht="21" customHeight="1">
      <x:c r="A443" s="3" t="n">
        <x:v>14</x:v>
      </x:c>
      <x:c r="B443" s="3" t="n">
        <x:v>3</x:v>
      </x:c>
      <x:c r="C443" s="3" t="n">
        <x:v>8</x:v>
      </x:c>
      <x:c r="D443" s="3" t="n">
        <x:v>1</x:v>
      </x:c>
      <x:c r="E443" s="3" t="n">
        <x:v>2</x:v>
      </x:c>
      <x:c r="F443" s="3" t="n">
        <x:v>2</x:v>
      </x:c>
    </x:row>
    <x:row r="444" ht="21" customHeight="1">
      <x:c r="A444" s="3" t="n">
        <x:v>14</x:v>
      </x:c>
      <x:c r="B444" s="3" t="n">
        <x:v>4</x:v>
      </x:c>
      <x:c r="C444" s="3" t="n">
        <x:v>9</x:v>
      </x:c>
      <x:c r="D444" s="3" t="n">
        <x:v>1</x:v>
      </x:c>
      <x:c r="E444" s="3" t="n">
        <x:v>2</x:v>
      </x:c>
      <x:c r="F444" s="3" t="n">
        <x:v>2</x:v>
      </x:c>
    </x:row>
    <x:row r="445" ht="21" customHeight="1">
      <x:c r="A445" s="3" t="n">
        <x:v>14</x:v>
      </x:c>
      <x:c r="B445" s="3" t="n">
        <x:v>5</x:v>
      </x:c>
      <x:c r="C445" s="3" t="n">
        <x:v>10</x:v>
      </x:c>
      <x:c r="D445" s="3" t="n">
        <x:v>1</x:v>
      </x:c>
      <x:c r="E445" s="3" t="n">
        <x:v>2</x:v>
      </x:c>
      <x:c r="F445" s="3" t="n">
        <x:v>2</x:v>
      </x:c>
    </x:row>
    <x:row r="446" ht="21" customHeight="1">
      <x:c r="A446" s="3" t="n">
        <x:v>14</x:v>
      </x:c>
      <x:c r="B446" s="3" t="n">
        <x:v>6</x:v>
      </x:c>
      <x:c r="C446" s="3" t="n">
        <x:v>11</x:v>
      </x:c>
      <x:c r="D446" s="3" t="n">
        <x:v>2</x:v>
      </x:c>
      <x:c r="E446" s="3" t="n">
        <x:v>2</x:v>
      </x:c>
      <x:c r="F446" s="3" t="n">
        <x:v>1</x:v>
      </x:c>
    </x:row>
    <x:row r="447" ht="21" customHeight="1">
      <x:c r="A447" s="3" t="n">
        <x:v>14</x:v>
      </x:c>
      <x:c r="B447" s="3" t="n">
        <x:v>7</x:v>
      </x:c>
      <x:c r="C447" s="3" t="n">
        <x:v>12</x:v>
      </x:c>
      <x:c r="D447" s="3" t="n">
        <x:v>2</x:v>
      </x:c>
      <x:c r="E447" s="3" t="n">
        <x:v>2</x:v>
      </x:c>
      <x:c r="F447" s="3" t="n">
        <x:v>1</x:v>
      </x:c>
    </x:row>
    <x:row r="448" ht="21" customHeight="1">
      <x:c r="A448" s="3" t="n">
        <x:v>14</x:v>
      </x:c>
      <x:c r="B448" s="3" t="n">
        <x:v>8</x:v>
      </x:c>
      <x:c r="C448" s="3" t="n">
        <x:v>13</x:v>
      </x:c>
      <x:c r="D448" s="3" t="n">
        <x:v>2</x:v>
      </x:c>
      <x:c r="E448" s="3" t="n">
        <x:v>3</x:v>
      </x:c>
      <x:c r="F448" s="3" t="n">
        <x:v>2</x:v>
      </x:c>
    </x:row>
    <x:row r="449" ht="21" customHeight="1">
      <x:c r="A449" s="3" t="n">
        <x:v>14</x:v>
      </x:c>
      <x:c r="B449" s="3" t="n">
        <x:v>9</x:v>
      </x:c>
      <x:c r="C449" s="3" t="n">
        <x:v>14</x:v>
      </x:c>
      <x:c r="D449" s="3" t="n">
        <x:v>2</x:v>
      </x:c>
      <x:c r="E449" s="3" t="n">
        <x:v>3</x:v>
      </x:c>
      <x:c r="F449" s="3" t="n">
        <x:v>2</x:v>
      </x:c>
    </x:row>
    <x:row r="450" ht="21" customHeight="1">
      <x:c r="A450" s="3" t="n">
        <x:v>14</x:v>
      </x:c>
      <x:c r="B450" s="3" t="n">
        <x:v>10</x:v>
      </x:c>
      <x:c r="C450" s="3" t="n">
        <x:v>15</x:v>
      </x:c>
      <x:c r="D450" s="3" t="n">
        <x:v>2</x:v>
      </x:c>
      <x:c r="E450" s="3" t="n">
        <x:v>3</x:v>
      </x:c>
      <x:c r="F450" s="3" t="n">
        <x:v>2</x:v>
      </x:c>
    </x:row>
    <x:row r="451" ht="21" customHeight="1">
      <x:c r="A451" s="3" t="n">
        <x:v>14</x:v>
      </x:c>
      <x:c r="B451" s="3" t="n">
        <x:v>11</x:v>
      </x:c>
      <x:c r="C451" s="3" t="n">
        <x:v>16</x:v>
      </x:c>
      <x:c r="D451" s="3" t="n">
        <x:v>2</x:v>
      </x:c>
      <x:c r="E451" s="3" t="n">
        <x:v>3</x:v>
      </x:c>
      <x:c r="F451" s="3" t="n">
        <x:v>2</x:v>
      </x:c>
    </x:row>
    <x:row r="452" ht="21" customHeight="1">
      <x:c r="A452" s="3" t="n">
        <x:v>14</x:v>
      </x:c>
      <x:c r="B452" s="3" t="n">
        <x:v>12</x:v>
      </x:c>
      <x:c r="C452" s="3" t="n">
        <x:v>17</x:v>
      </x:c>
      <x:c r="D452" s="3" t="n">
        <x:v>3</x:v>
      </x:c>
      <x:c r="E452" s="3" t="n">
        <x:v>3</x:v>
      </x:c>
      <x:c r="F452" s="3" t="n">
        <x:v>1</x:v>
      </x:c>
    </x:row>
    <x:row r="453" ht="21" customHeight="1">
      <x:c r="A453" s="3" t="n">
        <x:v>14</x:v>
      </x:c>
      <x:c r="B453" s="3" t="n">
        <x:v>13</x:v>
      </x:c>
      <x:c r="C453" s="3" t="n">
        <x:v>18</x:v>
      </x:c>
      <x:c r="D453" s="3" t="n">
        <x:v>3</x:v>
      </x:c>
      <x:c r="E453" s="3" t="n">
        <x:v>3</x:v>
      </x:c>
      <x:c r="F453" s="3" t="n">
        <x:v>1</x:v>
      </x:c>
    </x:row>
    <x:row r="454" ht="21" customHeight="1">
      <x:c r="A454" s="3" t="n">
        <x:v>14</x:v>
      </x:c>
      <x:c r="B454" s="3" t="n">
        <x:v>14</x:v>
      </x:c>
      <x:c r="C454" s="3" t="n">
        <x:v>19</x:v>
      </x:c>
      <x:c r="D454" s="3" t="n">
        <x:v>3</x:v>
      </x:c>
      <x:c r="E454" s="3" t="n">
        <x:v>4</x:v>
      </x:c>
      <x:c r="F454" s="3" t="n">
        <x:v>2</x:v>
      </x:c>
    </x:row>
    <x:row r="455" ht="21" customHeight="1">
      <x:c r="A455" s="3" t="n">
        <x:v>14</x:v>
      </x:c>
      <x:c r="B455" s="3" t="n">
        <x:v>15</x:v>
      </x:c>
      <x:c r="C455" s="3" t="n">
        <x:v>20</x:v>
      </x:c>
      <x:c r="D455" s="3" t="n">
        <x:v>3</x:v>
      </x:c>
      <x:c r="E455" s="3" t="n">
        <x:v>4</x:v>
      </x:c>
      <x:c r="F455" s="3" t="n">
        <x:v>2</x:v>
      </x:c>
    </x:row>
    <x:row r="456" ht="21" customHeight="1">
      <x:c r="A456" s="3" t="n">
        <x:v>14</x:v>
      </x:c>
      <x:c r="B456" s="3" t="n">
        <x:v>16</x:v>
      </x:c>
      <x:c r="C456" s="3" t="n">
        <x:v>21</x:v>
      </x:c>
      <x:c r="D456" s="3" t="n">
        <x:v>3</x:v>
      </x:c>
      <x:c r="E456" s="3" t="n">
        <x:v>4</x:v>
      </x:c>
      <x:c r="F456" s="3" t="n">
        <x:v>2</x:v>
      </x:c>
    </x:row>
    <x:row r="457" ht="21" customHeight="1">
      <x:c r="A457" s="3" t="n">
        <x:v>14</x:v>
      </x:c>
      <x:c r="B457" s="3" t="n">
        <x:v>17</x:v>
      </x:c>
      <x:c r="C457" s="3" t="n">
        <x:v>22</x:v>
      </x:c>
      <x:c r="D457" s="3" t="n">
        <x:v>3</x:v>
      </x:c>
      <x:c r="E457" s="3" t="n">
        <x:v>4</x:v>
      </x:c>
      <x:c r="F457" s="3" t="n">
        <x:v>2</x:v>
      </x:c>
    </x:row>
    <x:row r="458" ht="21" customHeight="1">
      <x:c r="A458" s="3" t="n">
        <x:v>14</x:v>
      </x:c>
      <x:c r="B458" s="3" t="n">
        <x:v>18</x:v>
      </x:c>
      <x:c r="C458" s="3" t="n">
        <x:v>23</x:v>
      </x:c>
      <x:c r="D458" s="3" t="n">
        <x:v>4</x:v>
      </x:c>
      <x:c r="E458" s="3" t="n">
        <x:v>4</x:v>
      </x:c>
      <x:c r="F458" s="3" t="n">
        <x:v>1</x:v>
      </x:c>
    </x:row>
    <x:row r="459" ht="21" customHeight="1">
      <x:c r="A459" s="3" t="n">
        <x:v>14</x:v>
      </x:c>
      <x:c r="B459" s="3" t="n">
        <x:v>19</x:v>
      </x:c>
      <x:c r="C459" s="3" t="n">
        <x:v>24</x:v>
      </x:c>
      <x:c r="D459" s="3" t="n">
        <x:v>4</x:v>
      </x:c>
      <x:c r="E459" s="3" t="n">
        <x:v>4</x:v>
      </x:c>
      <x:c r="F459" s="3" t="n">
        <x:v>1</x:v>
      </x:c>
    </x:row>
    <x:row r="460" ht="21" customHeight="1">
      <x:c r="A460" s="3" t="n">
        <x:v>14</x:v>
      </x:c>
      <x:c r="B460" s="3" t="n">
        <x:v>20</x:v>
      </x:c>
      <x:c r="C460" s="3" t="n">
        <x:v>25</x:v>
      </x:c>
      <x:c r="D460" s="3" t="n">
        <x:v>4</x:v>
      </x:c>
      <x:c r="E460" s="3" t="n">
        <x:v>5</x:v>
      </x:c>
      <x:c r="F460" s="3" t="n">
        <x:v>2</x:v>
      </x:c>
    </x:row>
    <x:row r="461" ht="21" customHeight="1">
      <x:c r="A461" s="3" t="n">
        <x:v>14</x:v>
      </x:c>
      <x:c r="B461" s="3" t="n">
        <x:v>21</x:v>
      </x:c>
      <x:c r="C461" s="3" t="n">
        <x:v>26</x:v>
      </x:c>
      <x:c r="D461" s="3" t="n">
        <x:v>4</x:v>
      </x:c>
      <x:c r="E461" s="3" t="n">
        <x:v>5</x:v>
      </x:c>
      <x:c r="F461" s="3" t="n">
        <x:v>2</x:v>
      </x:c>
    </x:row>
    <x:row r="462" ht="21" customHeight="1">
      <x:c r="A462" s="3" t="n">
        <x:v>14</x:v>
      </x:c>
      <x:c r="B462" s="3" t="n">
        <x:v>22</x:v>
      </x:c>
      <x:c r="C462" s="3" t="n">
        <x:v>27</x:v>
      </x:c>
      <x:c r="D462" s="3" t="n">
        <x:v>4</x:v>
      </x:c>
      <x:c r="E462" s="3" t="n">
        <x:v>5</x:v>
      </x:c>
      <x:c r="F462" s="3" t="n">
        <x:v>2</x:v>
      </x:c>
    </x:row>
    <x:row r="463" ht="21" customHeight="1">
      <x:c r="A463" s="3" t="n">
        <x:v>14</x:v>
      </x:c>
      <x:c r="B463" s="3" t="n">
        <x:v>23</x:v>
      </x:c>
      <x:c r="C463" s="3" t="n">
        <x:v>28</x:v>
      </x:c>
      <x:c r="D463" s="3" t="n">
        <x:v>4</x:v>
      </x:c>
      <x:c r="E463" s="3" t="n">
        <x:v>5</x:v>
      </x:c>
      <x:c r="F463" s="3" t="n">
        <x:v>2</x:v>
      </x:c>
    </x:row>
    <x:row r="464" ht="21" customHeight="1">
      <x:c r="A464" s="3" t="n">
        <x:v>14</x:v>
      </x:c>
      <x:c r="B464" s="3" t="n">
        <x:v>24</x:v>
      </x:c>
      <x:c r="C464" s="3" t="n">
        <x:v>29</x:v>
      </x:c>
      <x:c r="D464" s="3" t="n">
        <x:v>5</x:v>
      </x:c>
      <x:c r="E464" s="3" t="n">
        <x:v>5</x:v>
      </x:c>
      <x:c r="F464" s="3" t="n">
        <x:v>1</x:v>
      </x:c>
    </x:row>
    <x:row r="465" ht="21" customHeight="1">
      <x:c r="A465" s="3" t="n">
        <x:v>14</x:v>
      </x:c>
      <x:c r="B465" s="3" t="n">
        <x:v>25</x:v>
      </x:c>
      <x:c r="C465" s="3" t="n">
        <x:v>30</x:v>
      </x:c>
      <x:c r="D465" s="3" t="n">
        <x:v>5</x:v>
      </x:c>
      <x:c r="E465" s="3" t="n">
        <x:v>5</x:v>
      </x:c>
      <x:c r="F465" s="3" t="n">
        <x:v>1</x:v>
      </x:c>
    </x:row>
    <x:row r="466" ht="21" customHeight="1">
      <x:c r="A466" s="3" t="n">
        <x:v>14</x:v>
      </x:c>
      <x:c r="B466" s="3" t="n">
        <x:v>26</x:v>
      </x:c>
      <x:c r="C466" s="3" t="n">
        <x:v>31</x:v>
      </x:c>
      <x:c r="D466" s="3" t="n">
        <x:v>5</x:v>
      </x:c>
      <x:c r="E466" s="3" t="n">
        <x:v>6</x:v>
      </x:c>
      <x:c r="F466" s="3" t="n">
        <x:v>2</x:v>
      </x:c>
    </x:row>
    <x:row r="467" ht="21" customHeight="1">
      <x:c r="A467" s="3" t="n">
        <x:v>14</x:v>
      </x:c>
      <x:c r="B467" s="3" t="n">
        <x:v>27</x:v>
      </x:c>
      <x:c r="C467" s="3" t="n">
        <x:v>32</x:v>
      </x:c>
      <x:c r="D467" s="3" t="n">
        <x:v>5</x:v>
      </x:c>
      <x:c r="E467" s="3" t="n">
        <x:v>6</x:v>
      </x:c>
      <x:c r="F467" s="3" t="n">
        <x:v>2</x:v>
      </x:c>
    </x:row>
    <x:row r="468" ht="21" customHeight="1">
      <x:c r="A468" s="3" t="n">
        <x:v>14</x:v>
      </x:c>
      <x:c r="B468" s="3" t="n">
        <x:v>28</x:v>
      </x:c>
      <x:c r="C468" s="3" t="n">
        <x:v>33</x:v>
      </x:c>
      <x:c r="D468" s="3" t="n">
        <x:v>5</x:v>
      </x:c>
      <x:c r="E468" s="3" t="n">
        <x:v>6</x:v>
      </x:c>
      <x:c r="F468" s="3" t="n">
        <x:v>2</x:v>
      </x:c>
    </x:row>
    <x:row r="469" ht="21" customHeight="1">
      <x:c r="A469" s="3" t="n">
        <x:v>14</x:v>
      </x:c>
      <x:c r="B469" s="3" t="n">
        <x:v>29</x:v>
      </x:c>
      <x:c r="C469" s="3" t="n">
        <x:v>34</x:v>
      </x:c>
      <x:c r="D469" s="3" t="n">
        <x:v>5</x:v>
      </x:c>
      <x:c r="E469" s="3" t="n">
        <x:v>6</x:v>
      </x:c>
      <x:c r="F469" s="3" t="n">
        <x:v>2</x:v>
      </x:c>
    </x:row>
    <x:row r="470" ht="21" customHeight="1">
      <x:c r="A470" s="3" t="n">
        <x:v>14</x:v>
      </x:c>
      <x:c r="B470" s="3" t="n">
        <x:v>30</x:v>
      </x:c>
      <x:c r="C470" s="3" t="n">
        <x:v>35</x:v>
      </x:c>
      <x:c r="D470" s="3" t="n">
        <x:v>6</x:v>
      </x:c>
      <x:c r="E470" s="3" t="n">
        <x:v>6</x:v>
      </x:c>
      <x:c r="F470" s="3" t="n">
        <x:v>1</x:v>
      </x:c>
    </x:row>
    <x:row r="471" ht="21" customHeight="1">
      <x:c r="A471" s="3" t="n">
        <x:v>14</x:v>
      </x:c>
      <x:c r="B471" s="3" t="n">
        <x:v>31</x:v>
      </x:c>
      <x:c r="C471" s="3" t="n">
        <x:v>36</x:v>
      </x:c>
      <x:c r="D471" s="3" t="n">
        <x:v>6</x:v>
      </x:c>
      <x:c r="E471" s="3" t="n">
        <x:v>6</x:v>
      </x:c>
      <x:c r="F471" s="3" t="n">
        <x:v>1</x:v>
      </x:c>
    </x:row>
    <x:row r="472" ht="21" customHeight="1">
      <x:c r="A472" s="3" t="n">
        <x:v>15</x:v>
      </x:c>
      <x:c r="B472" s="3" t="n">
        <x:v>0</x:v>
      </x:c>
      <x:c r="C472" s="3" t="n">
        <x:v>3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15</x:v>
      </x:c>
      <x:c r="B473" s="3" t="n">
        <x:v>1</x:v>
      </x:c>
      <x:c r="C473" s="3" t="n">
        <x:v>4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15</x:v>
      </x:c>
      <x:c r="B474" s="3" t="n">
        <x:v>2</x:v>
      </x:c>
      <x:c r="C474" s="3" t="n">
        <x:v>5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15</x:v>
      </x:c>
      <x:c r="B475" s="3" t="n">
        <x:v>3</x:v>
      </x:c>
      <x:c r="C475" s="3" t="n">
        <x:v>6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15</x:v>
      </x:c>
      <x:c r="B476" s="3" t="n">
        <x:v>4</x:v>
      </x:c>
      <x:c r="C476" s="3" t="n">
        <x:v>7</x:v>
      </x:c>
      <x:c r="D476" s="3" t="n">
        <x:v>1</x:v>
      </x:c>
      <x:c r="E476" s="3" t="n">
        <x:v>2</x:v>
      </x:c>
      <x:c r="F476" s="3" t="n">
        <x:v>2</x:v>
      </x:c>
    </x:row>
    <x:row r="477" ht="21" customHeight="1">
      <x:c r="A477" s="3" t="n">
        <x:v>15</x:v>
      </x:c>
      <x:c r="B477" s="3" t="n">
        <x:v>5</x:v>
      </x:c>
      <x:c r="C477" s="3" t="n">
        <x:v>8</x:v>
      </x:c>
      <x:c r="D477" s="3" t="n">
        <x:v>1</x:v>
      </x:c>
      <x:c r="E477" s="3" t="n">
        <x:v>2</x:v>
      </x:c>
      <x:c r="F477" s="3" t="n">
        <x:v>2</x:v>
      </x:c>
    </x:row>
    <x:row r="478" ht="21" customHeight="1">
      <x:c r="A478" s="3" t="n">
        <x:v>15</x:v>
      </x:c>
      <x:c r="B478" s="3" t="n">
        <x:v>6</x:v>
      </x:c>
      <x:c r="C478" s="3" t="n">
        <x:v>9</x:v>
      </x:c>
      <x:c r="D478" s="3" t="n">
        <x:v>2</x:v>
      </x:c>
      <x:c r="E478" s="3" t="n">
        <x:v>2</x:v>
      </x:c>
      <x:c r="F478" s="3" t="n">
        <x:v>1</x:v>
      </x:c>
    </x:row>
    <x:row r="479" ht="21" customHeight="1">
      <x:c r="A479" s="3" t="n">
        <x:v>15</x:v>
      </x:c>
      <x:c r="B479" s="3" t="n">
        <x:v>7</x:v>
      </x:c>
      <x:c r="C479" s="3" t="n">
        <x:v>10</x:v>
      </x:c>
      <x:c r="D479" s="3" t="n">
        <x:v>2</x:v>
      </x:c>
      <x:c r="E479" s="3" t="n">
        <x:v>2</x:v>
      </x:c>
      <x:c r="F479" s="3" t="n">
        <x:v>1</x:v>
      </x:c>
    </x:row>
    <x:row r="480" ht="21" customHeight="1">
      <x:c r="A480" s="3" t="n">
        <x:v>15</x:v>
      </x:c>
      <x:c r="B480" s="3" t="n">
        <x:v>8</x:v>
      </x:c>
      <x:c r="C480" s="3" t="n">
        <x:v>11</x:v>
      </x:c>
      <x:c r="D480" s="3" t="n">
        <x:v>2</x:v>
      </x:c>
      <x:c r="E480" s="3" t="n">
        <x:v>2</x:v>
      </x:c>
      <x:c r="F480" s="3" t="n">
        <x:v>1</x:v>
      </x:c>
    </x:row>
    <x:row r="481" ht="21" customHeight="1">
      <x:c r="A481" s="3" t="n">
        <x:v>15</x:v>
      </x:c>
      <x:c r="B481" s="3" t="n">
        <x:v>9</x:v>
      </x:c>
      <x:c r="C481" s="3" t="n">
        <x:v>12</x:v>
      </x:c>
      <x:c r="D481" s="3" t="n">
        <x:v>2</x:v>
      </x:c>
      <x:c r="E481" s="3" t="n">
        <x:v>2</x:v>
      </x:c>
      <x:c r="F481" s="3" t="n">
        <x:v>1</x:v>
      </x:c>
    </x:row>
    <x:row r="482" ht="21" customHeight="1">
      <x:c r="A482" s="3" t="n">
        <x:v>15</x:v>
      </x:c>
      <x:c r="B482" s="3" t="n">
        <x:v>10</x:v>
      </x:c>
      <x:c r="C482" s="3" t="n">
        <x:v>13</x:v>
      </x:c>
      <x:c r="D482" s="3" t="n">
        <x:v>2</x:v>
      </x:c>
      <x:c r="E482" s="3" t="n">
        <x:v>3</x:v>
      </x:c>
      <x:c r="F482" s="3" t="n">
        <x:v>2</x:v>
      </x:c>
    </x:row>
    <x:row r="483" ht="21" customHeight="1">
      <x:c r="A483" s="3" t="n">
        <x:v>15</x:v>
      </x:c>
      <x:c r="B483" s="3" t="n">
        <x:v>11</x:v>
      </x:c>
      <x:c r="C483" s="3" t="n">
        <x:v>14</x:v>
      </x:c>
      <x:c r="D483" s="3" t="n">
        <x:v>2</x:v>
      </x:c>
      <x:c r="E483" s="3" t="n">
        <x:v>3</x:v>
      </x:c>
      <x:c r="F483" s="3" t="n">
        <x:v>2</x:v>
      </x:c>
    </x:row>
    <x:row r="484" ht="21" customHeight="1">
      <x:c r="A484" s="3" t="n">
        <x:v>15</x:v>
      </x:c>
      <x:c r="B484" s="3" t="n">
        <x:v>12</x:v>
      </x:c>
      <x:c r="C484" s="3" t="n">
        <x:v>15</x:v>
      </x:c>
      <x:c r="D484" s="3" t="n">
        <x:v>3</x:v>
      </x:c>
      <x:c r="E484" s="3" t="n">
        <x:v>3</x:v>
      </x:c>
      <x:c r="F484" s="3" t="n">
        <x:v>1</x:v>
      </x:c>
    </x:row>
    <x:row r="485" ht="21" customHeight="1">
      <x:c r="A485" s="3" t="n">
        <x:v>15</x:v>
      </x:c>
      <x:c r="B485" s="3" t="n">
        <x:v>13</x:v>
      </x:c>
      <x:c r="C485" s="3" t="n">
        <x:v>16</x:v>
      </x:c>
      <x:c r="D485" s="3" t="n">
        <x:v>3</x:v>
      </x:c>
      <x:c r="E485" s="3" t="n">
        <x:v>3</x:v>
      </x:c>
      <x:c r="F485" s="3" t="n">
        <x:v>1</x:v>
      </x:c>
    </x:row>
    <x:row r="486" ht="21" customHeight="1">
      <x:c r="A486" s="3" t="n">
        <x:v>15</x:v>
      </x:c>
      <x:c r="B486" s="3" t="n">
        <x:v>14</x:v>
      </x:c>
      <x:c r="C486" s="3" t="n">
        <x:v>17</x:v>
      </x:c>
      <x:c r="D486" s="3" t="n">
        <x:v>3</x:v>
      </x:c>
      <x:c r="E486" s="3" t="n">
        <x:v>3</x:v>
      </x:c>
      <x:c r="F486" s="3" t="n">
        <x:v>1</x:v>
      </x:c>
    </x:row>
    <x:row r="487" ht="21" customHeight="1">
      <x:c r="A487" s="3" t="n">
        <x:v>15</x:v>
      </x:c>
      <x:c r="B487" s="3" t="n">
        <x:v>15</x:v>
      </x:c>
      <x:c r="C487" s="3" t="n">
        <x:v>18</x:v>
      </x:c>
      <x:c r="D487" s="3" t="n">
        <x:v>3</x:v>
      </x:c>
      <x:c r="E487" s="3" t="n">
        <x:v>3</x:v>
      </x:c>
      <x:c r="F487" s="3" t="n">
        <x:v>1</x:v>
      </x:c>
    </x:row>
    <x:row r="488" ht="21" customHeight="1">
      <x:c r="A488" s="3" t="n">
        <x:v>15</x:v>
      </x:c>
      <x:c r="B488" s="3" t="n">
        <x:v>16</x:v>
      </x:c>
      <x:c r="C488" s="3" t="n">
        <x:v>19</x:v>
      </x:c>
      <x:c r="D488" s="3" t="n">
        <x:v>3</x:v>
      </x:c>
      <x:c r="E488" s="3" t="n">
        <x:v>4</x:v>
      </x:c>
      <x:c r="F488" s="3" t="n">
        <x:v>2</x:v>
      </x:c>
    </x:row>
    <x:row r="489" ht="21" customHeight="1">
      <x:c r="A489" s="3" t="n">
        <x:v>15</x:v>
      </x:c>
      <x:c r="B489" s="3" t="n">
        <x:v>17</x:v>
      </x:c>
      <x:c r="C489" s="3" t="n">
        <x:v>20</x:v>
      </x:c>
      <x:c r="D489" s="3" t="n">
        <x:v>3</x:v>
      </x:c>
      <x:c r="E489" s="3" t="n">
        <x:v>4</x:v>
      </x:c>
      <x:c r="F489" s="3" t="n">
        <x:v>2</x:v>
      </x:c>
    </x:row>
    <x:row r="490" ht="21" customHeight="1">
      <x:c r="A490" s="3" t="n">
        <x:v>15</x:v>
      </x:c>
      <x:c r="B490" s="3" t="n">
        <x:v>18</x:v>
      </x:c>
      <x:c r="C490" s="3" t="n">
        <x:v>21</x:v>
      </x:c>
      <x:c r="D490" s="3" t="n">
        <x:v>4</x:v>
      </x:c>
      <x:c r="E490" s="3" t="n">
        <x:v>4</x:v>
      </x:c>
      <x:c r="F490" s="3" t="n">
        <x:v>1</x:v>
      </x:c>
    </x:row>
    <x:row r="491" ht="21" customHeight="1">
      <x:c r="A491" s="3" t="n">
        <x:v>15</x:v>
      </x:c>
      <x:c r="B491" s="3" t="n">
        <x:v>19</x:v>
      </x:c>
      <x:c r="C491" s="3" t="n">
        <x:v>22</x:v>
      </x:c>
      <x:c r="D491" s="3" t="n">
        <x:v>4</x:v>
      </x:c>
      <x:c r="E491" s="3" t="n">
        <x:v>4</x:v>
      </x:c>
      <x:c r="F491" s="3" t="n">
        <x:v>1</x:v>
      </x:c>
    </x:row>
    <x:row r="492" ht="21" customHeight="1">
      <x:c r="A492" s="3" t="n">
        <x:v>15</x:v>
      </x:c>
      <x:c r="B492" s="3" t="n">
        <x:v>20</x:v>
      </x:c>
      <x:c r="C492" s="3" t="n">
        <x:v>23</x:v>
      </x:c>
      <x:c r="D492" s="3" t="n">
        <x:v>4</x:v>
      </x:c>
      <x:c r="E492" s="3" t="n">
        <x:v>4</x:v>
      </x:c>
      <x:c r="F492" s="3" t="n">
        <x:v>1</x:v>
      </x:c>
    </x:row>
    <x:row r="493" ht="21" customHeight="1">
      <x:c r="A493" s="3" t="n">
        <x:v>15</x:v>
      </x:c>
      <x:c r="B493" s="3" t="n">
        <x:v>21</x:v>
      </x:c>
      <x:c r="C493" s="3" t="n">
        <x:v>24</x:v>
      </x:c>
      <x:c r="D493" s="3" t="n">
        <x:v>4</x:v>
      </x:c>
      <x:c r="E493" s="3" t="n">
        <x:v>4</x:v>
      </x:c>
      <x:c r="F493" s="3" t="n">
        <x:v>1</x:v>
      </x:c>
    </x:row>
    <x:row r="494" ht="21" customHeight="1">
      <x:c r="A494" s="3" t="n">
        <x:v>15</x:v>
      </x:c>
      <x:c r="B494" s="3" t="n">
        <x:v>22</x:v>
      </x:c>
      <x:c r="C494" s="3" t="n">
        <x:v>25</x:v>
      </x:c>
      <x:c r="D494" s="3" t="n">
        <x:v>4</x:v>
      </x:c>
      <x:c r="E494" s="3" t="n">
        <x:v>5</x:v>
      </x:c>
      <x:c r="F494" s="3" t="n">
        <x:v>2</x:v>
      </x:c>
    </x:row>
    <x:row r="495" ht="21" customHeight="1">
      <x:c r="A495" s="3" t="n">
        <x:v>15</x:v>
      </x:c>
      <x:c r="B495" s="3" t="n">
        <x:v>23</x:v>
      </x:c>
      <x:c r="C495" s="3" t="n">
        <x:v>26</x:v>
      </x:c>
      <x:c r="D495" s="3" t="n">
        <x:v>4</x:v>
      </x:c>
      <x:c r="E495" s="3" t="n">
        <x:v>5</x:v>
      </x:c>
      <x:c r="F495" s="3" t="n">
        <x:v>2</x:v>
      </x:c>
    </x:row>
    <x:row r="496" ht="21" customHeight="1">
      <x:c r="A496" s="3" t="n">
        <x:v>15</x:v>
      </x:c>
      <x:c r="B496" s="3" t="n">
        <x:v>24</x:v>
      </x:c>
      <x:c r="C496" s="3" t="n">
        <x:v>27</x:v>
      </x:c>
      <x:c r="D496" s="3" t="n">
        <x:v>5</x:v>
      </x:c>
      <x:c r="E496" s="3" t="n">
        <x:v>5</x:v>
      </x:c>
      <x:c r="F496" s="3" t="n">
        <x:v>1</x:v>
      </x:c>
    </x:row>
    <x:row r="497" ht="21" customHeight="1">
      <x:c r="A497" s="3" t="n">
        <x:v>15</x:v>
      </x:c>
      <x:c r="B497" s="3" t="n">
        <x:v>25</x:v>
      </x:c>
      <x:c r="C497" s="3" t="n">
        <x:v>28</x:v>
      </x:c>
      <x:c r="D497" s="3" t="n">
        <x:v>5</x:v>
      </x:c>
      <x:c r="E497" s="3" t="n">
        <x:v>5</x:v>
      </x:c>
      <x:c r="F497" s="3" t="n">
        <x:v>1</x:v>
      </x:c>
    </x:row>
    <x:row r="498" ht="21" customHeight="1">
      <x:c r="A498" s="3" t="n">
        <x:v>15</x:v>
      </x:c>
      <x:c r="B498" s="3" t="n">
        <x:v>26</x:v>
      </x:c>
      <x:c r="C498" s="3" t="n">
        <x:v>29</x:v>
      </x:c>
      <x:c r="D498" s="3" t="n">
        <x:v>5</x:v>
      </x:c>
      <x:c r="E498" s="3" t="n">
        <x:v>5</x:v>
      </x:c>
      <x:c r="F498" s="3" t="n">
        <x:v>1</x:v>
      </x:c>
    </x:row>
    <x:row r="499" ht="21" customHeight="1">
      <x:c r="A499" s="3" t="n">
        <x:v>15</x:v>
      </x:c>
      <x:c r="B499" s="3" t="n">
        <x:v>27</x:v>
      </x:c>
      <x:c r="C499" s="3" t="n">
        <x:v>30</x:v>
      </x:c>
      <x:c r="D499" s="3" t="n">
        <x:v>5</x:v>
      </x:c>
      <x:c r="E499" s="3" t="n">
        <x:v>5</x:v>
      </x:c>
      <x:c r="F499" s="3" t="n">
        <x:v>1</x:v>
      </x:c>
    </x:row>
    <x:row r="500" ht="21" customHeight="1">
      <x:c r="A500" s="3" t="n">
        <x:v>15</x:v>
      </x:c>
      <x:c r="B500" s="3" t="n">
        <x:v>28</x:v>
      </x:c>
      <x:c r="C500" s="3" t="n">
        <x:v>31</x:v>
      </x:c>
      <x:c r="D500" s="3" t="n">
        <x:v>5</x:v>
      </x:c>
      <x:c r="E500" s="3" t="n">
        <x:v>6</x:v>
      </x:c>
      <x:c r="F500" s="3" t="n">
        <x:v>2</x:v>
      </x:c>
    </x:row>
    <x:row r="501" ht="21" customHeight="1">
      <x:c r="A501" s="3" t="n">
        <x:v>15</x:v>
      </x:c>
      <x:c r="B501" s="3" t="n">
        <x:v>29</x:v>
      </x:c>
      <x:c r="C501" s="3" t="n">
        <x:v>32</x:v>
      </x:c>
      <x:c r="D501" s="3" t="n">
        <x:v>5</x:v>
      </x:c>
      <x:c r="E501" s="3" t="n">
        <x:v>6</x:v>
      </x:c>
      <x:c r="F501" s="3" t="n">
        <x:v>2</x:v>
      </x:c>
    </x:row>
    <x:row r="502" ht="21" customHeight="1">
      <x:c r="A502" s="3" t="n">
        <x:v>15</x:v>
      </x:c>
      <x:c r="B502" s="3" t="n">
        <x:v>30</x:v>
      </x:c>
      <x:c r="C502" s="3" t="n">
        <x:v>33</x:v>
      </x:c>
      <x:c r="D502" s="3" t="n">
        <x:v>6</x:v>
      </x:c>
      <x:c r="E502" s="3" t="n">
        <x:v>6</x:v>
      </x:c>
      <x:c r="F502" s="3" t="n">
        <x:v>1</x:v>
      </x:c>
    </x:row>
    <x:row r="503" ht="21" customHeight="1">
      <x:c r="A503" s="3" t="n">
        <x:v>15</x:v>
      </x:c>
      <x:c r="B503" s="3" t="n">
        <x:v>31</x:v>
      </x:c>
      <x:c r="C503" s="3" t="n">
        <x:v>34</x:v>
      </x:c>
      <x:c r="D503" s="3" t="n">
        <x:v>6</x:v>
      </x:c>
      <x:c r="E503" s="3" t="n">
        <x:v>6</x:v>
      </x:c>
      <x:c r="F503" s="3" t="n">
        <x:v>1</x:v>
      </x:c>
    </x:row>
    <x:row r="504" ht="21" customHeight="1">
      <x:c r="A504" s="3" t="n">
        <x:v>15</x:v>
      </x:c>
      <x:c r="B504" s="3" t="n">
        <x:v>32</x:v>
      </x:c>
      <x:c r="C504" s="3" t="n">
        <x:v>35</x:v>
      </x:c>
      <x:c r="D504" s="3" t="n">
        <x:v>6</x:v>
      </x:c>
      <x:c r="E504" s="3" t="n">
        <x:v>6</x:v>
      </x:c>
      <x:c r="F504" s="3" t="n">
        <x:v>1</x:v>
      </x:c>
    </x:row>
    <x:row r="505" ht="21" customHeight="1">
      <x:c r="A505" s="3" t="n">
        <x:v>15</x:v>
      </x:c>
      <x:c r="B505" s="3" t="n">
        <x:v>33</x:v>
      </x:c>
      <x:c r="C505" s="3" t="n">
        <x:v>36</x:v>
      </x:c>
      <x:c r="D505" s="3" t="n">
        <x:v>6</x:v>
      </x:c>
      <x:c r="E505" s="3" t="n">
        <x:v>6</x:v>
      </x:c>
      <x:c r="F505" s="3" t="n">
        <x:v>1</x:v>
      </x:c>
    </x:row>
    <x:row r="506" ht="21" customHeight="1">
      <x:c r="A506" s="3" t="n">
        <x:v>16</x:v>
      </x:c>
      <x:c r="B506" s="3" t="n">
        <x:v>0</x:v>
      </x:c>
      <x:c r="C506" s="3" t="n">
        <x:v>5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16</x:v>
      </x:c>
      <x:c r="B507" s="3" t="n">
        <x:v>1</x:v>
      </x:c>
      <x:c r="C507" s="3" t="n">
        <x:v>6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16</x:v>
      </x:c>
      <x:c r="B508" s="3" t="n">
        <x:v>2</x:v>
      </x:c>
      <x:c r="C508" s="3" t="n">
        <x:v>7</x:v>
      </x:c>
      <x:c r="D508" s="3" t="n">
        <x:v>1</x:v>
      </x:c>
      <x:c r="E508" s="3" t="n">
        <x:v>2</x:v>
      </x:c>
      <x:c r="F508" s="3" t="n">
        <x:v>2</x:v>
      </x:c>
    </x:row>
    <x:row r="509" ht="21" customHeight="1">
      <x:c r="A509" s="3" t="n">
        <x:v>16</x:v>
      </x:c>
      <x:c r="B509" s="3" t="n">
        <x:v>3</x:v>
      </x:c>
      <x:c r="C509" s="3" t="n">
        <x:v>8</x:v>
      </x:c>
      <x:c r="D509" s="3" t="n">
        <x:v>1</x:v>
      </x:c>
      <x:c r="E509" s="3" t="n">
        <x:v>2</x:v>
      </x:c>
      <x:c r="F509" s="3" t="n">
        <x:v>2</x:v>
      </x:c>
    </x:row>
    <x:row r="510" ht="21" customHeight="1">
      <x:c r="A510" s="3" t="n">
        <x:v>16</x:v>
      </x:c>
      <x:c r="B510" s="3" t="n">
        <x:v>4</x:v>
      </x:c>
      <x:c r="C510" s="3" t="n">
        <x:v>9</x:v>
      </x:c>
      <x:c r="D510" s="3" t="n">
        <x:v>1</x:v>
      </x:c>
      <x:c r="E510" s="3" t="n">
        <x:v>2</x:v>
      </x:c>
      <x:c r="F510" s="3" t="n">
        <x:v>2</x:v>
      </x:c>
    </x:row>
    <x:row r="511" ht="21" customHeight="1">
      <x:c r="A511" s="3" t="n">
        <x:v>16</x:v>
      </x:c>
      <x:c r="B511" s="3" t="n">
        <x:v>5</x:v>
      </x:c>
      <x:c r="C511" s="3" t="n">
        <x:v>10</x:v>
      </x:c>
      <x:c r="D511" s="3" t="n">
        <x:v>1</x:v>
      </x:c>
      <x:c r="E511" s="3" t="n">
        <x:v>2</x:v>
      </x:c>
      <x:c r="F511" s="3" t="n">
        <x:v>2</x:v>
      </x:c>
    </x:row>
    <x:row r="512" ht="21" customHeight="1">
      <x:c r="A512" s="3" t="n">
        <x:v>16</x:v>
      </x:c>
      <x:c r="B512" s="3" t="n">
        <x:v>6</x:v>
      </x:c>
      <x:c r="C512" s="3" t="n">
        <x:v>11</x:v>
      </x:c>
      <x:c r="D512" s="3" t="n">
        <x:v>2</x:v>
      </x:c>
      <x:c r="E512" s="3" t="n">
        <x:v>2</x:v>
      </x:c>
      <x:c r="F512" s="3" t="n">
        <x:v>1</x:v>
      </x:c>
    </x:row>
    <x:row r="513" ht="21" customHeight="1">
      <x:c r="A513" s="3" t="n">
        <x:v>16</x:v>
      </x:c>
      <x:c r="B513" s="3" t="n">
        <x:v>7</x:v>
      </x:c>
      <x:c r="C513" s="3" t="n">
        <x:v>12</x:v>
      </x:c>
      <x:c r="D513" s="3" t="n">
        <x:v>2</x:v>
      </x:c>
      <x:c r="E513" s="3" t="n">
        <x:v>2</x:v>
      </x:c>
      <x:c r="F513" s="3" t="n">
        <x:v>1</x:v>
      </x:c>
    </x:row>
    <x:row r="514" ht="21" customHeight="1">
      <x:c r="A514" s="3" t="n">
        <x:v>16</x:v>
      </x:c>
      <x:c r="B514" s="3" t="n">
        <x:v>8</x:v>
      </x:c>
      <x:c r="C514" s="3" t="n">
        <x:v>13</x:v>
      </x:c>
      <x:c r="D514" s="3" t="n">
        <x:v>2</x:v>
      </x:c>
      <x:c r="E514" s="3" t="n">
        <x:v>3</x:v>
      </x:c>
      <x:c r="F514" s="3" t="n">
        <x:v>2</x:v>
      </x:c>
    </x:row>
    <x:row r="515" ht="21" customHeight="1">
      <x:c r="A515" s="3" t="n">
        <x:v>16</x:v>
      </x:c>
      <x:c r="B515" s="3" t="n">
        <x:v>9</x:v>
      </x:c>
      <x:c r="C515" s="3" t="n">
        <x:v>14</x:v>
      </x:c>
      <x:c r="D515" s="3" t="n">
        <x:v>2</x:v>
      </x:c>
      <x:c r="E515" s="3" t="n">
        <x:v>3</x:v>
      </x:c>
      <x:c r="F515" s="3" t="n">
        <x:v>2</x:v>
      </x:c>
    </x:row>
    <x:row r="516" ht="21" customHeight="1">
      <x:c r="A516" s="3" t="n">
        <x:v>16</x:v>
      </x:c>
      <x:c r="B516" s="3" t="n">
        <x:v>10</x:v>
      </x:c>
      <x:c r="C516" s="3" t="n">
        <x:v>15</x:v>
      </x:c>
      <x:c r="D516" s="3" t="n">
        <x:v>2</x:v>
      </x:c>
      <x:c r="E516" s="3" t="n">
        <x:v>3</x:v>
      </x:c>
      <x:c r="F516" s="3" t="n">
        <x:v>2</x:v>
      </x:c>
    </x:row>
    <x:row r="517" ht="21" customHeight="1">
      <x:c r="A517" s="3" t="n">
        <x:v>16</x:v>
      </x:c>
      <x:c r="B517" s="3" t="n">
        <x:v>11</x:v>
      </x:c>
      <x:c r="C517" s="3" t="n">
        <x:v>16</x:v>
      </x:c>
      <x:c r="D517" s="3" t="n">
        <x:v>2</x:v>
      </x:c>
      <x:c r="E517" s="3" t="n">
        <x:v>3</x:v>
      </x:c>
      <x:c r="F517" s="3" t="n">
        <x:v>2</x:v>
      </x:c>
    </x:row>
    <x:row r="518" ht="21" customHeight="1">
      <x:c r="A518" s="3" t="n">
        <x:v>16</x:v>
      </x:c>
      <x:c r="B518" s="3" t="n">
        <x:v>12</x:v>
      </x:c>
      <x:c r="C518" s="3" t="n">
        <x:v>17</x:v>
      </x:c>
      <x:c r="D518" s="3" t="n">
        <x:v>3</x:v>
      </x:c>
      <x:c r="E518" s="3" t="n">
        <x:v>3</x:v>
      </x:c>
      <x:c r="F518" s="3" t="n">
        <x:v>1</x:v>
      </x:c>
    </x:row>
    <x:row r="519" ht="21" customHeight="1">
      <x:c r="A519" s="3" t="n">
        <x:v>16</x:v>
      </x:c>
      <x:c r="B519" s="3" t="n">
        <x:v>13</x:v>
      </x:c>
      <x:c r="C519" s="3" t="n">
        <x:v>18</x:v>
      </x:c>
      <x:c r="D519" s="3" t="n">
        <x:v>3</x:v>
      </x:c>
      <x:c r="E519" s="3" t="n">
        <x:v>3</x:v>
      </x:c>
      <x:c r="F519" s="3" t="n">
        <x:v>1</x:v>
      </x:c>
    </x:row>
    <x:row r="520" ht="21" customHeight="1">
      <x:c r="A520" s="3" t="n">
        <x:v>16</x:v>
      </x:c>
      <x:c r="B520" s="3" t="n">
        <x:v>14</x:v>
      </x:c>
      <x:c r="C520" s="3" t="n">
        <x:v>19</x:v>
      </x:c>
      <x:c r="D520" s="3" t="n">
        <x:v>3</x:v>
      </x:c>
      <x:c r="E520" s="3" t="n">
        <x:v>4</x:v>
      </x:c>
      <x:c r="F520" s="3" t="n">
        <x:v>2</x:v>
      </x:c>
    </x:row>
    <x:row r="521" ht="21" customHeight="1">
      <x:c r="A521" s="3" t="n">
        <x:v>16</x:v>
      </x:c>
      <x:c r="B521" s="3" t="n">
        <x:v>15</x:v>
      </x:c>
      <x:c r="C521" s="3" t="n">
        <x:v>20</x:v>
      </x:c>
      <x:c r="D521" s="3" t="n">
        <x:v>3</x:v>
      </x:c>
      <x:c r="E521" s="3" t="n">
        <x:v>4</x:v>
      </x:c>
      <x:c r="F521" s="3" t="n">
        <x:v>2</x:v>
      </x:c>
    </x:row>
    <x:row r="522" ht="21" customHeight="1">
      <x:c r="A522" s="3" t="n">
        <x:v>16</x:v>
      </x:c>
      <x:c r="B522" s="3" t="n">
        <x:v>16</x:v>
      </x:c>
      <x:c r="C522" s="3" t="n">
        <x:v>21</x:v>
      </x:c>
      <x:c r="D522" s="3" t="n">
        <x:v>3</x:v>
      </x:c>
      <x:c r="E522" s="3" t="n">
        <x:v>4</x:v>
      </x:c>
      <x:c r="F522" s="3" t="n">
        <x:v>2</x:v>
      </x:c>
    </x:row>
    <x:row r="523" ht="21" customHeight="1">
      <x:c r="A523" s="3" t="n">
        <x:v>16</x:v>
      </x:c>
      <x:c r="B523" s="3" t="n">
        <x:v>17</x:v>
      </x:c>
      <x:c r="C523" s="3" t="n">
        <x:v>22</x:v>
      </x:c>
      <x:c r="D523" s="3" t="n">
        <x:v>3</x:v>
      </x:c>
      <x:c r="E523" s="3" t="n">
        <x:v>4</x:v>
      </x:c>
      <x:c r="F523" s="3" t="n">
        <x:v>2</x:v>
      </x:c>
    </x:row>
    <x:row r="524" ht="21" customHeight="1">
      <x:c r="A524" s="3" t="n">
        <x:v>16</x:v>
      </x:c>
      <x:c r="B524" s="3" t="n">
        <x:v>18</x:v>
      </x:c>
      <x:c r="C524" s="3" t="n">
        <x:v>23</x:v>
      </x:c>
      <x:c r="D524" s="3" t="n">
        <x:v>4</x:v>
      </x:c>
      <x:c r="E524" s="3" t="n">
        <x:v>4</x:v>
      </x:c>
      <x:c r="F524" s="3" t="n">
        <x:v>1</x:v>
      </x:c>
    </x:row>
    <x:row r="525" ht="21" customHeight="1">
      <x:c r="A525" s="3" t="n">
        <x:v>16</x:v>
      </x:c>
      <x:c r="B525" s="3" t="n">
        <x:v>19</x:v>
      </x:c>
      <x:c r="C525" s="3" t="n">
        <x:v>24</x:v>
      </x:c>
      <x:c r="D525" s="3" t="n">
        <x:v>4</x:v>
      </x:c>
      <x:c r="E525" s="3" t="n">
        <x:v>4</x:v>
      </x:c>
      <x:c r="F525" s="3" t="n">
        <x:v>1</x:v>
      </x:c>
    </x:row>
    <x:row r="526" ht="21" customHeight="1">
      <x:c r="A526" s="3" t="n">
        <x:v>16</x:v>
      </x:c>
      <x:c r="B526" s="3" t="n">
        <x:v>20</x:v>
      </x:c>
      <x:c r="C526" s="3" t="n">
        <x:v>25</x:v>
      </x:c>
      <x:c r="D526" s="3" t="n">
        <x:v>4</x:v>
      </x:c>
      <x:c r="E526" s="3" t="n">
        <x:v>5</x:v>
      </x:c>
      <x:c r="F526" s="3" t="n">
        <x:v>2</x:v>
      </x:c>
    </x:row>
    <x:row r="527" ht="21" customHeight="1">
      <x:c r="A527" s="3" t="n">
        <x:v>16</x:v>
      </x:c>
      <x:c r="B527" s="3" t="n">
        <x:v>21</x:v>
      </x:c>
      <x:c r="C527" s="3" t="n">
        <x:v>26</x:v>
      </x:c>
      <x:c r="D527" s="3" t="n">
        <x:v>4</x:v>
      </x:c>
      <x:c r="E527" s="3" t="n">
        <x:v>5</x:v>
      </x:c>
      <x:c r="F527" s="3" t="n">
        <x:v>2</x:v>
      </x:c>
    </x:row>
    <x:row r="528" ht="21" customHeight="1">
      <x:c r="A528" s="3" t="n">
        <x:v>16</x:v>
      </x:c>
      <x:c r="B528" s="3" t="n">
        <x:v>22</x:v>
      </x:c>
      <x:c r="C528" s="3" t="n">
        <x:v>27</x:v>
      </x:c>
      <x:c r="D528" s="3" t="n">
        <x:v>4</x:v>
      </x:c>
      <x:c r="E528" s="3" t="n">
        <x:v>5</x:v>
      </x:c>
      <x:c r="F528" s="3" t="n">
        <x:v>2</x:v>
      </x:c>
    </x:row>
    <x:row r="529" ht="21" customHeight="1">
      <x:c r="A529" s="3" t="n">
        <x:v>16</x:v>
      </x:c>
      <x:c r="B529" s="3" t="n">
        <x:v>23</x:v>
      </x:c>
      <x:c r="C529" s="3" t="n">
        <x:v>28</x:v>
      </x:c>
      <x:c r="D529" s="3" t="n">
        <x:v>4</x:v>
      </x:c>
      <x:c r="E529" s="3" t="n">
        <x:v>5</x:v>
      </x:c>
      <x:c r="F529" s="3" t="n">
        <x:v>2</x:v>
      </x:c>
    </x:row>
    <x:row r="530" ht="21" customHeight="1">
      <x:c r="A530" s="3" t="n">
        <x:v>16</x:v>
      </x:c>
      <x:c r="B530" s="3" t="n">
        <x:v>24</x:v>
      </x:c>
      <x:c r="C530" s="3" t="n">
        <x:v>29</x:v>
      </x:c>
      <x:c r="D530" s="3" t="n">
        <x:v>5</x:v>
      </x:c>
      <x:c r="E530" s="3" t="n">
        <x:v>5</x:v>
      </x:c>
      <x:c r="F530" s="3" t="n">
        <x:v>1</x:v>
      </x:c>
    </x:row>
    <x:row r="531" ht="21" customHeight="1">
      <x:c r="A531" s="3" t="n">
        <x:v>16</x:v>
      </x:c>
      <x:c r="B531" s="3" t="n">
        <x:v>25</x:v>
      </x:c>
      <x:c r="C531" s="3" t="n">
        <x:v>30</x:v>
      </x:c>
      <x:c r="D531" s="3" t="n">
        <x:v>5</x:v>
      </x:c>
      <x:c r="E531" s="3" t="n">
        <x:v>5</x:v>
      </x:c>
      <x:c r="F531" s="3" t="n">
        <x:v>1</x:v>
      </x:c>
    </x:row>
    <x:row r="532" ht="21" customHeight="1">
      <x:c r="A532" s="3" t="n">
        <x:v>16</x:v>
      </x:c>
      <x:c r="B532" s="3" t="n">
        <x:v>26</x:v>
      </x:c>
      <x:c r="C532" s="3" t="n">
        <x:v>31</x:v>
      </x:c>
      <x:c r="D532" s="3" t="n">
        <x:v>5</x:v>
      </x:c>
      <x:c r="E532" s="3" t="n">
        <x:v>6</x:v>
      </x:c>
      <x:c r="F532" s="3" t="n">
        <x:v>2</x:v>
      </x:c>
    </x:row>
    <x:row r="533" ht="21" customHeight="1">
      <x:c r="A533" s="3" t="n">
        <x:v>16</x:v>
      </x:c>
      <x:c r="B533" s="3" t="n">
        <x:v>27</x:v>
      </x:c>
      <x:c r="C533" s="3" t="n">
        <x:v>32</x:v>
      </x:c>
      <x:c r="D533" s="3" t="n">
        <x:v>5</x:v>
      </x:c>
      <x:c r="E533" s="3" t="n">
        <x:v>6</x:v>
      </x:c>
      <x:c r="F533" s="3" t="n">
        <x:v>2</x:v>
      </x:c>
    </x:row>
    <x:row r="534" ht="21" customHeight="1">
      <x:c r="A534" s="3" t="n">
        <x:v>16</x:v>
      </x:c>
      <x:c r="B534" s="3" t="n">
        <x:v>28</x:v>
      </x:c>
      <x:c r="C534" s="3" t="n">
        <x:v>33</x:v>
      </x:c>
      <x:c r="D534" s="3" t="n">
        <x:v>5</x:v>
      </x:c>
      <x:c r="E534" s="3" t="n">
        <x:v>6</x:v>
      </x:c>
      <x:c r="F534" s="3" t="n">
        <x:v>2</x:v>
      </x:c>
    </x:row>
    <x:row r="535" ht="21" customHeight="1">
      <x:c r="A535" s="3" t="n">
        <x:v>16</x:v>
      </x:c>
      <x:c r="B535" s="3" t="n">
        <x:v>29</x:v>
      </x:c>
      <x:c r="C535" s="3" t="n">
        <x:v>34</x:v>
      </x:c>
      <x:c r="D535" s="3" t="n">
        <x:v>5</x:v>
      </x:c>
      <x:c r="E535" s="3" t="n">
        <x:v>6</x:v>
      </x:c>
      <x:c r="F535" s="3" t="n">
        <x:v>2</x:v>
      </x:c>
    </x:row>
    <x:row r="536" ht="21" customHeight="1">
      <x:c r="A536" s="3" t="n">
        <x:v>16</x:v>
      </x:c>
      <x:c r="B536" s="3" t="n">
        <x:v>30</x:v>
      </x:c>
      <x:c r="C536" s="3" t="n">
        <x:v>35</x:v>
      </x:c>
      <x:c r="D536" s="3" t="n">
        <x:v>6</x:v>
      </x:c>
      <x:c r="E536" s="3" t="n">
        <x:v>6</x:v>
      </x:c>
      <x:c r="F536" s="3" t="n">
        <x:v>1</x:v>
      </x:c>
    </x:row>
    <x:row r="537" ht="21" customHeight="1">
      <x:c r="A537" s="3" t="n">
        <x:v>16</x:v>
      </x:c>
      <x:c r="B537" s="3" t="n">
        <x:v>31</x:v>
      </x:c>
      <x:c r="C537" s="3" t="n">
        <x:v>36</x:v>
      </x:c>
      <x:c r="D537" s="3" t="n">
        <x:v>6</x:v>
      </x:c>
      <x:c r="E537" s="3" t="n">
        <x:v>6</x:v>
      </x:c>
      <x:c r="F537" s="3" t="n">
        <x:v>1</x:v>
      </x:c>
    </x:row>
    <x:row r="538" ht="21" customHeight="1">
      <x:c r="A538" s="3" t="n">
        <x:v>17</x:v>
      </x:c>
      <x:c r="B538" s="3" t="n">
        <x:v>0</x:v>
      </x:c>
      <x:c r="C538" s="3" t="n">
        <x:v>2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17</x:v>
      </x:c>
      <x:c r="B539" s="3" t="n">
        <x:v>1</x:v>
      </x:c>
      <x:c r="C539" s="3" t="n">
        <x:v>3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17</x:v>
      </x:c>
      <x:c r="B540" s="3" t="n">
        <x:v>2</x:v>
      </x:c>
      <x:c r="C540" s="3" t="n">
        <x:v>4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17</x:v>
      </x:c>
      <x:c r="B541" s="3" t="n">
        <x:v>3</x:v>
      </x:c>
      <x:c r="C541" s="3" t="n">
        <x:v>5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17</x:v>
      </x:c>
      <x:c r="B542" s="3" t="n">
        <x:v>4</x:v>
      </x:c>
      <x:c r="C542" s="3" t="n">
        <x:v>6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17</x:v>
      </x:c>
      <x:c r="B543" s="3" t="n">
        <x:v>5</x:v>
      </x:c>
      <x:c r="C543" s="3" t="n">
        <x:v>7</x:v>
      </x:c>
      <x:c r="D543" s="3" t="n">
        <x:v>1</x:v>
      </x:c>
      <x:c r="E543" s="3" t="n">
        <x:v>2</x:v>
      </x:c>
      <x:c r="F543" s="3" t="n">
        <x:v>2</x:v>
      </x:c>
    </x:row>
    <x:row r="544" ht="21" customHeight="1">
      <x:c r="A544" s="3" t="n">
        <x:v>17</x:v>
      </x:c>
      <x:c r="B544" s="3" t="n">
        <x:v>6</x:v>
      </x:c>
      <x:c r="C544" s="3" t="n">
        <x:v>8</x:v>
      </x:c>
      <x:c r="D544" s="3" t="n">
        <x:v>2</x:v>
      </x:c>
      <x:c r="E544" s="3" t="n">
        <x:v>2</x:v>
      </x:c>
      <x:c r="F544" s="3" t="n">
        <x:v>1</x:v>
      </x:c>
    </x:row>
    <x:row r="545" ht="21" customHeight="1">
      <x:c r="A545" s="3" t="n">
        <x:v>17</x:v>
      </x:c>
      <x:c r="B545" s="3" t="n">
        <x:v>7</x:v>
      </x:c>
      <x:c r="C545" s="3" t="n">
        <x:v>9</x:v>
      </x:c>
      <x:c r="D545" s="3" t="n">
        <x:v>2</x:v>
      </x:c>
      <x:c r="E545" s="3" t="n">
        <x:v>2</x:v>
      </x:c>
      <x:c r="F545" s="3" t="n">
        <x:v>1</x:v>
      </x:c>
    </x:row>
    <x:row r="546" ht="21" customHeight="1">
      <x:c r="A546" s="3" t="n">
        <x:v>17</x:v>
      </x:c>
      <x:c r="B546" s="3" t="n">
        <x:v>8</x:v>
      </x:c>
      <x:c r="C546" s="3" t="n">
        <x:v>10</x:v>
      </x:c>
      <x:c r="D546" s="3" t="n">
        <x:v>2</x:v>
      </x:c>
      <x:c r="E546" s="3" t="n">
        <x:v>2</x:v>
      </x:c>
      <x:c r="F546" s="3" t="n">
        <x:v>1</x:v>
      </x:c>
    </x:row>
    <x:row r="547" ht="21" customHeight="1">
      <x:c r="A547" s="3" t="n">
        <x:v>17</x:v>
      </x:c>
      <x:c r="B547" s="3" t="n">
        <x:v>9</x:v>
      </x:c>
      <x:c r="C547" s="3" t="n">
        <x:v>11</x:v>
      </x:c>
      <x:c r="D547" s="3" t="n">
        <x:v>2</x:v>
      </x:c>
      <x:c r="E547" s="3" t="n">
        <x:v>2</x:v>
      </x:c>
      <x:c r="F547" s="3" t="n">
        <x:v>1</x:v>
      </x:c>
    </x:row>
    <x:row r="548" ht="21" customHeight="1">
      <x:c r="A548" s="3" t="n">
        <x:v>17</x:v>
      </x:c>
      <x:c r="B548" s="3" t="n">
        <x:v>10</x:v>
      </x:c>
      <x:c r="C548" s="3" t="n">
        <x:v>12</x:v>
      </x:c>
      <x:c r="D548" s="3" t="n">
        <x:v>2</x:v>
      </x:c>
      <x:c r="E548" s="3" t="n">
        <x:v>2</x:v>
      </x:c>
      <x:c r="F548" s="3" t="n">
        <x:v>1</x:v>
      </x:c>
    </x:row>
    <x:row r="549" ht="21" customHeight="1">
      <x:c r="A549" s="3" t="n">
        <x:v>17</x:v>
      </x:c>
      <x:c r="B549" s="3" t="n">
        <x:v>11</x:v>
      </x:c>
      <x:c r="C549" s="3" t="n">
        <x:v>13</x:v>
      </x:c>
      <x:c r="D549" s="3" t="n">
        <x:v>2</x:v>
      </x:c>
      <x:c r="E549" s="3" t="n">
        <x:v>3</x:v>
      </x:c>
      <x:c r="F549" s="3" t="n">
        <x:v>2</x:v>
      </x:c>
    </x:row>
    <x:row r="550" ht="21" customHeight="1">
      <x:c r="A550" s="3" t="n">
        <x:v>17</x:v>
      </x:c>
      <x:c r="B550" s="3" t="n">
        <x:v>12</x:v>
      </x:c>
      <x:c r="C550" s="3" t="n">
        <x:v>14</x:v>
      </x:c>
      <x:c r="D550" s="3" t="n">
        <x:v>3</x:v>
      </x:c>
      <x:c r="E550" s="3" t="n">
        <x:v>3</x:v>
      </x:c>
      <x:c r="F550" s="3" t="n">
        <x:v>1</x:v>
      </x:c>
    </x:row>
    <x:row r="551" ht="21" customHeight="1">
      <x:c r="A551" s="3" t="n">
        <x:v>17</x:v>
      </x:c>
      <x:c r="B551" s="3" t="n">
        <x:v>13</x:v>
      </x:c>
      <x:c r="C551" s="3" t="n">
        <x:v>15</x:v>
      </x:c>
      <x:c r="D551" s="3" t="n">
        <x:v>3</x:v>
      </x:c>
      <x:c r="E551" s="3" t="n">
        <x:v>3</x:v>
      </x:c>
      <x:c r="F551" s="3" t="n">
        <x:v>1</x:v>
      </x:c>
    </x:row>
    <x:row r="552" ht="21" customHeight="1">
      <x:c r="A552" s="3" t="n">
        <x:v>17</x:v>
      </x:c>
      <x:c r="B552" s="3" t="n">
        <x:v>14</x:v>
      </x:c>
      <x:c r="C552" s="3" t="n">
        <x:v>16</x:v>
      </x:c>
      <x:c r="D552" s="3" t="n">
        <x:v>3</x:v>
      </x:c>
      <x:c r="E552" s="3" t="n">
        <x:v>3</x:v>
      </x:c>
      <x:c r="F552" s="3" t="n">
        <x:v>1</x:v>
      </x:c>
    </x:row>
    <x:row r="553" ht="21" customHeight="1">
      <x:c r="A553" s="3" t="n">
        <x:v>17</x:v>
      </x:c>
      <x:c r="B553" s="3" t="n">
        <x:v>15</x:v>
      </x:c>
      <x:c r="C553" s="3" t="n">
        <x:v>17</x:v>
      </x:c>
      <x:c r="D553" s="3" t="n">
        <x:v>3</x:v>
      </x:c>
      <x:c r="E553" s="3" t="n">
        <x:v>3</x:v>
      </x:c>
      <x:c r="F553" s="3" t="n">
        <x:v>1</x:v>
      </x:c>
    </x:row>
    <x:row r="554" ht="21" customHeight="1">
      <x:c r="A554" s="3" t="n">
        <x:v>17</x:v>
      </x:c>
      <x:c r="B554" s="3" t="n">
        <x:v>16</x:v>
      </x:c>
      <x:c r="C554" s="3" t="n">
        <x:v>18</x:v>
      </x:c>
      <x:c r="D554" s="3" t="n">
        <x:v>3</x:v>
      </x:c>
      <x:c r="E554" s="3" t="n">
        <x:v>3</x:v>
      </x:c>
      <x:c r="F554" s="3" t="n">
        <x:v>1</x:v>
      </x:c>
    </x:row>
    <x:row r="555" ht="21" customHeight="1">
      <x:c r="A555" s="3" t="n">
        <x:v>17</x:v>
      </x:c>
      <x:c r="B555" s="3" t="n">
        <x:v>17</x:v>
      </x:c>
      <x:c r="C555" s="3" t="n">
        <x:v>19</x:v>
      </x:c>
      <x:c r="D555" s="3" t="n">
        <x:v>3</x:v>
      </x:c>
      <x:c r="E555" s="3" t="n">
        <x:v>4</x:v>
      </x:c>
      <x:c r="F555" s="3" t="n">
        <x:v>2</x:v>
      </x:c>
    </x:row>
    <x:row r="556" ht="21" customHeight="1">
      <x:c r="A556" s="3" t="n">
        <x:v>17</x:v>
      </x:c>
      <x:c r="B556" s="3" t="n">
        <x:v>18</x:v>
      </x:c>
      <x:c r="C556" s="3" t="n">
        <x:v>20</x:v>
      </x:c>
      <x:c r="D556" s="3" t="n">
        <x:v>4</x:v>
      </x:c>
      <x:c r="E556" s="3" t="n">
        <x:v>4</x:v>
      </x:c>
      <x:c r="F556" s="3" t="n">
        <x:v>1</x:v>
      </x:c>
    </x:row>
    <x:row r="557" ht="21" customHeight="1">
      <x:c r="A557" s="3" t="n">
        <x:v>17</x:v>
      </x:c>
      <x:c r="B557" s="3" t="n">
        <x:v>19</x:v>
      </x:c>
      <x:c r="C557" s="3" t="n">
        <x:v>21</x:v>
      </x:c>
      <x:c r="D557" s="3" t="n">
        <x:v>4</x:v>
      </x:c>
      <x:c r="E557" s="3" t="n">
        <x:v>4</x:v>
      </x:c>
      <x:c r="F557" s="3" t="n">
        <x:v>1</x:v>
      </x:c>
    </x:row>
    <x:row r="558" ht="21" customHeight="1">
      <x:c r="A558" s="3" t="n">
        <x:v>17</x:v>
      </x:c>
      <x:c r="B558" s="3" t="n">
        <x:v>20</x:v>
      </x:c>
      <x:c r="C558" s="3" t="n">
        <x:v>22</x:v>
      </x:c>
      <x:c r="D558" s="3" t="n">
        <x:v>4</x:v>
      </x:c>
      <x:c r="E558" s="3" t="n">
        <x:v>4</x:v>
      </x:c>
      <x:c r="F558" s="3" t="n">
        <x:v>1</x:v>
      </x:c>
    </x:row>
    <x:row r="559" ht="21" customHeight="1">
      <x:c r="A559" s="3" t="n">
        <x:v>17</x:v>
      </x:c>
      <x:c r="B559" s="3" t="n">
        <x:v>21</x:v>
      </x:c>
      <x:c r="C559" s="3" t="n">
        <x:v>23</x:v>
      </x:c>
      <x:c r="D559" s="3" t="n">
        <x:v>4</x:v>
      </x:c>
      <x:c r="E559" s="3" t="n">
        <x:v>4</x:v>
      </x:c>
      <x:c r="F559" s="3" t="n">
        <x:v>1</x:v>
      </x:c>
    </x:row>
    <x:row r="560" ht="21" customHeight="1">
      <x:c r="A560" s="3" t="n">
        <x:v>17</x:v>
      </x:c>
      <x:c r="B560" s="3" t="n">
        <x:v>22</x:v>
      </x:c>
      <x:c r="C560" s="3" t="n">
        <x:v>24</x:v>
      </x:c>
      <x:c r="D560" s="3" t="n">
        <x:v>4</x:v>
      </x:c>
      <x:c r="E560" s="3" t="n">
        <x:v>4</x:v>
      </x:c>
      <x:c r="F560" s="3" t="n">
        <x:v>1</x:v>
      </x:c>
    </x:row>
    <x:row r="561" ht="21" customHeight="1">
      <x:c r="A561" s="3" t="n">
        <x:v>17</x:v>
      </x:c>
      <x:c r="B561" s="3" t="n">
        <x:v>23</x:v>
      </x:c>
      <x:c r="C561" s="3" t="n">
        <x:v>25</x:v>
      </x:c>
      <x:c r="D561" s="3" t="n">
        <x:v>4</x:v>
      </x:c>
      <x:c r="E561" s="3" t="n">
        <x:v>5</x:v>
      </x:c>
      <x:c r="F561" s="3" t="n">
        <x:v>2</x:v>
      </x:c>
    </x:row>
    <x:row r="562" ht="21" customHeight="1">
      <x:c r="A562" s="3" t="n">
        <x:v>17</x:v>
      </x:c>
      <x:c r="B562" s="3" t="n">
        <x:v>24</x:v>
      </x:c>
      <x:c r="C562" s="3" t="n">
        <x:v>26</x:v>
      </x:c>
      <x:c r="D562" s="3" t="n">
        <x:v>5</x:v>
      </x:c>
      <x:c r="E562" s="3" t="n">
        <x:v>5</x:v>
      </x:c>
      <x:c r="F562" s="3" t="n">
        <x:v>1</x:v>
      </x:c>
    </x:row>
    <x:row r="563" ht="21" customHeight="1">
      <x:c r="A563" s="3" t="n">
        <x:v>17</x:v>
      </x:c>
      <x:c r="B563" s="3" t="n">
        <x:v>25</x:v>
      </x:c>
      <x:c r="C563" s="3" t="n">
        <x:v>27</x:v>
      </x:c>
      <x:c r="D563" s="3" t="n">
        <x:v>5</x:v>
      </x:c>
      <x:c r="E563" s="3" t="n">
        <x:v>5</x:v>
      </x:c>
      <x:c r="F563" s="3" t="n">
        <x:v>1</x:v>
      </x:c>
    </x:row>
    <x:row r="564" ht="21" customHeight="1">
      <x:c r="A564" s="3" t="n">
        <x:v>17</x:v>
      </x:c>
      <x:c r="B564" s="3" t="n">
        <x:v>26</x:v>
      </x:c>
      <x:c r="C564" s="3" t="n">
        <x:v>28</x:v>
      </x:c>
      <x:c r="D564" s="3" t="n">
        <x:v>5</x:v>
      </x:c>
      <x:c r="E564" s="3" t="n">
        <x:v>5</x:v>
      </x:c>
      <x:c r="F564" s="3" t="n">
        <x:v>1</x:v>
      </x:c>
    </x:row>
    <x:row r="565" ht="21" customHeight="1">
      <x:c r="A565" s="3" t="n">
        <x:v>17</x:v>
      </x:c>
      <x:c r="B565" s="3" t="n">
        <x:v>27</x:v>
      </x:c>
      <x:c r="C565" s="3" t="n">
        <x:v>29</x:v>
      </x:c>
      <x:c r="D565" s="3" t="n">
        <x:v>5</x:v>
      </x:c>
      <x:c r="E565" s="3" t="n">
        <x:v>5</x:v>
      </x:c>
      <x:c r="F565" s="3" t="n">
        <x:v>1</x:v>
      </x:c>
    </x:row>
    <x:row r="566" ht="21" customHeight="1">
      <x:c r="A566" s="3" t="n">
        <x:v>17</x:v>
      </x:c>
      <x:c r="B566" s="3" t="n">
        <x:v>28</x:v>
      </x:c>
      <x:c r="C566" s="3" t="n">
        <x:v>30</x:v>
      </x:c>
      <x:c r="D566" s="3" t="n">
        <x:v>5</x:v>
      </x:c>
      <x:c r="E566" s="3" t="n">
        <x:v>5</x:v>
      </x:c>
      <x:c r="F566" s="3" t="n">
        <x:v>1</x:v>
      </x:c>
    </x:row>
    <x:row r="567" ht="21" customHeight="1">
      <x:c r="A567" s="3" t="n">
        <x:v>17</x:v>
      </x:c>
      <x:c r="B567" s="3" t="n">
        <x:v>29</x:v>
      </x:c>
      <x:c r="C567" s="3" t="n">
        <x:v>31</x:v>
      </x:c>
      <x:c r="D567" s="3" t="n">
        <x:v>5</x:v>
      </x:c>
      <x:c r="E567" s="3" t="n">
        <x:v>6</x:v>
      </x:c>
      <x:c r="F567" s="3" t="n">
        <x:v>2</x:v>
      </x:c>
    </x:row>
    <x:row r="568" ht="21" customHeight="1">
      <x:c r="A568" s="3" t="n">
        <x:v>17</x:v>
      </x:c>
      <x:c r="B568" s="3" t="n">
        <x:v>30</x:v>
      </x:c>
      <x:c r="C568" s="3" t="n">
        <x:v>32</x:v>
      </x:c>
      <x:c r="D568" s="3" t="n">
        <x:v>6</x:v>
      </x:c>
      <x:c r="E568" s="3" t="n">
        <x:v>6</x:v>
      </x:c>
      <x:c r="F568" s="3" t="n">
        <x:v>1</x:v>
      </x:c>
    </x:row>
    <x:row r="569" ht="21" customHeight="1">
      <x:c r="A569" s="3" t="n">
        <x:v>17</x:v>
      </x:c>
      <x:c r="B569" s="3" t="n">
        <x:v>31</x:v>
      </x:c>
      <x:c r="C569" s="3" t="n">
        <x:v>33</x:v>
      </x:c>
      <x:c r="D569" s="3" t="n">
        <x:v>6</x:v>
      </x:c>
      <x:c r="E569" s="3" t="n">
        <x:v>6</x:v>
      </x:c>
      <x:c r="F569" s="3" t="n">
        <x:v>1</x:v>
      </x:c>
    </x:row>
    <x:row r="570" ht="21" customHeight="1">
      <x:c r="A570" s="3" t="n">
        <x:v>17</x:v>
      </x:c>
      <x:c r="B570" s="3" t="n">
        <x:v>32</x:v>
      </x:c>
      <x:c r="C570" s="3" t="n">
        <x:v>34</x:v>
      </x:c>
      <x:c r="D570" s="3" t="n">
        <x:v>6</x:v>
      </x:c>
      <x:c r="E570" s="3" t="n">
        <x:v>6</x:v>
      </x:c>
      <x:c r="F570" s="3" t="n">
        <x:v>1</x:v>
      </x:c>
    </x:row>
    <x:row r="571" ht="21" customHeight="1">
      <x:c r="A571" s="3" t="n">
        <x:v>17</x:v>
      </x:c>
      <x:c r="B571" s="3" t="n">
        <x:v>33</x:v>
      </x:c>
      <x:c r="C571" s="3" t="n">
        <x:v>35</x:v>
      </x:c>
      <x:c r="D571" s="3" t="n">
        <x:v>6</x:v>
      </x:c>
      <x:c r="E571" s="3" t="n">
        <x:v>6</x:v>
      </x:c>
      <x:c r="F571" s="3" t="n">
        <x:v>1</x:v>
      </x:c>
    </x:row>
    <x:row r="572" ht="21" customHeight="1">
      <x:c r="A572" s="3" t="n">
        <x:v>17</x:v>
      </x:c>
      <x:c r="B572" s="3" t="n">
        <x:v>34</x:v>
      </x:c>
      <x:c r="C572" s="3" t="n">
        <x:v>36</x:v>
      </x:c>
      <x:c r="D572" s="3" t="n">
        <x:v>6</x:v>
      </x:c>
      <x:c r="E572" s="3" t="n">
        <x:v>6</x:v>
      </x:c>
      <x:c r="F572" s="3" t="n">
        <x:v>1</x:v>
      </x:c>
    </x:row>
    <x:row r="573" ht="21" customHeight="1">
      <x:c r="A573" s="3" t="n">
        <x:v>18</x:v>
      </x:c>
      <x:c r="B573" s="3" t="n">
        <x:v>0</x:v>
      </x:c>
      <x:c r="C573" s="3" t="n">
        <x:v>5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18</x:v>
      </x:c>
      <x:c r="B574" s="3" t="n">
        <x:v>1</x:v>
      </x:c>
      <x:c r="C574" s="3" t="n">
        <x:v>6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18</x:v>
      </x:c>
      <x:c r="B575" s="3" t="n">
        <x:v>2</x:v>
      </x:c>
      <x:c r="C575" s="3" t="n">
        <x:v>7</x:v>
      </x:c>
      <x:c r="D575" s="3" t="n">
        <x:v>1</x:v>
      </x:c>
      <x:c r="E575" s="3" t="n">
        <x:v>2</x:v>
      </x:c>
      <x:c r="F575" s="3" t="n">
        <x:v>2</x:v>
      </x:c>
    </x:row>
    <x:row r="576" ht="21" customHeight="1">
      <x:c r="A576" s="3" t="n">
        <x:v>18</x:v>
      </x:c>
      <x:c r="B576" s="3" t="n">
        <x:v>3</x:v>
      </x:c>
      <x:c r="C576" s="3" t="n">
        <x:v>8</x:v>
      </x:c>
      <x:c r="D576" s="3" t="n">
        <x:v>1</x:v>
      </x:c>
      <x:c r="E576" s="3" t="n">
        <x:v>2</x:v>
      </x:c>
      <x:c r="F576" s="3" t="n">
        <x:v>2</x:v>
      </x:c>
    </x:row>
    <x:row r="577" ht="21" customHeight="1">
      <x:c r="A577" s="3" t="n">
        <x:v>18</x:v>
      </x:c>
      <x:c r="B577" s="3" t="n">
        <x:v>4</x:v>
      </x:c>
      <x:c r="C577" s="3" t="n">
        <x:v>9</x:v>
      </x:c>
      <x:c r="D577" s="3" t="n">
        <x:v>1</x:v>
      </x:c>
      <x:c r="E577" s="3" t="n">
        <x:v>2</x:v>
      </x:c>
      <x:c r="F577" s="3" t="n">
        <x:v>2</x:v>
      </x:c>
    </x:row>
    <x:row r="578" ht="21" customHeight="1">
      <x:c r="A578" s="3" t="n">
        <x:v>18</x:v>
      </x:c>
      <x:c r="B578" s="3" t="n">
        <x:v>5</x:v>
      </x:c>
      <x:c r="C578" s="3" t="n">
        <x:v>10</x:v>
      </x:c>
      <x:c r="D578" s="3" t="n">
        <x:v>1</x:v>
      </x:c>
      <x:c r="E578" s="3" t="n">
        <x:v>2</x:v>
      </x:c>
      <x:c r="F578" s="3" t="n">
        <x:v>2</x:v>
      </x:c>
    </x:row>
    <x:row r="579" ht="21" customHeight="1">
      <x:c r="A579" s="3" t="n">
        <x:v>18</x:v>
      </x:c>
      <x:c r="B579" s="3" t="n">
        <x:v>6</x:v>
      </x:c>
      <x:c r="C579" s="3" t="n">
        <x:v>11</x:v>
      </x:c>
      <x:c r="D579" s="3" t="n">
        <x:v>2</x:v>
      </x:c>
      <x:c r="E579" s="3" t="n">
        <x:v>2</x:v>
      </x:c>
      <x:c r="F579" s="3" t="n">
        <x:v>1</x:v>
      </x:c>
    </x:row>
    <x:row r="580" ht="21" customHeight="1">
      <x:c r="A580" s="3" t="n">
        <x:v>18</x:v>
      </x:c>
      <x:c r="B580" s="3" t="n">
        <x:v>7</x:v>
      </x:c>
      <x:c r="C580" s="3" t="n">
        <x:v>12</x:v>
      </x:c>
      <x:c r="D580" s="3" t="n">
        <x:v>2</x:v>
      </x:c>
      <x:c r="E580" s="3" t="n">
        <x:v>2</x:v>
      </x:c>
      <x:c r="F580" s="3" t="n">
        <x:v>1</x:v>
      </x:c>
    </x:row>
    <x:row r="581" ht="21" customHeight="1">
      <x:c r="A581" s="3" t="n">
        <x:v>18</x:v>
      </x:c>
      <x:c r="B581" s="3" t="n">
        <x:v>8</x:v>
      </x:c>
      <x:c r="C581" s="3" t="n">
        <x:v>13</x:v>
      </x:c>
      <x:c r="D581" s="3" t="n">
        <x:v>2</x:v>
      </x:c>
      <x:c r="E581" s="3" t="n">
        <x:v>3</x:v>
      </x:c>
      <x:c r="F581" s="3" t="n">
        <x:v>2</x:v>
      </x:c>
    </x:row>
    <x:row r="582" ht="21" customHeight="1">
      <x:c r="A582" s="3" t="n">
        <x:v>18</x:v>
      </x:c>
      <x:c r="B582" s="3" t="n">
        <x:v>9</x:v>
      </x:c>
      <x:c r="C582" s="3" t="n">
        <x:v>14</x:v>
      </x:c>
      <x:c r="D582" s="3" t="n">
        <x:v>2</x:v>
      </x:c>
      <x:c r="E582" s="3" t="n">
        <x:v>3</x:v>
      </x:c>
      <x:c r="F582" s="3" t="n">
        <x:v>2</x:v>
      </x:c>
    </x:row>
    <x:row r="583" ht="21" customHeight="1">
      <x:c r="A583" s="3" t="n">
        <x:v>18</x:v>
      </x:c>
      <x:c r="B583" s="3" t="n">
        <x:v>10</x:v>
      </x:c>
      <x:c r="C583" s="3" t="n">
        <x:v>15</x:v>
      </x:c>
      <x:c r="D583" s="3" t="n">
        <x:v>2</x:v>
      </x:c>
      <x:c r="E583" s="3" t="n">
        <x:v>3</x:v>
      </x:c>
      <x:c r="F583" s="3" t="n">
        <x:v>2</x:v>
      </x:c>
    </x:row>
    <x:row r="584" ht="21" customHeight="1">
      <x:c r="A584" s="3" t="n">
        <x:v>18</x:v>
      </x:c>
      <x:c r="B584" s="3" t="n">
        <x:v>11</x:v>
      </x:c>
      <x:c r="C584" s="3" t="n">
        <x:v>16</x:v>
      </x:c>
      <x:c r="D584" s="3" t="n">
        <x:v>2</x:v>
      </x:c>
      <x:c r="E584" s="3" t="n">
        <x:v>3</x:v>
      </x:c>
      <x:c r="F584" s="3" t="n">
        <x:v>2</x:v>
      </x:c>
    </x:row>
    <x:row r="585" ht="21" customHeight="1">
      <x:c r="A585" s="3" t="n">
        <x:v>18</x:v>
      </x:c>
      <x:c r="B585" s="3" t="n">
        <x:v>12</x:v>
      </x:c>
      <x:c r="C585" s="3" t="n">
        <x:v>17</x:v>
      </x:c>
      <x:c r="D585" s="3" t="n">
        <x:v>3</x:v>
      </x:c>
      <x:c r="E585" s="3" t="n">
        <x:v>3</x:v>
      </x:c>
      <x:c r="F585" s="3" t="n">
        <x:v>1</x:v>
      </x:c>
    </x:row>
    <x:row r="586" ht="21" customHeight="1">
      <x:c r="A586" s="3" t="n">
        <x:v>18</x:v>
      </x:c>
      <x:c r="B586" s="3" t="n">
        <x:v>13</x:v>
      </x:c>
      <x:c r="C586" s="3" t="n">
        <x:v>18</x:v>
      </x:c>
      <x:c r="D586" s="3" t="n">
        <x:v>3</x:v>
      </x:c>
      <x:c r="E586" s="3" t="n">
        <x:v>3</x:v>
      </x:c>
      <x:c r="F586" s="3" t="n">
        <x:v>1</x:v>
      </x:c>
    </x:row>
    <x:row r="587" ht="21" customHeight="1">
      <x:c r="A587" s="3" t="n">
        <x:v>18</x:v>
      </x:c>
      <x:c r="B587" s="3" t="n">
        <x:v>14</x:v>
      </x:c>
      <x:c r="C587" s="3" t="n">
        <x:v>19</x:v>
      </x:c>
      <x:c r="D587" s="3" t="n">
        <x:v>3</x:v>
      </x:c>
      <x:c r="E587" s="3" t="n">
        <x:v>4</x:v>
      </x:c>
      <x:c r="F587" s="3" t="n">
        <x:v>2</x:v>
      </x:c>
    </x:row>
    <x:row r="588" ht="21" customHeight="1">
      <x:c r="A588" s="3" t="n">
        <x:v>18</x:v>
      </x:c>
      <x:c r="B588" s="3" t="n">
        <x:v>15</x:v>
      </x:c>
      <x:c r="C588" s="3" t="n">
        <x:v>20</x:v>
      </x:c>
      <x:c r="D588" s="3" t="n">
        <x:v>3</x:v>
      </x:c>
      <x:c r="E588" s="3" t="n">
        <x:v>4</x:v>
      </x:c>
      <x:c r="F588" s="3" t="n">
        <x:v>2</x:v>
      </x:c>
    </x:row>
    <x:row r="589" ht="21" customHeight="1">
      <x:c r="A589" s="3" t="n">
        <x:v>18</x:v>
      </x:c>
      <x:c r="B589" s="3" t="n">
        <x:v>16</x:v>
      </x:c>
      <x:c r="C589" s="3" t="n">
        <x:v>21</x:v>
      </x:c>
      <x:c r="D589" s="3" t="n">
        <x:v>3</x:v>
      </x:c>
      <x:c r="E589" s="3" t="n">
        <x:v>4</x:v>
      </x:c>
      <x:c r="F589" s="3" t="n">
        <x:v>2</x:v>
      </x:c>
    </x:row>
    <x:row r="590" ht="21" customHeight="1">
      <x:c r="A590" s="3" t="n">
        <x:v>18</x:v>
      </x:c>
      <x:c r="B590" s="3" t="n">
        <x:v>17</x:v>
      </x:c>
      <x:c r="C590" s="3" t="n">
        <x:v>22</x:v>
      </x:c>
      <x:c r="D590" s="3" t="n">
        <x:v>3</x:v>
      </x:c>
      <x:c r="E590" s="3" t="n">
        <x:v>4</x:v>
      </x:c>
      <x:c r="F590" s="3" t="n">
        <x:v>2</x:v>
      </x:c>
    </x:row>
    <x:row r="591" ht="21" customHeight="1">
      <x:c r="A591" s="3" t="n">
        <x:v>18</x:v>
      </x:c>
      <x:c r="B591" s="3" t="n">
        <x:v>18</x:v>
      </x:c>
      <x:c r="C591" s="3" t="n">
        <x:v>23</x:v>
      </x:c>
      <x:c r="D591" s="3" t="n">
        <x:v>4</x:v>
      </x:c>
      <x:c r="E591" s="3" t="n">
        <x:v>4</x:v>
      </x:c>
      <x:c r="F591" s="3" t="n">
        <x:v>1</x:v>
      </x:c>
    </x:row>
    <x:row r="592" ht="21" customHeight="1">
      <x:c r="A592" s="3" t="n">
        <x:v>18</x:v>
      </x:c>
      <x:c r="B592" s="3" t="n">
        <x:v>19</x:v>
      </x:c>
      <x:c r="C592" s="3" t="n">
        <x:v>24</x:v>
      </x:c>
      <x:c r="D592" s="3" t="n">
        <x:v>4</x:v>
      </x:c>
      <x:c r="E592" s="3" t="n">
        <x:v>4</x:v>
      </x:c>
      <x:c r="F592" s="3" t="n">
        <x:v>1</x:v>
      </x:c>
    </x:row>
    <x:row r="593" ht="21" customHeight="1">
      <x:c r="A593" s="3" t="n">
        <x:v>18</x:v>
      </x:c>
      <x:c r="B593" s="3" t="n">
        <x:v>20</x:v>
      </x:c>
      <x:c r="C593" s="3" t="n">
        <x:v>25</x:v>
      </x:c>
      <x:c r="D593" s="3" t="n">
        <x:v>4</x:v>
      </x:c>
      <x:c r="E593" s="3" t="n">
        <x:v>5</x:v>
      </x:c>
      <x:c r="F593" s="3" t="n">
        <x:v>2</x:v>
      </x:c>
    </x:row>
    <x:row r="594" ht="21" customHeight="1">
      <x:c r="A594" s="3" t="n">
        <x:v>18</x:v>
      </x:c>
      <x:c r="B594" s="3" t="n">
        <x:v>21</x:v>
      </x:c>
      <x:c r="C594" s="3" t="n">
        <x:v>26</x:v>
      </x:c>
      <x:c r="D594" s="3" t="n">
        <x:v>4</x:v>
      </x:c>
      <x:c r="E594" s="3" t="n">
        <x:v>5</x:v>
      </x:c>
      <x:c r="F594" s="3" t="n">
        <x:v>2</x:v>
      </x:c>
    </x:row>
    <x:row r="595" ht="21" customHeight="1">
      <x:c r="A595" s="3" t="n">
        <x:v>18</x:v>
      </x:c>
      <x:c r="B595" s="3" t="n">
        <x:v>22</x:v>
      </x:c>
      <x:c r="C595" s="3" t="n">
        <x:v>27</x:v>
      </x:c>
      <x:c r="D595" s="3" t="n">
        <x:v>4</x:v>
      </x:c>
      <x:c r="E595" s="3" t="n">
        <x:v>5</x:v>
      </x:c>
      <x:c r="F595" s="3" t="n">
        <x:v>2</x:v>
      </x:c>
    </x:row>
    <x:row r="596" ht="21" customHeight="1">
      <x:c r="A596" s="3" t="n">
        <x:v>18</x:v>
      </x:c>
      <x:c r="B596" s="3" t="n">
        <x:v>23</x:v>
      </x:c>
      <x:c r="C596" s="3" t="n">
        <x:v>28</x:v>
      </x:c>
      <x:c r="D596" s="3" t="n">
        <x:v>4</x:v>
      </x:c>
      <x:c r="E596" s="3" t="n">
        <x:v>5</x:v>
      </x:c>
      <x:c r="F596" s="3" t="n">
        <x:v>2</x:v>
      </x:c>
    </x:row>
    <x:row r="597" ht="21" customHeight="1">
      <x:c r="A597" s="3" t="n">
        <x:v>18</x:v>
      </x:c>
      <x:c r="B597" s="3" t="n">
        <x:v>24</x:v>
      </x:c>
      <x:c r="C597" s="3" t="n">
        <x:v>29</x:v>
      </x:c>
      <x:c r="D597" s="3" t="n">
        <x:v>5</x:v>
      </x:c>
      <x:c r="E597" s="3" t="n">
        <x:v>5</x:v>
      </x:c>
      <x:c r="F597" s="3" t="n">
        <x:v>1</x:v>
      </x:c>
    </x:row>
    <x:row r="598" ht="21" customHeight="1">
      <x:c r="A598" s="3" t="n">
        <x:v>18</x:v>
      </x:c>
      <x:c r="B598" s="3" t="n">
        <x:v>25</x:v>
      </x:c>
      <x:c r="C598" s="3" t="n">
        <x:v>30</x:v>
      </x:c>
      <x:c r="D598" s="3" t="n">
        <x:v>5</x:v>
      </x:c>
      <x:c r="E598" s="3" t="n">
        <x:v>5</x:v>
      </x:c>
      <x:c r="F598" s="3" t="n">
        <x:v>1</x:v>
      </x:c>
    </x:row>
    <x:row r="599" ht="21" customHeight="1">
      <x:c r="A599" s="3" t="n">
        <x:v>18</x:v>
      </x:c>
      <x:c r="B599" s="3" t="n">
        <x:v>26</x:v>
      </x:c>
      <x:c r="C599" s="3" t="n">
        <x:v>31</x:v>
      </x:c>
      <x:c r="D599" s="3" t="n">
        <x:v>5</x:v>
      </x:c>
      <x:c r="E599" s="3" t="n">
        <x:v>6</x:v>
      </x:c>
      <x:c r="F599" s="3" t="n">
        <x:v>2</x:v>
      </x:c>
    </x:row>
    <x:row r="600" ht="21" customHeight="1">
      <x:c r="A600" s="3" t="n">
        <x:v>18</x:v>
      </x:c>
      <x:c r="B600" s="3" t="n">
        <x:v>27</x:v>
      </x:c>
      <x:c r="C600" s="3" t="n">
        <x:v>32</x:v>
      </x:c>
      <x:c r="D600" s="3" t="n">
        <x:v>5</x:v>
      </x:c>
      <x:c r="E600" s="3" t="n">
        <x:v>6</x:v>
      </x:c>
      <x:c r="F600" s="3" t="n">
        <x:v>2</x:v>
      </x:c>
    </x:row>
    <x:row r="601" ht="21" customHeight="1">
      <x:c r="A601" s="3" t="n">
        <x:v>18</x:v>
      </x:c>
      <x:c r="B601" s="3" t="n">
        <x:v>28</x:v>
      </x:c>
      <x:c r="C601" s="3" t="n">
        <x:v>33</x:v>
      </x:c>
      <x:c r="D601" s="3" t="n">
        <x:v>5</x:v>
      </x:c>
      <x:c r="E601" s="3" t="n">
        <x:v>6</x:v>
      </x:c>
      <x:c r="F601" s="3" t="n">
        <x:v>2</x:v>
      </x:c>
    </x:row>
    <x:row r="602" ht="21" customHeight="1">
      <x:c r="A602" s="3" t="n">
        <x:v>18</x:v>
      </x:c>
      <x:c r="B602" s="3" t="n">
        <x:v>29</x:v>
      </x:c>
      <x:c r="C602" s="3" t="n">
        <x:v>34</x:v>
      </x:c>
      <x:c r="D602" s="3" t="n">
        <x:v>5</x:v>
      </x:c>
      <x:c r="E602" s="3" t="n">
        <x:v>6</x:v>
      </x:c>
      <x:c r="F602" s="3" t="n">
        <x:v>2</x:v>
      </x:c>
    </x:row>
    <x:row r="603" ht="21" customHeight="1">
      <x:c r="A603" s="3" t="n">
        <x:v>18</x:v>
      </x:c>
      <x:c r="B603" s="3" t="n">
        <x:v>30</x:v>
      </x:c>
      <x:c r="C603" s="3" t="n">
        <x:v>35</x:v>
      </x:c>
      <x:c r="D603" s="3" t="n">
        <x:v>6</x:v>
      </x:c>
      <x:c r="E603" s="3" t="n">
        <x:v>6</x:v>
      </x:c>
      <x:c r="F603" s="3" t="n">
        <x:v>1</x:v>
      </x:c>
    </x:row>
    <x:row r="604" ht="21" customHeight="1">
      <x:c r="A604" s="3" t="n">
        <x:v>18</x:v>
      </x:c>
      <x:c r="B604" s="3" t="n">
        <x:v>31</x:v>
      </x:c>
      <x:c r="C604" s="3" t="n">
        <x:v>36</x:v>
      </x:c>
      <x:c r="D604" s="3" t="n">
        <x:v>6</x:v>
      </x:c>
      <x:c r="E604" s="3" t="n">
        <x:v>6</x:v>
      </x:c>
      <x:c r="F604" s="3" t="n">
        <x:v>1</x:v>
      </x:c>
    </x:row>
    <x:row r="605" ht="21" customHeight="1">
      <x:c r="A605" s="3" t="n">
        <x:v>19</x:v>
      </x:c>
      <x:c r="B605" s="3" t="n">
        <x:v>0</x:v>
      </x:c>
      <x:c r="C605" s="3" t="n">
        <x:v>2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19</x:v>
      </x:c>
      <x:c r="B606" s="3" t="n">
        <x:v>1</x:v>
      </x:c>
      <x:c r="C606" s="3" t="n">
        <x:v>3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19</x:v>
      </x:c>
      <x:c r="B607" s="3" t="n">
        <x:v>2</x:v>
      </x:c>
      <x:c r="C607" s="3" t="n">
        <x:v>4</x:v>
      </x:c>
      <x:c r="D607" s="3" t="n">
        <x:v>1</x:v>
      </x:c>
      <x:c r="E607" s="3" t="n">
        <x:v>1</x:v>
      </x:c>
      <x:c r="F607" s="3" t="n">
        <x:v>1</x:v>
      </x:c>
    </x:row>
    <x:row r="608" ht="21" customHeight="1">
      <x:c r="A608" s="3" t="n">
        <x:v>19</x:v>
      </x:c>
      <x:c r="B608" s="3" t="n">
        <x:v>3</x:v>
      </x:c>
      <x:c r="C608" s="3" t="n">
        <x:v>5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19</x:v>
      </x:c>
      <x:c r="B609" s="3" t="n">
        <x:v>4</x:v>
      </x:c>
      <x:c r="C609" s="3" t="n">
        <x:v>6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19</x:v>
      </x:c>
      <x:c r="B610" s="3" t="n">
        <x:v>5</x:v>
      </x:c>
      <x:c r="C610" s="3" t="n">
        <x:v>7</x:v>
      </x:c>
      <x:c r="D610" s="3" t="n">
        <x:v>1</x:v>
      </x:c>
      <x:c r="E610" s="3" t="n">
        <x:v>2</x:v>
      </x:c>
      <x:c r="F610" s="3" t="n">
        <x:v>2</x:v>
      </x:c>
    </x:row>
    <x:row r="611" ht="21" customHeight="1">
      <x:c r="A611" s="3" t="n">
        <x:v>19</x:v>
      </x:c>
      <x:c r="B611" s="3" t="n">
        <x:v>6</x:v>
      </x:c>
      <x:c r="C611" s="3" t="n">
        <x:v>8</x:v>
      </x:c>
      <x:c r="D611" s="3" t="n">
        <x:v>2</x:v>
      </x:c>
      <x:c r="E611" s="3" t="n">
        <x:v>2</x:v>
      </x:c>
      <x:c r="F611" s="3" t="n">
        <x:v>1</x:v>
      </x:c>
    </x:row>
    <x:row r="612" ht="21" customHeight="1">
      <x:c r="A612" s="3" t="n">
        <x:v>19</x:v>
      </x:c>
      <x:c r="B612" s="3" t="n">
        <x:v>7</x:v>
      </x:c>
      <x:c r="C612" s="3" t="n">
        <x:v>9</x:v>
      </x:c>
      <x:c r="D612" s="3" t="n">
        <x:v>2</x:v>
      </x:c>
      <x:c r="E612" s="3" t="n">
        <x:v>2</x:v>
      </x:c>
      <x:c r="F612" s="3" t="n">
        <x:v>1</x:v>
      </x:c>
    </x:row>
    <x:row r="613" ht="21" customHeight="1">
      <x:c r="A613" s="3" t="n">
        <x:v>19</x:v>
      </x:c>
      <x:c r="B613" s="3" t="n">
        <x:v>8</x:v>
      </x:c>
      <x:c r="C613" s="3" t="n">
        <x:v>10</x:v>
      </x:c>
      <x:c r="D613" s="3" t="n">
        <x:v>2</x:v>
      </x:c>
      <x:c r="E613" s="3" t="n">
        <x:v>2</x:v>
      </x:c>
      <x:c r="F613" s="3" t="n">
        <x:v>1</x:v>
      </x:c>
    </x:row>
    <x:row r="614" ht="21" customHeight="1">
      <x:c r="A614" s="3" t="n">
        <x:v>19</x:v>
      </x:c>
      <x:c r="B614" s="3" t="n">
        <x:v>9</x:v>
      </x:c>
      <x:c r="C614" s="3" t="n">
        <x:v>11</x:v>
      </x:c>
      <x:c r="D614" s="3" t="n">
        <x:v>2</x:v>
      </x:c>
      <x:c r="E614" s="3" t="n">
        <x:v>2</x:v>
      </x:c>
      <x:c r="F614" s="3" t="n">
        <x:v>1</x:v>
      </x:c>
    </x:row>
    <x:row r="615" ht="21" customHeight="1">
      <x:c r="A615" s="3" t="n">
        <x:v>19</x:v>
      </x:c>
      <x:c r="B615" s="3" t="n">
        <x:v>10</x:v>
      </x:c>
      <x:c r="C615" s="3" t="n">
        <x:v>12</x:v>
      </x:c>
      <x:c r="D615" s="3" t="n">
        <x:v>2</x:v>
      </x:c>
      <x:c r="E615" s="3" t="n">
        <x:v>2</x:v>
      </x:c>
      <x:c r="F615" s="3" t="n">
        <x:v>1</x:v>
      </x:c>
    </x:row>
    <x:row r="616" ht="21" customHeight="1">
      <x:c r="A616" s="3" t="n">
        <x:v>19</x:v>
      </x:c>
      <x:c r="B616" s="3" t="n">
        <x:v>11</x:v>
      </x:c>
      <x:c r="C616" s="3" t="n">
        <x:v>13</x:v>
      </x:c>
      <x:c r="D616" s="3" t="n">
        <x:v>2</x:v>
      </x:c>
      <x:c r="E616" s="3" t="n">
        <x:v>3</x:v>
      </x:c>
      <x:c r="F616" s="3" t="n">
        <x:v>2</x:v>
      </x:c>
    </x:row>
    <x:row r="617" ht="21" customHeight="1">
      <x:c r="A617" s="3" t="n">
        <x:v>19</x:v>
      </x:c>
      <x:c r="B617" s="3" t="n">
        <x:v>12</x:v>
      </x:c>
      <x:c r="C617" s="3" t="n">
        <x:v>14</x:v>
      </x:c>
      <x:c r="D617" s="3" t="n">
        <x:v>3</x:v>
      </x:c>
      <x:c r="E617" s="3" t="n">
        <x:v>3</x:v>
      </x:c>
      <x:c r="F617" s="3" t="n">
        <x:v>1</x:v>
      </x:c>
    </x:row>
    <x:row r="618" ht="21" customHeight="1">
      <x:c r="A618" s="3" t="n">
        <x:v>19</x:v>
      </x:c>
      <x:c r="B618" s="3" t="n">
        <x:v>13</x:v>
      </x:c>
      <x:c r="C618" s="3" t="n">
        <x:v>15</x:v>
      </x:c>
      <x:c r="D618" s="3" t="n">
        <x:v>3</x:v>
      </x:c>
      <x:c r="E618" s="3" t="n">
        <x:v>3</x:v>
      </x:c>
      <x:c r="F618" s="3" t="n">
        <x:v>1</x:v>
      </x:c>
    </x:row>
    <x:row r="619" ht="21" customHeight="1">
      <x:c r="A619" s="3" t="n">
        <x:v>19</x:v>
      </x:c>
      <x:c r="B619" s="3" t="n">
        <x:v>14</x:v>
      </x:c>
      <x:c r="C619" s="3" t="n">
        <x:v>16</x:v>
      </x:c>
      <x:c r="D619" s="3" t="n">
        <x:v>3</x:v>
      </x:c>
      <x:c r="E619" s="3" t="n">
        <x:v>3</x:v>
      </x:c>
      <x:c r="F619" s="3" t="n">
        <x:v>1</x:v>
      </x:c>
    </x:row>
    <x:row r="620" ht="21" customHeight="1">
      <x:c r="A620" s="3" t="n">
        <x:v>19</x:v>
      </x:c>
      <x:c r="B620" s="3" t="n">
        <x:v>15</x:v>
      </x:c>
      <x:c r="C620" s="3" t="n">
        <x:v>17</x:v>
      </x:c>
      <x:c r="D620" s="3" t="n">
        <x:v>3</x:v>
      </x:c>
      <x:c r="E620" s="3" t="n">
        <x:v>3</x:v>
      </x:c>
      <x:c r="F620" s="3" t="n">
        <x:v>1</x:v>
      </x:c>
    </x:row>
    <x:row r="621" ht="21" customHeight="1">
      <x:c r="A621" s="3" t="n">
        <x:v>19</x:v>
      </x:c>
      <x:c r="B621" s="3" t="n">
        <x:v>16</x:v>
      </x:c>
      <x:c r="C621" s="3" t="n">
        <x:v>18</x:v>
      </x:c>
      <x:c r="D621" s="3" t="n">
        <x:v>3</x:v>
      </x:c>
      <x:c r="E621" s="3" t="n">
        <x:v>3</x:v>
      </x:c>
      <x:c r="F621" s="3" t="n">
        <x:v>1</x:v>
      </x:c>
    </x:row>
    <x:row r="622" ht="21" customHeight="1">
      <x:c r="A622" s="3" t="n">
        <x:v>19</x:v>
      </x:c>
      <x:c r="B622" s="3" t="n">
        <x:v>17</x:v>
      </x:c>
      <x:c r="C622" s="3" t="n">
        <x:v>19</x:v>
      </x:c>
      <x:c r="D622" s="3" t="n">
        <x:v>3</x:v>
      </x:c>
      <x:c r="E622" s="3" t="n">
        <x:v>4</x:v>
      </x:c>
      <x:c r="F622" s="3" t="n">
        <x:v>2</x:v>
      </x:c>
    </x:row>
    <x:row r="623" ht="21" customHeight="1">
      <x:c r="A623" s="3" t="n">
        <x:v>19</x:v>
      </x:c>
      <x:c r="B623" s="3" t="n">
        <x:v>18</x:v>
      </x:c>
      <x:c r="C623" s="3" t="n">
        <x:v>20</x:v>
      </x:c>
      <x:c r="D623" s="3" t="n">
        <x:v>4</x:v>
      </x:c>
      <x:c r="E623" s="3" t="n">
        <x:v>4</x:v>
      </x:c>
      <x:c r="F623" s="3" t="n">
        <x:v>1</x:v>
      </x:c>
    </x:row>
    <x:row r="624" ht="21" customHeight="1">
      <x:c r="A624" s="3" t="n">
        <x:v>19</x:v>
      </x:c>
      <x:c r="B624" s="3" t="n">
        <x:v>19</x:v>
      </x:c>
      <x:c r="C624" s="3" t="n">
        <x:v>21</x:v>
      </x:c>
      <x:c r="D624" s="3" t="n">
        <x:v>4</x:v>
      </x:c>
      <x:c r="E624" s="3" t="n">
        <x:v>4</x:v>
      </x:c>
      <x:c r="F624" s="3" t="n">
        <x:v>1</x:v>
      </x:c>
    </x:row>
    <x:row r="625" ht="21" customHeight="1">
      <x:c r="A625" s="3" t="n">
        <x:v>19</x:v>
      </x:c>
      <x:c r="B625" s="3" t="n">
        <x:v>20</x:v>
      </x:c>
      <x:c r="C625" s="3" t="n">
        <x:v>22</x:v>
      </x:c>
      <x:c r="D625" s="3" t="n">
        <x:v>4</x:v>
      </x:c>
      <x:c r="E625" s="3" t="n">
        <x:v>4</x:v>
      </x:c>
      <x:c r="F625" s="3" t="n">
        <x:v>1</x:v>
      </x:c>
    </x:row>
    <x:row r="626" ht="21" customHeight="1">
      <x:c r="A626" s="3" t="n">
        <x:v>19</x:v>
      </x:c>
      <x:c r="B626" s="3" t="n">
        <x:v>21</x:v>
      </x:c>
      <x:c r="C626" s="3" t="n">
        <x:v>23</x:v>
      </x:c>
      <x:c r="D626" s="3" t="n">
        <x:v>4</x:v>
      </x:c>
      <x:c r="E626" s="3" t="n">
        <x:v>4</x:v>
      </x:c>
      <x:c r="F626" s="3" t="n">
        <x:v>1</x:v>
      </x:c>
    </x:row>
    <x:row r="627" ht="21" customHeight="1">
      <x:c r="A627" s="3" t="n">
        <x:v>19</x:v>
      </x:c>
      <x:c r="B627" s="3" t="n">
        <x:v>22</x:v>
      </x:c>
      <x:c r="C627" s="3" t="n">
        <x:v>24</x:v>
      </x:c>
      <x:c r="D627" s="3" t="n">
        <x:v>4</x:v>
      </x:c>
      <x:c r="E627" s="3" t="n">
        <x:v>4</x:v>
      </x:c>
      <x:c r="F627" s="3" t="n">
        <x:v>1</x:v>
      </x:c>
    </x:row>
    <x:row r="628" ht="21" customHeight="1">
      <x:c r="A628" s="3" t="n">
        <x:v>19</x:v>
      </x:c>
      <x:c r="B628" s="3" t="n">
        <x:v>23</x:v>
      </x:c>
      <x:c r="C628" s="3" t="n">
        <x:v>25</x:v>
      </x:c>
      <x:c r="D628" s="3" t="n">
        <x:v>4</x:v>
      </x:c>
      <x:c r="E628" s="3" t="n">
        <x:v>5</x:v>
      </x:c>
      <x:c r="F628" s="3" t="n">
        <x:v>2</x:v>
      </x:c>
    </x:row>
    <x:row r="629" ht="21" customHeight="1">
      <x:c r="A629" s="3" t="n">
        <x:v>19</x:v>
      </x:c>
      <x:c r="B629" s="3" t="n">
        <x:v>24</x:v>
      </x:c>
      <x:c r="C629" s="3" t="n">
        <x:v>26</x:v>
      </x:c>
      <x:c r="D629" s="3" t="n">
        <x:v>5</x:v>
      </x:c>
      <x:c r="E629" s="3" t="n">
        <x:v>5</x:v>
      </x:c>
      <x:c r="F629" s="3" t="n">
        <x:v>1</x:v>
      </x:c>
    </x:row>
    <x:row r="630" ht="21" customHeight="1">
      <x:c r="A630" s="3" t="n">
        <x:v>19</x:v>
      </x:c>
      <x:c r="B630" s="3" t="n">
        <x:v>25</x:v>
      </x:c>
      <x:c r="C630" s="3" t="n">
        <x:v>27</x:v>
      </x:c>
      <x:c r="D630" s="3" t="n">
        <x:v>5</x:v>
      </x:c>
      <x:c r="E630" s="3" t="n">
        <x:v>5</x:v>
      </x:c>
      <x:c r="F630" s="3" t="n">
        <x:v>1</x:v>
      </x:c>
    </x:row>
    <x:row r="631" ht="21" customHeight="1">
      <x:c r="A631" s="3" t="n">
        <x:v>19</x:v>
      </x:c>
      <x:c r="B631" s="3" t="n">
        <x:v>26</x:v>
      </x:c>
      <x:c r="C631" s="3" t="n">
        <x:v>28</x:v>
      </x:c>
      <x:c r="D631" s="3" t="n">
        <x:v>5</x:v>
      </x:c>
      <x:c r="E631" s="3" t="n">
        <x:v>5</x:v>
      </x:c>
      <x:c r="F631" s="3" t="n">
        <x:v>1</x:v>
      </x:c>
    </x:row>
    <x:row r="632" ht="21" customHeight="1">
      <x:c r="A632" s="3" t="n">
        <x:v>19</x:v>
      </x:c>
      <x:c r="B632" s="3" t="n">
        <x:v>27</x:v>
      </x:c>
      <x:c r="C632" s="3" t="n">
        <x:v>29</x:v>
      </x:c>
      <x:c r="D632" s="3" t="n">
        <x:v>5</x:v>
      </x:c>
      <x:c r="E632" s="3" t="n">
        <x:v>5</x:v>
      </x:c>
      <x:c r="F632" s="3" t="n">
        <x:v>1</x:v>
      </x:c>
    </x:row>
    <x:row r="633" ht="21" customHeight="1">
      <x:c r="A633" s="3" t="n">
        <x:v>19</x:v>
      </x:c>
      <x:c r="B633" s="3" t="n">
        <x:v>28</x:v>
      </x:c>
      <x:c r="C633" s="3" t="n">
        <x:v>30</x:v>
      </x:c>
      <x:c r="D633" s="3" t="n">
        <x:v>5</x:v>
      </x:c>
      <x:c r="E633" s="3" t="n">
        <x:v>5</x:v>
      </x:c>
      <x:c r="F633" s="3" t="n">
        <x:v>1</x:v>
      </x:c>
    </x:row>
    <x:row r="634" ht="21" customHeight="1">
      <x:c r="A634" s="3" t="n">
        <x:v>19</x:v>
      </x:c>
      <x:c r="B634" s="3" t="n">
        <x:v>29</x:v>
      </x:c>
      <x:c r="C634" s="3" t="n">
        <x:v>31</x:v>
      </x:c>
      <x:c r="D634" s="3" t="n">
        <x:v>5</x:v>
      </x:c>
      <x:c r="E634" s="3" t="n">
        <x:v>6</x:v>
      </x:c>
      <x:c r="F634" s="3" t="n">
        <x:v>2</x:v>
      </x:c>
    </x:row>
    <x:row r="635" ht="21" customHeight="1">
      <x:c r="A635" s="3" t="n">
        <x:v>19</x:v>
      </x:c>
      <x:c r="B635" s="3" t="n">
        <x:v>30</x:v>
      </x:c>
      <x:c r="C635" s="3" t="n">
        <x:v>32</x:v>
      </x:c>
      <x:c r="D635" s="3" t="n">
        <x:v>6</x:v>
      </x:c>
      <x:c r="E635" s="3" t="n">
        <x:v>6</x:v>
      </x:c>
      <x:c r="F635" s="3" t="n">
        <x:v>1</x:v>
      </x:c>
    </x:row>
    <x:row r="636" ht="21" customHeight="1">
      <x:c r="A636" s="3" t="n">
        <x:v>19</x:v>
      </x:c>
      <x:c r="B636" s="3" t="n">
        <x:v>31</x:v>
      </x:c>
      <x:c r="C636" s="3" t="n">
        <x:v>33</x:v>
      </x:c>
      <x:c r="D636" s="3" t="n">
        <x:v>6</x:v>
      </x:c>
      <x:c r="E636" s="3" t="n">
        <x:v>6</x:v>
      </x:c>
      <x:c r="F636" s="3" t="n">
        <x:v>1</x:v>
      </x:c>
    </x:row>
    <x:row r="637" ht="21" customHeight="1">
      <x:c r="A637" s="3" t="n">
        <x:v>19</x:v>
      </x:c>
      <x:c r="B637" s="3" t="n">
        <x:v>32</x:v>
      </x:c>
      <x:c r="C637" s="3" t="n">
        <x:v>34</x:v>
      </x:c>
      <x:c r="D637" s="3" t="n">
        <x:v>6</x:v>
      </x:c>
      <x:c r="E637" s="3" t="n">
        <x:v>6</x:v>
      </x:c>
      <x:c r="F637" s="3" t="n">
        <x:v>1</x:v>
      </x:c>
    </x:row>
    <x:row r="638" ht="21" customHeight="1">
      <x:c r="A638" s="3" t="n">
        <x:v>19</x:v>
      </x:c>
      <x:c r="B638" s="3" t="n">
        <x:v>33</x:v>
      </x:c>
      <x:c r="C638" s="3" t="n">
        <x:v>35</x:v>
      </x:c>
      <x:c r="D638" s="3" t="n">
        <x:v>6</x:v>
      </x:c>
      <x:c r="E638" s="3" t="n">
        <x:v>6</x:v>
      </x:c>
      <x:c r="F638" s="3" t="n">
        <x:v>1</x:v>
      </x:c>
    </x:row>
    <x:row r="639" ht="21" customHeight="1">
      <x:c r="A639" s="3" t="n">
        <x:v>19</x:v>
      </x:c>
      <x:c r="B639" s="3" t="n">
        <x:v>34</x:v>
      </x:c>
      <x:c r="C639" s="3" t="n">
        <x:v>36</x:v>
      </x:c>
      <x:c r="D639" s="3" t="n">
        <x:v>6</x:v>
      </x:c>
      <x:c r="E639" s="3" t="n">
        <x:v>6</x:v>
      </x:c>
      <x:c r="F639" s="3" t="n">
        <x:v>1</x:v>
      </x:c>
    </x:row>
    <x:row r="640" ht="21" customHeight="1">
      <x:c r="A640" s="3" t="n">
        <x:v>20</x:v>
      </x:c>
      <x:c r="B640" s="3" t="n">
        <x:v>0</x:v>
      </x:c>
      <x:c r="C640" s="3" t="n">
        <x:v>2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20</x:v>
      </x:c>
      <x:c r="B641" s="3" t="n">
        <x:v>1</x:v>
      </x:c>
      <x:c r="C641" s="3" t="n">
        <x:v>3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20</x:v>
      </x:c>
      <x:c r="B642" s="3" t="n">
        <x:v>2</x:v>
      </x:c>
      <x:c r="C642" s="3" t="n">
        <x:v>4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20</x:v>
      </x:c>
      <x:c r="B643" s="3" t="n">
        <x:v>3</x:v>
      </x:c>
      <x:c r="C643" s="3" t="n">
        <x:v>5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20</x:v>
      </x:c>
      <x:c r="B644" s="3" t="n">
        <x:v>4</x:v>
      </x:c>
      <x:c r="C644" s="3" t="n">
        <x:v>6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20</x:v>
      </x:c>
      <x:c r="B645" s="3" t="n">
        <x:v>5</x:v>
      </x:c>
      <x:c r="C645" s="3" t="n">
        <x:v>7</x:v>
      </x:c>
      <x:c r="D645" s="3" t="n">
        <x:v>1</x:v>
      </x:c>
      <x:c r="E645" s="3" t="n">
        <x:v>2</x:v>
      </x:c>
      <x:c r="F645" s="3" t="n">
        <x:v>2</x:v>
      </x:c>
    </x:row>
    <x:row r="646" ht="21" customHeight="1">
      <x:c r="A646" s="3" t="n">
        <x:v>20</x:v>
      </x:c>
      <x:c r="B646" s="3" t="n">
        <x:v>6</x:v>
      </x:c>
      <x:c r="C646" s="3" t="n">
        <x:v>8</x:v>
      </x:c>
      <x:c r="D646" s="3" t="n">
        <x:v>2</x:v>
      </x:c>
      <x:c r="E646" s="3" t="n">
        <x:v>2</x:v>
      </x:c>
      <x:c r="F646" s="3" t="n">
        <x:v>1</x:v>
      </x:c>
    </x:row>
    <x:row r="647" ht="21" customHeight="1">
      <x:c r="A647" s="3" t="n">
        <x:v>20</x:v>
      </x:c>
      <x:c r="B647" s="3" t="n">
        <x:v>7</x:v>
      </x:c>
      <x:c r="C647" s="3" t="n">
        <x:v>9</x:v>
      </x:c>
      <x:c r="D647" s="3" t="n">
        <x:v>2</x:v>
      </x:c>
      <x:c r="E647" s="3" t="n">
        <x:v>2</x:v>
      </x:c>
      <x:c r="F647" s="3" t="n">
        <x:v>1</x:v>
      </x:c>
    </x:row>
    <x:row r="648" ht="21" customHeight="1">
      <x:c r="A648" s="3" t="n">
        <x:v>20</x:v>
      </x:c>
      <x:c r="B648" s="3" t="n">
        <x:v>8</x:v>
      </x:c>
      <x:c r="C648" s="3" t="n">
        <x:v>10</x:v>
      </x:c>
      <x:c r="D648" s="3" t="n">
        <x:v>2</x:v>
      </x:c>
      <x:c r="E648" s="3" t="n">
        <x:v>2</x:v>
      </x:c>
      <x:c r="F648" s="3" t="n">
        <x:v>1</x:v>
      </x:c>
    </x:row>
    <x:row r="649" ht="21" customHeight="1">
      <x:c r="A649" s="3" t="n">
        <x:v>20</x:v>
      </x:c>
      <x:c r="B649" s="3" t="n">
        <x:v>9</x:v>
      </x:c>
      <x:c r="C649" s="3" t="n">
        <x:v>11</x:v>
      </x:c>
      <x:c r="D649" s="3" t="n">
        <x:v>2</x:v>
      </x:c>
      <x:c r="E649" s="3" t="n">
        <x:v>2</x:v>
      </x:c>
      <x:c r="F649" s="3" t="n">
        <x:v>1</x:v>
      </x:c>
    </x:row>
    <x:row r="650" ht="21" customHeight="1">
      <x:c r="A650" s="3" t="n">
        <x:v>20</x:v>
      </x:c>
      <x:c r="B650" s="3" t="n">
        <x:v>10</x:v>
      </x:c>
      <x:c r="C650" s="3" t="n">
        <x:v>12</x:v>
      </x:c>
      <x:c r="D650" s="3" t="n">
        <x:v>2</x:v>
      </x:c>
      <x:c r="E650" s="3" t="n">
        <x:v>2</x:v>
      </x:c>
      <x:c r="F650" s="3" t="n">
        <x:v>1</x:v>
      </x:c>
    </x:row>
    <x:row r="651" ht="21" customHeight="1">
      <x:c r="A651" s="3" t="n">
        <x:v>20</x:v>
      </x:c>
      <x:c r="B651" s="3" t="n">
        <x:v>11</x:v>
      </x:c>
      <x:c r="C651" s="3" t="n">
        <x:v>13</x:v>
      </x:c>
      <x:c r="D651" s="3" t="n">
        <x:v>2</x:v>
      </x:c>
      <x:c r="E651" s="3" t="n">
        <x:v>3</x:v>
      </x:c>
      <x:c r="F651" s="3" t="n">
        <x:v>2</x:v>
      </x:c>
    </x:row>
    <x:row r="652" ht="21" customHeight="1">
      <x:c r="A652" s="3" t="n">
        <x:v>20</x:v>
      </x:c>
      <x:c r="B652" s="3" t="n">
        <x:v>12</x:v>
      </x:c>
      <x:c r="C652" s="3" t="n">
        <x:v>14</x:v>
      </x:c>
      <x:c r="D652" s="3" t="n">
        <x:v>3</x:v>
      </x:c>
      <x:c r="E652" s="3" t="n">
        <x:v>3</x:v>
      </x:c>
      <x:c r="F652" s="3" t="n">
        <x:v>1</x:v>
      </x:c>
    </x:row>
    <x:row r="653" ht="21" customHeight="1">
      <x:c r="A653" s="3" t="n">
        <x:v>20</x:v>
      </x:c>
      <x:c r="B653" s="3" t="n">
        <x:v>13</x:v>
      </x:c>
      <x:c r="C653" s="3" t="n">
        <x:v>15</x:v>
      </x:c>
      <x:c r="D653" s="3" t="n">
        <x:v>3</x:v>
      </x:c>
      <x:c r="E653" s="3" t="n">
        <x:v>3</x:v>
      </x:c>
      <x:c r="F653" s="3" t="n">
        <x:v>1</x:v>
      </x:c>
    </x:row>
    <x:row r="654" ht="21" customHeight="1">
      <x:c r="A654" s="3" t="n">
        <x:v>20</x:v>
      </x:c>
      <x:c r="B654" s="3" t="n">
        <x:v>14</x:v>
      </x:c>
      <x:c r="C654" s="3" t="n">
        <x:v>16</x:v>
      </x:c>
      <x:c r="D654" s="3" t="n">
        <x:v>3</x:v>
      </x:c>
      <x:c r="E654" s="3" t="n">
        <x:v>3</x:v>
      </x:c>
      <x:c r="F654" s="3" t="n">
        <x:v>1</x:v>
      </x:c>
    </x:row>
    <x:row r="655" ht="21" customHeight="1">
      <x:c r="A655" s="3" t="n">
        <x:v>20</x:v>
      </x:c>
      <x:c r="B655" s="3" t="n">
        <x:v>15</x:v>
      </x:c>
      <x:c r="C655" s="3" t="n">
        <x:v>17</x:v>
      </x:c>
      <x:c r="D655" s="3" t="n">
        <x:v>3</x:v>
      </x:c>
      <x:c r="E655" s="3" t="n">
        <x:v>3</x:v>
      </x:c>
      <x:c r="F655" s="3" t="n">
        <x:v>1</x:v>
      </x:c>
    </x:row>
    <x:row r="656" ht="21" customHeight="1">
      <x:c r="A656" s="3" t="n">
        <x:v>20</x:v>
      </x:c>
      <x:c r="B656" s="3" t="n">
        <x:v>16</x:v>
      </x:c>
      <x:c r="C656" s="3" t="n">
        <x:v>18</x:v>
      </x:c>
      <x:c r="D656" s="3" t="n">
        <x:v>3</x:v>
      </x:c>
      <x:c r="E656" s="3" t="n">
        <x:v>3</x:v>
      </x:c>
      <x:c r="F656" s="3" t="n">
        <x:v>1</x:v>
      </x:c>
    </x:row>
    <x:row r="657" ht="21" customHeight="1">
      <x:c r="A657" s="3" t="n">
        <x:v>20</x:v>
      </x:c>
      <x:c r="B657" s="3" t="n">
        <x:v>17</x:v>
      </x:c>
      <x:c r="C657" s="3" t="n">
        <x:v>19</x:v>
      </x:c>
      <x:c r="D657" s="3" t="n">
        <x:v>3</x:v>
      </x:c>
      <x:c r="E657" s="3" t="n">
        <x:v>4</x:v>
      </x:c>
      <x:c r="F657" s="3" t="n">
        <x:v>2</x:v>
      </x:c>
    </x:row>
    <x:row r="658" ht="21" customHeight="1">
      <x:c r="A658" s="3" t="n">
        <x:v>20</x:v>
      </x:c>
      <x:c r="B658" s="3" t="n">
        <x:v>18</x:v>
      </x:c>
      <x:c r="C658" s="3" t="n">
        <x:v>20</x:v>
      </x:c>
      <x:c r="D658" s="3" t="n">
        <x:v>4</x:v>
      </x:c>
      <x:c r="E658" s="3" t="n">
        <x:v>4</x:v>
      </x:c>
      <x:c r="F658" s="3" t="n">
        <x:v>1</x:v>
      </x:c>
    </x:row>
    <x:row r="659" ht="21" customHeight="1">
      <x:c r="A659" s="3" t="n">
        <x:v>20</x:v>
      </x:c>
      <x:c r="B659" s="3" t="n">
        <x:v>19</x:v>
      </x:c>
      <x:c r="C659" s="3" t="n">
        <x:v>21</x:v>
      </x:c>
      <x:c r="D659" s="3" t="n">
        <x:v>4</x:v>
      </x:c>
      <x:c r="E659" s="3" t="n">
        <x:v>4</x:v>
      </x:c>
      <x:c r="F659" s="3" t="n">
        <x:v>1</x:v>
      </x:c>
    </x:row>
    <x:row r="660" ht="21" customHeight="1">
      <x:c r="A660" s="3" t="n">
        <x:v>20</x:v>
      </x:c>
      <x:c r="B660" s="3" t="n">
        <x:v>20</x:v>
      </x:c>
      <x:c r="C660" s="3" t="n">
        <x:v>22</x:v>
      </x:c>
      <x:c r="D660" s="3" t="n">
        <x:v>4</x:v>
      </x:c>
      <x:c r="E660" s="3" t="n">
        <x:v>4</x:v>
      </x:c>
      <x:c r="F660" s="3" t="n">
        <x:v>1</x:v>
      </x:c>
    </x:row>
    <x:row r="661" ht="21" customHeight="1">
      <x:c r="A661" s="3" t="n">
        <x:v>20</x:v>
      </x:c>
      <x:c r="B661" s="3" t="n">
        <x:v>21</x:v>
      </x:c>
      <x:c r="C661" s="3" t="n">
        <x:v>23</x:v>
      </x:c>
      <x:c r="D661" s="3" t="n">
        <x:v>4</x:v>
      </x:c>
      <x:c r="E661" s="3" t="n">
        <x:v>4</x:v>
      </x:c>
      <x:c r="F661" s="3" t="n">
        <x:v>1</x:v>
      </x:c>
    </x:row>
    <x:row r="662" ht="21" customHeight="1">
      <x:c r="A662" s="3" t="n">
        <x:v>20</x:v>
      </x:c>
      <x:c r="B662" s="3" t="n">
        <x:v>22</x:v>
      </x:c>
      <x:c r="C662" s="3" t="n">
        <x:v>24</x:v>
      </x:c>
      <x:c r="D662" s="3" t="n">
        <x:v>4</x:v>
      </x:c>
      <x:c r="E662" s="3" t="n">
        <x:v>4</x:v>
      </x:c>
      <x:c r="F662" s="3" t="n">
        <x:v>1</x:v>
      </x:c>
    </x:row>
    <x:row r="663" ht="21" customHeight="1">
      <x:c r="A663" s="3" t="n">
        <x:v>20</x:v>
      </x:c>
      <x:c r="B663" s="3" t="n">
        <x:v>23</x:v>
      </x:c>
      <x:c r="C663" s="3" t="n">
        <x:v>25</x:v>
      </x:c>
      <x:c r="D663" s="3" t="n">
        <x:v>4</x:v>
      </x:c>
      <x:c r="E663" s="3" t="n">
        <x:v>5</x:v>
      </x:c>
      <x:c r="F663" s="3" t="n">
        <x:v>2</x:v>
      </x:c>
    </x:row>
    <x:row r="664" ht="21" customHeight="1">
      <x:c r="A664" s="3" t="n">
        <x:v>20</x:v>
      </x:c>
      <x:c r="B664" s="3" t="n">
        <x:v>24</x:v>
      </x:c>
      <x:c r="C664" s="3" t="n">
        <x:v>26</x:v>
      </x:c>
      <x:c r="D664" s="3" t="n">
        <x:v>5</x:v>
      </x:c>
      <x:c r="E664" s="3" t="n">
        <x:v>5</x:v>
      </x:c>
      <x:c r="F664" s="3" t="n">
        <x:v>1</x:v>
      </x:c>
    </x:row>
    <x:row r="665" ht="21" customHeight="1">
      <x:c r="A665" s="3" t="n">
        <x:v>20</x:v>
      </x:c>
      <x:c r="B665" s="3" t="n">
        <x:v>25</x:v>
      </x:c>
      <x:c r="C665" s="3" t="n">
        <x:v>27</x:v>
      </x:c>
      <x:c r="D665" s="3" t="n">
        <x:v>5</x:v>
      </x:c>
      <x:c r="E665" s="3" t="n">
        <x:v>5</x:v>
      </x:c>
      <x:c r="F665" s="3" t="n">
        <x:v>1</x:v>
      </x:c>
    </x:row>
    <x:row r="666" ht="21" customHeight="1">
      <x:c r="A666" s="3" t="n">
        <x:v>20</x:v>
      </x:c>
      <x:c r="B666" s="3" t="n">
        <x:v>26</x:v>
      </x:c>
      <x:c r="C666" s="3" t="n">
        <x:v>28</x:v>
      </x:c>
      <x:c r="D666" s="3" t="n">
        <x:v>5</x:v>
      </x:c>
      <x:c r="E666" s="3" t="n">
        <x:v>5</x:v>
      </x:c>
      <x:c r="F666" s="3" t="n">
        <x:v>1</x:v>
      </x:c>
    </x:row>
    <x:row r="667" ht="21" customHeight="1">
      <x:c r="A667" s="3" t="n">
        <x:v>20</x:v>
      </x:c>
      <x:c r="B667" s="3" t="n">
        <x:v>27</x:v>
      </x:c>
      <x:c r="C667" s="3" t="n">
        <x:v>29</x:v>
      </x:c>
      <x:c r="D667" s="3" t="n">
        <x:v>5</x:v>
      </x:c>
      <x:c r="E667" s="3" t="n">
        <x:v>5</x:v>
      </x:c>
      <x:c r="F667" s="3" t="n">
        <x:v>1</x:v>
      </x:c>
    </x:row>
    <x:row r="668" ht="21" customHeight="1">
      <x:c r="A668" s="3" t="n">
        <x:v>20</x:v>
      </x:c>
      <x:c r="B668" s="3" t="n">
        <x:v>28</x:v>
      </x:c>
      <x:c r="C668" s="3" t="n">
        <x:v>30</x:v>
      </x:c>
      <x:c r="D668" s="3" t="n">
        <x:v>5</x:v>
      </x:c>
      <x:c r="E668" s="3" t="n">
        <x:v>5</x:v>
      </x:c>
      <x:c r="F668" s="3" t="n">
        <x:v>1</x:v>
      </x:c>
    </x:row>
    <x:row r="669" ht="21" customHeight="1">
      <x:c r="A669" s="3" t="n">
        <x:v>20</x:v>
      </x:c>
      <x:c r="B669" s="3" t="n">
        <x:v>29</x:v>
      </x:c>
      <x:c r="C669" s="3" t="n">
        <x:v>31</x:v>
      </x:c>
      <x:c r="D669" s="3" t="n">
        <x:v>5</x:v>
      </x:c>
      <x:c r="E669" s="3" t="n">
        <x:v>6</x:v>
      </x:c>
      <x:c r="F669" s="3" t="n">
        <x:v>2</x:v>
      </x:c>
    </x:row>
    <x:row r="670" ht="21" customHeight="1">
      <x:c r="A670" s="3" t="n">
        <x:v>20</x:v>
      </x:c>
      <x:c r="B670" s="3" t="n">
        <x:v>30</x:v>
      </x:c>
      <x:c r="C670" s="3" t="n">
        <x:v>32</x:v>
      </x:c>
      <x:c r="D670" s="3" t="n">
        <x:v>6</x:v>
      </x:c>
      <x:c r="E670" s="3" t="n">
        <x:v>6</x:v>
      </x:c>
      <x:c r="F670" s="3" t="n">
        <x:v>1</x:v>
      </x:c>
    </x:row>
    <x:row r="671" ht="21" customHeight="1">
      <x:c r="A671" s="3" t="n">
        <x:v>20</x:v>
      </x:c>
      <x:c r="B671" s="3" t="n">
        <x:v>31</x:v>
      </x:c>
      <x:c r="C671" s="3" t="n">
        <x:v>33</x:v>
      </x:c>
      <x:c r="D671" s="3" t="n">
        <x:v>6</x:v>
      </x:c>
      <x:c r="E671" s="3" t="n">
        <x:v>6</x:v>
      </x:c>
      <x:c r="F671" s="3" t="n">
        <x:v>1</x:v>
      </x:c>
    </x:row>
    <x:row r="672" ht="21" customHeight="1">
      <x:c r="A672" s="3" t="n">
        <x:v>20</x:v>
      </x:c>
      <x:c r="B672" s="3" t="n">
        <x:v>32</x:v>
      </x:c>
      <x:c r="C672" s="3" t="n">
        <x:v>34</x:v>
      </x:c>
      <x:c r="D672" s="3" t="n">
        <x:v>6</x:v>
      </x:c>
      <x:c r="E672" s="3" t="n">
        <x:v>6</x:v>
      </x:c>
      <x:c r="F672" s="3" t="n">
        <x:v>1</x:v>
      </x:c>
    </x:row>
    <x:row r="673" ht="21" customHeight="1">
      <x:c r="A673" s="3" t="n">
        <x:v>20</x:v>
      </x:c>
      <x:c r="B673" s="3" t="n">
        <x:v>33</x:v>
      </x:c>
      <x:c r="C673" s="3" t="n">
        <x:v>35</x:v>
      </x:c>
      <x:c r="D673" s="3" t="n">
        <x:v>6</x:v>
      </x:c>
      <x:c r="E673" s="3" t="n">
        <x:v>6</x:v>
      </x:c>
      <x:c r="F673" s="3" t="n">
        <x:v>1</x:v>
      </x:c>
    </x:row>
    <x:row r="674" ht="21" customHeight="1">
      <x:c r="A674" s="3" t="n">
        <x:v>20</x:v>
      </x:c>
      <x:c r="B674" s="3" t="n">
        <x:v>34</x:v>
      </x:c>
      <x:c r="C674" s="3" t="n">
        <x:v>36</x:v>
      </x:c>
      <x:c r="D674" s="3" t="n">
        <x:v>6</x:v>
      </x:c>
      <x:c r="E674" s="3" t="n">
        <x:v>6</x:v>
      </x:c>
      <x:c r="F674" s="3" t="n">
        <x:v>1</x:v>
      </x:c>
    </x:row>
    <x:row r="675" ht="21" customHeight="1">
      <x:c r="A675" s="3" t="n">
        <x:v>21</x:v>
      </x:c>
      <x:c r="B675" s="3" t="n">
        <x:v>0</x:v>
      </x:c>
      <x:c r="C675" s="3" t="n">
        <x:v>2</x:v>
      </x:c>
      <x:c r="D675" s="3" t="n">
        <x:v>1</x:v>
      </x:c>
      <x:c r="E675" s="3" t="n">
        <x:v>1</x:v>
      </x:c>
      <x:c r="F675" s="3" t="n">
        <x:v>1</x:v>
      </x:c>
    </x:row>
    <x:row r="676" ht="21" customHeight="1">
      <x:c r="A676" s="3" t="n">
        <x:v>21</x:v>
      </x:c>
      <x:c r="B676" s="3" t="n">
        <x:v>1</x:v>
      </x:c>
      <x:c r="C676" s="3" t="n">
        <x:v>3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21</x:v>
      </x:c>
      <x:c r="B677" s="3" t="n">
        <x:v>2</x:v>
      </x:c>
      <x:c r="C677" s="3" t="n">
        <x:v>4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21</x:v>
      </x:c>
      <x:c r="B678" s="3" t="n">
        <x:v>3</x:v>
      </x:c>
      <x:c r="C678" s="3" t="n">
        <x:v>5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21</x:v>
      </x:c>
      <x:c r="B679" s="3" t="n">
        <x:v>4</x:v>
      </x:c>
      <x:c r="C679" s="3" t="n">
        <x:v>6</x:v>
      </x:c>
      <x:c r="D679" s="3" t="n">
        <x:v>1</x:v>
      </x:c>
      <x:c r="E679" s="3" t="n">
        <x:v>1</x:v>
      </x:c>
      <x:c r="F679" s="3" t="n">
        <x:v>1</x:v>
      </x:c>
    </x:row>
    <x:row r="680" ht="21" customHeight="1">
      <x:c r="A680" s="3" t="n">
        <x:v>21</x:v>
      </x:c>
      <x:c r="B680" s="3" t="n">
        <x:v>5</x:v>
      </x:c>
      <x:c r="C680" s="3" t="n">
        <x:v>7</x:v>
      </x:c>
      <x:c r="D680" s="3" t="n">
        <x:v>1</x:v>
      </x:c>
      <x:c r="E680" s="3" t="n">
        <x:v>2</x:v>
      </x:c>
      <x:c r="F680" s="3" t="n">
        <x:v>2</x:v>
      </x:c>
    </x:row>
    <x:row r="681" ht="21" customHeight="1">
      <x:c r="A681" s="3" t="n">
        <x:v>21</x:v>
      </x:c>
      <x:c r="B681" s="3" t="n">
        <x:v>6</x:v>
      </x:c>
      <x:c r="C681" s="3" t="n">
        <x:v>8</x:v>
      </x:c>
      <x:c r="D681" s="3" t="n">
        <x:v>2</x:v>
      </x:c>
      <x:c r="E681" s="3" t="n">
        <x:v>2</x:v>
      </x:c>
      <x:c r="F681" s="3" t="n">
        <x:v>1</x:v>
      </x:c>
    </x:row>
    <x:row r="682" ht="21" customHeight="1">
      <x:c r="A682" s="3" t="n">
        <x:v>21</x:v>
      </x:c>
      <x:c r="B682" s="3" t="n">
        <x:v>7</x:v>
      </x:c>
      <x:c r="C682" s="3" t="n">
        <x:v>9</x:v>
      </x:c>
      <x:c r="D682" s="3" t="n">
        <x:v>2</x:v>
      </x:c>
      <x:c r="E682" s="3" t="n">
        <x:v>2</x:v>
      </x:c>
      <x:c r="F682" s="3" t="n">
        <x:v>1</x:v>
      </x:c>
    </x:row>
    <x:row r="683" ht="21" customHeight="1">
      <x:c r="A683" s="3" t="n">
        <x:v>21</x:v>
      </x:c>
      <x:c r="B683" s="3" t="n">
        <x:v>8</x:v>
      </x:c>
      <x:c r="C683" s="3" t="n">
        <x:v>10</x:v>
      </x:c>
      <x:c r="D683" s="3" t="n">
        <x:v>2</x:v>
      </x:c>
      <x:c r="E683" s="3" t="n">
        <x:v>2</x:v>
      </x:c>
      <x:c r="F683" s="3" t="n">
        <x:v>1</x:v>
      </x:c>
    </x:row>
    <x:row r="684" ht="21" customHeight="1">
      <x:c r="A684" s="3" t="n">
        <x:v>21</x:v>
      </x:c>
      <x:c r="B684" s="3" t="n">
        <x:v>9</x:v>
      </x:c>
      <x:c r="C684" s="3" t="n">
        <x:v>11</x:v>
      </x:c>
      <x:c r="D684" s="3" t="n">
        <x:v>2</x:v>
      </x:c>
      <x:c r="E684" s="3" t="n">
        <x:v>2</x:v>
      </x:c>
      <x:c r="F684" s="3" t="n">
        <x:v>1</x:v>
      </x:c>
    </x:row>
    <x:row r="685" ht="21" customHeight="1">
      <x:c r="A685" s="3" t="n">
        <x:v>21</x:v>
      </x:c>
      <x:c r="B685" s="3" t="n">
        <x:v>10</x:v>
      </x:c>
      <x:c r="C685" s="3" t="n">
        <x:v>12</x:v>
      </x:c>
      <x:c r="D685" s="3" t="n">
        <x:v>2</x:v>
      </x:c>
      <x:c r="E685" s="3" t="n">
        <x:v>2</x:v>
      </x:c>
      <x:c r="F685" s="3" t="n">
        <x:v>1</x:v>
      </x:c>
    </x:row>
    <x:row r="686" ht="21" customHeight="1">
      <x:c r="A686" s="3" t="n">
        <x:v>21</x:v>
      </x:c>
      <x:c r="B686" s="3" t="n">
        <x:v>11</x:v>
      </x:c>
      <x:c r="C686" s="3" t="n">
        <x:v>13</x:v>
      </x:c>
      <x:c r="D686" s="3" t="n">
        <x:v>2</x:v>
      </x:c>
      <x:c r="E686" s="3" t="n">
        <x:v>3</x:v>
      </x:c>
      <x:c r="F686" s="3" t="n">
        <x:v>2</x:v>
      </x:c>
    </x:row>
    <x:row r="687" ht="21" customHeight="1">
      <x:c r="A687" s="3" t="n">
        <x:v>21</x:v>
      </x:c>
      <x:c r="B687" s="3" t="n">
        <x:v>12</x:v>
      </x:c>
      <x:c r="C687" s="3" t="n">
        <x:v>14</x:v>
      </x:c>
      <x:c r="D687" s="3" t="n">
        <x:v>3</x:v>
      </x:c>
      <x:c r="E687" s="3" t="n">
        <x:v>3</x:v>
      </x:c>
      <x:c r="F687" s="3" t="n">
        <x:v>1</x:v>
      </x:c>
    </x:row>
    <x:row r="688" ht="21" customHeight="1">
      <x:c r="A688" s="3" t="n">
        <x:v>21</x:v>
      </x:c>
      <x:c r="B688" s="3" t="n">
        <x:v>13</x:v>
      </x:c>
      <x:c r="C688" s="3" t="n">
        <x:v>15</x:v>
      </x:c>
      <x:c r="D688" s="3" t="n">
        <x:v>3</x:v>
      </x:c>
      <x:c r="E688" s="3" t="n">
        <x:v>3</x:v>
      </x:c>
      <x:c r="F688" s="3" t="n">
        <x:v>1</x:v>
      </x:c>
    </x:row>
    <x:row r="689" ht="21" customHeight="1">
      <x:c r="A689" s="3" t="n">
        <x:v>21</x:v>
      </x:c>
      <x:c r="B689" s="3" t="n">
        <x:v>14</x:v>
      </x:c>
      <x:c r="C689" s="3" t="n">
        <x:v>16</x:v>
      </x:c>
      <x:c r="D689" s="3" t="n">
        <x:v>3</x:v>
      </x:c>
      <x:c r="E689" s="3" t="n">
        <x:v>3</x:v>
      </x:c>
      <x:c r="F689" s="3" t="n">
        <x:v>1</x:v>
      </x:c>
    </x:row>
    <x:row r="690" ht="21" customHeight="1">
      <x:c r="A690" s="3" t="n">
        <x:v>21</x:v>
      </x:c>
      <x:c r="B690" s="3" t="n">
        <x:v>15</x:v>
      </x:c>
      <x:c r="C690" s="3" t="n">
        <x:v>17</x:v>
      </x:c>
      <x:c r="D690" s="3" t="n">
        <x:v>3</x:v>
      </x:c>
      <x:c r="E690" s="3" t="n">
        <x:v>3</x:v>
      </x:c>
      <x:c r="F690" s="3" t="n">
        <x:v>1</x:v>
      </x:c>
    </x:row>
    <x:row r="691" ht="21" customHeight="1">
      <x:c r="A691" s="3" t="n">
        <x:v>21</x:v>
      </x:c>
      <x:c r="B691" s="3" t="n">
        <x:v>16</x:v>
      </x:c>
      <x:c r="C691" s="3" t="n">
        <x:v>18</x:v>
      </x:c>
      <x:c r="D691" s="3" t="n">
        <x:v>3</x:v>
      </x:c>
      <x:c r="E691" s="3" t="n">
        <x:v>3</x:v>
      </x:c>
      <x:c r="F691" s="3" t="n">
        <x:v>1</x:v>
      </x:c>
    </x:row>
    <x:row r="692" ht="21" customHeight="1">
      <x:c r="A692" s="3" t="n">
        <x:v>21</x:v>
      </x:c>
      <x:c r="B692" s="3" t="n">
        <x:v>17</x:v>
      </x:c>
      <x:c r="C692" s="3" t="n">
        <x:v>19</x:v>
      </x:c>
      <x:c r="D692" s="3" t="n">
        <x:v>3</x:v>
      </x:c>
      <x:c r="E692" s="3" t="n">
        <x:v>4</x:v>
      </x:c>
      <x:c r="F692" s="3" t="n">
        <x:v>2</x:v>
      </x:c>
    </x:row>
    <x:row r="693" ht="21" customHeight="1">
      <x:c r="A693" s="3" t="n">
        <x:v>21</x:v>
      </x:c>
      <x:c r="B693" s="3" t="n">
        <x:v>18</x:v>
      </x:c>
      <x:c r="C693" s="3" t="n">
        <x:v>20</x:v>
      </x:c>
      <x:c r="D693" s="3" t="n">
        <x:v>4</x:v>
      </x:c>
      <x:c r="E693" s="3" t="n">
        <x:v>4</x:v>
      </x:c>
      <x:c r="F693" s="3" t="n">
        <x:v>1</x:v>
      </x:c>
    </x:row>
    <x:row r="694" ht="21" customHeight="1">
      <x:c r="A694" s="3" t="n">
        <x:v>21</x:v>
      </x:c>
      <x:c r="B694" s="3" t="n">
        <x:v>19</x:v>
      </x:c>
      <x:c r="C694" s="3" t="n">
        <x:v>21</x:v>
      </x:c>
      <x:c r="D694" s="3" t="n">
        <x:v>4</x:v>
      </x:c>
      <x:c r="E694" s="3" t="n">
        <x:v>4</x:v>
      </x:c>
      <x:c r="F694" s="3" t="n">
        <x:v>1</x:v>
      </x:c>
    </x:row>
    <x:row r="695" ht="21" customHeight="1">
      <x:c r="A695" s="3" t="n">
        <x:v>21</x:v>
      </x:c>
      <x:c r="B695" s="3" t="n">
        <x:v>20</x:v>
      </x:c>
      <x:c r="C695" s="3" t="n">
        <x:v>22</x:v>
      </x:c>
      <x:c r="D695" s="3" t="n">
        <x:v>4</x:v>
      </x:c>
      <x:c r="E695" s="3" t="n">
        <x:v>4</x:v>
      </x:c>
      <x:c r="F695" s="3" t="n">
        <x:v>1</x:v>
      </x:c>
    </x:row>
    <x:row r="696" ht="21" customHeight="1">
      <x:c r="A696" s="3" t="n">
        <x:v>21</x:v>
      </x:c>
      <x:c r="B696" s="3" t="n">
        <x:v>21</x:v>
      </x:c>
      <x:c r="C696" s="3" t="n">
        <x:v>23</x:v>
      </x:c>
      <x:c r="D696" s="3" t="n">
        <x:v>4</x:v>
      </x:c>
      <x:c r="E696" s="3" t="n">
        <x:v>4</x:v>
      </x:c>
      <x:c r="F696" s="3" t="n">
        <x:v>1</x:v>
      </x:c>
    </x:row>
    <x:row r="697" ht="21" customHeight="1">
      <x:c r="A697" s="3" t="n">
        <x:v>21</x:v>
      </x:c>
      <x:c r="B697" s="3" t="n">
        <x:v>22</x:v>
      </x:c>
      <x:c r="C697" s="3" t="n">
        <x:v>24</x:v>
      </x:c>
      <x:c r="D697" s="3" t="n">
        <x:v>4</x:v>
      </x:c>
      <x:c r="E697" s="3" t="n">
        <x:v>4</x:v>
      </x:c>
      <x:c r="F697" s="3" t="n">
        <x:v>1</x:v>
      </x:c>
    </x:row>
    <x:row r="698" ht="21" customHeight="1">
      <x:c r="A698" s="3" t="n">
        <x:v>21</x:v>
      </x:c>
      <x:c r="B698" s="3" t="n">
        <x:v>23</x:v>
      </x:c>
      <x:c r="C698" s="3" t="n">
        <x:v>25</x:v>
      </x:c>
      <x:c r="D698" s="3" t="n">
        <x:v>4</x:v>
      </x:c>
      <x:c r="E698" s="3" t="n">
        <x:v>5</x:v>
      </x:c>
      <x:c r="F698" s="3" t="n">
        <x:v>2</x:v>
      </x:c>
    </x:row>
    <x:row r="699" ht="21" customHeight="1">
      <x:c r="A699" s="3" t="n">
        <x:v>21</x:v>
      </x:c>
      <x:c r="B699" s="3" t="n">
        <x:v>24</x:v>
      </x:c>
      <x:c r="C699" s="3" t="n">
        <x:v>26</x:v>
      </x:c>
      <x:c r="D699" s="3" t="n">
        <x:v>5</x:v>
      </x:c>
      <x:c r="E699" s="3" t="n">
        <x:v>5</x:v>
      </x:c>
      <x:c r="F699" s="3" t="n">
        <x:v>1</x:v>
      </x:c>
    </x:row>
    <x:row r="700" ht="21" customHeight="1">
      <x:c r="A700" s="3" t="n">
        <x:v>21</x:v>
      </x:c>
      <x:c r="B700" s="3" t="n">
        <x:v>25</x:v>
      </x:c>
      <x:c r="C700" s="3" t="n">
        <x:v>27</x:v>
      </x:c>
      <x:c r="D700" s="3" t="n">
        <x:v>5</x:v>
      </x:c>
      <x:c r="E700" s="3" t="n">
        <x:v>5</x:v>
      </x:c>
      <x:c r="F700" s="3" t="n">
        <x:v>1</x:v>
      </x:c>
    </x:row>
    <x:row r="701" ht="21" customHeight="1">
      <x:c r="A701" s="3" t="n">
        <x:v>21</x:v>
      </x:c>
      <x:c r="B701" s="3" t="n">
        <x:v>26</x:v>
      </x:c>
      <x:c r="C701" s="3" t="n">
        <x:v>28</x:v>
      </x:c>
      <x:c r="D701" s="3" t="n">
        <x:v>5</x:v>
      </x:c>
      <x:c r="E701" s="3" t="n">
        <x:v>5</x:v>
      </x:c>
      <x:c r="F701" s="3" t="n">
        <x:v>1</x:v>
      </x:c>
    </x:row>
    <x:row r="702" ht="21" customHeight="1">
      <x:c r="A702" s="3" t="n">
        <x:v>21</x:v>
      </x:c>
      <x:c r="B702" s="3" t="n">
        <x:v>27</x:v>
      </x:c>
      <x:c r="C702" s="3" t="n">
        <x:v>29</x:v>
      </x:c>
      <x:c r="D702" s="3" t="n">
        <x:v>5</x:v>
      </x:c>
      <x:c r="E702" s="3" t="n">
        <x:v>5</x:v>
      </x:c>
      <x:c r="F702" s="3" t="n">
        <x:v>1</x:v>
      </x:c>
    </x:row>
    <x:row r="703" ht="21" customHeight="1">
      <x:c r="A703" s="3" t="n">
        <x:v>21</x:v>
      </x:c>
      <x:c r="B703" s="3" t="n">
        <x:v>28</x:v>
      </x:c>
      <x:c r="C703" s="3" t="n">
        <x:v>30</x:v>
      </x:c>
      <x:c r="D703" s="3" t="n">
        <x:v>5</x:v>
      </x:c>
      <x:c r="E703" s="3" t="n">
        <x:v>5</x:v>
      </x:c>
      <x:c r="F703" s="3" t="n">
        <x:v>1</x:v>
      </x:c>
    </x:row>
    <x:row r="704" ht="21" customHeight="1">
      <x:c r="A704" s="3" t="n">
        <x:v>21</x:v>
      </x:c>
      <x:c r="B704" s="3" t="n">
        <x:v>29</x:v>
      </x:c>
      <x:c r="C704" s="3" t="n">
        <x:v>31</x:v>
      </x:c>
      <x:c r="D704" s="3" t="n">
        <x:v>5</x:v>
      </x:c>
      <x:c r="E704" s="3" t="n">
        <x:v>6</x:v>
      </x:c>
      <x:c r="F704" s="3" t="n">
        <x:v>2</x:v>
      </x:c>
    </x:row>
    <x:row r="705" ht="21" customHeight="1">
      <x:c r="A705" s="3" t="n">
        <x:v>21</x:v>
      </x:c>
      <x:c r="B705" s="3" t="n">
        <x:v>30</x:v>
      </x:c>
      <x:c r="C705" s="3" t="n">
        <x:v>32</x:v>
      </x:c>
      <x:c r="D705" s="3" t="n">
        <x:v>6</x:v>
      </x:c>
      <x:c r="E705" s="3" t="n">
        <x:v>6</x:v>
      </x:c>
      <x:c r="F705" s="3" t="n">
        <x:v>1</x:v>
      </x:c>
    </x:row>
    <x:row r="706" ht="21" customHeight="1">
      <x:c r="A706" s="3" t="n">
        <x:v>21</x:v>
      </x:c>
      <x:c r="B706" s="3" t="n">
        <x:v>31</x:v>
      </x:c>
      <x:c r="C706" s="3" t="n">
        <x:v>33</x:v>
      </x:c>
      <x:c r="D706" s="3" t="n">
        <x:v>6</x:v>
      </x:c>
      <x:c r="E706" s="3" t="n">
        <x:v>6</x:v>
      </x:c>
      <x:c r="F706" s="3" t="n">
        <x:v>1</x:v>
      </x:c>
    </x:row>
    <x:row r="707" ht="21" customHeight="1">
      <x:c r="A707" s="3" t="n">
        <x:v>21</x:v>
      </x:c>
      <x:c r="B707" s="3" t="n">
        <x:v>32</x:v>
      </x:c>
      <x:c r="C707" s="3" t="n">
        <x:v>34</x:v>
      </x:c>
      <x:c r="D707" s="3" t="n">
        <x:v>6</x:v>
      </x:c>
      <x:c r="E707" s="3" t="n">
        <x:v>6</x:v>
      </x:c>
      <x:c r="F707" s="3" t="n">
        <x:v>1</x:v>
      </x:c>
    </x:row>
    <x:row r="708" ht="21" customHeight="1">
      <x:c r="A708" s="3" t="n">
        <x:v>21</x:v>
      </x:c>
      <x:c r="B708" s="3" t="n">
        <x:v>33</x:v>
      </x:c>
      <x:c r="C708" s="3" t="n">
        <x:v>35</x:v>
      </x:c>
      <x:c r="D708" s="3" t="n">
        <x:v>6</x:v>
      </x:c>
      <x:c r="E708" s="3" t="n">
        <x:v>6</x:v>
      </x:c>
      <x:c r="F708" s="3" t="n">
        <x:v>1</x:v>
      </x:c>
    </x:row>
    <x:row r="709" ht="21" customHeight="1">
      <x:c r="A709" s="3" t="n">
        <x:v>21</x:v>
      </x:c>
      <x:c r="B709" s="3" t="n">
        <x:v>34</x:v>
      </x:c>
      <x:c r="C709" s="3" t="n">
        <x:v>36</x:v>
      </x:c>
      <x:c r="D709" s="3" t="n">
        <x:v>6</x:v>
      </x:c>
      <x:c r="E709" s="3" t="n">
        <x:v>6</x:v>
      </x:c>
      <x:c r="F709" s="3" t="n">
        <x:v>1</x:v>
      </x:c>
    </x:row>
    <x:row r="710" ht="21" customHeight="1">
      <x:c r="A710" s="3" t="n">
        <x:v>22</x:v>
      </x:c>
      <x:c r="B710" s="3" t="n">
        <x:v>0</x:v>
      </x:c>
      <x:c r="C710" s="3" t="n">
        <x:v>5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22</x:v>
      </x:c>
      <x:c r="B711" s="3" t="n">
        <x:v>1</x:v>
      </x:c>
      <x:c r="C711" s="3" t="n">
        <x:v>6</x:v>
      </x:c>
      <x:c r="D711" s="3" t="n">
        <x:v>1</x:v>
      </x:c>
      <x:c r="E711" s="3" t="n">
        <x:v>1</x:v>
      </x:c>
      <x:c r="F711" s="3" t="n">
        <x:v>1</x:v>
      </x:c>
    </x:row>
    <x:row r="712" ht="21" customHeight="1">
      <x:c r="A712" s="3" t="n">
        <x:v>22</x:v>
      </x:c>
      <x:c r="B712" s="3" t="n">
        <x:v>2</x:v>
      </x:c>
      <x:c r="C712" s="3" t="n">
        <x:v>7</x:v>
      </x:c>
      <x:c r="D712" s="3" t="n">
        <x:v>1</x:v>
      </x:c>
      <x:c r="E712" s="3" t="n">
        <x:v>2</x:v>
      </x:c>
      <x:c r="F712" s="3" t="n">
        <x:v>2</x:v>
      </x:c>
    </x:row>
    <x:row r="713" ht="21" customHeight="1">
      <x:c r="A713" s="3" t="n">
        <x:v>22</x:v>
      </x:c>
      <x:c r="B713" s="3" t="n">
        <x:v>3</x:v>
      </x:c>
      <x:c r="C713" s="3" t="n">
        <x:v>8</x:v>
      </x:c>
      <x:c r="D713" s="3" t="n">
        <x:v>1</x:v>
      </x:c>
      <x:c r="E713" s="3" t="n">
        <x:v>2</x:v>
      </x:c>
      <x:c r="F713" s="3" t="n">
        <x:v>2</x:v>
      </x:c>
    </x:row>
    <x:row r="714" ht="21" customHeight="1">
      <x:c r="A714" s="3" t="n">
        <x:v>22</x:v>
      </x:c>
      <x:c r="B714" s="3" t="n">
        <x:v>4</x:v>
      </x:c>
      <x:c r="C714" s="3" t="n">
        <x:v>9</x:v>
      </x:c>
      <x:c r="D714" s="3" t="n">
        <x:v>1</x:v>
      </x:c>
      <x:c r="E714" s="3" t="n">
        <x:v>2</x:v>
      </x:c>
      <x:c r="F714" s="3" t="n">
        <x:v>2</x:v>
      </x:c>
    </x:row>
    <x:row r="715" ht="21" customHeight="1">
      <x:c r="A715" s="3" t="n">
        <x:v>22</x:v>
      </x:c>
      <x:c r="B715" s="3" t="n">
        <x:v>5</x:v>
      </x:c>
      <x:c r="C715" s="3" t="n">
        <x:v>10</x:v>
      </x:c>
      <x:c r="D715" s="3" t="n">
        <x:v>1</x:v>
      </x:c>
      <x:c r="E715" s="3" t="n">
        <x:v>2</x:v>
      </x:c>
      <x:c r="F715" s="3" t="n">
        <x:v>2</x:v>
      </x:c>
    </x:row>
    <x:row r="716" ht="21" customHeight="1">
      <x:c r="A716" s="3" t="n">
        <x:v>22</x:v>
      </x:c>
      <x:c r="B716" s="3" t="n">
        <x:v>6</x:v>
      </x:c>
      <x:c r="C716" s="3" t="n">
        <x:v>11</x:v>
      </x:c>
      <x:c r="D716" s="3" t="n">
        <x:v>2</x:v>
      </x:c>
      <x:c r="E716" s="3" t="n">
        <x:v>2</x:v>
      </x:c>
      <x:c r="F716" s="3" t="n">
        <x:v>1</x:v>
      </x:c>
    </x:row>
    <x:row r="717" ht="21" customHeight="1">
      <x:c r="A717" s="3" t="n">
        <x:v>22</x:v>
      </x:c>
      <x:c r="B717" s="3" t="n">
        <x:v>7</x:v>
      </x:c>
      <x:c r="C717" s="3" t="n">
        <x:v>12</x:v>
      </x:c>
      <x:c r="D717" s="3" t="n">
        <x:v>2</x:v>
      </x:c>
      <x:c r="E717" s="3" t="n">
        <x:v>2</x:v>
      </x:c>
      <x:c r="F717" s="3" t="n">
        <x:v>1</x:v>
      </x:c>
    </x:row>
    <x:row r="718" ht="21" customHeight="1">
      <x:c r="A718" s="3" t="n">
        <x:v>22</x:v>
      </x:c>
      <x:c r="B718" s="3" t="n">
        <x:v>8</x:v>
      </x:c>
      <x:c r="C718" s="3" t="n">
        <x:v>13</x:v>
      </x:c>
      <x:c r="D718" s="3" t="n">
        <x:v>2</x:v>
      </x:c>
      <x:c r="E718" s="3" t="n">
        <x:v>3</x:v>
      </x:c>
      <x:c r="F718" s="3" t="n">
        <x:v>2</x:v>
      </x:c>
    </x:row>
    <x:row r="719" ht="21" customHeight="1">
      <x:c r="A719" s="3" t="n">
        <x:v>22</x:v>
      </x:c>
      <x:c r="B719" s="3" t="n">
        <x:v>9</x:v>
      </x:c>
      <x:c r="C719" s="3" t="n">
        <x:v>14</x:v>
      </x:c>
      <x:c r="D719" s="3" t="n">
        <x:v>2</x:v>
      </x:c>
      <x:c r="E719" s="3" t="n">
        <x:v>3</x:v>
      </x:c>
      <x:c r="F719" s="3" t="n">
        <x:v>2</x:v>
      </x:c>
    </x:row>
    <x:row r="720" ht="21" customHeight="1">
      <x:c r="A720" s="3" t="n">
        <x:v>22</x:v>
      </x:c>
      <x:c r="B720" s="3" t="n">
        <x:v>10</x:v>
      </x:c>
      <x:c r="C720" s="3" t="n">
        <x:v>15</x:v>
      </x:c>
      <x:c r="D720" s="3" t="n">
        <x:v>2</x:v>
      </x:c>
      <x:c r="E720" s="3" t="n">
        <x:v>3</x:v>
      </x:c>
      <x:c r="F720" s="3" t="n">
        <x:v>2</x:v>
      </x:c>
    </x:row>
    <x:row r="721" ht="21" customHeight="1">
      <x:c r="A721" s="3" t="n">
        <x:v>22</x:v>
      </x:c>
      <x:c r="B721" s="3" t="n">
        <x:v>11</x:v>
      </x:c>
      <x:c r="C721" s="3" t="n">
        <x:v>16</x:v>
      </x:c>
      <x:c r="D721" s="3" t="n">
        <x:v>2</x:v>
      </x:c>
      <x:c r="E721" s="3" t="n">
        <x:v>3</x:v>
      </x:c>
      <x:c r="F721" s="3" t="n">
        <x:v>2</x:v>
      </x:c>
    </x:row>
    <x:row r="722" ht="21" customHeight="1">
      <x:c r="A722" s="3" t="n">
        <x:v>22</x:v>
      </x:c>
      <x:c r="B722" s="3" t="n">
        <x:v>12</x:v>
      </x:c>
      <x:c r="C722" s="3" t="n">
        <x:v>17</x:v>
      </x:c>
      <x:c r="D722" s="3" t="n">
        <x:v>3</x:v>
      </x:c>
      <x:c r="E722" s="3" t="n">
        <x:v>3</x:v>
      </x:c>
      <x:c r="F722" s="3" t="n">
        <x:v>1</x:v>
      </x:c>
    </x:row>
    <x:row r="723" ht="21" customHeight="1">
      <x:c r="A723" s="3" t="n">
        <x:v>22</x:v>
      </x:c>
      <x:c r="B723" s="3" t="n">
        <x:v>13</x:v>
      </x:c>
      <x:c r="C723" s="3" t="n">
        <x:v>18</x:v>
      </x:c>
      <x:c r="D723" s="3" t="n">
        <x:v>3</x:v>
      </x:c>
      <x:c r="E723" s="3" t="n">
        <x:v>3</x:v>
      </x:c>
      <x:c r="F723" s="3" t="n">
        <x:v>1</x:v>
      </x:c>
    </x:row>
    <x:row r="724" ht="21" customHeight="1">
      <x:c r="A724" s="3" t="n">
        <x:v>22</x:v>
      </x:c>
      <x:c r="B724" s="3" t="n">
        <x:v>14</x:v>
      </x:c>
      <x:c r="C724" s="3" t="n">
        <x:v>19</x:v>
      </x:c>
      <x:c r="D724" s="3" t="n">
        <x:v>3</x:v>
      </x:c>
      <x:c r="E724" s="3" t="n">
        <x:v>4</x:v>
      </x:c>
      <x:c r="F724" s="3" t="n">
        <x:v>2</x:v>
      </x:c>
    </x:row>
    <x:row r="725" ht="21" customHeight="1">
      <x:c r="A725" s="3" t="n">
        <x:v>22</x:v>
      </x:c>
      <x:c r="B725" s="3" t="n">
        <x:v>15</x:v>
      </x:c>
      <x:c r="C725" s="3" t="n">
        <x:v>20</x:v>
      </x:c>
      <x:c r="D725" s="3" t="n">
        <x:v>3</x:v>
      </x:c>
      <x:c r="E725" s="3" t="n">
        <x:v>4</x:v>
      </x:c>
      <x:c r="F725" s="3" t="n">
        <x:v>2</x:v>
      </x:c>
    </x:row>
    <x:row r="726" ht="21" customHeight="1">
      <x:c r="A726" s="3" t="n">
        <x:v>22</x:v>
      </x:c>
      <x:c r="B726" s="3" t="n">
        <x:v>16</x:v>
      </x:c>
      <x:c r="C726" s="3" t="n">
        <x:v>21</x:v>
      </x:c>
      <x:c r="D726" s="3" t="n">
        <x:v>3</x:v>
      </x:c>
      <x:c r="E726" s="3" t="n">
        <x:v>4</x:v>
      </x:c>
      <x:c r="F726" s="3" t="n">
        <x:v>2</x:v>
      </x:c>
    </x:row>
    <x:row r="727" ht="21" customHeight="1">
      <x:c r="A727" s="3" t="n">
        <x:v>22</x:v>
      </x:c>
      <x:c r="B727" s="3" t="n">
        <x:v>17</x:v>
      </x:c>
      <x:c r="C727" s="3" t="n">
        <x:v>22</x:v>
      </x:c>
      <x:c r="D727" s="3" t="n">
        <x:v>3</x:v>
      </x:c>
      <x:c r="E727" s="3" t="n">
        <x:v>4</x:v>
      </x:c>
      <x:c r="F727" s="3" t="n">
        <x:v>2</x:v>
      </x:c>
    </x:row>
    <x:row r="728" ht="21" customHeight="1">
      <x:c r="A728" s="3" t="n">
        <x:v>22</x:v>
      </x:c>
      <x:c r="B728" s="3" t="n">
        <x:v>18</x:v>
      </x:c>
      <x:c r="C728" s="3" t="n">
        <x:v>23</x:v>
      </x:c>
      <x:c r="D728" s="3" t="n">
        <x:v>4</x:v>
      </x:c>
      <x:c r="E728" s="3" t="n">
        <x:v>4</x:v>
      </x:c>
      <x:c r="F728" s="3" t="n">
        <x:v>1</x:v>
      </x:c>
    </x:row>
    <x:row r="729" ht="21" customHeight="1">
      <x:c r="A729" s="3" t="n">
        <x:v>22</x:v>
      </x:c>
      <x:c r="B729" s="3" t="n">
        <x:v>19</x:v>
      </x:c>
      <x:c r="C729" s="3" t="n">
        <x:v>24</x:v>
      </x:c>
      <x:c r="D729" s="3" t="n">
        <x:v>4</x:v>
      </x:c>
      <x:c r="E729" s="3" t="n">
        <x:v>4</x:v>
      </x:c>
      <x:c r="F729" s="3" t="n">
        <x:v>1</x:v>
      </x:c>
    </x:row>
    <x:row r="730" ht="21" customHeight="1">
      <x:c r="A730" s="3" t="n">
        <x:v>22</x:v>
      </x:c>
      <x:c r="B730" s="3" t="n">
        <x:v>20</x:v>
      </x:c>
      <x:c r="C730" s="3" t="n">
        <x:v>25</x:v>
      </x:c>
      <x:c r="D730" s="3" t="n">
        <x:v>4</x:v>
      </x:c>
      <x:c r="E730" s="3" t="n">
        <x:v>5</x:v>
      </x:c>
      <x:c r="F730" s="3" t="n">
        <x:v>2</x:v>
      </x:c>
    </x:row>
    <x:row r="731" ht="21" customHeight="1">
      <x:c r="A731" s="3" t="n">
        <x:v>22</x:v>
      </x:c>
      <x:c r="B731" s="3" t="n">
        <x:v>21</x:v>
      </x:c>
      <x:c r="C731" s="3" t="n">
        <x:v>26</x:v>
      </x:c>
      <x:c r="D731" s="3" t="n">
        <x:v>4</x:v>
      </x:c>
      <x:c r="E731" s="3" t="n">
        <x:v>5</x:v>
      </x:c>
      <x:c r="F731" s="3" t="n">
        <x:v>2</x:v>
      </x:c>
    </x:row>
    <x:row r="732" ht="21" customHeight="1">
      <x:c r="A732" s="3" t="n">
        <x:v>22</x:v>
      </x:c>
      <x:c r="B732" s="3" t="n">
        <x:v>22</x:v>
      </x:c>
      <x:c r="C732" s="3" t="n">
        <x:v>27</x:v>
      </x:c>
      <x:c r="D732" s="3" t="n">
        <x:v>4</x:v>
      </x:c>
      <x:c r="E732" s="3" t="n">
        <x:v>5</x:v>
      </x:c>
      <x:c r="F732" s="3" t="n">
        <x:v>2</x:v>
      </x:c>
    </x:row>
    <x:row r="733" ht="21" customHeight="1">
      <x:c r="A733" s="3" t="n">
        <x:v>22</x:v>
      </x:c>
      <x:c r="B733" s="3" t="n">
        <x:v>23</x:v>
      </x:c>
      <x:c r="C733" s="3" t="n">
        <x:v>28</x:v>
      </x:c>
      <x:c r="D733" s="3" t="n">
        <x:v>4</x:v>
      </x:c>
      <x:c r="E733" s="3" t="n">
        <x:v>5</x:v>
      </x:c>
      <x:c r="F733" s="3" t="n">
        <x:v>2</x:v>
      </x:c>
    </x:row>
    <x:row r="734" ht="21" customHeight="1">
      <x:c r="A734" s="3" t="n">
        <x:v>22</x:v>
      </x:c>
      <x:c r="B734" s="3" t="n">
        <x:v>24</x:v>
      </x:c>
      <x:c r="C734" s="3" t="n">
        <x:v>29</x:v>
      </x:c>
      <x:c r="D734" s="3" t="n">
        <x:v>5</x:v>
      </x:c>
      <x:c r="E734" s="3" t="n">
        <x:v>5</x:v>
      </x:c>
      <x:c r="F734" s="3" t="n">
        <x:v>1</x:v>
      </x:c>
    </x:row>
    <x:row r="735" ht="21" customHeight="1">
      <x:c r="A735" s="3" t="n">
        <x:v>22</x:v>
      </x:c>
      <x:c r="B735" s="3" t="n">
        <x:v>25</x:v>
      </x:c>
      <x:c r="C735" s="3" t="n">
        <x:v>30</x:v>
      </x:c>
      <x:c r="D735" s="3" t="n">
        <x:v>5</x:v>
      </x:c>
      <x:c r="E735" s="3" t="n">
        <x:v>5</x:v>
      </x:c>
      <x:c r="F735" s="3" t="n">
        <x:v>1</x:v>
      </x:c>
    </x:row>
    <x:row r="736" ht="21" customHeight="1">
      <x:c r="A736" s="3" t="n">
        <x:v>22</x:v>
      </x:c>
      <x:c r="B736" s="3" t="n">
        <x:v>26</x:v>
      </x:c>
      <x:c r="C736" s="3" t="n">
        <x:v>31</x:v>
      </x:c>
      <x:c r="D736" s="3" t="n">
        <x:v>5</x:v>
      </x:c>
      <x:c r="E736" s="3" t="n">
        <x:v>6</x:v>
      </x:c>
      <x:c r="F736" s="3" t="n">
        <x:v>2</x:v>
      </x:c>
    </x:row>
    <x:row r="737" ht="21" customHeight="1">
      <x:c r="A737" s="3" t="n">
        <x:v>22</x:v>
      </x:c>
      <x:c r="B737" s="3" t="n">
        <x:v>27</x:v>
      </x:c>
      <x:c r="C737" s="3" t="n">
        <x:v>32</x:v>
      </x:c>
      <x:c r="D737" s="3" t="n">
        <x:v>5</x:v>
      </x:c>
      <x:c r="E737" s="3" t="n">
        <x:v>6</x:v>
      </x:c>
      <x:c r="F737" s="3" t="n">
        <x:v>2</x:v>
      </x:c>
    </x:row>
    <x:row r="738" ht="21" customHeight="1">
      <x:c r="A738" s="3" t="n">
        <x:v>22</x:v>
      </x:c>
      <x:c r="B738" s="3" t="n">
        <x:v>28</x:v>
      </x:c>
      <x:c r="C738" s="3" t="n">
        <x:v>33</x:v>
      </x:c>
      <x:c r="D738" s="3" t="n">
        <x:v>5</x:v>
      </x:c>
      <x:c r="E738" s="3" t="n">
        <x:v>6</x:v>
      </x:c>
      <x:c r="F738" s="3" t="n">
        <x:v>2</x:v>
      </x:c>
    </x:row>
    <x:row r="739" ht="21" customHeight="1">
      <x:c r="A739" s="3" t="n">
        <x:v>22</x:v>
      </x:c>
      <x:c r="B739" s="3" t="n">
        <x:v>29</x:v>
      </x:c>
      <x:c r="C739" s="3" t="n">
        <x:v>34</x:v>
      </x:c>
      <x:c r="D739" s="3" t="n">
        <x:v>5</x:v>
      </x:c>
      <x:c r="E739" s="3" t="n">
        <x:v>6</x:v>
      </x:c>
      <x:c r="F739" s="3" t="n">
        <x:v>2</x:v>
      </x:c>
    </x:row>
    <x:row r="740" ht="21" customHeight="1">
      <x:c r="A740" s="3" t="n">
        <x:v>22</x:v>
      </x:c>
      <x:c r="B740" s="3" t="n">
        <x:v>30</x:v>
      </x:c>
      <x:c r="C740" s="3" t="n">
        <x:v>35</x:v>
      </x:c>
      <x:c r="D740" s="3" t="n">
        <x:v>6</x:v>
      </x:c>
      <x:c r="E740" s="3" t="n">
        <x:v>6</x:v>
      </x:c>
      <x:c r="F740" s="3" t="n">
        <x:v>1</x:v>
      </x:c>
    </x:row>
    <x:row r="741" ht="21" customHeight="1">
      <x:c r="A741" s="3" t="n">
        <x:v>22</x:v>
      </x:c>
      <x:c r="B741" s="3" t="n">
        <x:v>31</x:v>
      </x:c>
      <x:c r="C741" s="3" t="n">
        <x:v>36</x:v>
      </x:c>
      <x:c r="D741" s="3" t="n">
        <x:v>6</x:v>
      </x:c>
      <x:c r="E741" s="3" t="n">
        <x:v>6</x:v>
      </x:c>
      <x:c r="F741" s="3" t="n">
        <x:v>1</x:v>
      </x:c>
    </x:row>
    <x:row r="742" ht="21" customHeight="1">
      <x:c r="A742" s="3" t="n">
        <x:v>23</x:v>
      </x:c>
      <x:c r="B742" s="3" t="n">
        <x:v>0</x:v>
      </x:c>
      <x:c r="C742" s="3" t="n">
        <x:v>5</x:v>
      </x:c>
      <x:c r="D742" s="3" t="n">
        <x:v>1</x:v>
      </x:c>
      <x:c r="E742" s="3" t="n">
        <x:v>1</x:v>
      </x:c>
      <x:c r="F742" s="3" t="n">
        <x:v>1</x:v>
      </x:c>
    </x:row>
    <x:row r="743" ht="21" customHeight="1">
      <x:c r="A743" s="3" t="n">
        <x:v>23</x:v>
      </x:c>
      <x:c r="B743" s="3" t="n">
        <x:v>1</x:v>
      </x:c>
      <x:c r="C743" s="3" t="n">
        <x:v>6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23</x:v>
      </x:c>
      <x:c r="B744" s="3" t="n">
        <x:v>2</x:v>
      </x:c>
      <x:c r="C744" s="3" t="n">
        <x:v>7</x:v>
      </x:c>
      <x:c r="D744" s="3" t="n">
        <x:v>1</x:v>
      </x:c>
      <x:c r="E744" s="3" t="n">
        <x:v>2</x:v>
      </x:c>
      <x:c r="F744" s="3" t="n">
        <x:v>2</x:v>
      </x:c>
    </x:row>
    <x:row r="745" ht="21" customHeight="1">
      <x:c r="A745" s="3" t="n">
        <x:v>23</x:v>
      </x:c>
      <x:c r="B745" s="3" t="n">
        <x:v>3</x:v>
      </x:c>
      <x:c r="C745" s="3" t="n">
        <x:v>8</x:v>
      </x:c>
      <x:c r="D745" s="3" t="n">
        <x:v>1</x:v>
      </x:c>
      <x:c r="E745" s="3" t="n">
        <x:v>2</x:v>
      </x:c>
      <x:c r="F745" s="3" t="n">
        <x:v>2</x:v>
      </x:c>
    </x:row>
    <x:row r="746" ht="21" customHeight="1">
      <x:c r="A746" s="3" t="n">
        <x:v>23</x:v>
      </x:c>
      <x:c r="B746" s="3" t="n">
        <x:v>4</x:v>
      </x:c>
      <x:c r="C746" s="3" t="n">
        <x:v>9</x:v>
      </x:c>
      <x:c r="D746" s="3" t="n">
        <x:v>1</x:v>
      </x:c>
      <x:c r="E746" s="3" t="n">
        <x:v>2</x:v>
      </x:c>
      <x:c r="F746" s="3" t="n">
        <x:v>2</x:v>
      </x:c>
    </x:row>
    <x:row r="747" ht="21" customHeight="1">
      <x:c r="A747" s="3" t="n">
        <x:v>23</x:v>
      </x:c>
      <x:c r="B747" s="3" t="n">
        <x:v>5</x:v>
      </x:c>
      <x:c r="C747" s="3" t="n">
        <x:v>10</x:v>
      </x:c>
      <x:c r="D747" s="3" t="n">
        <x:v>1</x:v>
      </x:c>
      <x:c r="E747" s="3" t="n">
        <x:v>2</x:v>
      </x:c>
      <x:c r="F747" s="3" t="n">
        <x:v>2</x:v>
      </x:c>
    </x:row>
    <x:row r="748" ht="21" customHeight="1">
      <x:c r="A748" s="3" t="n">
        <x:v>23</x:v>
      </x:c>
      <x:c r="B748" s="3" t="n">
        <x:v>6</x:v>
      </x:c>
      <x:c r="C748" s="3" t="n">
        <x:v>11</x:v>
      </x:c>
      <x:c r="D748" s="3" t="n">
        <x:v>2</x:v>
      </x:c>
      <x:c r="E748" s="3" t="n">
        <x:v>2</x:v>
      </x:c>
      <x:c r="F748" s="3" t="n">
        <x:v>1</x:v>
      </x:c>
    </x:row>
    <x:row r="749" ht="21" customHeight="1">
      <x:c r="A749" s="3" t="n">
        <x:v>23</x:v>
      </x:c>
      <x:c r="B749" s="3" t="n">
        <x:v>7</x:v>
      </x:c>
      <x:c r="C749" s="3" t="n">
        <x:v>12</x:v>
      </x:c>
      <x:c r="D749" s="3" t="n">
        <x:v>2</x:v>
      </x:c>
      <x:c r="E749" s="3" t="n">
        <x:v>2</x:v>
      </x:c>
      <x:c r="F749" s="3" t="n">
        <x:v>1</x:v>
      </x:c>
    </x:row>
    <x:row r="750" ht="21" customHeight="1">
      <x:c r="A750" s="3" t="n">
        <x:v>23</x:v>
      </x:c>
      <x:c r="B750" s="3" t="n">
        <x:v>8</x:v>
      </x:c>
      <x:c r="C750" s="3" t="n">
        <x:v>13</x:v>
      </x:c>
      <x:c r="D750" s="3" t="n">
        <x:v>2</x:v>
      </x:c>
      <x:c r="E750" s="3" t="n">
        <x:v>3</x:v>
      </x:c>
      <x:c r="F750" s="3" t="n">
        <x:v>2</x:v>
      </x:c>
    </x:row>
    <x:row r="751" ht="21" customHeight="1">
      <x:c r="A751" s="3" t="n">
        <x:v>23</x:v>
      </x:c>
      <x:c r="B751" s="3" t="n">
        <x:v>9</x:v>
      </x:c>
      <x:c r="C751" s="3" t="n">
        <x:v>14</x:v>
      </x:c>
      <x:c r="D751" s="3" t="n">
        <x:v>2</x:v>
      </x:c>
      <x:c r="E751" s="3" t="n">
        <x:v>3</x:v>
      </x:c>
      <x:c r="F751" s="3" t="n">
        <x:v>2</x:v>
      </x:c>
    </x:row>
    <x:row r="752" ht="21" customHeight="1">
      <x:c r="A752" s="3" t="n">
        <x:v>23</x:v>
      </x:c>
      <x:c r="B752" s="3" t="n">
        <x:v>10</x:v>
      </x:c>
      <x:c r="C752" s="3" t="n">
        <x:v>15</x:v>
      </x:c>
      <x:c r="D752" s="3" t="n">
        <x:v>2</x:v>
      </x:c>
      <x:c r="E752" s="3" t="n">
        <x:v>3</x:v>
      </x:c>
      <x:c r="F752" s="3" t="n">
        <x:v>2</x:v>
      </x:c>
    </x:row>
    <x:row r="753" ht="21" customHeight="1">
      <x:c r="A753" s="3" t="n">
        <x:v>23</x:v>
      </x:c>
      <x:c r="B753" s="3" t="n">
        <x:v>11</x:v>
      </x:c>
      <x:c r="C753" s="3" t="n">
        <x:v>16</x:v>
      </x:c>
      <x:c r="D753" s="3" t="n">
        <x:v>2</x:v>
      </x:c>
      <x:c r="E753" s="3" t="n">
        <x:v>3</x:v>
      </x:c>
      <x:c r="F753" s="3" t="n">
        <x:v>2</x:v>
      </x:c>
    </x:row>
    <x:row r="754" ht="21" customHeight="1">
      <x:c r="A754" s="3" t="n">
        <x:v>23</x:v>
      </x:c>
      <x:c r="B754" s="3" t="n">
        <x:v>12</x:v>
      </x:c>
      <x:c r="C754" s="3" t="n">
        <x:v>17</x:v>
      </x:c>
      <x:c r="D754" s="3" t="n">
        <x:v>3</x:v>
      </x:c>
      <x:c r="E754" s="3" t="n">
        <x:v>3</x:v>
      </x:c>
      <x:c r="F754" s="3" t="n">
        <x:v>1</x:v>
      </x:c>
    </x:row>
    <x:row r="755" ht="21" customHeight="1">
      <x:c r="A755" s="3" t="n">
        <x:v>23</x:v>
      </x:c>
      <x:c r="B755" s="3" t="n">
        <x:v>13</x:v>
      </x:c>
      <x:c r="C755" s="3" t="n">
        <x:v>18</x:v>
      </x:c>
      <x:c r="D755" s="3" t="n">
        <x:v>3</x:v>
      </x:c>
      <x:c r="E755" s="3" t="n">
        <x:v>3</x:v>
      </x:c>
      <x:c r="F755" s="3" t="n">
        <x:v>1</x:v>
      </x:c>
    </x:row>
    <x:row r="756" ht="21" customHeight="1">
      <x:c r="A756" s="3" t="n">
        <x:v>23</x:v>
      </x:c>
      <x:c r="B756" s="3" t="n">
        <x:v>14</x:v>
      </x:c>
      <x:c r="C756" s="3" t="n">
        <x:v>19</x:v>
      </x:c>
      <x:c r="D756" s="3" t="n">
        <x:v>3</x:v>
      </x:c>
      <x:c r="E756" s="3" t="n">
        <x:v>4</x:v>
      </x:c>
      <x:c r="F756" s="3" t="n">
        <x:v>2</x:v>
      </x:c>
    </x:row>
    <x:row r="757" ht="21" customHeight="1">
      <x:c r="A757" s="3" t="n">
        <x:v>23</x:v>
      </x:c>
      <x:c r="B757" s="3" t="n">
        <x:v>15</x:v>
      </x:c>
      <x:c r="C757" s="3" t="n">
        <x:v>20</x:v>
      </x:c>
      <x:c r="D757" s="3" t="n">
        <x:v>3</x:v>
      </x:c>
      <x:c r="E757" s="3" t="n">
        <x:v>4</x:v>
      </x:c>
      <x:c r="F757" s="3" t="n">
        <x:v>2</x:v>
      </x:c>
    </x:row>
    <x:row r="758" ht="21" customHeight="1">
      <x:c r="A758" s="3" t="n">
        <x:v>23</x:v>
      </x:c>
      <x:c r="B758" s="3" t="n">
        <x:v>16</x:v>
      </x:c>
      <x:c r="C758" s="3" t="n">
        <x:v>21</x:v>
      </x:c>
      <x:c r="D758" s="3" t="n">
        <x:v>3</x:v>
      </x:c>
      <x:c r="E758" s="3" t="n">
        <x:v>4</x:v>
      </x:c>
      <x:c r="F758" s="3" t="n">
        <x:v>2</x:v>
      </x:c>
    </x:row>
    <x:row r="759" ht="21" customHeight="1">
      <x:c r="A759" s="3" t="n">
        <x:v>23</x:v>
      </x:c>
      <x:c r="B759" s="3" t="n">
        <x:v>17</x:v>
      </x:c>
      <x:c r="C759" s="3" t="n">
        <x:v>22</x:v>
      </x:c>
      <x:c r="D759" s="3" t="n">
        <x:v>3</x:v>
      </x:c>
      <x:c r="E759" s="3" t="n">
        <x:v>4</x:v>
      </x:c>
      <x:c r="F759" s="3" t="n">
        <x:v>2</x:v>
      </x:c>
    </x:row>
    <x:row r="760" ht="21" customHeight="1">
      <x:c r="A760" s="3" t="n">
        <x:v>23</x:v>
      </x:c>
      <x:c r="B760" s="3" t="n">
        <x:v>18</x:v>
      </x:c>
      <x:c r="C760" s="3" t="n">
        <x:v>23</x:v>
      </x:c>
      <x:c r="D760" s="3" t="n">
        <x:v>4</x:v>
      </x:c>
      <x:c r="E760" s="3" t="n">
        <x:v>4</x:v>
      </x:c>
      <x:c r="F760" s="3" t="n">
        <x:v>1</x:v>
      </x:c>
    </x:row>
    <x:row r="761" ht="21" customHeight="1">
      <x:c r="A761" s="3" t="n">
        <x:v>23</x:v>
      </x:c>
      <x:c r="B761" s="3" t="n">
        <x:v>19</x:v>
      </x:c>
      <x:c r="C761" s="3" t="n">
        <x:v>24</x:v>
      </x:c>
      <x:c r="D761" s="3" t="n">
        <x:v>4</x:v>
      </x:c>
      <x:c r="E761" s="3" t="n">
        <x:v>4</x:v>
      </x:c>
      <x:c r="F761" s="3" t="n">
        <x:v>1</x:v>
      </x:c>
    </x:row>
    <x:row r="762" ht="21" customHeight="1">
      <x:c r="A762" s="3" t="n">
        <x:v>23</x:v>
      </x:c>
      <x:c r="B762" s="3" t="n">
        <x:v>20</x:v>
      </x:c>
      <x:c r="C762" s="3" t="n">
        <x:v>25</x:v>
      </x:c>
      <x:c r="D762" s="3" t="n">
        <x:v>4</x:v>
      </x:c>
      <x:c r="E762" s="3" t="n">
        <x:v>5</x:v>
      </x:c>
      <x:c r="F762" s="3" t="n">
        <x:v>2</x:v>
      </x:c>
    </x:row>
    <x:row r="763" ht="21" customHeight="1">
      <x:c r="A763" s="3" t="n">
        <x:v>23</x:v>
      </x:c>
      <x:c r="B763" s="3" t="n">
        <x:v>21</x:v>
      </x:c>
      <x:c r="C763" s="3" t="n">
        <x:v>26</x:v>
      </x:c>
      <x:c r="D763" s="3" t="n">
        <x:v>4</x:v>
      </x:c>
      <x:c r="E763" s="3" t="n">
        <x:v>5</x:v>
      </x:c>
      <x:c r="F763" s="3" t="n">
        <x:v>2</x:v>
      </x:c>
    </x:row>
    <x:row r="764" ht="21" customHeight="1">
      <x:c r="A764" s="3" t="n">
        <x:v>23</x:v>
      </x:c>
      <x:c r="B764" s="3" t="n">
        <x:v>22</x:v>
      </x:c>
      <x:c r="C764" s="3" t="n">
        <x:v>27</x:v>
      </x:c>
      <x:c r="D764" s="3" t="n">
        <x:v>4</x:v>
      </x:c>
      <x:c r="E764" s="3" t="n">
        <x:v>5</x:v>
      </x:c>
      <x:c r="F764" s="3" t="n">
        <x:v>2</x:v>
      </x:c>
    </x:row>
    <x:row r="765" ht="21" customHeight="1">
      <x:c r="A765" s="3" t="n">
        <x:v>23</x:v>
      </x:c>
      <x:c r="B765" s="3" t="n">
        <x:v>23</x:v>
      </x:c>
      <x:c r="C765" s="3" t="n">
        <x:v>28</x:v>
      </x:c>
      <x:c r="D765" s="3" t="n">
        <x:v>4</x:v>
      </x:c>
      <x:c r="E765" s="3" t="n">
        <x:v>5</x:v>
      </x:c>
      <x:c r="F765" s="3" t="n">
        <x:v>2</x:v>
      </x:c>
    </x:row>
    <x:row r="766" ht="21" customHeight="1">
      <x:c r="A766" s="3" t="n">
        <x:v>23</x:v>
      </x:c>
      <x:c r="B766" s="3" t="n">
        <x:v>24</x:v>
      </x:c>
      <x:c r="C766" s="3" t="n">
        <x:v>29</x:v>
      </x:c>
      <x:c r="D766" s="3" t="n">
        <x:v>5</x:v>
      </x:c>
      <x:c r="E766" s="3" t="n">
        <x:v>5</x:v>
      </x:c>
      <x:c r="F766" s="3" t="n">
        <x:v>1</x:v>
      </x:c>
    </x:row>
    <x:row r="767" ht="21" customHeight="1">
      <x:c r="A767" s="3" t="n">
        <x:v>23</x:v>
      </x:c>
      <x:c r="B767" s="3" t="n">
        <x:v>25</x:v>
      </x:c>
      <x:c r="C767" s="3" t="n">
        <x:v>30</x:v>
      </x:c>
      <x:c r="D767" s="3" t="n">
        <x:v>5</x:v>
      </x:c>
      <x:c r="E767" s="3" t="n">
        <x:v>5</x:v>
      </x:c>
      <x:c r="F767" s="3" t="n">
        <x:v>1</x:v>
      </x:c>
    </x:row>
    <x:row r="768" ht="21" customHeight="1">
      <x:c r="A768" s="3" t="n">
        <x:v>23</x:v>
      </x:c>
      <x:c r="B768" s="3" t="n">
        <x:v>26</x:v>
      </x:c>
      <x:c r="C768" s="3" t="n">
        <x:v>31</x:v>
      </x:c>
      <x:c r="D768" s="3" t="n">
        <x:v>5</x:v>
      </x:c>
      <x:c r="E768" s="3" t="n">
        <x:v>6</x:v>
      </x:c>
      <x:c r="F768" s="3" t="n">
        <x:v>2</x:v>
      </x:c>
    </x:row>
    <x:row r="769" ht="21" customHeight="1">
      <x:c r="A769" s="3" t="n">
        <x:v>23</x:v>
      </x:c>
      <x:c r="B769" s="3" t="n">
        <x:v>27</x:v>
      </x:c>
      <x:c r="C769" s="3" t="n">
        <x:v>32</x:v>
      </x:c>
      <x:c r="D769" s="3" t="n">
        <x:v>5</x:v>
      </x:c>
      <x:c r="E769" s="3" t="n">
        <x:v>6</x:v>
      </x:c>
      <x:c r="F769" s="3" t="n">
        <x:v>2</x:v>
      </x:c>
    </x:row>
    <x:row r="770" ht="21" customHeight="1">
      <x:c r="A770" s="3" t="n">
        <x:v>23</x:v>
      </x:c>
      <x:c r="B770" s="3" t="n">
        <x:v>28</x:v>
      </x:c>
      <x:c r="C770" s="3" t="n">
        <x:v>33</x:v>
      </x:c>
      <x:c r="D770" s="3" t="n">
        <x:v>5</x:v>
      </x:c>
      <x:c r="E770" s="3" t="n">
        <x:v>6</x:v>
      </x:c>
      <x:c r="F770" s="3" t="n">
        <x:v>2</x:v>
      </x:c>
    </x:row>
    <x:row r="771" ht="21" customHeight="1">
      <x:c r="A771" s="3" t="n">
        <x:v>23</x:v>
      </x:c>
      <x:c r="B771" s="3" t="n">
        <x:v>29</x:v>
      </x:c>
      <x:c r="C771" s="3" t="n">
        <x:v>34</x:v>
      </x:c>
      <x:c r="D771" s="3" t="n">
        <x:v>5</x:v>
      </x:c>
      <x:c r="E771" s="3" t="n">
        <x:v>6</x:v>
      </x:c>
      <x:c r="F771" s="3" t="n">
        <x:v>2</x:v>
      </x:c>
    </x:row>
    <x:row r="772" ht="21" customHeight="1">
      <x:c r="A772" s="3" t="n">
        <x:v>23</x:v>
      </x:c>
      <x:c r="B772" s="3" t="n">
        <x:v>30</x:v>
      </x:c>
      <x:c r="C772" s="3" t="n">
        <x:v>35</x:v>
      </x:c>
      <x:c r="D772" s="3" t="n">
        <x:v>6</x:v>
      </x:c>
      <x:c r="E772" s="3" t="n">
        <x:v>6</x:v>
      </x:c>
      <x:c r="F772" s="3" t="n">
        <x:v>1</x:v>
      </x:c>
    </x:row>
    <x:row r="773" ht="21" customHeight="1">
      <x:c r="A773" s="3" t="n">
        <x:v>23</x:v>
      </x:c>
      <x:c r="B773" s="3" t="n">
        <x:v>31</x:v>
      </x:c>
      <x:c r="C773" s="3" t="n">
        <x:v>36</x:v>
      </x:c>
      <x:c r="D773" s="3" t="n">
        <x:v>6</x:v>
      </x:c>
      <x:c r="E773" s="3" t="n">
        <x:v>6</x:v>
      </x:c>
      <x:c r="F773" s="3" t="n">
        <x:v>1</x:v>
      </x:c>
    </x:row>
    <x:row r="774" ht="21" customHeight="1">
      <x:c r="A774" s="3" t="n">
        <x:v>24</x:v>
      </x:c>
      <x:c r="B774" s="3" t="n">
        <x:v>0</x:v>
      </x:c>
      <x:c r="C774" s="3" t="n">
        <x:v>3</x:v>
      </x:c>
      <x:c r="D774" s="3" t="n">
        <x:v>1</x:v>
      </x:c>
      <x:c r="E774" s="3" t="n">
        <x:v>1</x:v>
      </x:c>
      <x:c r="F774" s="3" t="n">
        <x:v>1</x:v>
      </x:c>
    </x:row>
    <x:row r="775" ht="21" customHeight="1">
      <x:c r="A775" s="3" t="n">
        <x:v>24</x:v>
      </x:c>
      <x:c r="B775" s="3" t="n">
        <x:v>1</x:v>
      </x:c>
      <x:c r="C775" s="3" t="n">
        <x:v>4</x:v>
      </x:c>
      <x:c r="D775" s="3" t="n">
        <x:v>1</x:v>
      </x:c>
      <x:c r="E775" s="3" t="n">
        <x:v>1</x:v>
      </x:c>
      <x:c r="F775" s="3" t="n">
        <x:v>1</x:v>
      </x:c>
    </x:row>
    <x:row r="776" ht="21" customHeight="1">
      <x:c r="A776" s="3" t="n">
        <x:v>24</x:v>
      </x:c>
      <x:c r="B776" s="3" t="n">
        <x:v>2</x:v>
      </x:c>
      <x:c r="C776" s="3" t="n">
        <x:v>5</x:v>
      </x:c>
      <x:c r="D776" s="3" t="n">
        <x:v>1</x:v>
      </x:c>
      <x:c r="E776" s="3" t="n">
        <x:v>1</x:v>
      </x:c>
      <x:c r="F776" s="3" t="n">
        <x:v>1</x:v>
      </x:c>
    </x:row>
    <x:row r="777" ht="21" customHeight="1">
      <x:c r="A777" s="3" t="n">
        <x:v>24</x:v>
      </x:c>
      <x:c r="B777" s="3" t="n">
        <x:v>3</x:v>
      </x:c>
      <x:c r="C777" s="3" t="n">
        <x:v>6</x:v>
      </x:c>
      <x:c r="D777" s="3" t="n">
        <x:v>1</x:v>
      </x:c>
      <x:c r="E777" s="3" t="n">
        <x:v>1</x:v>
      </x:c>
      <x:c r="F777" s="3" t="n">
        <x:v>1</x:v>
      </x:c>
    </x:row>
    <x:row r="778" ht="21" customHeight="1">
      <x:c r="A778" s="3" t="n">
        <x:v>24</x:v>
      </x:c>
      <x:c r="B778" s="3" t="n">
        <x:v>4</x:v>
      </x:c>
      <x:c r="C778" s="3" t="n">
        <x:v>7</x:v>
      </x:c>
      <x:c r="D778" s="3" t="n">
        <x:v>1</x:v>
      </x:c>
      <x:c r="E778" s="3" t="n">
        <x:v>2</x:v>
      </x:c>
      <x:c r="F778" s="3" t="n">
        <x:v>2</x:v>
      </x:c>
    </x:row>
    <x:row r="779" ht="21" customHeight="1">
      <x:c r="A779" s="3" t="n">
        <x:v>24</x:v>
      </x:c>
      <x:c r="B779" s="3" t="n">
        <x:v>5</x:v>
      </x:c>
      <x:c r="C779" s="3" t="n">
        <x:v>8</x:v>
      </x:c>
      <x:c r="D779" s="3" t="n">
        <x:v>1</x:v>
      </x:c>
      <x:c r="E779" s="3" t="n">
        <x:v>2</x:v>
      </x:c>
      <x:c r="F779" s="3" t="n">
        <x:v>2</x:v>
      </x:c>
    </x:row>
    <x:row r="780" ht="21" customHeight="1">
      <x:c r="A780" s="3" t="n">
        <x:v>24</x:v>
      </x:c>
      <x:c r="B780" s="3" t="n">
        <x:v>6</x:v>
      </x:c>
      <x:c r="C780" s="3" t="n">
        <x:v>9</x:v>
      </x:c>
      <x:c r="D780" s="3" t="n">
        <x:v>2</x:v>
      </x:c>
      <x:c r="E780" s="3" t="n">
        <x:v>2</x:v>
      </x:c>
      <x:c r="F780" s="3" t="n">
        <x:v>1</x:v>
      </x:c>
    </x:row>
    <x:row r="781" ht="21" customHeight="1">
      <x:c r="A781" s="3" t="n">
        <x:v>24</x:v>
      </x:c>
      <x:c r="B781" s="3" t="n">
        <x:v>7</x:v>
      </x:c>
      <x:c r="C781" s="3" t="n">
        <x:v>10</x:v>
      </x:c>
      <x:c r="D781" s="3" t="n">
        <x:v>2</x:v>
      </x:c>
      <x:c r="E781" s="3" t="n">
        <x:v>2</x:v>
      </x:c>
      <x:c r="F781" s="3" t="n">
        <x:v>1</x:v>
      </x:c>
    </x:row>
    <x:row r="782" ht="21" customHeight="1">
      <x:c r="A782" s="3" t="n">
        <x:v>24</x:v>
      </x:c>
      <x:c r="B782" s="3" t="n">
        <x:v>8</x:v>
      </x:c>
      <x:c r="C782" s="3" t="n">
        <x:v>11</x:v>
      </x:c>
      <x:c r="D782" s="3" t="n">
        <x:v>2</x:v>
      </x:c>
      <x:c r="E782" s="3" t="n">
        <x:v>2</x:v>
      </x:c>
      <x:c r="F782" s="3" t="n">
        <x:v>1</x:v>
      </x:c>
    </x:row>
    <x:row r="783" ht="21" customHeight="1">
      <x:c r="A783" s="3" t="n">
        <x:v>24</x:v>
      </x:c>
      <x:c r="B783" s="3" t="n">
        <x:v>9</x:v>
      </x:c>
      <x:c r="C783" s="3" t="n">
        <x:v>12</x:v>
      </x:c>
      <x:c r="D783" s="3" t="n">
        <x:v>2</x:v>
      </x:c>
      <x:c r="E783" s="3" t="n">
        <x:v>2</x:v>
      </x:c>
      <x:c r="F783" s="3" t="n">
        <x:v>1</x:v>
      </x:c>
    </x:row>
    <x:row r="784" ht="21" customHeight="1">
      <x:c r="A784" s="3" t="n">
        <x:v>24</x:v>
      </x:c>
      <x:c r="B784" s="3" t="n">
        <x:v>10</x:v>
      </x:c>
      <x:c r="C784" s="3" t="n">
        <x:v>13</x:v>
      </x:c>
      <x:c r="D784" s="3" t="n">
        <x:v>2</x:v>
      </x:c>
      <x:c r="E784" s="3" t="n">
        <x:v>3</x:v>
      </x:c>
      <x:c r="F784" s="3" t="n">
        <x:v>2</x:v>
      </x:c>
    </x:row>
    <x:row r="785" ht="21" customHeight="1">
      <x:c r="A785" s="3" t="n">
        <x:v>24</x:v>
      </x:c>
      <x:c r="B785" s="3" t="n">
        <x:v>11</x:v>
      </x:c>
      <x:c r="C785" s="3" t="n">
        <x:v>14</x:v>
      </x:c>
      <x:c r="D785" s="3" t="n">
        <x:v>2</x:v>
      </x:c>
      <x:c r="E785" s="3" t="n">
        <x:v>3</x:v>
      </x:c>
      <x:c r="F785" s="3" t="n">
        <x:v>2</x:v>
      </x:c>
    </x:row>
    <x:row r="786" ht="21" customHeight="1">
      <x:c r="A786" s="3" t="n">
        <x:v>24</x:v>
      </x:c>
      <x:c r="B786" s="3" t="n">
        <x:v>12</x:v>
      </x:c>
      <x:c r="C786" s="3" t="n">
        <x:v>15</x:v>
      </x:c>
      <x:c r="D786" s="3" t="n">
        <x:v>3</x:v>
      </x:c>
      <x:c r="E786" s="3" t="n">
        <x:v>3</x:v>
      </x:c>
      <x:c r="F786" s="3" t="n">
        <x:v>1</x:v>
      </x:c>
    </x:row>
    <x:row r="787" ht="21" customHeight="1">
      <x:c r="A787" s="3" t="n">
        <x:v>24</x:v>
      </x:c>
      <x:c r="B787" s="3" t="n">
        <x:v>13</x:v>
      </x:c>
      <x:c r="C787" s="3" t="n">
        <x:v>16</x:v>
      </x:c>
      <x:c r="D787" s="3" t="n">
        <x:v>3</x:v>
      </x:c>
      <x:c r="E787" s="3" t="n">
        <x:v>3</x:v>
      </x:c>
      <x:c r="F787" s="3" t="n">
        <x:v>1</x:v>
      </x:c>
    </x:row>
    <x:row r="788" ht="21" customHeight="1">
      <x:c r="A788" s="3" t="n">
        <x:v>24</x:v>
      </x:c>
      <x:c r="B788" s="3" t="n">
        <x:v>14</x:v>
      </x:c>
      <x:c r="C788" s="3" t="n">
        <x:v>17</x:v>
      </x:c>
      <x:c r="D788" s="3" t="n">
        <x:v>3</x:v>
      </x:c>
      <x:c r="E788" s="3" t="n">
        <x:v>3</x:v>
      </x:c>
      <x:c r="F788" s="3" t="n">
        <x:v>1</x:v>
      </x:c>
    </x:row>
    <x:row r="789" ht="21" customHeight="1">
      <x:c r="A789" s="3" t="n">
        <x:v>24</x:v>
      </x:c>
      <x:c r="B789" s="3" t="n">
        <x:v>15</x:v>
      </x:c>
      <x:c r="C789" s="3" t="n">
        <x:v>18</x:v>
      </x:c>
      <x:c r="D789" s="3" t="n">
        <x:v>3</x:v>
      </x:c>
      <x:c r="E789" s="3" t="n">
        <x:v>3</x:v>
      </x:c>
      <x:c r="F789" s="3" t="n">
        <x:v>1</x:v>
      </x:c>
    </x:row>
    <x:row r="790" ht="21" customHeight="1">
      <x:c r="A790" s="3" t="n">
        <x:v>24</x:v>
      </x:c>
      <x:c r="B790" s="3" t="n">
        <x:v>16</x:v>
      </x:c>
      <x:c r="C790" s="3" t="n">
        <x:v>19</x:v>
      </x:c>
      <x:c r="D790" s="3" t="n">
        <x:v>3</x:v>
      </x:c>
      <x:c r="E790" s="3" t="n">
        <x:v>4</x:v>
      </x:c>
      <x:c r="F790" s="3" t="n">
        <x:v>2</x:v>
      </x:c>
    </x:row>
    <x:row r="791" ht="21" customHeight="1">
      <x:c r="A791" s="3" t="n">
        <x:v>24</x:v>
      </x:c>
      <x:c r="B791" s="3" t="n">
        <x:v>17</x:v>
      </x:c>
      <x:c r="C791" s="3" t="n">
        <x:v>20</x:v>
      </x:c>
      <x:c r="D791" s="3" t="n">
        <x:v>3</x:v>
      </x:c>
      <x:c r="E791" s="3" t="n">
        <x:v>4</x:v>
      </x:c>
      <x:c r="F791" s="3" t="n">
        <x:v>2</x:v>
      </x:c>
    </x:row>
    <x:row r="792" ht="21" customHeight="1">
      <x:c r="A792" s="3" t="n">
        <x:v>24</x:v>
      </x:c>
      <x:c r="B792" s="3" t="n">
        <x:v>18</x:v>
      </x:c>
      <x:c r="C792" s="3" t="n">
        <x:v>21</x:v>
      </x:c>
      <x:c r="D792" s="3" t="n">
        <x:v>4</x:v>
      </x:c>
      <x:c r="E792" s="3" t="n">
        <x:v>4</x:v>
      </x:c>
      <x:c r="F792" s="3" t="n">
        <x:v>1</x:v>
      </x:c>
    </x:row>
    <x:row r="793" ht="21" customHeight="1">
      <x:c r="A793" s="3" t="n">
        <x:v>24</x:v>
      </x:c>
      <x:c r="B793" s="3" t="n">
        <x:v>19</x:v>
      </x:c>
      <x:c r="C793" s="3" t="n">
        <x:v>22</x:v>
      </x:c>
      <x:c r="D793" s="3" t="n">
        <x:v>4</x:v>
      </x:c>
      <x:c r="E793" s="3" t="n">
        <x:v>4</x:v>
      </x:c>
      <x:c r="F793" s="3" t="n">
        <x:v>1</x:v>
      </x:c>
    </x:row>
    <x:row r="794" ht="21" customHeight="1">
      <x:c r="A794" s="3" t="n">
        <x:v>24</x:v>
      </x:c>
      <x:c r="B794" s="3" t="n">
        <x:v>20</x:v>
      </x:c>
      <x:c r="C794" s="3" t="n">
        <x:v>23</x:v>
      </x:c>
      <x:c r="D794" s="3" t="n">
        <x:v>4</x:v>
      </x:c>
      <x:c r="E794" s="3" t="n">
        <x:v>4</x:v>
      </x:c>
      <x:c r="F794" s="3" t="n">
        <x:v>1</x:v>
      </x:c>
    </x:row>
    <x:row r="795" ht="21" customHeight="1">
      <x:c r="A795" s="3" t="n">
        <x:v>24</x:v>
      </x:c>
      <x:c r="B795" s="3" t="n">
        <x:v>21</x:v>
      </x:c>
      <x:c r="C795" s="3" t="n">
        <x:v>24</x:v>
      </x:c>
      <x:c r="D795" s="3" t="n">
        <x:v>4</x:v>
      </x:c>
      <x:c r="E795" s="3" t="n">
        <x:v>4</x:v>
      </x:c>
      <x:c r="F795" s="3" t="n">
        <x:v>1</x:v>
      </x:c>
    </x:row>
    <x:row r="796" ht="21" customHeight="1">
      <x:c r="A796" s="3" t="n">
        <x:v>24</x:v>
      </x:c>
      <x:c r="B796" s="3" t="n">
        <x:v>22</x:v>
      </x:c>
      <x:c r="C796" s="3" t="n">
        <x:v>25</x:v>
      </x:c>
      <x:c r="D796" s="3" t="n">
        <x:v>4</x:v>
      </x:c>
      <x:c r="E796" s="3" t="n">
        <x:v>5</x:v>
      </x:c>
      <x:c r="F796" s="3" t="n">
        <x:v>2</x:v>
      </x:c>
    </x:row>
    <x:row r="797" ht="21" customHeight="1">
      <x:c r="A797" s="3" t="n">
        <x:v>24</x:v>
      </x:c>
      <x:c r="B797" s="3" t="n">
        <x:v>23</x:v>
      </x:c>
      <x:c r="C797" s="3" t="n">
        <x:v>26</x:v>
      </x:c>
      <x:c r="D797" s="3" t="n">
        <x:v>4</x:v>
      </x:c>
      <x:c r="E797" s="3" t="n">
        <x:v>5</x:v>
      </x:c>
      <x:c r="F797" s="3" t="n">
        <x:v>2</x:v>
      </x:c>
    </x:row>
    <x:row r="798" ht="21" customHeight="1">
      <x:c r="A798" s="3" t="n">
        <x:v>24</x:v>
      </x:c>
      <x:c r="B798" s="3" t="n">
        <x:v>24</x:v>
      </x:c>
      <x:c r="C798" s="3" t="n">
        <x:v>27</x:v>
      </x:c>
      <x:c r="D798" s="3" t="n">
        <x:v>5</x:v>
      </x:c>
      <x:c r="E798" s="3" t="n">
        <x:v>5</x:v>
      </x:c>
      <x:c r="F798" s="3" t="n">
        <x:v>1</x:v>
      </x:c>
    </x:row>
    <x:row r="799" ht="21" customHeight="1">
      <x:c r="A799" s="3" t="n">
        <x:v>24</x:v>
      </x:c>
      <x:c r="B799" s="3" t="n">
        <x:v>25</x:v>
      </x:c>
      <x:c r="C799" s="3" t="n">
        <x:v>28</x:v>
      </x:c>
      <x:c r="D799" s="3" t="n">
        <x:v>5</x:v>
      </x:c>
      <x:c r="E799" s="3" t="n">
        <x:v>5</x:v>
      </x:c>
      <x:c r="F799" s="3" t="n">
        <x:v>1</x:v>
      </x:c>
    </x:row>
    <x:row r="800" ht="21" customHeight="1">
      <x:c r="A800" s="3" t="n">
        <x:v>24</x:v>
      </x:c>
      <x:c r="B800" s="3" t="n">
        <x:v>26</x:v>
      </x:c>
      <x:c r="C800" s="3" t="n">
        <x:v>29</x:v>
      </x:c>
      <x:c r="D800" s="3" t="n">
        <x:v>5</x:v>
      </x:c>
      <x:c r="E800" s="3" t="n">
        <x:v>5</x:v>
      </x:c>
      <x:c r="F800" s="3" t="n">
        <x:v>1</x:v>
      </x:c>
    </x:row>
    <x:row r="801" ht="21" customHeight="1">
      <x:c r="A801" s="3" t="n">
        <x:v>24</x:v>
      </x:c>
      <x:c r="B801" s="3" t="n">
        <x:v>27</x:v>
      </x:c>
      <x:c r="C801" s="3" t="n">
        <x:v>30</x:v>
      </x:c>
      <x:c r="D801" s="3" t="n">
        <x:v>5</x:v>
      </x:c>
      <x:c r="E801" s="3" t="n">
        <x:v>5</x:v>
      </x:c>
      <x:c r="F801" s="3" t="n">
        <x:v>1</x:v>
      </x:c>
    </x:row>
    <x:row r="802" ht="21" customHeight="1">
      <x:c r="A802" s="3" t="n">
        <x:v>24</x:v>
      </x:c>
      <x:c r="B802" s="3" t="n">
        <x:v>28</x:v>
      </x:c>
      <x:c r="C802" s="3" t="n">
        <x:v>31</x:v>
      </x:c>
      <x:c r="D802" s="3" t="n">
        <x:v>5</x:v>
      </x:c>
      <x:c r="E802" s="3" t="n">
        <x:v>6</x:v>
      </x:c>
      <x:c r="F802" s="3" t="n">
        <x:v>2</x:v>
      </x:c>
    </x:row>
    <x:row r="803" ht="21" customHeight="1">
      <x:c r="A803" s="3" t="n">
        <x:v>24</x:v>
      </x:c>
      <x:c r="B803" s="3" t="n">
        <x:v>29</x:v>
      </x:c>
      <x:c r="C803" s="3" t="n">
        <x:v>32</x:v>
      </x:c>
      <x:c r="D803" s="3" t="n">
        <x:v>5</x:v>
      </x:c>
      <x:c r="E803" s="3" t="n">
        <x:v>6</x:v>
      </x:c>
      <x:c r="F803" s="3" t="n">
        <x:v>2</x:v>
      </x:c>
    </x:row>
    <x:row r="804" ht="21" customHeight="1">
      <x:c r="A804" s="3" t="n">
        <x:v>24</x:v>
      </x:c>
      <x:c r="B804" s="3" t="n">
        <x:v>30</x:v>
      </x:c>
      <x:c r="C804" s="3" t="n">
        <x:v>33</x:v>
      </x:c>
      <x:c r="D804" s="3" t="n">
        <x:v>6</x:v>
      </x:c>
      <x:c r="E804" s="3" t="n">
        <x:v>6</x:v>
      </x:c>
      <x:c r="F804" s="3" t="n">
        <x:v>1</x:v>
      </x:c>
    </x:row>
    <x:row r="805" ht="21" customHeight="1">
      <x:c r="A805" s="3" t="n">
        <x:v>24</x:v>
      </x:c>
      <x:c r="B805" s="3" t="n">
        <x:v>31</x:v>
      </x:c>
      <x:c r="C805" s="3" t="n">
        <x:v>34</x:v>
      </x:c>
      <x:c r="D805" s="3" t="n">
        <x:v>6</x:v>
      </x:c>
      <x:c r="E805" s="3" t="n">
        <x:v>6</x:v>
      </x:c>
      <x:c r="F805" s="3" t="n">
        <x:v>1</x:v>
      </x:c>
    </x:row>
    <x:row r="806" ht="21" customHeight="1">
      <x:c r="A806" s="3" t="n">
        <x:v>24</x:v>
      </x:c>
      <x:c r="B806" s="3" t="n">
        <x:v>32</x:v>
      </x:c>
      <x:c r="C806" s="3" t="n">
        <x:v>35</x:v>
      </x:c>
      <x:c r="D806" s="3" t="n">
        <x:v>6</x:v>
      </x:c>
      <x:c r="E806" s="3" t="n">
        <x:v>6</x:v>
      </x:c>
      <x:c r="F806" s="3" t="n">
        <x:v>1</x:v>
      </x:c>
    </x:row>
    <x:row r="807" ht="21" customHeight="1">
      <x:c r="A807" s="3" t="n">
        <x:v>24</x:v>
      </x:c>
      <x:c r="B807" s="3" t="n">
        <x:v>33</x:v>
      </x:c>
      <x:c r="C807" s="3" t="n">
        <x:v>36</x:v>
      </x:c>
      <x:c r="D807" s="3" t="n">
        <x:v>6</x:v>
      </x:c>
      <x:c r="E807" s="3" t="n">
        <x:v>6</x:v>
      </x:c>
      <x:c r="F807" s="3" t="n">
        <x:v>1</x:v>
      </x:c>
    </x:row>
    <x:row r="808" ht="21" customHeight="1">
      <x:c r="A808" s="3" t="n">
        <x:v>25</x:v>
      </x:c>
      <x:c r="B808" s="3" t="n">
        <x:v>0</x:v>
      </x:c>
      <x:c r="C808" s="3" t="n">
        <x:v>2</x:v>
      </x:c>
      <x:c r="D808" s="3" t="n">
        <x:v>1</x:v>
      </x:c>
      <x:c r="E808" s="3" t="n">
        <x:v>1</x:v>
      </x:c>
      <x:c r="F808" s="3" t="n">
        <x:v>1</x:v>
      </x:c>
    </x:row>
    <x:row r="809" ht="21" customHeight="1">
      <x:c r="A809" s="3" t="n">
        <x:v>25</x:v>
      </x:c>
      <x:c r="B809" s="3" t="n">
        <x:v>1</x:v>
      </x:c>
      <x:c r="C809" s="3" t="n">
        <x:v>3</x:v>
      </x:c>
      <x:c r="D809" s="3" t="n">
        <x:v>1</x:v>
      </x:c>
      <x:c r="E809" s="3" t="n">
        <x:v>1</x:v>
      </x:c>
      <x:c r="F809" s="3" t="n">
        <x:v>1</x:v>
      </x:c>
    </x:row>
    <x:row r="810" ht="21" customHeight="1">
      <x:c r="A810" s="3" t="n">
        <x:v>25</x:v>
      </x:c>
      <x:c r="B810" s="3" t="n">
        <x:v>2</x:v>
      </x:c>
      <x:c r="C810" s="3" t="n">
        <x:v>4</x:v>
      </x:c>
      <x:c r="D810" s="3" t="n">
        <x:v>1</x:v>
      </x:c>
      <x:c r="E810" s="3" t="n">
        <x:v>1</x:v>
      </x:c>
      <x:c r="F810" s="3" t="n">
        <x:v>1</x:v>
      </x:c>
    </x:row>
    <x:row r="811" ht="21" customHeight="1">
      <x:c r="A811" s="3" t="n">
        <x:v>25</x:v>
      </x:c>
      <x:c r="B811" s="3" t="n">
        <x:v>3</x:v>
      </x:c>
      <x:c r="C811" s="3" t="n">
        <x:v>5</x:v>
      </x:c>
      <x:c r="D811" s="3" t="n">
        <x:v>1</x:v>
      </x:c>
      <x:c r="E811" s="3" t="n">
        <x:v>1</x:v>
      </x:c>
      <x:c r="F811" s="3" t="n">
        <x:v>1</x:v>
      </x:c>
    </x:row>
    <x:row r="812" ht="21" customHeight="1">
      <x:c r="A812" s="3" t="n">
        <x:v>25</x:v>
      </x:c>
      <x:c r="B812" s="3" t="n">
        <x:v>4</x:v>
      </x:c>
      <x:c r="C812" s="3" t="n">
        <x:v>6</x:v>
      </x:c>
      <x:c r="D812" s="3" t="n">
        <x:v>1</x:v>
      </x:c>
      <x:c r="E812" s="3" t="n">
        <x:v>1</x:v>
      </x:c>
      <x:c r="F812" s="3" t="n">
        <x:v>1</x:v>
      </x:c>
    </x:row>
    <x:row r="813" ht="21" customHeight="1">
      <x:c r="A813" s="3" t="n">
        <x:v>25</x:v>
      </x:c>
      <x:c r="B813" s="3" t="n">
        <x:v>5</x:v>
      </x:c>
      <x:c r="C813" s="3" t="n">
        <x:v>7</x:v>
      </x:c>
      <x:c r="D813" s="3" t="n">
        <x:v>1</x:v>
      </x:c>
      <x:c r="E813" s="3" t="n">
        <x:v>2</x:v>
      </x:c>
      <x:c r="F813" s="3" t="n">
        <x:v>2</x:v>
      </x:c>
    </x:row>
    <x:row r="814" ht="21" customHeight="1">
      <x:c r="A814" s="3" t="n">
        <x:v>25</x:v>
      </x:c>
      <x:c r="B814" s="3" t="n">
        <x:v>6</x:v>
      </x:c>
      <x:c r="C814" s="3" t="n">
        <x:v>8</x:v>
      </x:c>
      <x:c r="D814" s="3" t="n">
        <x:v>2</x:v>
      </x:c>
      <x:c r="E814" s="3" t="n">
        <x:v>2</x:v>
      </x:c>
      <x:c r="F814" s="3" t="n">
        <x:v>1</x:v>
      </x:c>
    </x:row>
    <x:row r="815" ht="21" customHeight="1">
      <x:c r="A815" s="3" t="n">
        <x:v>25</x:v>
      </x:c>
      <x:c r="B815" s="3" t="n">
        <x:v>7</x:v>
      </x:c>
      <x:c r="C815" s="3" t="n">
        <x:v>9</x:v>
      </x:c>
      <x:c r="D815" s="3" t="n">
        <x:v>2</x:v>
      </x:c>
      <x:c r="E815" s="3" t="n">
        <x:v>2</x:v>
      </x:c>
      <x:c r="F815" s="3" t="n">
        <x:v>1</x:v>
      </x:c>
    </x:row>
    <x:row r="816" ht="21" customHeight="1">
      <x:c r="A816" s="3" t="n">
        <x:v>25</x:v>
      </x:c>
      <x:c r="B816" s="3" t="n">
        <x:v>8</x:v>
      </x:c>
      <x:c r="C816" s="3" t="n">
        <x:v>10</x:v>
      </x:c>
      <x:c r="D816" s="3" t="n">
        <x:v>2</x:v>
      </x:c>
      <x:c r="E816" s="3" t="n">
        <x:v>2</x:v>
      </x:c>
      <x:c r="F816" s="3" t="n">
        <x:v>1</x:v>
      </x:c>
    </x:row>
    <x:row r="817" ht="21" customHeight="1">
      <x:c r="A817" s="3" t="n">
        <x:v>25</x:v>
      </x:c>
      <x:c r="B817" s="3" t="n">
        <x:v>9</x:v>
      </x:c>
      <x:c r="C817" s="3" t="n">
        <x:v>11</x:v>
      </x:c>
      <x:c r="D817" s="3" t="n">
        <x:v>2</x:v>
      </x:c>
      <x:c r="E817" s="3" t="n">
        <x:v>2</x:v>
      </x:c>
      <x:c r="F817" s="3" t="n">
        <x:v>1</x:v>
      </x:c>
    </x:row>
    <x:row r="818" ht="21" customHeight="1">
      <x:c r="A818" s="3" t="n">
        <x:v>25</x:v>
      </x:c>
      <x:c r="B818" s="3" t="n">
        <x:v>10</x:v>
      </x:c>
      <x:c r="C818" s="3" t="n">
        <x:v>12</x:v>
      </x:c>
      <x:c r="D818" s="3" t="n">
        <x:v>2</x:v>
      </x:c>
      <x:c r="E818" s="3" t="n">
        <x:v>2</x:v>
      </x:c>
      <x:c r="F818" s="3" t="n">
        <x:v>1</x:v>
      </x:c>
    </x:row>
    <x:row r="819" ht="21" customHeight="1">
      <x:c r="A819" s="3" t="n">
        <x:v>25</x:v>
      </x:c>
      <x:c r="B819" s="3" t="n">
        <x:v>11</x:v>
      </x:c>
      <x:c r="C819" s="3" t="n">
        <x:v>13</x:v>
      </x:c>
      <x:c r="D819" s="3" t="n">
        <x:v>2</x:v>
      </x:c>
      <x:c r="E819" s="3" t="n">
        <x:v>3</x:v>
      </x:c>
      <x:c r="F819" s="3" t="n">
        <x:v>2</x:v>
      </x:c>
    </x:row>
    <x:row r="820" ht="21" customHeight="1">
      <x:c r="A820" s="3" t="n">
        <x:v>25</x:v>
      </x:c>
      <x:c r="B820" s="3" t="n">
        <x:v>12</x:v>
      </x:c>
      <x:c r="C820" s="3" t="n">
        <x:v>14</x:v>
      </x:c>
      <x:c r="D820" s="3" t="n">
        <x:v>3</x:v>
      </x:c>
      <x:c r="E820" s="3" t="n">
        <x:v>3</x:v>
      </x:c>
      <x:c r="F820" s="3" t="n">
        <x:v>1</x:v>
      </x:c>
    </x:row>
    <x:row r="821" ht="21" customHeight="1">
      <x:c r="A821" s="3" t="n">
        <x:v>25</x:v>
      </x:c>
      <x:c r="B821" s="3" t="n">
        <x:v>13</x:v>
      </x:c>
      <x:c r="C821" s="3" t="n">
        <x:v>15</x:v>
      </x:c>
      <x:c r="D821" s="3" t="n">
        <x:v>3</x:v>
      </x:c>
      <x:c r="E821" s="3" t="n">
        <x:v>3</x:v>
      </x:c>
      <x:c r="F821" s="3" t="n">
        <x:v>1</x:v>
      </x:c>
    </x:row>
    <x:row r="822" ht="21" customHeight="1">
      <x:c r="A822" s="3" t="n">
        <x:v>25</x:v>
      </x:c>
      <x:c r="B822" s="3" t="n">
        <x:v>14</x:v>
      </x:c>
      <x:c r="C822" s="3" t="n">
        <x:v>16</x:v>
      </x:c>
      <x:c r="D822" s="3" t="n">
        <x:v>3</x:v>
      </x:c>
      <x:c r="E822" s="3" t="n">
        <x:v>3</x:v>
      </x:c>
      <x:c r="F822" s="3" t="n">
        <x:v>1</x:v>
      </x:c>
    </x:row>
    <x:row r="823" ht="21" customHeight="1">
      <x:c r="A823" s="3" t="n">
        <x:v>25</x:v>
      </x:c>
      <x:c r="B823" s="3" t="n">
        <x:v>15</x:v>
      </x:c>
      <x:c r="C823" s="3" t="n">
        <x:v>17</x:v>
      </x:c>
      <x:c r="D823" s="3" t="n">
        <x:v>3</x:v>
      </x:c>
      <x:c r="E823" s="3" t="n">
        <x:v>3</x:v>
      </x:c>
      <x:c r="F823" s="3" t="n">
        <x:v>1</x:v>
      </x:c>
    </x:row>
    <x:row r="824" ht="21" customHeight="1">
      <x:c r="A824" s="3" t="n">
        <x:v>25</x:v>
      </x:c>
      <x:c r="B824" s="3" t="n">
        <x:v>16</x:v>
      </x:c>
      <x:c r="C824" s="3" t="n">
        <x:v>18</x:v>
      </x:c>
      <x:c r="D824" s="3" t="n">
        <x:v>3</x:v>
      </x:c>
      <x:c r="E824" s="3" t="n">
        <x:v>3</x:v>
      </x:c>
      <x:c r="F824" s="3" t="n">
        <x:v>1</x:v>
      </x:c>
    </x:row>
    <x:row r="825" ht="21" customHeight="1">
      <x:c r="A825" s="3" t="n">
        <x:v>25</x:v>
      </x:c>
      <x:c r="B825" s="3" t="n">
        <x:v>17</x:v>
      </x:c>
      <x:c r="C825" s="3" t="n">
        <x:v>19</x:v>
      </x:c>
      <x:c r="D825" s="3" t="n">
        <x:v>3</x:v>
      </x:c>
      <x:c r="E825" s="3" t="n">
        <x:v>4</x:v>
      </x:c>
      <x:c r="F825" s="3" t="n">
        <x:v>2</x:v>
      </x:c>
    </x:row>
    <x:row r="826" ht="21" customHeight="1">
      <x:c r="A826" s="3" t="n">
        <x:v>25</x:v>
      </x:c>
      <x:c r="B826" s="3" t="n">
        <x:v>18</x:v>
      </x:c>
      <x:c r="C826" s="3" t="n">
        <x:v>20</x:v>
      </x:c>
      <x:c r="D826" s="3" t="n">
        <x:v>4</x:v>
      </x:c>
      <x:c r="E826" s="3" t="n">
        <x:v>4</x:v>
      </x:c>
      <x:c r="F826" s="3" t="n">
        <x:v>1</x:v>
      </x:c>
    </x:row>
    <x:row r="827" ht="21" customHeight="1">
      <x:c r="A827" s="3" t="n">
        <x:v>25</x:v>
      </x:c>
      <x:c r="B827" s="3" t="n">
        <x:v>19</x:v>
      </x:c>
      <x:c r="C827" s="3" t="n">
        <x:v>21</x:v>
      </x:c>
      <x:c r="D827" s="3" t="n">
        <x:v>4</x:v>
      </x:c>
      <x:c r="E827" s="3" t="n">
        <x:v>4</x:v>
      </x:c>
      <x:c r="F827" s="3" t="n">
        <x:v>1</x:v>
      </x:c>
    </x:row>
    <x:row r="828" ht="21" customHeight="1">
      <x:c r="A828" s="3" t="n">
        <x:v>25</x:v>
      </x:c>
      <x:c r="B828" s="3" t="n">
        <x:v>20</x:v>
      </x:c>
      <x:c r="C828" s="3" t="n">
        <x:v>22</x:v>
      </x:c>
      <x:c r="D828" s="3" t="n">
        <x:v>4</x:v>
      </x:c>
      <x:c r="E828" s="3" t="n">
        <x:v>4</x:v>
      </x:c>
      <x:c r="F828" s="3" t="n">
        <x:v>1</x:v>
      </x:c>
    </x:row>
    <x:row r="829" ht="21" customHeight="1">
      <x:c r="A829" s="3" t="n">
        <x:v>25</x:v>
      </x:c>
      <x:c r="B829" s="3" t="n">
        <x:v>21</x:v>
      </x:c>
      <x:c r="C829" s="3" t="n">
        <x:v>23</x:v>
      </x:c>
      <x:c r="D829" s="3" t="n">
        <x:v>4</x:v>
      </x:c>
      <x:c r="E829" s="3" t="n">
        <x:v>4</x:v>
      </x:c>
      <x:c r="F829" s="3" t="n">
        <x:v>1</x:v>
      </x:c>
    </x:row>
    <x:row r="830" ht="21" customHeight="1">
      <x:c r="A830" s="3" t="n">
        <x:v>25</x:v>
      </x:c>
      <x:c r="B830" s="3" t="n">
        <x:v>22</x:v>
      </x:c>
      <x:c r="C830" s="3" t="n">
        <x:v>24</x:v>
      </x:c>
      <x:c r="D830" s="3" t="n">
        <x:v>4</x:v>
      </x:c>
      <x:c r="E830" s="3" t="n">
        <x:v>4</x:v>
      </x:c>
      <x:c r="F830" s="3" t="n">
        <x:v>1</x:v>
      </x:c>
    </x:row>
    <x:row r="831" ht="21" customHeight="1">
      <x:c r="A831" s="3" t="n">
        <x:v>25</x:v>
      </x:c>
      <x:c r="B831" s="3" t="n">
        <x:v>23</x:v>
      </x:c>
      <x:c r="C831" s="3" t="n">
        <x:v>25</x:v>
      </x:c>
      <x:c r="D831" s="3" t="n">
        <x:v>4</x:v>
      </x:c>
      <x:c r="E831" s="3" t="n">
        <x:v>5</x:v>
      </x:c>
      <x:c r="F831" s="3" t="n">
        <x:v>2</x:v>
      </x:c>
    </x:row>
    <x:row r="832" ht="21" customHeight="1">
      <x:c r="A832" s="3" t="n">
        <x:v>25</x:v>
      </x:c>
      <x:c r="B832" s="3" t="n">
        <x:v>24</x:v>
      </x:c>
      <x:c r="C832" s="3" t="n">
        <x:v>26</x:v>
      </x:c>
      <x:c r="D832" s="3" t="n">
        <x:v>5</x:v>
      </x:c>
      <x:c r="E832" s="3" t="n">
        <x:v>5</x:v>
      </x:c>
      <x:c r="F832" s="3" t="n">
        <x:v>1</x:v>
      </x:c>
    </x:row>
    <x:row r="833" ht="21" customHeight="1">
      <x:c r="A833" s="3" t="n">
        <x:v>25</x:v>
      </x:c>
      <x:c r="B833" s="3" t="n">
        <x:v>25</x:v>
      </x:c>
      <x:c r="C833" s="3" t="n">
        <x:v>27</x:v>
      </x:c>
      <x:c r="D833" s="3" t="n">
        <x:v>5</x:v>
      </x:c>
      <x:c r="E833" s="3" t="n">
        <x:v>5</x:v>
      </x:c>
      <x:c r="F833" s="3" t="n">
        <x:v>1</x:v>
      </x:c>
    </x:row>
    <x:row r="834" ht="21" customHeight="1">
      <x:c r="A834" s="3" t="n">
        <x:v>25</x:v>
      </x:c>
      <x:c r="B834" s="3" t="n">
        <x:v>26</x:v>
      </x:c>
      <x:c r="C834" s="3" t="n">
        <x:v>28</x:v>
      </x:c>
      <x:c r="D834" s="3" t="n">
        <x:v>5</x:v>
      </x:c>
      <x:c r="E834" s="3" t="n">
        <x:v>5</x:v>
      </x:c>
      <x:c r="F834" s="3" t="n">
        <x:v>1</x:v>
      </x:c>
    </x:row>
    <x:row r="835" ht="21" customHeight="1">
      <x:c r="A835" s="3" t="n">
        <x:v>25</x:v>
      </x:c>
      <x:c r="B835" s="3" t="n">
        <x:v>27</x:v>
      </x:c>
      <x:c r="C835" s="3" t="n">
        <x:v>29</x:v>
      </x:c>
      <x:c r="D835" s="3" t="n">
        <x:v>5</x:v>
      </x:c>
      <x:c r="E835" s="3" t="n">
        <x:v>5</x:v>
      </x:c>
      <x:c r="F835" s="3" t="n">
        <x:v>1</x:v>
      </x:c>
    </x:row>
    <x:row r="836" ht="21" customHeight="1">
      <x:c r="A836" s="3" t="n">
        <x:v>25</x:v>
      </x:c>
      <x:c r="B836" s="3" t="n">
        <x:v>28</x:v>
      </x:c>
      <x:c r="C836" s="3" t="n">
        <x:v>30</x:v>
      </x:c>
      <x:c r="D836" s="3" t="n">
        <x:v>5</x:v>
      </x:c>
      <x:c r="E836" s="3" t="n">
        <x:v>5</x:v>
      </x:c>
      <x:c r="F836" s="3" t="n">
        <x:v>1</x:v>
      </x:c>
    </x:row>
    <x:row r="837" ht="21" customHeight="1">
      <x:c r="A837" s="3" t="n">
        <x:v>25</x:v>
      </x:c>
      <x:c r="B837" s="3" t="n">
        <x:v>29</x:v>
      </x:c>
      <x:c r="C837" s="3" t="n">
        <x:v>31</x:v>
      </x:c>
      <x:c r="D837" s="3" t="n">
        <x:v>5</x:v>
      </x:c>
      <x:c r="E837" s="3" t="n">
        <x:v>6</x:v>
      </x:c>
      <x:c r="F837" s="3" t="n">
        <x:v>2</x:v>
      </x:c>
    </x:row>
    <x:row r="838" ht="21" customHeight="1">
      <x:c r="A838" s="3" t="n">
        <x:v>25</x:v>
      </x:c>
      <x:c r="B838" s="3" t="n">
        <x:v>30</x:v>
      </x:c>
      <x:c r="C838" s="3" t="n">
        <x:v>32</x:v>
      </x:c>
      <x:c r="D838" s="3" t="n">
        <x:v>6</x:v>
      </x:c>
      <x:c r="E838" s="3" t="n">
        <x:v>6</x:v>
      </x:c>
      <x:c r="F838" s="3" t="n">
        <x:v>1</x:v>
      </x:c>
    </x:row>
    <x:row r="839" ht="21" customHeight="1">
      <x:c r="A839" s="3" t="n">
        <x:v>25</x:v>
      </x:c>
      <x:c r="B839" s="3" t="n">
        <x:v>31</x:v>
      </x:c>
      <x:c r="C839" s="3" t="n">
        <x:v>33</x:v>
      </x:c>
      <x:c r="D839" s="3" t="n">
        <x:v>6</x:v>
      </x:c>
      <x:c r="E839" s="3" t="n">
        <x:v>6</x:v>
      </x:c>
      <x:c r="F839" s="3" t="n">
        <x:v>1</x:v>
      </x:c>
    </x:row>
    <x:row r="840" ht="21" customHeight="1">
      <x:c r="A840" s="3" t="n">
        <x:v>25</x:v>
      </x:c>
      <x:c r="B840" s="3" t="n">
        <x:v>32</x:v>
      </x:c>
      <x:c r="C840" s="3" t="n">
        <x:v>34</x:v>
      </x:c>
      <x:c r="D840" s="3" t="n">
        <x:v>6</x:v>
      </x:c>
      <x:c r="E840" s="3" t="n">
        <x:v>6</x:v>
      </x:c>
      <x:c r="F840" s="3" t="n">
        <x:v>1</x:v>
      </x:c>
    </x:row>
    <x:row r="841" ht="21" customHeight="1">
      <x:c r="A841" s="3" t="n">
        <x:v>25</x:v>
      </x:c>
      <x:c r="B841" s="3" t="n">
        <x:v>33</x:v>
      </x:c>
      <x:c r="C841" s="3" t="n">
        <x:v>35</x:v>
      </x:c>
      <x:c r="D841" s="3" t="n">
        <x:v>6</x:v>
      </x:c>
      <x:c r="E841" s="3" t="n">
        <x:v>6</x:v>
      </x:c>
      <x:c r="F841" s="3" t="n">
        <x:v>1</x:v>
      </x:c>
    </x:row>
    <x:row r="842" ht="21" customHeight="1">
      <x:c r="A842" s="3" t="n">
        <x:v>25</x:v>
      </x:c>
      <x:c r="B842" s="3" t="n">
        <x:v>34</x:v>
      </x:c>
      <x:c r="C842" s="3" t="n">
        <x:v>36</x:v>
      </x:c>
      <x:c r="D842" s="3" t="n">
        <x:v>6</x:v>
      </x:c>
      <x:c r="E842" s="3" t="n">
        <x:v>6</x:v>
      </x:c>
      <x:c r="F842" s="3" t="n">
        <x:v>1</x:v>
      </x:c>
    </x:row>
    <x:row r="843" ht="21" customHeight="1">
      <x:c r="A843" s="3" t="n">
        <x:v>26</x:v>
      </x:c>
      <x:c r="B843" s="3" t="n">
        <x:v>0</x:v>
      </x:c>
      <x:c r="C843" s="3" t="n">
        <x:v>2</x:v>
      </x:c>
      <x:c r="D843" s="3" t="n">
        <x:v>1</x:v>
      </x:c>
      <x:c r="E843" s="3" t="n">
        <x:v>1</x:v>
      </x:c>
      <x:c r="F843" s="3" t="n">
        <x:v>1</x:v>
      </x:c>
    </x:row>
    <x:row r="844" ht="21" customHeight="1">
      <x:c r="A844" s="3" t="n">
        <x:v>26</x:v>
      </x:c>
      <x:c r="B844" s="3" t="n">
        <x:v>1</x:v>
      </x:c>
      <x:c r="C844" s="3" t="n">
        <x:v>3</x:v>
      </x:c>
      <x:c r="D844" s="3" t="n">
        <x:v>1</x:v>
      </x:c>
      <x:c r="E844" s="3" t="n">
        <x:v>1</x:v>
      </x:c>
      <x:c r="F844" s="3" t="n">
        <x:v>1</x:v>
      </x:c>
    </x:row>
    <x:row r="845" ht="21" customHeight="1">
      <x:c r="A845" s="3" t="n">
        <x:v>26</x:v>
      </x:c>
      <x:c r="B845" s="3" t="n">
        <x:v>2</x:v>
      </x:c>
      <x:c r="C845" s="3" t="n">
        <x:v>4</x:v>
      </x:c>
      <x:c r="D845" s="3" t="n">
        <x:v>1</x:v>
      </x:c>
      <x:c r="E845" s="3" t="n">
        <x:v>1</x:v>
      </x:c>
      <x:c r="F845" s="3" t="n">
        <x:v>1</x:v>
      </x:c>
    </x:row>
    <x:row r="846" ht="21" customHeight="1">
      <x:c r="A846" s="3" t="n">
        <x:v>26</x:v>
      </x:c>
      <x:c r="B846" s="3" t="n">
        <x:v>3</x:v>
      </x:c>
      <x:c r="C846" s="3" t="n">
        <x:v>5</x:v>
      </x:c>
      <x:c r="D846" s="3" t="n">
        <x:v>1</x:v>
      </x:c>
      <x:c r="E846" s="3" t="n">
        <x:v>1</x:v>
      </x:c>
      <x:c r="F846" s="3" t="n">
        <x:v>1</x:v>
      </x:c>
    </x:row>
    <x:row r="847" ht="21" customHeight="1">
      <x:c r="A847" s="3" t="n">
        <x:v>26</x:v>
      </x:c>
      <x:c r="B847" s="3" t="n">
        <x:v>4</x:v>
      </x:c>
      <x:c r="C847" s="3" t="n">
        <x:v>6</x:v>
      </x:c>
      <x:c r="D847" s="3" t="n">
        <x:v>1</x:v>
      </x:c>
      <x:c r="E847" s="3" t="n">
        <x:v>1</x:v>
      </x:c>
      <x:c r="F847" s="3" t="n">
        <x:v>1</x:v>
      </x:c>
    </x:row>
    <x:row r="848" ht="21" customHeight="1">
      <x:c r="A848" s="3" t="n">
        <x:v>26</x:v>
      </x:c>
      <x:c r="B848" s="3" t="n">
        <x:v>5</x:v>
      </x:c>
      <x:c r="C848" s="3" t="n">
        <x:v>7</x:v>
      </x:c>
      <x:c r="D848" s="3" t="n">
        <x:v>1</x:v>
      </x:c>
      <x:c r="E848" s="3" t="n">
        <x:v>2</x:v>
      </x:c>
      <x:c r="F848" s="3" t="n">
        <x:v>2</x:v>
      </x:c>
    </x:row>
    <x:row r="849" ht="21" customHeight="1">
      <x:c r="A849" s="3" t="n">
        <x:v>26</x:v>
      </x:c>
      <x:c r="B849" s="3" t="n">
        <x:v>6</x:v>
      </x:c>
      <x:c r="C849" s="3" t="n">
        <x:v>8</x:v>
      </x:c>
      <x:c r="D849" s="3" t="n">
        <x:v>2</x:v>
      </x:c>
      <x:c r="E849" s="3" t="n">
        <x:v>2</x:v>
      </x:c>
      <x:c r="F849" s="3" t="n">
        <x:v>1</x:v>
      </x:c>
    </x:row>
    <x:row r="850" ht="21" customHeight="1">
      <x:c r="A850" s="3" t="n">
        <x:v>26</x:v>
      </x:c>
      <x:c r="B850" s="3" t="n">
        <x:v>7</x:v>
      </x:c>
      <x:c r="C850" s="3" t="n">
        <x:v>9</x:v>
      </x:c>
      <x:c r="D850" s="3" t="n">
        <x:v>2</x:v>
      </x:c>
      <x:c r="E850" s="3" t="n">
        <x:v>2</x:v>
      </x:c>
      <x:c r="F850" s="3" t="n">
        <x:v>1</x:v>
      </x:c>
    </x:row>
    <x:row r="851" ht="21" customHeight="1">
      <x:c r="A851" s="3" t="n">
        <x:v>26</x:v>
      </x:c>
      <x:c r="B851" s="3" t="n">
        <x:v>8</x:v>
      </x:c>
      <x:c r="C851" s="3" t="n">
        <x:v>10</x:v>
      </x:c>
      <x:c r="D851" s="3" t="n">
        <x:v>2</x:v>
      </x:c>
      <x:c r="E851" s="3" t="n">
        <x:v>2</x:v>
      </x:c>
      <x:c r="F851" s="3" t="n">
        <x:v>1</x:v>
      </x:c>
    </x:row>
    <x:row r="852" ht="21" customHeight="1">
      <x:c r="A852" s="3" t="n">
        <x:v>26</x:v>
      </x:c>
      <x:c r="B852" s="3" t="n">
        <x:v>9</x:v>
      </x:c>
      <x:c r="C852" s="3" t="n">
        <x:v>11</x:v>
      </x:c>
      <x:c r="D852" s="3" t="n">
        <x:v>2</x:v>
      </x:c>
      <x:c r="E852" s="3" t="n">
        <x:v>2</x:v>
      </x:c>
      <x:c r="F852" s="3" t="n">
        <x:v>1</x:v>
      </x:c>
    </x:row>
    <x:row r="853" ht="21" customHeight="1">
      <x:c r="A853" s="3" t="n">
        <x:v>26</x:v>
      </x:c>
      <x:c r="B853" s="3" t="n">
        <x:v>10</x:v>
      </x:c>
      <x:c r="C853" s="3" t="n">
        <x:v>12</x:v>
      </x:c>
      <x:c r="D853" s="3" t="n">
        <x:v>2</x:v>
      </x:c>
      <x:c r="E853" s="3" t="n">
        <x:v>2</x:v>
      </x:c>
      <x:c r="F853" s="3" t="n">
        <x:v>1</x:v>
      </x:c>
    </x:row>
    <x:row r="854" ht="21" customHeight="1">
      <x:c r="A854" s="3" t="n">
        <x:v>26</x:v>
      </x:c>
      <x:c r="B854" s="3" t="n">
        <x:v>11</x:v>
      </x:c>
      <x:c r="C854" s="3" t="n">
        <x:v>13</x:v>
      </x:c>
      <x:c r="D854" s="3" t="n">
        <x:v>2</x:v>
      </x:c>
      <x:c r="E854" s="3" t="n">
        <x:v>3</x:v>
      </x:c>
      <x:c r="F854" s="3" t="n">
        <x:v>2</x:v>
      </x:c>
    </x:row>
    <x:row r="855" ht="21" customHeight="1">
      <x:c r="A855" s="3" t="n">
        <x:v>26</x:v>
      </x:c>
      <x:c r="B855" s="3" t="n">
        <x:v>12</x:v>
      </x:c>
      <x:c r="C855" s="3" t="n">
        <x:v>14</x:v>
      </x:c>
      <x:c r="D855" s="3" t="n">
        <x:v>3</x:v>
      </x:c>
      <x:c r="E855" s="3" t="n">
        <x:v>3</x:v>
      </x:c>
      <x:c r="F855" s="3" t="n">
        <x:v>1</x:v>
      </x:c>
    </x:row>
    <x:row r="856" ht="21" customHeight="1">
      <x:c r="A856" s="3" t="n">
        <x:v>26</x:v>
      </x:c>
      <x:c r="B856" s="3" t="n">
        <x:v>13</x:v>
      </x:c>
      <x:c r="C856" s="3" t="n">
        <x:v>15</x:v>
      </x:c>
      <x:c r="D856" s="3" t="n">
        <x:v>3</x:v>
      </x:c>
      <x:c r="E856" s="3" t="n">
        <x:v>3</x:v>
      </x:c>
      <x:c r="F856" s="3" t="n">
        <x:v>1</x:v>
      </x:c>
    </x:row>
    <x:row r="857" ht="21" customHeight="1">
      <x:c r="A857" s="3" t="n">
        <x:v>26</x:v>
      </x:c>
      <x:c r="B857" s="3" t="n">
        <x:v>14</x:v>
      </x:c>
      <x:c r="C857" s="3" t="n">
        <x:v>16</x:v>
      </x:c>
      <x:c r="D857" s="3" t="n">
        <x:v>3</x:v>
      </x:c>
      <x:c r="E857" s="3" t="n">
        <x:v>3</x:v>
      </x:c>
      <x:c r="F857" s="3" t="n">
        <x:v>1</x:v>
      </x:c>
    </x:row>
    <x:row r="858" ht="21" customHeight="1">
      <x:c r="A858" s="3" t="n">
        <x:v>26</x:v>
      </x:c>
      <x:c r="B858" s="3" t="n">
        <x:v>15</x:v>
      </x:c>
      <x:c r="C858" s="3" t="n">
        <x:v>17</x:v>
      </x:c>
      <x:c r="D858" s="3" t="n">
        <x:v>3</x:v>
      </x:c>
      <x:c r="E858" s="3" t="n">
        <x:v>3</x:v>
      </x:c>
      <x:c r="F858" s="3" t="n">
        <x:v>1</x:v>
      </x:c>
    </x:row>
    <x:row r="859" ht="21" customHeight="1">
      <x:c r="A859" s="3" t="n">
        <x:v>26</x:v>
      </x:c>
      <x:c r="B859" s="3" t="n">
        <x:v>16</x:v>
      </x:c>
      <x:c r="C859" s="3" t="n">
        <x:v>18</x:v>
      </x:c>
      <x:c r="D859" s="3" t="n">
        <x:v>3</x:v>
      </x:c>
      <x:c r="E859" s="3" t="n">
        <x:v>3</x:v>
      </x:c>
      <x:c r="F859" s="3" t="n">
        <x:v>1</x:v>
      </x:c>
    </x:row>
    <x:row r="860" ht="21" customHeight="1">
      <x:c r="A860" s="3" t="n">
        <x:v>26</x:v>
      </x:c>
      <x:c r="B860" s="3" t="n">
        <x:v>17</x:v>
      </x:c>
      <x:c r="C860" s="3" t="n">
        <x:v>19</x:v>
      </x:c>
      <x:c r="D860" s="3" t="n">
        <x:v>3</x:v>
      </x:c>
      <x:c r="E860" s="3" t="n">
        <x:v>4</x:v>
      </x:c>
      <x:c r="F860" s="3" t="n">
        <x:v>2</x:v>
      </x:c>
    </x:row>
    <x:row r="861" ht="21" customHeight="1">
      <x:c r="A861" s="3" t="n">
        <x:v>26</x:v>
      </x:c>
      <x:c r="B861" s="3" t="n">
        <x:v>18</x:v>
      </x:c>
      <x:c r="C861" s="3" t="n">
        <x:v>20</x:v>
      </x:c>
      <x:c r="D861" s="3" t="n">
        <x:v>4</x:v>
      </x:c>
      <x:c r="E861" s="3" t="n">
        <x:v>4</x:v>
      </x:c>
      <x:c r="F861" s="3" t="n">
        <x:v>1</x:v>
      </x:c>
    </x:row>
    <x:row r="862" ht="21" customHeight="1">
      <x:c r="A862" s="3" t="n">
        <x:v>26</x:v>
      </x:c>
      <x:c r="B862" s="3" t="n">
        <x:v>19</x:v>
      </x:c>
      <x:c r="C862" s="3" t="n">
        <x:v>21</x:v>
      </x:c>
      <x:c r="D862" s="3" t="n">
        <x:v>4</x:v>
      </x:c>
      <x:c r="E862" s="3" t="n">
        <x:v>4</x:v>
      </x:c>
      <x:c r="F862" s="3" t="n">
        <x:v>1</x:v>
      </x:c>
    </x:row>
    <x:row r="863" ht="21" customHeight="1">
      <x:c r="A863" s="3" t="n">
        <x:v>26</x:v>
      </x:c>
      <x:c r="B863" s="3" t="n">
        <x:v>20</x:v>
      </x:c>
      <x:c r="C863" s="3" t="n">
        <x:v>22</x:v>
      </x:c>
      <x:c r="D863" s="3" t="n">
        <x:v>4</x:v>
      </x:c>
      <x:c r="E863" s="3" t="n">
        <x:v>4</x:v>
      </x:c>
      <x:c r="F863" s="3" t="n">
        <x:v>1</x:v>
      </x:c>
    </x:row>
    <x:row r="864" ht="21" customHeight="1">
      <x:c r="A864" s="3" t="n">
        <x:v>26</x:v>
      </x:c>
      <x:c r="B864" s="3" t="n">
        <x:v>21</x:v>
      </x:c>
      <x:c r="C864" s="3" t="n">
        <x:v>23</x:v>
      </x:c>
      <x:c r="D864" s="3" t="n">
        <x:v>4</x:v>
      </x:c>
      <x:c r="E864" s="3" t="n">
        <x:v>4</x:v>
      </x:c>
      <x:c r="F864" s="3" t="n">
        <x:v>1</x:v>
      </x:c>
    </x:row>
    <x:row r="865" ht="21" customHeight="1">
      <x:c r="A865" s="3" t="n">
        <x:v>26</x:v>
      </x:c>
      <x:c r="B865" s="3" t="n">
        <x:v>22</x:v>
      </x:c>
      <x:c r="C865" s="3" t="n">
        <x:v>24</x:v>
      </x:c>
      <x:c r="D865" s="3" t="n">
        <x:v>4</x:v>
      </x:c>
      <x:c r="E865" s="3" t="n">
        <x:v>4</x:v>
      </x:c>
      <x:c r="F865" s="3" t="n">
        <x:v>1</x:v>
      </x:c>
    </x:row>
    <x:row r="866" ht="21" customHeight="1">
      <x:c r="A866" s="3" t="n">
        <x:v>26</x:v>
      </x:c>
      <x:c r="B866" s="3" t="n">
        <x:v>23</x:v>
      </x:c>
      <x:c r="C866" s="3" t="n">
        <x:v>25</x:v>
      </x:c>
      <x:c r="D866" s="3" t="n">
        <x:v>4</x:v>
      </x:c>
      <x:c r="E866" s="3" t="n">
        <x:v>5</x:v>
      </x:c>
      <x:c r="F866" s="3" t="n">
        <x:v>2</x:v>
      </x:c>
    </x:row>
    <x:row r="867" ht="21" customHeight="1">
      <x:c r="A867" s="3" t="n">
        <x:v>26</x:v>
      </x:c>
      <x:c r="B867" s="3" t="n">
        <x:v>24</x:v>
      </x:c>
      <x:c r="C867" s="3" t="n">
        <x:v>26</x:v>
      </x:c>
      <x:c r="D867" s="3" t="n">
        <x:v>5</x:v>
      </x:c>
      <x:c r="E867" s="3" t="n">
        <x:v>5</x:v>
      </x:c>
      <x:c r="F867" s="3" t="n">
        <x:v>1</x:v>
      </x:c>
    </x:row>
    <x:row r="868" ht="21" customHeight="1">
      <x:c r="A868" s="3" t="n">
        <x:v>26</x:v>
      </x:c>
      <x:c r="B868" s="3" t="n">
        <x:v>25</x:v>
      </x:c>
      <x:c r="C868" s="3" t="n">
        <x:v>27</x:v>
      </x:c>
      <x:c r="D868" s="3" t="n">
        <x:v>5</x:v>
      </x:c>
      <x:c r="E868" s="3" t="n">
        <x:v>5</x:v>
      </x:c>
      <x:c r="F868" s="3" t="n">
        <x:v>1</x:v>
      </x:c>
    </x:row>
    <x:row r="869" ht="21" customHeight="1">
      <x:c r="A869" s="3" t="n">
        <x:v>26</x:v>
      </x:c>
      <x:c r="B869" s="3" t="n">
        <x:v>26</x:v>
      </x:c>
      <x:c r="C869" s="3" t="n">
        <x:v>28</x:v>
      </x:c>
      <x:c r="D869" s="3" t="n">
        <x:v>5</x:v>
      </x:c>
      <x:c r="E869" s="3" t="n">
        <x:v>5</x:v>
      </x:c>
      <x:c r="F869" s="3" t="n">
        <x:v>1</x:v>
      </x:c>
    </x:row>
    <x:row r="870" ht="21" customHeight="1">
      <x:c r="A870" s="3" t="n">
        <x:v>26</x:v>
      </x:c>
      <x:c r="B870" s="3" t="n">
        <x:v>27</x:v>
      </x:c>
      <x:c r="C870" s="3" t="n">
        <x:v>29</x:v>
      </x:c>
      <x:c r="D870" s="3" t="n">
        <x:v>5</x:v>
      </x:c>
      <x:c r="E870" s="3" t="n">
        <x:v>5</x:v>
      </x:c>
      <x:c r="F870" s="3" t="n">
        <x:v>1</x:v>
      </x:c>
    </x:row>
    <x:row r="871" ht="21" customHeight="1">
      <x:c r="A871" s="3" t="n">
        <x:v>26</x:v>
      </x:c>
      <x:c r="B871" s="3" t="n">
        <x:v>28</x:v>
      </x:c>
      <x:c r="C871" s="3" t="n">
        <x:v>30</x:v>
      </x:c>
      <x:c r="D871" s="3" t="n">
        <x:v>5</x:v>
      </x:c>
      <x:c r="E871" s="3" t="n">
        <x:v>5</x:v>
      </x:c>
      <x:c r="F871" s="3" t="n">
        <x:v>1</x:v>
      </x:c>
    </x:row>
    <x:row r="872" ht="21" customHeight="1">
      <x:c r="A872" s="3" t="n">
        <x:v>26</x:v>
      </x:c>
      <x:c r="B872" s="3" t="n">
        <x:v>29</x:v>
      </x:c>
      <x:c r="C872" s="3" t="n">
        <x:v>31</x:v>
      </x:c>
      <x:c r="D872" s="3" t="n">
        <x:v>5</x:v>
      </x:c>
      <x:c r="E872" s="3" t="n">
        <x:v>6</x:v>
      </x:c>
      <x:c r="F872" s="3" t="n">
        <x:v>2</x:v>
      </x:c>
    </x:row>
    <x:row r="873" ht="21" customHeight="1">
      <x:c r="A873" s="3" t="n">
        <x:v>26</x:v>
      </x:c>
      <x:c r="B873" s="3" t="n">
        <x:v>30</x:v>
      </x:c>
      <x:c r="C873" s="3" t="n">
        <x:v>32</x:v>
      </x:c>
      <x:c r="D873" s="3" t="n">
        <x:v>6</x:v>
      </x:c>
      <x:c r="E873" s="3" t="n">
        <x:v>6</x:v>
      </x:c>
      <x:c r="F873" s="3" t="n">
        <x:v>1</x:v>
      </x:c>
    </x:row>
    <x:row r="874" ht="21" customHeight="1">
      <x:c r="A874" s="3" t="n">
        <x:v>26</x:v>
      </x:c>
      <x:c r="B874" s="3" t="n">
        <x:v>31</x:v>
      </x:c>
      <x:c r="C874" s="3" t="n">
        <x:v>33</x:v>
      </x:c>
      <x:c r="D874" s="3" t="n">
        <x:v>6</x:v>
      </x:c>
      <x:c r="E874" s="3" t="n">
        <x:v>6</x:v>
      </x:c>
      <x:c r="F874" s="3" t="n">
        <x:v>1</x:v>
      </x:c>
    </x:row>
    <x:row r="875" ht="21" customHeight="1">
      <x:c r="A875" s="3" t="n">
        <x:v>26</x:v>
      </x:c>
      <x:c r="B875" s="3" t="n">
        <x:v>32</x:v>
      </x:c>
      <x:c r="C875" s="3" t="n">
        <x:v>34</x:v>
      </x:c>
      <x:c r="D875" s="3" t="n">
        <x:v>6</x:v>
      </x:c>
      <x:c r="E875" s="3" t="n">
        <x:v>6</x:v>
      </x:c>
      <x:c r="F875" s="3" t="n">
        <x:v>1</x:v>
      </x:c>
    </x:row>
    <x:row r="876" ht="21" customHeight="1">
      <x:c r="A876" s="3" t="n">
        <x:v>26</x:v>
      </x:c>
      <x:c r="B876" s="3" t="n">
        <x:v>33</x:v>
      </x:c>
      <x:c r="C876" s="3" t="n">
        <x:v>35</x:v>
      </x:c>
      <x:c r="D876" s="3" t="n">
        <x:v>6</x:v>
      </x:c>
      <x:c r="E876" s="3" t="n">
        <x:v>6</x:v>
      </x:c>
      <x:c r="F876" s="3" t="n">
        <x:v>1</x:v>
      </x:c>
    </x:row>
    <x:row r="877" ht="21" customHeight="1">
      <x:c r="A877" s="3" t="n">
        <x:v>26</x:v>
      </x:c>
      <x:c r="B877" s="3" t="n">
        <x:v>34</x:v>
      </x:c>
      <x:c r="C877" s="3" t="n">
        <x:v>36</x:v>
      </x:c>
      <x:c r="D877" s="3" t="n">
        <x:v>6</x:v>
      </x:c>
      <x:c r="E877" s="3" t="n">
        <x:v>6</x:v>
      </x:c>
      <x:c r="F877" s="3" t="n">
        <x:v>1</x:v>
      </x:c>
    </x:row>
    <x:row r="878" ht="21" customHeight="1">
      <x:c r="A878" s="3" t="n">
        <x:v>27</x:v>
      </x:c>
      <x:c r="B878" s="3" t="n">
        <x:v>0</x:v>
      </x:c>
      <x:c r="C878" s="3" t="n">
        <x:v>2</x:v>
      </x:c>
      <x:c r="D878" s="3" t="n">
        <x:v>1</x:v>
      </x:c>
      <x:c r="E878" s="3" t="n">
        <x:v>1</x:v>
      </x:c>
      <x:c r="F878" s="3" t="n">
        <x:v>1</x:v>
      </x:c>
    </x:row>
    <x:row r="879" ht="21" customHeight="1">
      <x:c r="A879" s="3" t="n">
        <x:v>27</x:v>
      </x:c>
      <x:c r="B879" s="3" t="n">
        <x:v>1</x:v>
      </x:c>
      <x:c r="C879" s="3" t="n">
        <x:v>3</x:v>
      </x:c>
      <x:c r="D879" s="3" t="n">
        <x:v>1</x:v>
      </x:c>
      <x:c r="E879" s="3" t="n">
        <x:v>1</x:v>
      </x:c>
      <x:c r="F879" s="3" t="n">
        <x:v>1</x:v>
      </x:c>
    </x:row>
    <x:row r="880" ht="21" customHeight="1">
      <x:c r="A880" s="3" t="n">
        <x:v>27</x:v>
      </x:c>
      <x:c r="B880" s="3" t="n">
        <x:v>2</x:v>
      </x:c>
      <x:c r="C880" s="3" t="n">
        <x:v>4</x:v>
      </x:c>
      <x:c r="D880" s="3" t="n">
        <x:v>1</x:v>
      </x:c>
      <x:c r="E880" s="3" t="n">
        <x:v>1</x:v>
      </x:c>
      <x:c r="F880" s="3" t="n">
        <x:v>1</x:v>
      </x:c>
    </x:row>
    <x:row r="881" ht="21" customHeight="1">
      <x:c r="A881" s="3" t="n">
        <x:v>27</x:v>
      </x:c>
      <x:c r="B881" s="3" t="n">
        <x:v>3</x:v>
      </x:c>
      <x:c r="C881" s="3" t="n">
        <x:v>5</x:v>
      </x:c>
      <x:c r="D881" s="3" t="n">
        <x:v>1</x:v>
      </x:c>
      <x:c r="E881" s="3" t="n">
        <x:v>1</x:v>
      </x:c>
      <x:c r="F881" s="3" t="n">
        <x:v>1</x:v>
      </x:c>
    </x:row>
    <x:row r="882" ht="21" customHeight="1">
      <x:c r="A882" s="3" t="n">
        <x:v>27</x:v>
      </x:c>
      <x:c r="B882" s="3" t="n">
        <x:v>4</x:v>
      </x:c>
      <x:c r="C882" s="3" t="n">
        <x:v>6</x:v>
      </x:c>
      <x:c r="D882" s="3" t="n">
        <x:v>1</x:v>
      </x:c>
      <x:c r="E882" s="3" t="n">
        <x:v>1</x:v>
      </x:c>
      <x:c r="F882" s="3" t="n">
        <x:v>1</x:v>
      </x:c>
    </x:row>
    <x:row r="883" ht="21" customHeight="1">
      <x:c r="A883" s="3" t="n">
        <x:v>27</x:v>
      </x:c>
      <x:c r="B883" s="3" t="n">
        <x:v>5</x:v>
      </x:c>
      <x:c r="C883" s="3" t="n">
        <x:v>7</x:v>
      </x:c>
      <x:c r="D883" s="3" t="n">
        <x:v>1</x:v>
      </x:c>
      <x:c r="E883" s="3" t="n">
        <x:v>2</x:v>
      </x:c>
      <x:c r="F883" s="3" t="n">
        <x:v>2</x:v>
      </x:c>
    </x:row>
    <x:row r="884" ht="21" customHeight="1">
      <x:c r="A884" s="3" t="n">
        <x:v>27</x:v>
      </x:c>
      <x:c r="B884" s="3" t="n">
        <x:v>6</x:v>
      </x:c>
      <x:c r="C884" s="3" t="n">
        <x:v>8</x:v>
      </x:c>
      <x:c r="D884" s="3" t="n">
        <x:v>2</x:v>
      </x:c>
      <x:c r="E884" s="3" t="n">
        <x:v>2</x:v>
      </x:c>
      <x:c r="F884" s="3" t="n">
        <x:v>1</x:v>
      </x:c>
    </x:row>
    <x:row r="885" ht="21" customHeight="1">
      <x:c r="A885" s="3" t="n">
        <x:v>27</x:v>
      </x:c>
      <x:c r="B885" s="3" t="n">
        <x:v>7</x:v>
      </x:c>
      <x:c r="C885" s="3" t="n">
        <x:v>9</x:v>
      </x:c>
      <x:c r="D885" s="3" t="n">
        <x:v>2</x:v>
      </x:c>
      <x:c r="E885" s="3" t="n">
        <x:v>2</x:v>
      </x:c>
      <x:c r="F885" s="3" t="n">
        <x:v>1</x:v>
      </x:c>
    </x:row>
    <x:row r="886" ht="21" customHeight="1">
      <x:c r="A886" s="3" t="n">
        <x:v>27</x:v>
      </x:c>
      <x:c r="B886" s="3" t="n">
        <x:v>8</x:v>
      </x:c>
      <x:c r="C886" s="3" t="n">
        <x:v>10</x:v>
      </x:c>
      <x:c r="D886" s="3" t="n">
        <x:v>2</x:v>
      </x:c>
      <x:c r="E886" s="3" t="n">
        <x:v>2</x:v>
      </x:c>
      <x:c r="F886" s="3" t="n">
        <x:v>1</x:v>
      </x:c>
    </x:row>
    <x:row r="887" ht="21" customHeight="1">
      <x:c r="A887" s="3" t="n">
        <x:v>27</x:v>
      </x:c>
      <x:c r="B887" s="3" t="n">
        <x:v>9</x:v>
      </x:c>
      <x:c r="C887" s="3" t="n">
        <x:v>11</x:v>
      </x:c>
      <x:c r="D887" s="3" t="n">
        <x:v>2</x:v>
      </x:c>
      <x:c r="E887" s="3" t="n">
        <x:v>2</x:v>
      </x:c>
      <x:c r="F887" s="3" t="n">
        <x:v>1</x:v>
      </x:c>
    </x:row>
    <x:row r="888" ht="21" customHeight="1">
      <x:c r="A888" s="3" t="n">
        <x:v>27</x:v>
      </x:c>
      <x:c r="B888" s="3" t="n">
        <x:v>10</x:v>
      </x:c>
      <x:c r="C888" s="3" t="n">
        <x:v>12</x:v>
      </x:c>
      <x:c r="D888" s="3" t="n">
        <x:v>2</x:v>
      </x:c>
      <x:c r="E888" s="3" t="n">
        <x:v>2</x:v>
      </x:c>
      <x:c r="F888" s="3" t="n">
        <x:v>1</x:v>
      </x:c>
    </x:row>
    <x:row r="889" ht="21" customHeight="1">
      <x:c r="A889" s="3" t="n">
        <x:v>27</x:v>
      </x:c>
      <x:c r="B889" s="3" t="n">
        <x:v>11</x:v>
      </x:c>
      <x:c r="C889" s="3" t="n">
        <x:v>13</x:v>
      </x:c>
      <x:c r="D889" s="3" t="n">
        <x:v>2</x:v>
      </x:c>
      <x:c r="E889" s="3" t="n">
        <x:v>3</x:v>
      </x:c>
      <x:c r="F889" s="3" t="n">
        <x:v>2</x:v>
      </x:c>
    </x:row>
    <x:row r="890" ht="21" customHeight="1">
      <x:c r="A890" s="3" t="n">
        <x:v>27</x:v>
      </x:c>
      <x:c r="B890" s="3" t="n">
        <x:v>12</x:v>
      </x:c>
      <x:c r="C890" s="3" t="n">
        <x:v>14</x:v>
      </x:c>
      <x:c r="D890" s="3" t="n">
        <x:v>3</x:v>
      </x:c>
      <x:c r="E890" s="3" t="n">
        <x:v>3</x:v>
      </x:c>
      <x:c r="F890" s="3" t="n">
        <x:v>1</x:v>
      </x:c>
    </x:row>
    <x:row r="891" ht="21" customHeight="1">
      <x:c r="A891" s="3" t="n">
        <x:v>27</x:v>
      </x:c>
      <x:c r="B891" s="3" t="n">
        <x:v>13</x:v>
      </x:c>
      <x:c r="C891" s="3" t="n">
        <x:v>15</x:v>
      </x:c>
      <x:c r="D891" s="3" t="n">
        <x:v>3</x:v>
      </x:c>
      <x:c r="E891" s="3" t="n">
        <x:v>3</x:v>
      </x:c>
      <x:c r="F891" s="3" t="n">
        <x:v>1</x:v>
      </x:c>
    </x:row>
    <x:row r="892" ht="21" customHeight="1">
      <x:c r="A892" s="3" t="n">
        <x:v>27</x:v>
      </x:c>
      <x:c r="B892" s="3" t="n">
        <x:v>14</x:v>
      </x:c>
      <x:c r="C892" s="3" t="n">
        <x:v>16</x:v>
      </x:c>
      <x:c r="D892" s="3" t="n">
        <x:v>3</x:v>
      </x:c>
      <x:c r="E892" s="3" t="n">
        <x:v>3</x:v>
      </x:c>
      <x:c r="F892" s="3" t="n">
        <x:v>1</x:v>
      </x:c>
    </x:row>
    <x:row r="893" ht="21" customHeight="1">
      <x:c r="A893" s="3" t="n">
        <x:v>27</x:v>
      </x:c>
      <x:c r="B893" s="3" t="n">
        <x:v>15</x:v>
      </x:c>
      <x:c r="C893" s="3" t="n">
        <x:v>17</x:v>
      </x:c>
      <x:c r="D893" s="3" t="n">
        <x:v>3</x:v>
      </x:c>
      <x:c r="E893" s="3" t="n">
        <x:v>3</x:v>
      </x:c>
      <x:c r="F893" s="3" t="n">
        <x:v>1</x:v>
      </x:c>
    </x:row>
    <x:row r="894" ht="21" customHeight="1">
      <x:c r="A894" s="3" t="n">
        <x:v>27</x:v>
      </x:c>
      <x:c r="B894" s="3" t="n">
        <x:v>16</x:v>
      </x:c>
      <x:c r="C894" s="3" t="n">
        <x:v>18</x:v>
      </x:c>
      <x:c r="D894" s="3" t="n">
        <x:v>3</x:v>
      </x:c>
      <x:c r="E894" s="3" t="n">
        <x:v>3</x:v>
      </x:c>
      <x:c r="F894" s="3" t="n">
        <x:v>1</x:v>
      </x:c>
    </x:row>
    <x:row r="895" ht="21" customHeight="1">
      <x:c r="A895" s="3" t="n">
        <x:v>27</x:v>
      </x:c>
      <x:c r="B895" s="3" t="n">
        <x:v>17</x:v>
      </x:c>
      <x:c r="C895" s="3" t="n">
        <x:v>19</x:v>
      </x:c>
      <x:c r="D895" s="3" t="n">
        <x:v>3</x:v>
      </x:c>
      <x:c r="E895" s="3" t="n">
        <x:v>4</x:v>
      </x:c>
      <x:c r="F895" s="3" t="n">
        <x:v>2</x:v>
      </x:c>
    </x:row>
    <x:row r="896" ht="21" customHeight="1">
      <x:c r="A896" s="3" t="n">
        <x:v>27</x:v>
      </x:c>
      <x:c r="B896" s="3" t="n">
        <x:v>18</x:v>
      </x:c>
      <x:c r="C896" s="3" t="n">
        <x:v>20</x:v>
      </x:c>
      <x:c r="D896" s="3" t="n">
        <x:v>4</x:v>
      </x:c>
      <x:c r="E896" s="3" t="n">
        <x:v>4</x:v>
      </x:c>
      <x:c r="F896" s="3" t="n">
        <x:v>1</x:v>
      </x:c>
    </x:row>
    <x:row r="897" ht="21" customHeight="1">
      <x:c r="A897" s="3" t="n">
        <x:v>27</x:v>
      </x:c>
      <x:c r="B897" s="3" t="n">
        <x:v>19</x:v>
      </x:c>
      <x:c r="C897" s="3" t="n">
        <x:v>21</x:v>
      </x:c>
      <x:c r="D897" s="3" t="n">
        <x:v>4</x:v>
      </x:c>
      <x:c r="E897" s="3" t="n">
        <x:v>4</x:v>
      </x:c>
      <x:c r="F897" s="3" t="n">
        <x:v>1</x:v>
      </x:c>
    </x:row>
    <x:row r="898" ht="21" customHeight="1">
      <x:c r="A898" s="3" t="n">
        <x:v>27</x:v>
      </x:c>
      <x:c r="B898" s="3" t="n">
        <x:v>20</x:v>
      </x:c>
      <x:c r="C898" s="3" t="n">
        <x:v>22</x:v>
      </x:c>
      <x:c r="D898" s="3" t="n">
        <x:v>4</x:v>
      </x:c>
      <x:c r="E898" s="3" t="n">
        <x:v>4</x:v>
      </x:c>
      <x:c r="F898" s="3" t="n">
        <x:v>1</x:v>
      </x:c>
    </x:row>
    <x:row r="899" ht="21" customHeight="1">
      <x:c r="A899" s="3" t="n">
        <x:v>27</x:v>
      </x:c>
      <x:c r="B899" s="3" t="n">
        <x:v>21</x:v>
      </x:c>
      <x:c r="C899" s="3" t="n">
        <x:v>23</x:v>
      </x:c>
      <x:c r="D899" s="3" t="n">
        <x:v>4</x:v>
      </x:c>
      <x:c r="E899" s="3" t="n">
        <x:v>4</x:v>
      </x:c>
      <x:c r="F899" s="3" t="n">
        <x:v>1</x:v>
      </x:c>
    </x:row>
    <x:row r="900" ht="21" customHeight="1">
      <x:c r="A900" s="3" t="n">
        <x:v>27</x:v>
      </x:c>
      <x:c r="B900" s="3" t="n">
        <x:v>22</x:v>
      </x:c>
      <x:c r="C900" s="3" t="n">
        <x:v>24</x:v>
      </x:c>
      <x:c r="D900" s="3" t="n">
        <x:v>4</x:v>
      </x:c>
      <x:c r="E900" s="3" t="n">
        <x:v>4</x:v>
      </x:c>
      <x:c r="F900" s="3" t="n">
        <x:v>1</x:v>
      </x:c>
    </x:row>
    <x:row r="901" ht="21" customHeight="1">
      <x:c r="A901" s="3" t="n">
        <x:v>27</x:v>
      </x:c>
      <x:c r="B901" s="3" t="n">
        <x:v>23</x:v>
      </x:c>
      <x:c r="C901" s="3" t="n">
        <x:v>25</x:v>
      </x:c>
      <x:c r="D901" s="3" t="n">
        <x:v>4</x:v>
      </x:c>
      <x:c r="E901" s="3" t="n">
        <x:v>5</x:v>
      </x:c>
      <x:c r="F901" s="3" t="n">
        <x:v>2</x:v>
      </x:c>
    </x:row>
    <x:row r="902" ht="21" customHeight="1">
      <x:c r="A902" s="3" t="n">
        <x:v>27</x:v>
      </x:c>
      <x:c r="B902" s="3" t="n">
        <x:v>24</x:v>
      </x:c>
      <x:c r="C902" s="3" t="n">
        <x:v>26</x:v>
      </x:c>
      <x:c r="D902" s="3" t="n">
        <x:v>5</x:v>
      </x:c>
      <x:c r="E902" s="3" t="n">
        <x:v>5</x:v>
      </x:c>
      <x:c r="F902" s="3" t="n">
        <x:v>1</x:v>
      </x:c>
    </x:row>
    <x:row r="903" ht="21" customHeight="1">
      <x:c r="A903" s="3" t="n">
        <x:v>27</x:v>
      </x:c>
      <x:c r="B903" s="3" t="n">
        <x:v>25</x:v>
      </x:c>
      <x:c r="C903" s="3" t="n">
        <x:v>27</x:v>
      </x:c>
      <x:c r="D903" s="3" t="n">
        <x:v>5</x:v>
      </x:c>
      <x:c r="E903" s="3" t="n">
        <x:v>5</x:v>
      </x:c>
      <x:c r="F903" s="3" t="n">
        <x:v>1</x:v>
      </x:c>
    </x:row>
    <x:row r="904" ht="21" customHeight="1">
      <x:c r="A904" s="3" t="n">
        <x:v>27</x:v>
      </x:c>
      <x:c r="B904" s="3" t="n">
        <x:v>26</x:v>
      </x:c>
      <x:c r="C904" s="3" t="n">
        <x:v>28</x:v>
      </x:c>
      <x:c r="D904" s="3" t="n">
        <x:v>5</x:v>
      </x:c>
      <x:c r="E904" s="3" t="n">
        <x:v>5</x:v>
      </x:c>
      <x:c r="F904" s="3" t="n">
        <x:v>1</x:v>
      </x:c>
    </x:row>
    <x:row r="905" ht="21" customHeight="1">
      <x:c r="A905" s="3" t="n">
        <x:v>27</x:v>
      </x:c>
      <x:c r="B905" s="3" t="n">
        <x:v>27</x:v>
      </x:c>
      <x:c r="C905" s="3" t="n">
        <x:v>29</x:v>
      </x:c>
      <x:c r="D905" s="3" t="n">
        <x:v>5</x:v>
      </x:c>
      <x:c r="E905" s="3" t="n">
        <x:v>5</x:v>
      </x:c>
      <x:c r="F905" s="3" t="n">
        <x:v>1</x:v>
      </x:c>
    </x:row>
    <x:row r="906" ht="21" customHeight="1">
      <x:c r="A906" s="3" t="n">
        <x:v>27</x:v>
      </x:c>
      <x:c r="B906" s="3" t="n">
        <x:v>28</x:v>
      </x:c>
      <x:c r="C906" s="3" t="n">
        <x:v>30</x:v>
      </x:c>
      <x:c r="D906" s="3" t="n">
        <x:v>5</x:v>
      </x:c>
      <x:c r="E906" s="3" t="n">
        <x:v>5</x:v>
      </x:c>
      <x:c r="F906" s="3" t="n">
        <x:v>1</x:v>
      </x:c>
    </x:row>
    <x:row r="907" ht="21" customHeight="1">
      <x:c r="A907" s="3" t="n">
        <x:v>27</x:v>
      </x:c>
      <x:c r="B907" s="3" t="n">
        <x:v>29</x:v>
      </x:c>
      <x:c r="C907" s="3" t="n">
        <x:v>31</x:v>
      </x:c>
      <x:c r="D907" s="3" t="n">
        <x:v>5</x:v>
      </x:c>
      <x:c r="E907" s="3" t="n">
        <x:v>6</x:v>
      </x:c>
      <x:c r="F907" s="3" t="n">
        <x:v>2</x:v>
      </x:c>
    </x:row>
    <x:row r="908" ht="21" customHeight="1">
      <x:c r="A908" s="3" t="n">
        <x:v>27</x:v>
      </x:c>
      <x:c r="B908" s="3" t="n">
        <x:v>30</x:v>
      </x:c>
      <x:c r="C908" s="3" t="n">
        <x:v>32</x:v>
      </x:c>
      <x:c r="D908" s="3" t="n">
        <x:v>6</x:v>
      </x:c>
      <x:c r="E908" s="3" t="n">
        <x:v>6</x:v>
      </x:c>
      <x:c r="F908" s="3" t="n">
        <x:v>1</x:v>
      </x:c>
    </x:row>
    <x:row r="909" ht="21" customHeight="1">
      <x:c r="A909" s="3" t="n">
        <x:v>27</x:v>
      </x:c>
      <x:c r="B909" s="3" t="n">
        <x:v>31</x:v>
      </x:c>
      <x:c r="C909" s="3" t="n">
        <x:v>33</x:v>
      </x:c>
      <x:c r="D909" s="3" t="n">
        <x:v>6</x:v>
      </x:c>
      <x:c r="E909" s="3" t="n">
        <x:v>6</x:v>
      </x:c>
      <x:c r="F909" s="3" t="n">
        <x:v>1</x:v>
      </x:c>
    </x:row>
    <x:row r="910" ht="21" customHeight="1">
      <x:c r="A910" s="3" t="n">
        <x:v>27</x:v>
      </x:c>
      <x:c r="B910" s="3" t="n">
        <x:v>32</x:v>
      </x:c>
      <x:c r="C910" s="3" t="n">
        <x:v>34</x:v>
      </x:c>
      <x:c r="D910" s="3" t="n">
        <x:v>6</x:v>
      </x:c>
      <x:c r="E910" s="3" t="n">
        <x:v>6</x:v>
      </x:c>
      <x:c r="F910" s="3" t="n">
        <x:v>1</x:v>
      </x:c>
    </x:row>
    <x:row r="911" ht="21" customHeight="1">
      <x:c r="A911" s="3" t="n">
        <x:v>27</x:v>
      </x:c>
      <x:c r="B911" s="3" t="n">
        <x:v>33</x:v>
      </x:c>
      <x:c r="C911" s="3" t="n">
        <x:v>35</x:v>
      </x:c>
      <x:c r="D911" s="3" t="n">
        <x:v>6</x:v>
      </x:c>
      <x:c r="E911" s="3" t="n">
        <x:v>6</x:v>
      </x:c>
      <x:c r="F911" s="3" t="n">
        <x:v>1</x:v>
      </x:c>
    </x:row>
    <x:row r="912" ht="21" customHeight="1">
      <x:c r="A912" s="3" t="n">
        <x:v>27</x:v>
      </x:c>
      <x:c r="B912" s="3" t="n">
        <x:v>34</x:v>
      </x:c>
      <x:c r="C912" s="3" t="n">
        <x:v>36</x:v>
      </x:c>
      <x:c r="D912" s="3" t="n">
        <x:v>6</x:v>
      </x:c>
      <x:c r="E912" s="3" t="n">
        <x:v>6</x:v>
      </x:c>
      <x:c r="F912" s="3" t="n">
        <x:v>1</x:v>
      </x:c>
    </x:row>
    <x:row r="913" ht="21" customHeight="1">
      <x:c r="A913" s="3" t="n">
        <x:v>28</x:v>
      </x:c>
      <x:c r="B913" s="3" t="n">
        <x:v>0</x:v>
      </x:c>
      <x:c r="C913" s="3" t="n">
        <x:v>2</x:v>
      </x:c>
      <x:c r="D913" s="3" t="n">
        <x:v>1</x:v>
      </x:c>
      <x:c r="E913" s="3" t="n">
        <x:v>1</x:v>
      </x:c>
      <x:c r="F913" s="3" t="n">
        <x:v>1</x:v>
      </x:c>
    </x:row>
    <x:row r="914" ht="21" customHeight="1">
      <x:c r="A914" s="3" t="n">
        <x:v>28</x:v>
      </x:c>
      <x:c r="B914" s="3" t="n">
        <x:v>1</x:v>
      </x:c>
      <x:c r="C914" s="3" t="n">
        <x:v>3</x:v>
      </x:c>
      <x:c r="D914" s="3" t="n">
        <x:v>1</x:v>
      </x:c>
      <x:c r="E914" s="3" t="n">
        <x:v>1</x:v>
      </x:c>
      <x:c r="F914" s="3" t="n">
        <x:v>1</x:v>
      </x:c>
    </x:row>
    <x:row r="915" ht="21" customHeight="1">
      <x:c r="A915" s="3" t="n">
        <x:v>28</x:v>
      </x:c>
      <x:c r="B915" s="3" t="n">
        <x:v>2</x:v>
      </x:c>
      <x:c r="C915" s="3" t="n">
        <x:v>4</x:v>
      </x:c>
      <x:c r="D915" s="3" t="n">
        <x:v>1</x:v>
      </x:c>
      <x:c r="E915" s="3" t="n">
        <x:v>1</x:v>
      </x:c>
      <x:c r="F915" s="3" t="n">
        <x:v>1</x:v>
      </x:c>
    </x:row>
    <x:row r="916" ht="21" customHeight="1">
      <x:c r="A916" s="3" t="n">
        <x:v>28</x:v>
      </x:c>
      <x:c r="B916" s="3" t="n">
        <x:v>3</x:v>
      </x:c>
      <x:c r="C916" s="3" t="n">
        <x:v>5</x:v>
      </x:c>
      <x:c r="D916" s="3" t="n">
        <x:v>1</x:v>
      </x:c>
      <x:c r="E916" s="3" t="n">
        <x:v>1</x:v>
      </x:c>
      <x:c r="F916" s="3" t="n">
        <x:v>1</x:v>
      </x:c>
    </x:row>
    <x:row r="917" ht="21" customHeight="1">
      <x:c r="A917" s="3" t="n">
        <x:v>28</x:v>
      </x:c>
      <x:c r="B917" s="3" t="n">
        <x:v>4</x:v>
      </x:c>
      <x:c r="C917" s="3" t="n">
        <x:v>6</x:v>
      </x:c>
      <x:c r="D917" s="3" t="n">
        <x:v>1</x:v>
      </x:c>
      <x:c r="E917" s="3" t="n">
        <x:v>1</x:v>
      </x:c>
      <x:c r="F917" s="3" t="n">
        <x:v>1</x:v>
      </x:c>
    </x:row>
    <x:row r="918" ht="21" customHeight="1">
      <x:c r="A918" s="3" t="n">
        <x:v>28</x:v>
      </x:c>
      <x:c r="B918" s="3" t="n">
        <x:v>5</x:v>
      </x:c>
      <x:c r="C918" s="3" t="n">
        <x:v>7</x:v>
      </x:c>
      <x:c r="D918" s="3" t="n">
        <x:v>1</x:v>
      </x:c>
      <x:c r="E918" s="3" t="n">
        <x:v>2</x:v>
      </x:c>
      <x:c r="F918" s="3" t="n">
        <x:v>2</x:v>
      </x:c>
    </x:row>
    <x:row r="919" ht="21" customHeight="1">
      <x:c r="A919" s="3" t="n">
        <x:v>28</x:v>
      </x:c>
      <x:c r="B919" s="3" t="n">
        <x:v>6</x:v>
      </x:c>
      <x:c r="C919" s="3" t="n">
        <x:v>8</x:v>
      </x:c>
      <x:c r="D919" s="3" t="n">
        <x:v>2</x:v>
      </x:c>
      <x:c r="E919" s="3" t="n">
        <x:v>2</x:v>
      </x:c>
      <x:c r="F919" s="3" t="n">
        <x:v>1</x:v>
      </x:c>
    </x:row>
    <x:row r="920" ht="21" customHeight="1">
      <x:c r="A920" s="3" t="n">
        <x:v>28</x:v>
      </x:c>
      <x:c r="B920" s="3" t="n">
        <x:v>7</x:v>
      </x:c>
      <x:c r="C920" s="3" t="n">
        <x:v>9</x:v>
      </x:c>
      <x:c r="D920" s="3" t="n">
        <x:v>2</x:v>
      </x:c>
      <x:c r="E920" s="3" t="n">
        <x:v>2</x:v>
      </x:c>
      <x:c r="F920" s="3" t="n">
        <x:v>1</x:v>
      </x:c>
    </x:row>
    <x:row r="921" ht="21" customHeight="1">
      <x:c r="A921" s="3" t="n">
        <x:v>28</x:v>
      </x:c>
      <x:c r="B921" s="3" t="n">
        <x:v>8</x:v>
      </x:c>
      <x:c r="C921" s="3" t="n">
        <x:v>10</x:v>
      </x:c>
      <x:c r="D921" s="3" t="n">
        <x:v>2</x:v>
      </x:c>
      <x:c r="E921" s="3" t="n">
        <x:v>2</x:v>
      </x:c>
      <x:c r="F921" s="3" t="n">
        <x:v>1</x:v>
      </x:c>
    </x:row>
    <x:row r="922" ht="21" customHeight="1">
      <x:c r="A922" s="3" t="n">
        <x:v>28</x:v>
      </x:c>
      <x:c r="B922" s="3" t="n">
        <x:v>9</x:v>
      </x:c>
      <x:c r="C922" s="3" t="n">
        <x:v>11</x:v>
      </x:c>
      <x:c r="D922" s="3" t="n">
        <x:v>2</x:v>
      </x:c>
      <x:c r="E922" s="3" t="n">
        <x:v>2</x:v>
      </x:c>
      <x:c r="F922" s="3" t="n">
        <x:v>1</x:v>
      </x:c>
    </x:row>
    <x:row r="923" ht="21" customHeight="1">
      <x:c r="A923" s="3" t="n">
        <x:v>28</x:v>
      </x:c>
      <x:c r="B923" s="3" t="n">
        <x:v>10</x:v>
      </x:c>
      <x:c r="C923" s="3" t="n">
        <x:v>12</x:v>
      </x:c>
      <x:c r="D923" s="3" t="n">
        <x:v>2</x:v>
      </x:c>
      <x:c r="E923" s="3" t="n">
        <x:v>2</x:v>
      </x:c>
      <x:c r="F923" s="3" t="n">
        <x:v>1</x:v>
      </x:c>
    </x:row>
    <x:row r="924" ht="21" customHeight="1">
      <x:c r="A924" s="3" t="n">
        <x:v>28</x:v>
      </x:c>
      <x:c r="B924" s="3" t="n">
        <x:v>11</x:v>
      </x:c>
      <x:c r="C924" s="3" t="n">
        <x:v>13</x:v>
      </x:c>
      <x:c r="D924" s="3" t="n">
        <x:v>2</x:v>
      </x:c>
      <x:c r="E924" s="3" t="n">
        <x:v>3</x:v>
      </x:c>
      <x:c r="F924" s="3" t="n">
        <x:v>2</x:v>
      </x:c>
    </x:row>
    <x:row r="925" ht="21" customHeight="1">
      <x:c r="A925" s="3" t="n">
        <x:v>28</x:v>
      </x:c>
      <x:c r="B925" s="3" t="n">
        <x:v>12</x:v>
      </x:c>
      <x:c r="C925" s="3" t="n">
        <x:v>14</x:v>
      </x:c>
      <x:c r="D925" s="3" t="n">
        <x:v>3</x:v>
      </x:c>
      <x:c r="E925" s="3" t="n">
        <x:v>3</x:v>
      </x:c>
      <x:c r="F925" s="3" t="n">
        <x:v>1</x:v>
      </x:c>
    </x:row>
    <x:row r="926" ht="21" customHeight="1">
      <x:c r="A926" s="3" t="n">
        <x:v>28</x:v>
      </x:c>
      <x:c r="B926" s="3" t="n">
        <x:v>13</x:v>
      </x:c>
      <x:c r="C926" s="3" t="n">
        <x:v>15</x:v>
      </x:c>
      <x:c r="D926" s="3" t="n">
        <x:v>3</x:v>
      </x:c>
      <x:c r="E926" s="3" t="n">
        <x:v>3</x:v>
      </x:c>
      <x:c r="F926" s="3" t="n">
        <x:v>1</x:v>
      </x:c>
    </x:row>
    <x:row r="927" ht="21" customHeight="1">
      <x:c r="A927" s="3" t="n">
        <x:v>28</x:v>
      </x:c>
      <x:c r="B927" s="3" t="n">
        <x:v>14</x:v>
      </x:c>
      <x:c r="C927" s="3" t="n">
        <x:v>16</x:v>
      </x:c>
      <x:c r="D927" s="3" t="n">
        <x:v>3</x:v>
      </x:c>
      <x:c r="E927" s="3" t="n">
        <x:v>3</x:v>
      </x:c>
      <x:c r="F927" s="3" t="n">
        <x:v>1</x:v>
      </x:c>
    </x:row>
    <x:row r="928" ht="21" customHeight="1">
      <x:c r="A928" s="3" t="n">
        <x:v>28</x:v>
      </x:c>
      <x:c r="B928" s="3" t="n">
        <x:v>15</x:v>
      </x:c>
      <x:c r="C928" s="3" t="n">
        <x:v>17</x:v>
      </x:c>
      <x:c r="D928" s="3" t="n">
        <x:v>3</x:v>
      </x:c>
      <x:c r="E928" s="3" t="n">
        <x:v>3</x:v>
      </x:c>
      <x:c r="F928" s="3" t="n">
        <x:v>1</x:v>
      </x:c>
    </x:row>
    <x:row r="929" ht="21" customHeight="1">
      <x:c r="A929" s="3" t="n">
        <x:v>28</x:v>
      </x:c>
      <x:c r="B929" s="3" t="n">
        <x:v>16</x:v>
      </x:c>
      <x:c r="C929" s="3" t="n">
        <x:v>18</x:v>
      </x:c>
      <x:c r="D929" s="3" t="n">
        <x:v>3</x:v>
      </x:c>
      <x:c r="E929" s="3" t="n">
        <x:v>3</x:v>
      </x:c>
      <x:c r="F929" s="3" t="n">
        <x:v>1</x:v>
      </x:c>
    </x:row>
    <x:row r="930" ht="21" customHeight="1">
      <x:c r="A930" s="3" t="n">
        <x:v>28</x:v>
      </x:c>
      <x:c r="B930" s="3" t="n">
        <x:v>17</x:v>
      </x:c>
      <x:c r="C930" s="3" t="n">
        <x:v>19</x:v>
      </x:c>
      <x:c r="D930" s="3" t="n">
        <x:v>3</x:v>
      </x:c>
      <x:c r="E930" s="3" t="n">
        <x:v>4</x:v>
      </x:c>
      <x:c r="F930" s="3" t="n">
        <x:v>2</x:v>
      </x:c>
    </x:row>
    <x:row r="931" ht="21" customHeight="1">
      <x:c r="A931" s="3" t="n">
        <x:v>28</x:v>
      </x:c>
      <x:c r="B931" s="3" t="n">
        <x:v>18</x:v>
      </x:c>
      <x:c r="C931" s="3" t="n">
        <x:v>20</x:v>
      </x:c>
      <x:c r="D931" s="3" t="n">
        <x:v>4</x:v>
      </x:c>
      <x:c r="E931" s="3" t="n">
        <x:v>4</x:v>
      </x:c>
      <x:c r="F931" s="3" t="n">
        <x:v>1</x:v>
      </x:c>
    </x:row>
    <x:row r="932" ht="21" customHeight="1">
      <x:c r="A932" s="3" t="n">
        <x:v>28</x:v>
      </x:c>
      <x:c r="B932" s="3" t="n">
        <x:v>19</x:v>
      </x:c>
      <x:c r="C932" s="3" t="n">
        <x:v>21</x:v>
      </x:c>
      <x:c r="D932" s="3" t="n">
        <x:v>4</x:v>
      </x:c>
      <x:c r="E932" s="3" t="n">
        <x:v>4</x:v>
      </x:c>
      <x:c r="F932" s="3" t="n">
        <x:v>1</x:v>
      </x:c>
    </x:row>
    <x:row r="933" ht="21" customHeight="1">
      <x:c r="A933" s="3" t="n">
        <x:v>28</x:v>
      </x:c>
      <x:c r="B933" s="3" t="n">
        <x:v>20</x:v>
      </x:c>
      <x:c r="C933" s="3" t="n">
        <x:v>22</x:v>
      </x:c>
      <x:c r="D933" s="3" t="n">
        <x:v>4</x:v>
      </x:c>
      <x:c r="E933" s="3" t="n">
        <x:v>4</x:v>
      </x:c>
      <x:c r="F933" s="3" t="n">
        <x:v>1</x:v>
      </x:c>
    </x:row>
    <x:row r="934" ht="21" customHeight="1">
      <x:c r="A934" s="3" t="n">
        <x:v>28</x:v>
      </x:c>
      <x:c r="B934" s="3" t="n">
        <x:v>21</x:v>
      </x:c>
      <x:c r="C934" s="3" t="n">
        <x:v>23</x:v>
      </x:c>
      <x:c r="D934" s="3" t="n">
        <x:v>4</x:v>
      </x:c>
      <x:c r="E934" s="3" t="n">
        <x:v>4</x:v>
      </x:c>
      <x:c r="F934" s="3" t="n">
        <x:v>1</x:v>
      </x:c>
    </x:row>
    <x:row r="935" ht="21" customHeight="1">
      <x:c r="A935" s="3" t="n">
        <x:v>28</x:v>
      </x:c>
      <x:c r="B935" s="3" t="n">
        <x:v>22</x:v>
      </x:c>
      <x:c r="C935" s="3" t="n">
        <x:v>24</x:v>
      </x:c>
      <x:c r="D935" s="3" t="n">
        <x:v>4</x:v>
      </x:c>
      <x:c r="E935" s="3" t="n">
        <x:v>4</x:v>
      </x:c>
      <x:c r="F935" s="3" t="n">
        <x:v>1</x:v>
      </x:c>
    </x:row>
    <x:row r="936" ht="21" customHeight="1">
      <x:c r="A936" s="3" t="n">
        <x:v>28</x:v>
      </x:c>
      <x:c r="B936" s="3" t="n">
        <x:v>23</x:v>
      </x:c>
      <x:c r="C936" s="3" t="n">
        <x:v>25</x:v>
      </x:c>
      <x:c r="D936" s="3" t="n">
        <x:v>4</x:v>
      </x:c>
      <x:c r="E936" s="3" t="n">
        <x:v>5</x:v>
      </x:c>
      <x:c r="F936" s="3" t="n">
        <x:v>2</x:v>
      </x:c>
    </x:row>
    <x:row r="937" ht="21" customHeight="1">
      <x:c r="A937" s="3" t="n">
        <x:v>28</x:v>
      </x:c>
      <x:c r="B937" s="3" t="n">
        <x:v>24</x:v>
      </x:c>
      <x:c r="C937" s="3" t="n">
        <x:v>26</x:v>
      </x:c>
      <x:c r="D937" s="3" t="n">
        <x:v>5</x:v>
      </x:c>
      <x:c r="E937" s="3" t="n">
        <x:v>5</x:v>
      </x:c>
      <x:c r="F937" s="3" t="n">
        <x:v>1</x:v>
      </x:c>
    </x:row>
    <x:row r="938" ht="21" customHeight="1">
      <x:c r="A938" s="3" t="n">
        <x:v>28</x:v>
      </x:c>
      <x:c r="B938" s="3" t="n">
        <x:v>25</x:v>
      </x:c>
      <x:c r="C938" s="3" t="n">
        <x:v>27</x:v>
      </x:c>
      <x:c r="D938" s="3" t="n">
        <x:v>5</x:v>
      </x:c>
      <x:c r="E938" s="3" t="n">
        <x:v>5</x:v>
      </x:c>
      <x:c r="F938" s="3" t="n">
        <x:v>1</x:v>
      </x:c>
    </x:row>
    <x:row r="939" ht="21" customHeight="1">
      <x:c r="A939" s="3" t="n">
        <x:v>28</x:v>
      </x:c>
      <x:c r="B939" s="3" t="n">
        <x:v>26</x:v>
      </x:c>
      <x:c r="C939" s="3" t="n">
        <x:v>28</x:v>
      </x:c>
      <x:c r="D939" s="3" t="n">
        <x:v>5</x:v>
      </x:c>
      <x:c r="E939" s="3" t="n">
        <x:v>5</x:v>
      </x:c>
      <x:c r="F939" s="3" t="n">
        <x:v>1</x:v>
      </x:c>
    </x:row>
    <x:row r="940" ht="21" customHeight="1">
      <x:c r="A940" s="3" t="n">
        <x:v>28</x:v>
      </x:c>
      <x:c r="B940" s="3" t="n">
        <x:v>27</x:v>
      </x:c>
      <x:c r="C940" s="3" t="n">
        <x:v>29</x:v>
      </x:c>
      <x:c r="D940" s="3" t="n">
        <x:v>5</x:v>
      </x:c>
      <x:c r="E940" s="3" t="n">
        <x:v>5</x:v>
      </x:c>
      <x:c r="F940" s="3" t="n">
        <x:v>1</x:v>
      </x:c>
    </x:row>
    <x:row r="941" ht="21" customHeight="1">
      <x:c r="A941" s="3" t="n">
        <x:v>28</x:v>
      </x:c>
      <x:c r="B941" s="3" t="n">
        <x:v>28</x:v>
      </x:c>
      <x:c r="C941" s="3" t="n">
        <x:v>30</x:v>
      </x:c>
      <x:c r="D941" s="3" t="n">
        <x:v>5</x:v>
      </x:c>
      <x:c r="E941" s="3" t="n">
        <x:v>5</x:v>
      </x:c>
      <x:c r="F941" s="3" t="n">
        <x:v>1</x:v>
      </x:c>
    </x:row>
    <x:row r="942" ht="21" customHeight="1">
      <x:c r="A942" s="3" t="n">
        <x:v>28</x:v>
      </x:c>
      <x:c r="B942" s="3" t="n">
        <x:v>29</x:v>
      </x:c>
      <x:c r="C942" s="3" t="n">
        <x:v>31</x:v>
      </x:c>
      <x:c r="D942" s="3" t="n">
        <x:v>5</x:v>
      </x:c>
      <x:c r="E942" s="3" t="n">
        <x:v>6</x:v>
      </x:c>
      <x:c r="F942" s="3" t="n">
        <x:v>2</x:v>
      </x:c>
    </x:row>
    <x:row r="943" ht="21" customHeight="1">
      <x:c r="A943" s="3" t="n">
        <x:v>28</x:v>
      </x:c>
      <x:c r="B943" s="3" t="n">
        <x:v>30</x:v>
      </x:c>
      <x:c r="C943" s="3" t="n">
        <x:v>32</x:v>
      </x:c>
      <x:c r="D943" s="3" t="n">
        <x:v>6</x:v>
      </x:c>
      <x:c r="E943" s="3" t="n">
        <x:v>6</x:v>
      </x:c>
      <x:c r="F943" s="3" t="n">
        <x:v>1</x:v>
      </x:c>
    </x:row>
    <x:row r="944" ht="21" customHeight="1">
      <x:c r="A944" s="3" t="n">
        <x:v>28</x:v>
      </x:c>
      <x:c r="B944" s="3" t="n">
        <x:v>31</x:v>
      </x:c>
      <x:c r="C944" s="3" t="n">
        <x:v>33</x:v>
      </x:c>
      <x:c r="D944" s="3" t="n">
        <x:v>6</x:v>
      </x:c>
      <x:c r="E944" s="3" t="n">
        <x:v>6</x:v>
      </x:c>
      <x:c r="F944" s="3" t="n">
        <x:v>1</x:v>
      </x:c>
    </x:row>
    <x:row r="945" ht="21" customHeight="1">
      <x:c r="A945" s="3" t="n">
        <x:v>28</x:v>
      </x:c>
      <x:c r="B945" s="3" t="n">
        <x:v>32</x:v>
      </x:c>
      <x:c r="C945" s="3" t="n">
        <x:v>34</x:v>
      </x:c>
      <x:c r="D945" s="3" t="n">
        <x:v>6</x:v>
      </x:c>
      <x:c r="E945" s="3" t="n">
        <x:v>6</x:v>
      </x:c>
      <x:c r="F945" s="3" t="n">
        <x:v>1</x:v>
      </x:c>
    </x:row>
    <x:row r="946" ht="21" customHeight="1">
      <x:c r="A946" s="3" t="n">
        <x:v>28</x:v>
      </x:c>
      <x:c r="B946" s="3" t="n">
        <x:v>33</x:v>
      </x:c>
      <x:c r="C946" s="3" t="n">
        <x:v>35</x:v>
      </x:c>
      <x:c r="D946" s="3" t="n">
        <x:v>6</x:v>
      </x:c>
      <x:c r="E946" s="3" t="n">
        <x:v>6</x:v>
      </x:c>
      <x:c r="F946" s="3" t="n">
        <x:v>1</x:v>
      </x:c>
    </x:row>
    <x:row r="947" ht="21" customHeight="1">
      <x:c r="A947" s="3" t="n">
        <x:v>28</x:v>
      </x:c>
      <x:c r="B947" s="3" t="n">
        <x:v>34</x:v>
      </x:c>
      <x:c r="C947" s="3" t="n">
        <x:v>36</x:v>
      </x:c>
      <x:c r="D947" s="3" t="n">
        <x:v>6</x:v>
      </x:c>
      <x:c r="E947" s="3" t="n">
        <x:v>6</x:v>
      </x:c>
      <x:c r="F947" s="3" t="n">
        <x:v>1</x:v>
      </x:c>
    </x:row>
    <x:row r="948" ht="21" customHeight="1">
      <x:c r="A948" s="3" t="n">
        <x:v>29</x:v>
      </x:c>
      <x:c r="B948" s="3" t="n">
        <x:v>0</x:v>
      </x:c>
      <x:c r="C948" s="3" t="n">
        <x:v>5</x:v>
      </x:c>
      <x:c r="D948" s="3" t="n">
        <x:v>1</x:v>
      </x:c>
      <x:c r="E948" s="3" t="n">
        <x:v>1</x:v>
      </x:c>
      <x:c r="F948" s="3" t="n">
        <x:v>1</x:v>
      </x:c>
    </x:row>
    <x:row r="949" ht="21" customHeight="1">
      <x:c r="A949" s="3" t="n">
        <x:v>29</x:v>
      </x:c>
      <x:c r="B949" s="3" t="n">
        <x:v>1</x:v>
      </x:c>
      <x:c r="C949" s="3" t="n">
        <x:v>6</x:v>
      </x:c>
      <x:c r="D949" s="3" t="n">
        <x:v>1</x:v>
      </x:c>
      <x:c r="E949" s="3" t="n">
        <x:v>1</x:v>
      </x:c>
      <x:c r="F949" s="3" t="n">
        <x:v>1</x:v>
      </x:c>
    </x:row>
    <x:row r="950" ht="21" customHeight="1">
      <x:c r="A950" s="3" t="n">
        <x:v>29</x:v>
      </x:c>
      <x:c r="B950" s="3" t="n">
        <x:v>2</x:v>
      </x:c>
      <x:c r="C950" s="3" t="n">
        <x:v>7</x:v>
      </x:c>
      <x:c r="D950" s="3" t="n">
        <x:v>1</x:v>
      </x:c>
      <x:c r="E950" s="3" t="n">
        <x:v>2</x:v>
      </x:c>
      <x:c r="F950" s="3" t="n">
        <x:v>2</x:v>
      </x:c>
    </x:row>
    <x:row r="951" ht="21" customHeight="1">
      <x:c r="A951" s="3" t="n">
        <x:v>29</x:v>
      </x:c>
      <x:c r="B951" s="3" t="n">
        <x:v>3</x:v>
      </x:c>
      <x:c r="C951" s="3" t="n">
        <x:v>8</x:v>
      </x:c>
      <x:c r="D951" s="3" t="n">
        <x:v>1</x:v>
      </x:c>
      <x:c r="E951" s="3" t="n">
        <x:v>2</x:v>
      </x:c>
      <x:c r="F951" s="3" t="n">
        <x:v>2</x:v>
      </x:c>
    </x:row>
    <x:row r="952" ht="21" customHeight="1">
      <x:c r="A952" s="3" t="n">
        <x:v>29</x:v>
      </x:c>
      <x:c r="B952" s="3" t="n">
        <x:v>4</x:v>
      </x:c>
      <x:c r="C952" s="3" t="n">
        <x:v>9</x:v>
      </x:c>
      <x:c r="D952" s="3" t="n">
        <x:v>1</x:v>
      </x:c>
      <x:c r="E952" s="3" t="n">
        <x:v>2</x:v>
      </x:c>
      <x:c r="F952" s="3" t="n">
        <x:v>2</x:v>
      </x:c>
    </x:row>
    <x:row r="953" ht="21" customHeight="1">
      <x:c r="A953" s="3" t="n">
        <x:v>29</x:v>
      </x:c>
      <x:c r="B953" s="3" t="n">
        <x:v>5</x:v>
      </x:c>
      <x:c r="C953" s="3" t="n">
        <x:v>10</x:v>
      </x:c>
      <x:c r="D953" s="3" t="n">
        <x:v>1</x:v>
      </x:c>
      <x:c r="E953" s="3" t="n">
        <x:v>2</x:v>
      </x:c>
      <x:c r="F953" s="3" t="n">
        <x:v>2</x:v>
      </x:c>
    </x:row>
    <x:row r="954" ht="21" customHeight="1">
      <x:c r="A954" s="3" t="n">
        <x:v>29</x:v>
      </x:c>
      <x:c r="B954" s="3" t="n">
        <x:v>6</x:v>
      </x:c>
      <x:c r="C954" s="3" t="n">
        <x:v>11</x:v>
      </x:c>
      <x:c r="D954" s="3" t="n">
        <x:v>2</x:v>
      </x:c>
      <x:c r="E954" s="3" t="n">
        <x:v>2</x:v>
      </x:c>
      <x:c r="F954" s="3" t="n">
        <x:v>1</x:v>
      </x:c>
    </x:row>
    <x:row r="955" ht="21" customHeight="1">
      <x:c r="A955" s="3" t="n">
        <x:v>29</x:v>
      </x:c>
      <x:c r="B955" s="3" t="n">
        <x:v>7</x:v>
      </x:c>
      <x:c r="C955" s="3" t="n">
        <x:v>12</x:v>
      </x:c>
      <x:c r="D955" s="3" t="n">
        <x:v>2</x:v>
      </x:c>
      <x:c r="E955" s="3" t="n">
        <x:v>2</x:v>
      </x:c>
      <x:c r="F955" s="3" t="n">
        <x:v>1</x:v>
      </x:c>
    </x:row>
    <x:row r="956" ht="21" customHeight="1">
      <x:c r="A956" s="3" t="n">
        <x:v>29</x:v>
      </x:c>
      <x:c r="B956" s="3" t="n">
        <x:v>8</x:v>
      </x:c>
      <x:c r="C956" s="3" t="n">
        <x:v>13</x:v>
      </x:c>
      <x:c r="D956" s="3" t="n">
        <x:v>2</x:v>
      </x:c>
      <x:c r="E956" s="3" t="n">
        <x:v>3</x:v>
      </x:c>
      <x:c r="F956" s="3" t="n">
        <x:v>2</x:v>
      </x:c>
    </x:row>
    <x:row r="957" ht="21" customHeight="1">
      <x:c r="A957" s="3" t="n">
        <x:v>29</x:v>
      </x:c>
      <x:c r="B957" s="3" t="n">
        <x:v>9</x:v>
      </x:c>
      <x:c r="C957" s="3" t="n">
        <x:v>14</x:v>
      </x:c>
      <x:c r="D957" s="3" t="n">
        <x:v>2</x:v>
      </x:c>
      <x:c r="E957" s="3" t="n">
        <x:v>3</x:v>
      </x:c>
      <x:c r="F957" s="3" t="n">
        <x:v>2</x:v>
      </x:c>
    </x:row>
    <x:row r="958" ht="21" customHeight="1">
      <x:c r="A958" s="3" t="n">
        <x:v>29</x:v>
      </x:c>
      <x:c r="B958" s="3" t="n">
        <x:v>10</x:v>
      </x:c>
      <x:c r="C958" s="3" t="n">
        <x:v>15</x:v>
      </x:c>
      <x:c r="D958" s="3" t="n">
        <x:v>2</x:v>
      </x:c>
      <x:c r="E958" s="3" t="n">
        <x:v>3</x:v>
      </x:c>
      <x:c r="F958" s="3" t="n">
        <x:v>2</x:v>
      </x:c>
    </x:row>
    <x:row r="959" ht="21" customHeight="1">
      <x:c r="A959" s="3" t="n">
        <x:v>29</x:v>
      </x:c>
      <x:c r="B959" s="3" t="n">
        <x:v>11</x:v>
      </x:c>
      <x:c r="C959" s="3" t="n">
        <x:v>16</x:v>
      </x:c>
      <x:c r="D959" s="3" t="n">
        <x:v>2</x:v>
      </x:c>
      <x:c r="E959" s="3" t="n">
        <x:v>3</x:v>
      </x:c>
      <x:c r="F959" s="3" t="n">
        <x:v>2</x:v>
      </x:c>
    </x:row>
    <x:row r="960" ht="21" customHeight="1">
      <x:c r="A960" s="3" t="n">
        <x:v>29</x:v>
      </x:c>
      <x:c r="B960" s="3" t="n">
        <x:v>12</x:v>
      </x:c>
      <x:c r="C960" s="3" t="n">
        <x:v>17</x:v>
      </x:c>
      <x:c r="D960" s="3" t="n">
        <x:v>3</x:v>
      </x:c>
      <x:c r="E960" s="3" t="n">
        <x:v>3</x:v>
      </x:c>
      <x:c r="F960" s="3" t="n">
        <x:v>1</x:v>
      </x:c>
    </x:row>
    <x:row r="961" ht="21" customHeight="1">
      <x:c r="A961" s="3" t="n">
        <x:v>29</x:v>
      </x:c>
      <x:c r="B961" s="3" t="n">
        <x:v>13</x:v>
      </x:c>
      <x:c r="C961" s="3" t="n">
        <x:v>18</x:v>
      </x:c>
      <x:c r="D961" s="3" t="n">
        <x:v>3</x:v>
      </x:c>
      <x:c r="E961" s="3" t="n">
        <x:v>3</x:v>
      </x:c>
      <x:c r="F961" s="3" t="n">
        <x:v>1</x:v>
      </x:c>
    </x:row>
    <x:row r="962" ht="21" customHeight="1">
      <x:c r="A962" s="3" t="n">
        <x:v>29</x:v>
      </x:c>
      <x:c r="B962" s="3" t="n">
        <x:v>14</x:v>
      </x:c>
      <x:c r="C962" s="3" t="n">
        <x:v>19</x:v>
      </x:c>
      <x:c r="D962" s="3" t="n">
        <x:v>3</x:v>
      </x:c>
      <x:c r="E962" s="3" t="n">
        <x:v>4</x:v>
      </x:c>
      <x:c r="F962" s="3" t="n">
        <x:v>2</x:v>
      </x:c>
    </x:row>
    <x:row r="963" ht="21" customHeight="1">
      <x:c r="A963" s="3" t="n">
        <x:v>29</x:v>
      </x:c>
      <x:c r="B963" s="3" t="n">
        <x:v>15</x:v>
      </x:c>
      <x:c r="C963" s="3" t="n">
        <x:v>20</x:v>
      </x:c>
      <x:c r="D963" s="3" t="n">
        <x:v>3</x:v>
      </x:c>
      <x:c r="E963" s="3" t="n">
        <x:v>4</x:v>
      </x:c>
      <x:c r="F963" s="3" t="n">
        <x:v>2</x:v>
      </x:c>
    </x:row>
    <x:row r="964" ht="21" customHeight="1">
      <x:c r="A964" s="3" t="n">
        <x:v>29</x:v>
      </x:c>
      <x:c r="B964" s="3" t="n">
        <x:v>16</x:v>
      </x:c>
      <x:c r="C964" s="3" t="n">
        <x:v>21</x:v>
      </x:c>
      <x:c r="D964" s="3" t="n">
        <x:v>3</x:v>
      </x:c>
      <x:c r="E964" s="3" t="n">
        <x:v>4</x:v>
      </x:c>
      <x:c r="F964" s="3" t="n">
        <x:v>2</x:v>
      </x:c>
    </x:row>
    <x:row r="965" ht="21" customHeight="1">
      <x:c r="A965" s="3" t="n">
        <x:v>29</x:v>
      </x:c>
      <x:c r="B965" s="3" t="n">
        <x:v>17</x:v>
      </x:c>
      <x:c r="C965" s="3" t="n">
        <x:v>22</x:v>
      </x:c>
      <x:c r="D965" s="3" t="n">
        <x:v>3</x:v>
      </x:c>
      <x:c r="E965" s="3" t="n">
        <x:v>4</x:v>
      </x:c>
      <x:c r="F965" s="3" t="n">
        <x:v>2</x:v>
      </x:c>
    </x:row>
    <x:row r="966" ht="21" customHeight="1">
      <x:c r="A966" s="3" t="n">
        <x:v>29</x:v>
      </x:c>
      <x:c r="B966" s="3" t="n">
        <x:v>18</x:v>
      </x:c>
      <x:c r="C966" s="3" t="n">
        <x:v>23</x:v>
      </x:c>
      <x:c r="D966" s="3" t="n">
        <x:v>4</x:v>
      </x:c>
      <x:c r="E966" s="3" t="n">
        <x:v>4</x:v>
      </x:c>
      <x:c r="F966" s="3" t="n">
        <x:v>1</x:v>
      </x:c>
    </x:row>
    <x:row r="967" ht="21" customHeight="1">
      <x:c r="A967" s="3" t="n">
        <x:v>29</x:v>
      </x:c>
      <x:c r="B967" s="3" t="n">
        <x:v>19</x:v>
      </x:c>
      <x:c r="C967" s="3" t="n">
        <x:v>24</x:v>
      </x:c>
      <x:c r="D967" s="3" t="n">
        <x:v>4</x:v>
      </x:c>
      <x:c r="E967" s="3" t="n">
        <x:v>4</x:v>
      </x:c>
      <x:c r="F967" s="3" t="n">
        <x:v>1</x:v>
      </x:c>
    </x:row>
    <x:row r="968" ht="21" customHeight="1">
      <x:c r="A968" s="3" t="n">
        <x:v>29</x:v>
      </x:c>
      <x:c r="B968" s="3" t="n">
        <x:v>20</x:v>
      </x:c>
      <x:c r="C968" s="3" t="n">
        <x:v>25</x:v>
      </x:c>
      <x:c r="D968" s="3" t="n">
        <x:v>4</x:v>
      </x:c>
      <x:c r="E968" s="3" t="n">
        <x:v>5</x:v>
      </x:c>
      <x:c r="F968" s="3" t="n">
        <x:v>2</x:v>
      </x:c>
    </x:row>
    <x:row r="969" ht="21" customHeight="1">
      <x:c r="A969" s="3" t="n">
        <x:v>29</x:v>
      </x:c>
      <x:c r="B969" s="3" t="n">
        <x:v>21</x:v>
      </x:c>
      <x:c r="C969" s="3" t="n">
        <x:v>26</x:v>
      </x:c>
      <x:c r="D969" s="3" t="n">
        <x:v>4</x:v>
      </x:c>
      <x:c r="E969" s="3" t="n">
        <x:v>5</x:v>
      </x:c>
      <x:c r="F969" s="3" t="n">
        <x:v>2</x:v>
      </x:c>
    </x:row>
    <x:row r="970" ht="21" customHeight="1">
      <x:c r="A970" s="3" t="n">
        <x:v>29</x:v>
      </x:c>
      <x:c r="B970" s="3" t="n">
        <x:v>22</x:v>
      </x:c>
      <x:c r="C970" s="3" t="n">
        <x:v>27</x:v>
      </x:c>
      <x:c r="D970" s="3" t="n">
        <x:v>4</x:v>
      </x:c>
      <x:c r="E970" s="3" t="n">
        <x:v>5</x:v>
      </x:c>
      <x:c r="F970" s="3" t="n">
        <x:v>2</x:v>
      </x:c>
    </x:row>
    <x:row r="971" ht="21" customHeight="1">
      <x:c r="A971" s="3" t="n">
        <x:v>29</x:v>
      </x:c>
      <x:c r="B971" s="3" t="n">
        <x:v>23</x:v>
      </x:c>
      <x:c r="C971" s="3" t="n">
        <x:v>28</x:v>
      </x:c>
      <x:c r="D971" s="3" t="n">
        <x:v>4</x:v>
      </x:c>
      <x:c r="E971" s="3" t="n">
        <x:v>5</x:v>
      </x:c>
      <x:c r="F971" s="3" t="n">
        <x:v>2</x:v>
      </x:c>
    </x:row>
    <x:row r="972" ht="21" customHeight="1">
      <x:c r="A972" s="3" t="n">
        <x:v>29</x:v>
      </x:c>
      <x:c r="B972" s="3" t="n">
        <x:v>24</x:v>
      </x:c>
      <x:c r="C972" s="3" t="n">
        <x:v>29</x:v>
      </x:c>
      <x:c r="D972" s="3" t="n">
        <x:v>5</x:v>
      </x:c>
      <x:c r="E972" s="3" t="n">
        <x:v>5</x:v>
      </x:c>
      <x:c r="F972" s="3" t="n">
        <x:v>1</x:v>
      </x:c>
    </x:row>
    <x:row r="973" ht="21" customHeight="1">
      <x:c r="A973" s="3" t="n">
        <x:v>29</x:v>
      </x:c>
      <x:c r="B973" s="3" t="n">
        <x:v>25</x:v>
      </x:c>
      <x:c r="C973" s="3" t="n">
        <x:v>30</x:v>
      </x:c>
      <x:c r="D973" s="3" t="n">
        <x:v>5</x:v>
      </x:c>
      <x:c r="E973" s="3" t="n">
        <x:v>5</x:v>
      </x:c>
      <x:c r="F973" s="3" t="n">
        <x:v>1</x:v>
      </x:c>
    </x:row>
    <x:row r="974" ht="21" customHeight="1">
      <x:c r="A974" s="3" t="n">
        <x:v>29</x:v>
      </x:c>
      <x:c r="B974" s="3" t="n">
        <x:v>26</x:v>
      </x:c>
      <x:c r="C974" s="3" t="n">
        <x:v>31</x:v>
      </x:c>
      <x:c r="D974" s="3" t="n">
        <x:v>5</x:v>
      </x:c>
      <x:c r="E974" s="3" t="n">
        <x:v>6</x:v>
      </x:c>
      <x:c r="F974" s="3" t="n">
        <x:v>2</x:v>
      </x:c>
    </x:row>
    <x:row r="975" ht="21" customHeight="1">
      <x:c r="A975" s="3" t="n">
        <x:v>29</x:v>
      </x:c>
      <x:c r="B975" s="3" t="n">
        <x:v>27</x:v>
      </x:c>
      <x:c r="C975" s="3" t="n">
        <x:v>32</x:v>
      </x:c>
      <x:c r="D975" s="3" t="n">
        <x:v>5</x:v>
      </x:c>
      <x:c r="E975" s="3" t="n">
        <x:v>6</x:v>
      </x:c>
      <x:c r="F975" s="3" t="n">
        <x:v>2</x:v>
      </x:c>
    </x:row>
    <x:row r="976" ht="21" customHeight="1">
      <x:c r="A976" s="3" t="n">
        <x:v>29</x:v>
      </x:c>
      <x:c r="B976" s="3" t="n">
        <x:v>28</x:v>
      </x:c>
      <x:c r="C976" s="3" t="n">
        <x:v>33</x:v>
      </x:c>
      <x:c r="D976" s="3" t="n">
        <x:v>5</x:v>
      </x:c>
      <x:c r="E976" s="3" t="n">
        <x:v>6</x:v>
      </x:c>
      <x:c r="F976" s="3" t="n">
        <x:v>2</x:v>
      </x:c>
    </x:row>
    <x:row r="977" ht="21" customHeight="1">
      <x:c r="A977" s="3" t="n">
        <x:v>29</x:v>
      </x:c>
      <x:c r="B977" s="3" t="n">
        <x:v>29</x:v>
      </x:c>
      <x:c r="C977" s="3" t="n">
        <x:v>34</x:v>
      </x:c>
      <x:c r="D977" s="3" t="n">
        <x:v>5</x:v>
      </x:c>
      <x:c r="E977" s="3" t="n">
        <x:v>6</x:v>
      </x:c>
      <x:c r="F977" s="3" t="n">
        <x:v>2</x:v>
      </x:c>
    </x:row>
    <x:row r="978" ht="21" customHeight="1">
      <x:c r="A978" s="3" t="n">
        <x:v>29</x:v>
      </x:c>
      <x:c r="B978" s="3" t="n">
        <x:v>30</x:v>
      </x:c>
      <x:c r="C978" s="3" t="n">
        <x:v>35</x:v>
      </x:c>
      <x:c r="D978" s="3" t="n">
        <x:v>6</x:v>
      </x:c>
      <x:c r="E978" s="3" t="n">
        <x:v>6</x:v>
      </x:c>
      <x:c r="F978" s="3" t="n">
        <x:v>1</x:v>
      </x:c>
    </x:row>
    <x:row r="979" ht="21" customHeight="1">
      <x:c r="A979" s="3" t="n">
        <x:v>29</x:v>
      </x:c>
      <x:c r="B979" s="3" t="n">
        <x:v>31</x:v>
      </x:c>
      <x:c r="C979" s="3" t="n">
        <x:v>36</x:v>
      </x:c>
      <x:c r="D979" s="3" t="n">
        <x:v>6</x:v>
      </x:c>
      <x:c r="E979" s="3" t="n">
        <x:v>6</x:v>
      </x:c>
      <x:c r="F979" s="3" t="n">
        <x:v>1</x:v>
      </x:c>
    </x:row>
    <x:row r="980" ht="21" customHeight="1">
      <x:c r="A980" s="3" t="n">
        <x:v>30</x:v>
      </x:c>
      <x:c r="B980" s="3" t="n">
        <x:v>0</x:v>
      </x:c>
      <x:c r="C980" s="3" t="n">
        <x:v>2</x:v>
      </x:c>
      <x:c r="D980" s="3" t="n">
        <x:v>1</x:v>
      </x:c>
      <x:c r="E980" s="3" t="n">
        <x:v>1</x:v>
      </x:c>
      <x:c r="F980" s="3" t="n">
        <x:v>1</x:v>
      </x:c>
    </x:row>
    <x:row r="981" ht="21" customHeight="1">
      <x:c r="A981" s="3" t="n">
        <x:v>30</x:v>
      </x:c>
      <x:c r="B981" s="3" t="n">
        <x:v>1</x:v>
      </x:c>
      <x:c r="C981" s="3" t="n">
        <x:v>3</x:v>
      </x:c>
      <x:c r="D981" s="3" t="n">
        <x:v>1</x:v>
      </x:c>
      <x:c r="E981" s="3" t="n">
        <x:v>1</x:v>
      </x:c>
      <x:c r="F981" s="3" t="n">
        <x:v>1</x:v>
      </x:c>
    </x:row>
    <x:row r="982" ht="21" customHeight="1">
      <x:c r="A982" s="3" t="n">
        <x:v>30</x:v>
      </x:c>
      <x:c r="B982" s="3" t="n">
        <x:v>2</x:v>
      </x:c>
      <x:c r="C982" s="3" t="n">
        <x:v>4</x:v>
      </x:c>
      <x:c r="D982" s="3" t="n">
        <x:v>1</x:v>
      </x:c>
      <x:c r="E982" s="3" t="n">
        <x:v>1</x:v>
      </x:c>
      <x:c r="F982" s="3" t="n">
        <x:v>1</x:v>
      </x:c>
    </x:row>
    <x:row r="983" ht="21" customHeight="1">
      <x:c r="A983" s="3" t="n">
        <x:v>30</x:v>
      </x:c>
      <x:c r="B983" s="3" t="n">
        <x:v>3</x:v>
      </x:c>
      <x:c r="C983" s="3" t="n">
        <x:v>5</x:v>
      </x:c>
      <x:c r="D983" s="3" t="n">
        <x:v>1</x:v>
      </x:c>
      <x:c r="E983" s="3" t="n">
        <x:v>1</x:v>
      </x:c>
      <x:c r="F983" s="3" t="n">
        <x:v>1</x:v>
      </x:c>
    </x:row>
    <x:row r="984" ht="21" customHeight="1">
      <x:c r="A984" s="3" t="n">
        <x:v>30</x:v>
      </x:c>
      <x:c r="B984" s="3" t="n">
        <x:v>4</x:v>
      </x:c>
      <x:c r="C984" s="3" t="n">
        <x:v>6</x:v>
      </x:c>
      <x:c r="D984" s="3" t="n">
        <x:v>1</x:v>
      </x:c>
      <x:c r="E984" s="3" t="n">
        <x:v>1</x:v>
      </x:c>
      <x:c r="F984" s="3" t="n">
        <x:v>1</x:v>
      </x:c>
    </x:row>
    <x:row r="985" ht="21" customHeight="1">
      <x:c r="A985" s="3" t="n">
        <x:v>30</x:v>
      </x:c>
      <x:c r="B985" s="3" t="n">
        <x:v>5</x:v>
      </x:c>
      <x:c r="C985" s="3" t="n">
        <x:v>7</x:v>
      </x:c>
      <x:c r="D985" s="3" t="n">
        <x:v>1</x:v>
      </x:c>
      <x:c r="E985" s="3" t="n">
        <x:v>2</x:v>
      </x:c>
      <x:c r="F985" s="3" t="n">
        <x:v>2</x:v>
      </x:c>
    </x:row>
    <x:row r="986" ht="21" customHeight="1">
      <x:c r="A986" s="3" t="n">
        <x:v>30</x:v>
      </x:c>
      <x:c r="B986" s="3" t="n">
        <x:v>6</x:v>
      </x:c>
      <x:c r="C986" s="3" t="n">
        <x:v>8</x:v>
      </x:c>
      <x:c r="D986" s="3" t="n">
        <x:v>2</x:v>
      </x:c>
      <x:c r="E986" s="3" t="n">
        <x:v>2</x:v>
      </x:c>
      <x:c r="F986" s="3" t="n">
        <x:v>1</x:v>
      </x:c>
    </x:row>
    <x:row r="987" ht="21" customHeight="1">
      <x:c r="A987" s="3" t="n">
        <x:v>30</x:v>
      </x:c>
      <x:c r="B987" s="3" t="n">
        <x:v>7</x:v>
      </x:c>
      <x:c r="C987" s="3" t="n">
        <x:v>9</x:v>
      </x:c>
      <x:c r="D987" s="3" t="n">
        <x:v>2</x:v>
      </x:c>
      <x:c r="E987" s="3" t="n">
        <x:v>2</x:v>
      </x:c>
      <x:c r="F987" s="3" t="n">
        <x:v>1</x:v>
      </x:c>
    </x:row>
    <x:row r="988" ht="21" customHeight="1">
      <x:c r="A988" s="3" t="n">
        <x:v>30</x:v>
      </x:c>
      <x:c r="B988" s="3" t="n">
        <x:v>8</x:v>
      </x:c>
      <x:c r="C988" s="3" t="n">
        <x:v>10</x:v>
      </x:c>
      <x:c r="D988" s="3" t="n">
        <x:v>2</x:v>
      </x:c>
      <x:c r="E988" s="3" t="n">
        <x:v>2</x:v>
      </x:c>
      <x:c r="F988" s="3" t="n">
        <x:v>1</x:v>
      </x:c>
    </x:row>
    <x:row r="989" ht="21" customHeight="1">
      <x:c r="A989" s="3" t="n">
        <x:v>30</x:v>
      </x:c>
      <x:c r="B989" s="3" t="n">
        <x:v>9</x:v>
      </x:c>
      <x:c r="C989" s="3" t="n">
        <x:v>11</x:v>
      </x:c>
      <x:c r="D989" s="3" t="n">
        <x:v>2</x:v>
      </x:c>
      <x:c r="E989" s="3" t="n">
        <x:v>2</x:v>
      </x:c>
      <x:c r="F989" s="3" t="n">
        <x:v>1</x:v>
      </x:c>
    </x:row>
    <x:row r="990" ht="21" customHeight="1">
      <x:c r="A990" s="3" t="n">
        <x:v>30</x:v>
      </x:c>
      <x:c r="B990" s="3" t="n">
        <x:v>10</x:v>
      </x:c>
      <x:c r="C990" s="3" t="n">
        <x:v>12</x:v>
      </x:c>
      <x:c r="D990" s="3" t="n">
        <x:v>2</x:v>
      </x:c>
      <x:c r="E990" s="3" t="n">
        <x:v>2</x:v>
      </x:c>
      <x:c r="F990" s="3" t="n">
        <x:v>1</x:v>
      </x:c>
    </x:row>
    <x:row r="991" ht="21" customHeight="1">
      <x:c r="A991" s="3" t="n">
        <x:v>30</x:v>
      </x:c>
      <x:c r="B991" s="3" t="n">
        <x:v>11</x:v>
      </x:c>
      <x:c r="C991" s="3" t="n">
        <x:v>13</x:v>
      </x:c>
      <x:c r="D991" s="3" t="n">
        <x:v>2</x:v>
      </x:c>
      <x:c r="E991" s="3" t="n">
        <x:v>3</x:v>
      </x:c>
      <x:c r="F991" s="3" t="n">
        <x:v>2</x:v>
      </x:c>
    </x:row>
    <x:row r="992" ht="21" customHeight="1">
      <x:c r="A992" s="3" t="n">
        <x:v>30</x:v>
      </x:c>
      <x:c r="B992" s="3" t="n">
        <x:v>12</x:v>
      </x:c>
      <x:c r="C992" s="3" t="n">
        <x:v>14</x:v>
      </x:c>
      <x:c r="D992" s="3" t="n">
        <x:v>3</x:v>
      </x:c>
      <x:c r="E992" s="3" t="n">
        <x:v>3</x:v>
      </x:c>
      <x:c r="F992" s="3" t="n">
        <x:v>1</x:v>
      </x:c>
    </x:row>
    <x:row r="993" ht="21" customHeight="1">
      <x:c r="A993" s="3" t="n">
        <x:v>30</x:v>
      </x:c>
      <x:c r="B993" s="3" t="n">
        <x:v>13</x:v>
      </x:c>
      <x:c r="C993" s="3" t="n">
        <x:v>15</x:v>
      </x:c>
      <x:c r="D993" s="3" t="n">
        <x:v>3</x:v>
      </x:c>
      <x:c r="E993" s="3" t="n">
        <x:v>3</x:v>
      </x:c>
      <x:c r="F993" s="3" t="n">
        <x:v>1</x:v>
      </x:c>
    </x:row>
    <x:row r="994" ht="21" customHeight="1">
      <x:c r="A994" s="3" t="n">
        <x:v>30</x:v>
      </x:c>
      <x:c r="B994" s="3" t="n">
        <x:v>14</x:v>
      </x:c>
      <x:c r="C994" s="3" t="n">
        <x:v>16</x:v>
      </x:c>
      <x:c r="D994" s="3" t="n">
        <x:v>3</x:v>
      </x:c>
      <x:c r="E994" s="3" t="n">
        <x:v>3</x:v>
      </x:c>
      <x:c r="F994" s="3" t="n">
        <x:v>1</x:v>
      </x:c>
    </x:row>
    <x:row r="995" ht="21" customHeight="1">
      <x:c r="A995" s="3" t="n">
        <x:v>30</x:v>
      </x:c>
      <x:c r="B995" s="3" t="n">
        <x:v>15</x:v>
      </x:c>
      <x:c r="C995" s="3" t="n">
        <x:v>17</x:v>
      </x:c>
      <x:c r="D995" s="3" t="n">
        <x:v>3</x:v>
      </x:c>
      <x:c r="E995" s="3" t="n">
        <x:v>3</x:v>
      </x:c>
      <x:c r="F995" s="3" t="n">
        <x:v>1</x:v>
      </x:c>
    </x:row>
    <x:row r="996" ht="21" customHeight="1">
      <x:c r="A996" s="3" t="n">
        <x:v>30</x:v>
      </x:c>
      <x:c r="B996" s="3" t="n">
        <x:v>16</x:v>
      </x:c>
      <x:c r="C996" s="3" t="n">
        <x:v>18</x:v>
      </x:c>
      <x:c r="D996" s="3" t="n">
        <x:v>3</x:v>
      </x:c>
      <x:c r="E996" s="3" t="n">
        <x:v>3</x:v>
      </x:c>
      <x:c r="F996" s="3" t="n">
        <x:v>1</x:v>
      </x:c>
    </x:row>
    <x:row r="997" ht="21" customHeight="1">
      <x:c r="A997" s="3" t="n">
        <x:v>30</x:v>
      </x:c>
      <x:c r="B997" s="3" t="n">
        <x:v>17</x:v>
      </x:c>
      <x:c r="C997" s="3" t="n">
        <x:v>19</x:v>
      </x:c>
      <x:c r="D997" s="3" t="n">
        <x:v>3</x:v>
      </x:c>
      <x:c r="E997" s="3" t="n">
        <x:v>4</x:v>
      </x:c>
      <x:c r="F997" s="3" t="n">
        <x:v>2</x:v>
      </x:c>
    </x:row>
    <x:row r="998" ht="21" customHeight="1">
      <x:c r="A998" s="3" t="n">
        <x:v>30</x:v>
      </x:c>
      <x:c r="B998" s="3" t="n">
        <x:v>18</x:v>
      </x:c>
      <x:c r="C998" s="3" t="n">
        <x:v>20</x:v>
      </x:c>
      <x:c r="D998" s="3" t="n">
        <x:v>4</x:v>
      </x:c>
      <x:c r="E998" s="3" t="n">
        <x:v>4</x:v>
      </x:c>
      <x:c r="F998" s="3" t="n">
        <x:v>1</x:v>
      </x:c>
    </x:row>
    <x:row r="999" ht="21" customHeight="1">
      <x:c r="A999" s="3" t="n">
        <x:v>30</x:v>
      </x:c>
      <x:c r="B999" s="3" t="n">
        <x:v>19</x:v>
      </x:c>
      <x:c r="C999" s="3" t="n">
        <x:v>21</x:v>
      </x:c>
      <x:c r="D999" s="3" t="n">
        <x:v>4</x:v>
      </x:c>
      <x:c r="E999" s="3" t="n">
        <x:v>4</x:v>
      </x:c>
      <x:c r="F999" s="3" t="n">
        <x:v>1</x:v>
      </x:c>
    </x:row>
    <x:row r="1000" ht="21" customHeight="1">
      <x:c r="A1000" s="3" t="n">
        <x:v>30</x:v>
      </x:c>
      <x:c r="B1000" s="3" t="n">
        <x:v>20</x:v>
      </x:c>
      <x:c r="C1000" s="3" t="n">
        <x:v>22</x:v>
      </x:c>
      <x:c r="D1000" s="3" t="n">
        <x:v>4</x:v>
      </x:c>
      <x:c r="E1000" s="3" t="n">
        <x:v>4</x:v>
      </x:c>
      <x:c r="F1000" s="3" t="n">
        <x:v>1</x:v>
      </x:c>
    </x:row>
    <x:row r="1001" ht="21" customHeight="1">
      <x:c r="A1001" s="3" t="n">
        <x:v>30</x:v>
      </x:c>
      <x:c r="B1001" s="3" t="n">
        <x:v>21</x:v>
      </x:c>
      <x:c r="C1001" s="3" t="n">
        <x:v>23</x:v>
      </x:c>
      <x:c r="D1001" s="3" t="n">
        <x:v>4</x:v>
      </x:c>
      <x:c r="E1001" s="3" t="n">
        <x:v>4</x:v>
      </x:c>
      <x:c r="F1001" s="3" t="n">
        <x:v>1</x:v>
      </x:c>
    </x:row>
    <x:row r="1002" ht="21" customHeight="1">
      <x:c r="A1002" s="3" t="n">
        <x:v>30</x:v>
      </x:c>
      <x:c r="B1002" s="3" t="n">
        <x:v>22</x:v>
      </x:c>
      <x:c r="C1002" s="3" t="n">
        <x:v>24</x:v>
      </x:c>
      <x:c r="D1002" s="3" t="n">
        <x:v>4</x:v>
      </x:c>
      <x:c r="E1002" s="3" t="n">
        <x:v>4</x:v>
      </x:c>
      <x:c r="F1002" s="3" t="n">
        <x:v>1</x:v>
      </x:c>
    </x:row>
    <x:row r="1003" ht="21" customHeight="1">
      <x:c r="A1003" s="3" t="n">
        <x:v>30</x:v>
      </x:c>
      <x:c r="B1003" s="3" t="n">
        <x:v>23</x:v>
      </x:c>
      <x:c r="C1003" s="3" t="n">
        <x:v>25</x:v>
      </x:c>
      <x:c r="D1003" s="3" t="n">
        <x:v>4</x:v>
      </x:c>
      <x:c r="E1003" s="3" t="n">
        <x:v>5</x:v>
      </x:c>
      <x:c r="F1003" s="3" t="n">
        <x:v>2</x:v>
      </x:c>
    </x:row>
    <x:row r="1004" ht="21" customHeight="1">
      <x:c r="A1004" s="3" t="n">
        <x:v>30</x:v>
      </x:c>
      <x:c r="B1004" s="3" t="n">
        <x:v>24</x:v>
      </x:c>
      <x:c r="C1004" s="3" t="n">
        <x:v>26</x:v>
      </x:c>
      <x:c r="D1004" s="3" t="n">
        <x:v>5</x:v>
      </x:c>
      <x:c r="E1004" s="3" t="n">
        <x:v>5</x:v>
      </x:c>
      <x:c r="F1004" s="3" t="n">
        <x:v>1</x:v>
      </x:c>
    </x:row>
    <x:row r="1005" ht="21" customHeight="1">
      <x:c r="A1005" s="3" t="n">
        <x:v>30</x:v>
      </x:c>
      <x:c r="B1005" s="3" t="n">
        <x:v>25</x:v>
      </x:c>
      <x:c r="C1005" s="3" t="n">
        <x:v>27</x:v>
      </x:c>
      <x:c r="D1005" s="3" t="n">
        <x:v>5</x:v>
      </x:c>
      <x:c r="E1005" s="3" t="n">
        <x:v>5</x:v>
      </x:c>
      <x:c r="F1005" s="3" t="n">
        <x:v>1</x:v>
      </x:c>
    </x:row>
    <x:row r="1006" ht="21" customHeight="1">
      <x:c r="A1006" s="3" t="n">
        <x:v>30</x:v>
      </x:c>
      <x:c r="B1006" s="3" t="n">
        <x:v>26</x:v>
      </x:c>
      <x:c r="C1006" s="3" t="n">
        <x:v>28</x:v>
      </x:c>
      <x:c r="D1006" s="3" t="n">
        <x:v>5</x:v>
      </x:c>
      <x:c r="E1006" s="3" t="n">
        <x:v>5</x:v>
      </x:c>
      <x:c r="F1006" s="3" t="n">
        <x:v>1</x:v>
      </x:c>
    </x:row>
    <x:row r="1007" ht="21" customHeight="1">
      <x:c r="A1007" s="3" t="n">
        <x:v>30</x:v>
      </x:c>
      <x:c r="B1007" s="3" t="n">
        <x:v>27</x:v>
      </x:c>
      <x:c r="C1007" s="3" t="n">
        <x:v>29</x:v>
      </x:c>
      <x:c r="D1007" s="3" t="n">
        <x:v>5</x:v>
      </x:c>
      <x:c r="E1007" s="3" t="n">
        <x:v>5</x:v>
      </x:c>
      <x:c r="F1007" s="3" t="n">
        <x:v>1</x:v>
      </x:c>
    </x:row>
    <x:row r="1008" ht="21" customHeight="1">
      <x:c r="A1008" s="3" t="n">
        <x:v>30</x:v>
      </x:c>
      <x:c r="B1008" s="3" t="n">
        <x:v>28</x:v>
      </x:c>
      <x:c r="C1008" s="3" t="n">
        <x:v>30</x:v>
      </x:c>
      <x:c r="D1008" s="3" t="n">
        <x:v>5</x:v>
      </x:c>
      <x:c r="E1008" s="3" t="n">
        <x:v>5</x:v>
      </x:c>
      <x:c r="F1008" s="3" t="n">
        <x:v>1</x:v>
      </x:c>
    </x:row>
    <x:row r="1009" ht="21" customHeight="1">
      <x:c r="A1009" s="3" t="n">
        <x:v>30</x:v>
      </x:c>
      <x:c r="B1009" s="3" t="n">
        <x:v>29</x:v>
      </x:c>
      <x:c r="C1009" s="3" t="n">
        <x:v>31</x:v>
      </x:c>
      <x:c r="D1009" s="3" t="n">
        <x:v>5</x:v>
      </x:c>
      <x:c r="E1009" s="3" t="n">
        <x:v>6</x:v>
      </x:c>
      <x:c r="F1009" s="3" t="n">
        <x:v>2</x:v>
      </x:c>
    </x:row>
    <x:row r="1010" ht="21" customHeight="1">
      <x:c r="A1010" s="3" t="n">
        <x:v>30</x:v>
      </x:c>
      <x:c r="B1010" s="3" t="n">
        <x:v>30</x:v>
      </x:c>
      <x:c r="C1010" s="3" t="n">
        <x:v>32</x:v>
      </x:c>
      <x:c r="D1010" s="3" t="n">
        <x:v>6</x:v>
      </x:c>
      <x:c r="E1010" s="3" t="n">
        <x:v>6</x:v>
      </x:c>
      <x:c r="F1010" s="3" t="n">
        <x:v>1</x:v>
      </x:c>
    </x:row>
    <x:row r="1011" ht="21" customHeight="1">
      <x:c r="A1011" s="3" t="n">
        <x:v>30</x:v>
      </x:c>
      <x:c r="B1011" s="3" t="n">
        <x:v>31</x:v>
      </x:c>
      <x:c r="C1011" s="3" t="n">
        <x:v>33</x:v>
      </x:c>
      <x:c r="D1011" s="3" t="n">
        <x:v>6</x:v>
      </x:c>
      <x:c r="E1011" s="3" t="n">
        <x:v>6</x:v>
      </x:c>
      <x:c r="F1011" s="3" t="n">
        <x:v>1</x:v>
      </x:c>
    </x:row>
    <x:row r="1012" ht="21" customHeight="1">
      <x:c r="A1012" s="3" t="n">
        <x:v>30</x:v>
      </x:c>
      <x:c r="B1012" s="3" t="n">
        <x:v>32</x:v>
      </x:c>
      <x:c r="C1012" s="3" t="n">
        <x:v>34</x:v>
      </x:c>
      <x:c r="D1012" s="3" t="n">
        <x:v>6</x:v>
      </x:c>
      <x:c r="E1012" s="3" t="n">
        <x:v>6</x:v>
      </x:c>
      <x:c r="F1012" s="3" t="n">
        <x:v>1</x:v>
      </x:c>
    </x:row>
    <x:row r="1013" ht="21" customHeight="1">
      <x:c r="A1013" s="3" t="n">
        <x:v>30</x:v>
      </x:c>
      <x:c r="B1013" s="3" t="n">
        <x:v>33</x:v>
      </x:c>
      <x:c r="C1013" s="3" t="n">
        <x:v>35</x:v>
      </x:c>
      <x:c r="D1013" s="3" t="n">
        <x:v>6</x:v>
      </x:c>
      <x:c r="E1013" s="3" t="n">
        <x:v>6</x:v>
      </x:c>
      <x:c r="F1013" s="3" t="n">
        <x:v>1</x:v>
      </x:c>
    </x:row>
    <x:row r="1014" ht="21" customHeight="1">
      <x:c r="A1014" s="3" t="n">
        <x:v>30</x:v>
      </x:c>
      <x:c r="B1014" s="3" t="n">
        <x:v>34</x:v>
      </x:c>
      <x:c r="C1014" s="3" t="n">
        <x:v>36</x:v>
      </x:c>
      <x:c r="D1014" s="3" t="n">
        <x:v>6</x:v>
      </x:c>
      <x:c r="E1014" s="3" t="n">
        <x:v>6</x:v>
      </x:c>
      <x:c r="F1014" s="3" t="n">
        <x:v>1</x:v>
      </x:c>
    </x:row>
    <x:row r="1015" ht="21" customHeight="1">
      <x:c r="A1015" s="3" t="n">
        <x:v>31</x:v>
      </x:c>
      <x:c r="B1015" s="3" t="n">
        <x:v>0</x:v>
      </x:c>
      <x:c r="C1015" s="3" t="n">
        <x:v>3</x:v>
      </x:c>
      <x:c r="D1015" s="3" t="n">
        <x:v>1</x:v>
      </x:c>
      <x:c r="E1015" s="3" t="n">
        <x:v>1</x:v>
      </x:c>
      <x:c r="F1015" s="3" t="n">
        <x:v>1</x:v>
      </x:c>
    </x:row>
    <x:row r="1016" ht="21" customHeight="1">
      <x:c r="A1016" s="3" t="n">
        <x:v>31</x:v>
      </x:c>
      <x:c r="B1016" s="3" t="n">
        <x:v>1</x:v>
      </x:c>
      <x:c r="C1016" s="3" t="n">
        <x:v>4</x:v>
      </x:c>
      <x:c r="D1016" s="3" t="n">
        <x:v>1</x:v>
      </x:c>
      <x:c r="E1016" s="3" t="n">
        <x:v>1</x:v>
      </x:c>
      <x:c r="F1016" s="3" t="n">
        <x:v>1</x:v>
      </x:c>
    </x:row>
    <x:row r="1017" ht="21" customHeight="1">
      <x:c r="A1017" s="3" t="n">
        <x:v>31</x:v>
      </x:c>
      <x:c r="B1017" s="3" t="n">
        <x:v>2</x:v>
      </x:c>
      <x:c r="C1017" s="3" t="n">
        <x:v>5</x:v>
      </x:c>
      <x:c r="D1017" s="3" t="n">
        <x:v>1</x:v>
      </x:c>
      <x:c r="E1017" s="3" t="n">
        <x:v>1</x:v>
      </x:c>
      <x:c r="F1017" s="3" t="n">
        <x:v>1</x:v>
      </x:c>
    </x:row>
    <x:row r="1018" ht="21" customHeight="1">
      <x:c r="A1018" s="3" t="n">
        <x:v>31</x:v>
      </x:c>
      <x:c r="B1018" s="3" t="n">
        <x:v>3</x:v>
      </x:c>
      <x:c r="C1018" s="3" t="n">
        <x:v>6</x:v>
      </x:c>
      <x:c r="D1018" s="3" t="n">
        <x:v>1</x:v>
      </x:c>
      <x:c r="E1018" s="3" t="n">
        <x:v>1</x:v>
      </x:c>
      <x:c r="F1018" s="3" t="n">
        <x:v>1</x:v>
      </x:c>
    </x:row>
    <x:row r="1019" ht="21" customHeight="1">
      <x:c r="A1019" s="3" t="n">
        <x:v>31</x:v>
      </x:c>
      <x:c r="B1019" s="3" t="n">
        <x:v>4</x:v>
      </x:c>
      <x:c r="C1019" s="3" t="n">
        <x:v>7</x:v>
      </x:c>
      <x:c r="D1019" s="3" t="n">
        <x:v>1</x:v>
      </x:c>
      <x:c r="E1019" s="3" t="n">
        <x:v>2</x:v>
      </x:c>
      <x:c r="F1019" s="3" t="n">
        <x:v>2</x:v>
      </x:c>
    </x:row>
    <x:row r="1020" ht="21" customHeight="1">
      <x:c r="A1020" s="3" t="n">
        <x:v>31</x:v>
      </x:c>
      <x:c r="B1020" s="3" t="n">
        <x:v>5</x:v>
      </x:c>
      <x:c r="C1020" s="3" t="n">
        <x:v>8</x:v>
      </x:c>
      <x:c r="D1020" s="3" t="n">
        <x:v>1</x:v>
      </x:c>
      <x:c r="E1020" s="3" t="n">
        <x:v>2</x:v>
      </x:c>
      <x:c r="F1020" s="3" t="n">
        <x:v>2</x:v>
      </x:c>
    </x:row>
    <x:row r="1021" ht="21" customHeight="1">
      <x:c r="A1021" s="3" t="n">
        <x:v>31</x:v>
      </x:c>
      <x:c r="B1021" s="3" t="n">
        <x:v>6</x:v>
      </x:c>
      <x:c r="C1021" s="3" t="n">
        <x:v>9</x:v>
      </x:c>
      <x:c r="D1021" s="3" t="n">
        <x:v>2</x:v>
      </x:c>
      <x:c r="E1021" s="3" t="n">
        <x:v>2</x:v>
      </x:c>
      <x:c r="F1021" s="3" t="n">
        <x:v>1</x:v>
      </x:c>
    </x:row>
    <x:row r="1022" ht="21" customHeight="1">
      <x:c r="A1022" s="3" t="n">
        <x:v>31</x:v>
      </x:c>
      <x:c r="B1022" s="3" t="n">
        <x:v>7</x:v>
      </x:c>
      <x:c r="C1022" s="3" t="n">
        <x:v>10</x:v>
      </x:c>
      <x:c r="D1022" s="3" t="n">
        <x:v>2</x:v>
      </x:c>
      <x:c r="E1022" s="3" t="n">
        <x:v>2</x:v>
      </x:c>
      <x:c r="F1022" s="3" t="n">
        <x:v>1</x:v>
      </x:c>
    </x:row>
    <x:row r="1023" ht="21" customHeight="1">
      <x:c r="A1023" s="3" t="n">
        <x:v>31</x:v>
      </x:c>
      <x:c r="B1023" s="3" t="n">
        <x:v>8</x:v>
      </x:c>
      <x:c r="C1023" s="3" t="n">
        <x:v>11</x:v>
      </x:c>
      <x:c r="D1023" s="3" t="n">
        <x:v>2</x:v>
      </x:c>
      <x:c r="E1023" s="3" t="n">
        <x:v>2</x:v>
      </x:c>
      <x:c r="F1023" s="3" t="n">
        <x:v>1</x:v>
      </x:c>
    </x:row>
    <x:row r="1024" ht="21" customHeight="1">
      <x:c r="A1024" s="3" t="n">
        <x:v>31</x:v>
      </x:c>
      <x:c r="B1024" s="3" t="n">
        <x:v>9</x:v>
      </x:c>
      <x:c r="C1024" s="3" t="n">
        <x:v>12</x:v>
      </x:c>
      <x:c r="D1024" s="3" t="n">
        <x:v>2</x:v>
      </x:c>
      <x:c r="E1024" s="3" t="n">
        <x:v>2</x:v>
      </x:c>
      <x:c r="F1024" s="3" t="n">
        <x:v>1</x:v>
      </x:c>
    </x:row>
    <x:row r="1025" ht="21" customHeight="1">
      <x:c r="A1025" s="3" t="n">
        <x:v>31</x:v>
      </x:c>
      <x:c r="B1025" s="3" t="n">
        <x:v>10</x:v>
      </x:c>
      <x:c r="C1025" s="3" t="n">
        <x:v>13</x:v>
      </x:c>
      <x:c r="D1025" s="3" t="n">
        <x:v>2</x:v>
      </x:c>
      <x:c r="E1025" s="3" t="n">
        <x:v>3</x:v>
      </x:c>
      <x:c r="F1025" s="3" t="n">
        <x:v>2</x:v>
      </x:c>
    </x:row>
    <x:row r="1026" ht="21" customHeight="1">
      <x:c r="A1026" s="3" t="n">
        <x:v>31</x:v>
      </x:c>
      <x:c r="B1026" s="3" t="n">
        <x:v>11</x:v>
      </x:c>
      <x:c r="C1026" s="3" t="n">
        <x:v>14</x:v>
      </x:c>
      <x:c r="D1026" s="3" t="n">
        <x:v>2</x:v>
      </x:c>
      <x:c r="E1026" s="3" t="n">
        <x:v>3</x:v>
      </x:c>
      <x:c r="F1026" s="3" t="n">
        <x:v>2</x:v>
      </x:c>
    </x:row>
    <x:row r="1027" ht="21" customHeight="1">
      <x:c r="A1027" s="3" t="n">
        <x:v>31</x:v>
      </x:c>
      <x:c r="B1027" s="3" t="n">
        <x:v>12</x:v>
      </x:c>
      <x:c r="C1027" s="3" t="n">
        <x:v>15</x:v>
      </x:c>
      <x:c r="D1027" s="3" t="n">
        <x:v>3</x:v>
      </x:c>
      <x:c r="E1027" s="3" t="n">
        <x:v>3</x:v>
      </x:c>
      <x:c r="F1027" s="3" t="n">
        <x:v>1</x:v>
      </x:c>
    </x:row>
    <x:row r="1028" ht="21" customHeight="1">
      <x:c r="A1028" s="3" t="n">
        <x:v>31</x:v>
      </x:c>
      <x:c r="B1028" s="3" t="n">
        <x:v>13</x:v>
      </x:c>
      <x:c r="C1028" s="3" t="n">
        <x:v>16</x:v>
      </x:c>
      <x:c r="D1028" s="3" t="n">
        <x:v>3</x:v>
      </x:c>
      <x:c r="E1028" s="3" t="n">
        <x:v>3</x:v>
      </x:c>
      <x:c r="F1028" s="3" t="n">
        <x:v>1</x:v>
      </x:c>
    </x:row>
    <x:row r="1029" ht="21" customHeight="1">
      <x:c r="A1029" s="3" t="n">
        <x:v>31</x:v>
      </x:c>
      <x:c r="B1029" s="3" t="n">
        <x:v>14</x:v>
      </x:c>
      <x:c r="C1029" s="3" t="n">
        <x:v>17</x:v>
      </x:c>
      <x:c r="D1029" s="3" t="n">
        <x:v>3</x:v>
      </x:c>
      <x:c r="E1029" s="3" t="n">
        <x:v>3</x:v>
      </x:c>
      <x:c r="F1029" s="3" t="n">
        <x:v>1</x:v>
      </x:c>
    </x:row>
    <x:row r="1030" ht="21" customHeight="1">
      <x:c r="A1030" s="3" t="n">
        <x:v>31</x:v>
      </x:c>
      <x:c r="B1030" s="3" t="n">
        <x:v>15</x:v>
      </x:c>
      <x:c r="C1030" s="3" t="n">
        <x:v>18</x:v>
      </x:c>
      <x:c r="D1030" s="3" t="n">
        <x:v>3</x:v>
      </x:c>
      <x:c r="E1030" s="3" t="n">
        <x:v>3</x:v>
      </x:c>
      <x:c r="F1030" s="3" t="n">
        <x:v>1</x:v>
      </x:c>
    </x:row>
    <x:row r="1031" ht="21" customHeight="1">
      <x:c r="A1031" s="3" t="n">
        <x:v>31</x:v>
      </x:c>
      <x:c r="B1031" s="3" t="n">
        <x:v>16</x:v>
      </x:c>
      <x:c r="C1031" s="3" t="n">
        <x:v>19</x:v>
      </x:c>
      <x:c r="D1031" s="3" t="n">
        <x:v>3</x:v>
      </x:c>
      <x:c r="E1031" s="3" t="n">
        <x:v>4</x:v>
      </x:c>
      <x:c r="F1031" s="3" t="n">
        <x:v>2</x:v>
      </x:c>
    </x:row>
    <x:row r="1032" ht="21" customHeight="1">
      <x:c r="A1032" s="3" t="n">
        <x:v>31</x:v>
      </x:c>
      <x:c r="B1032" s="3" t="n">
        <x:v>17</x:v>
      </x:c>
      <x:c r="C1032" s="3" t="n">
        <x:v>20</x:v>
      </x:c>
      <x:c r="D1032" s="3" t="n">
        <x:v>3</x:v>
      </x:c>
      <x:c r="E1032" s="3" t="n">
        <x:v>4</x:v>
      </x:c>
      <x:c r="F1032" s="3" t="n">
        <x:v>2</x:v>
      </x:c>
    </x:row>
    <x:row r="1033" ht="21" customHeight="1">
      <x:c r="A1033" s="3" t="n">
        <x:v>31</x:v>
      </x:c>
      <x:c r="B1033" s="3" t="n">
        <x:v>18</x:v>
      </x:c>
      <x:c r="C1033" s="3" t="n">
        <x:v>21</x:v>
      </x:c>
      <x:c r="D1033" s="3" t="n">
        <x:v>4</x:v>
      </x:c>
      <x:c r="E1033" s="3" t="n">
        <x:v>4</x:v>
      </x:c>
      <x:c r="F1033" s="3" t="n">
        <x:v>1</x:v>
      </x:c>
    </x:row>
    <x:row r="1034" ht="21" customHeight="1">
      <x:c r="A1034" s="3" t="n">
        <x:v>31</x:v>
      </x:c>
      <x:c r="B1034" s="3" t="n">
        <x:v>19</x:v>
      </x:c>
      <x:c r="C1034" s="3" t="n">
        <x:v>22</x:v>
      </x:c>
      <x:c r="D1034" s="3" t="n">
        <x:v>4</x:v>
      </x:c>
      <x:c r="E1034" s="3" t="n">
        <x:v>4</x:v>
      </x:c>
      <x:c r="F1034" s="3" t="n">
        <x:v>1</x:v>
      </x:c>
    </x:row>
    <x:row r="1035" ht="21" customHeight="1">
      <x:c r="A1035" s="3" t="n">
        <x:v>31</x:v>
      </x:c>
      <x:c r="B1035" s="3" t="n">
        <x:v>20</x:v>
      </x:c>
      <x:c r="C1035" s="3" t="n">
        <x:v>23</x:v>
      </x:c>
      <x:c r="D1035" s="3" t="n">
        <x:v>4</x:v>
      </x:c>
      <x:c r="E1035" s="3" t="n">
        <x:v>4</x:v>
      </x:c>
      <x:c r="F1035" s="3" t="n">
        <x:v>1</x:v>
      </x:c>
    </x:row>
    <x:row r="1036" ht="21" customHeight="1">
      <x:c r="A1036" s="3" t="n">
        <x:v>31</x:v>
      </x:c>
      <x:c r="B1036" s="3" t="n">
        <x:v>21</x:v>
      </x:c>
      <x:c r="C1036" s="3" t="n">
        <x:v>24</x:v>
      </x:c>
      <x:c r="D1036" s="3" t="n">
        <x:v>4</x:v>
      </x:c>
      <x:c r="E1036" s="3" t="n">
        <x:v>4</x:v>
      </x:c>
      <x:c r="F1036" s="3" t="n">
        <x:v>1</x:v>
      </x:c>
    </x:row>
    <x:row r="1037" ht="21" customHeight="1">
      <x:c r="A1037" s="3" t="n">
        <x:v>31</x:v>
      </x:c>
      <x:c r="B1037" s="3" t="n">
        <x:v>22</x:v>
      </x:c>
      <x:c r="C1037" s="3" t="n">
        <x:v>25</x:v>
      </x:c>
      <x:c r="D1037" s="3" t="n">
        <x:v>4</x:v>
      </x:c>
      <x:c r="E1037" s="3" t="n">
        <x:v>5</x:v>
      </x:c>
      <x:c r="F1037" s="3" t="n">
        <x:v>2</x:v>
      </x:c>
    </x:row>
    <x:row r="1038" ht="21" customHeight="1">
      <x:c r="A1038" s="3" t="n">
        <x:v>31</x:v>
      </x:c>
      <x:c r="B1038" s="3" t="n">
        <x:v>23</x:v>
      </x:c>
      <x:c r="C1038" s="3" t="n">
        <x:v>26</x:v>
      </x:c>
      <x:c r="D1038" s="3" t="n">
        <x:v>4</x:v>
      </x:c>
      <x:c r="E1038" s="3" t="n">
        <x:v>5</x:v>
      </x:c>
      <x:c r="F1038" s="3" t="n">
        <x:v>2</x:v>
      </x:c>
    </x:row>
    <x:row r="1039" ht="21" customHeight="1">
      <x:c r="A1039" s="3" t="n">
        <x:v>31</x:v>
      </x:c>
      <x:c r="B1039" s="3" t="n">
        <x:v>24</x:v>
      </x:c>
      <x:c r="C1039" s="3" t="n">
        <x:v>27</x:v>
      </x:c>
      <x:c r="D1039" s="3" t="n">
        <x:v>5</x:v>
      </x:c>
      <x:c r="E1039" s="3" t="n">
        <x:v>5</x:v>
      </x:c>
      <x:c r="F1039" s="3" t="n">
        <x:v>1</x:v>
      </x:c>
    </x:row>
    <x:row r="1040" ht="21" customHeight="1">
      <x:c r="A1040" s="3" t="n">
        <x:v>31</x:v>
      </x:c>
      <x:c r="B1040" s="3" t="n">
        <x:v>25</x:v>
      </x:c>
      <x:c r="C1040" s="3" t="n">
        <x:v>28</x:v>
      </x:c>
      <x:c r="D1040" s="3" t="n">
        <x:v>5</x:v>
      </x:c>
      <x:c r="E1040" s="3" t="n">
        <x:v>5</x:v>
      </x:c>
      <x:c r="F1040" s="3" t="n">
        <x:v>1</x:v>
      </x:c>
    </x:row>
    <x:row r="1041" ht="21" customHeight="1">
      <x:c r="A1041" s="3" t="n">
        <x:v>31</x:v>
      </x:c>
      <x:c r="B1041" s="3" t="n">
        <x:v>26</x:v>
      </x:c>
      <x:c r="C1041" s="3" t="n">
        <x:v>29</x:v>
      </x:c>
      <x:c r="D1041" s="3" t="n">
        <x:v>5</x:v>
      </x:c>
      <x:c r="E1041" s="3" t="n">
        <x:v>5</x:v>
      </x:c>
      <x:c r="F1041" s="3" t="n">
        <x:v>1</x:v>
      </x:c>
    </x:row>
    <x:row r="1042" ht="21" customHeight="1">
      <x:c r="A1042" s="3" t="n">
        <x:v>31</x:v>
      </x:c>
      <x:c r="B1042" s="3" t="n">
        <x:v>27</x:v>
      </x:c>
      <x:c r="C1042" s="3" t="n">
        <x:v>30</x:v>
      </x:c>
      <x:c r="D1042" s="3" t="n">
        <x:v>5</x:v>
      </x:c>
      <x:c r="E1042" s="3" t="n">
        <x:v>5</x:v>
      </x:c>
      <x:c r="F1042" s="3" t="n">
        <x:v>1</x:v>
      </x:c>
    </x:row>
    <x:row r="1043" ht="21" customHeight="1">
      <x:c r="A1043" s="3" t="n">
        <x:v>31</x:v>
      </x:c>
      <x:c r="B1043" s="3" t="n">
        <x:v>28</x:v>
      </x:c>
      <x:c r="C1043" s="3" t="n">
        <x:v>31</x:v>
      </x:c>
      <x:c r="D1043" s="3" t="n">
        <x:v>5</x:v>
      </x:c>
      <x:c r="E1043" s="3" t="n">
        <x:v>6</x:v>
      </x:c>
      <x:c r="F1043" s="3" t="n">
        <x:v>2</x:v>
      </x:c>
    </x:row>
    <x:row r="1044" ht="21" customHeight="1">
      <x:c r="A1044" s="3" t="n">
        <x:v>31</x:v>
      </x:c>
      <x:c r="B1044" s="3" t="n">
        <x:v>29</x:v>
      </x:c>
      <x:c r="C1044" s="3" t="n">
        <x:v>32</x:v>
      </x:c>
      <x:c r="D1044" s="3" t="n">
        <x:v>5</x:v>
      </x:c>
      <x:c r="E1044" s="3" t="n">
        <x:v>6</x:v>
      </x:c>
      <x:c r="F1044" s="3" t="n">
        <x:v>2</x:v>
      </x:c>
    </x:row>
    <x:row r="1045" ht="21" customHeight="1">
      <x:c r="A1045" s="3" t="n">
        <x:v>31</x:v>
      </x:c>
      <x:c r="B1045" s="3" t="n">
        <x:v>30</x:v>
      </x:c>
      <x:c r="C1045" s="3" t="n">
        <x:v>33</x:v>
      </x:c>
      <x:c r="D1045" s="3" t="n">
        <x:v>6</x:v>
      </x:c>
      <x:c r="E1045" s="3" t="n">
        <x:v>6</x:v>
      </x:c>
      <x:c r="F1045" s="3" t="n">
        <x:v>1</x:v>
      </x:c>
    </x:row>
    <x:row r="1046" ht="21" customHeight="1">
      <x:c r="A1046" s="3" t="n">
        <x:v>31</x:v>
      </x:c>
      <x:c r="B1046" s="3" t="n">
        <x:v>31</x:v>
      </x:c>
      <x:c r="C1046" s="3" t="n">
        <x:v>34</x:v>
      </x:c>
      <x:c r="D1046" s="3" t="n">
        <x:v>6</x:v>
      </x:c>
      <x:c r="E1046" s="3" t="n">
        <x:v>6</x:v>
      </x:c>
      <x:c r="F1046" s="3" t="n">
        <x:v>1</x:v>
      </x:c>
    </x:row>
    <x:row r="1047" ht="21" customHeight="1">
      <x:c r="A1047" s="3" t="n">
        <x:v>31</x:v>
      </x:c>
      <x:c r="B1047" s="3" t="n">
        <x:v>32</x:v>
      </x:c>
      <x:c r="C1047" s="3" t="n">
        <x:v>35</x:v>
      </x:c>
      <x:c r="D1047" s="3" t="n">
        <x:v>6</x:v>
      </x:c>
      <x:c r="E1047" s="3" t="n">
        <x:v>6</x:v>
      </x:c>
      <x:c r="F1047" s="3" t="n">
        <x:v>1</x:v>
      </x:c>
    </x:row>
    <x:row r="1048" ht="21" customHeight="1">
      <x:c r="A1048" s="3" t="n">
        <x:v>31</x:v>
      </x:c>
      <x:c r="B1048" s="3" t="n">
        <x:v>33</x:v>
      </x:c>
      <x:c r="C1048" s="3" t="n">
        <x:v>36</x:v>
      </x:c>
      <x:c r="D1048" s="3" t="n">
        <x:v>6</x:v>
      </x:c>
      <x:c r="E1048" s="3" t="n">
        <x:v>6</x:v>
      </x:c>
      <x:c r="F1048" s="3" t="n">
        <x:v>1</x:v>
      </x:c>
    </x:row>
    <x:row r="1049" ht="21" customHeight="1">
      <x:c r="A1049" s="3" t="n">
        <x:v>32</x:v>
      </x:c>
      <x:c r="B1049" s="3" t="n">
        <x:v>0</x:v>
      </x:c>
      <x:c r="C1049" s="3" t="n">
        <x:v>3</x:v>
      </x:c>
      <x:c r="D1049" s="3" t="n">
        <x:v>1</x:v>
      </x:c>
      <x:c r="E1049" s="3" t="n">
        <x:v>1</x:v>
      </x:c>
      <x:c r="F1049" s="3" t="n">
        <x:v>1</x:v>
      </x:c>
    </x:row>
    <x:row r="1050" ht="21" customHeight="1">
      <x:c r="A1050" s="3" t="n">
        <x:v>32</x:v>
      </x:c>
      <x:c r="B1050" s="3" t="n">
        <x:v>1</x:v>
      </x:c>
      <x:c r="C1050" s="3" t="n">
        <x:v>4</x:v>
      </x:c>
      <x:c r="D1050" s="3" t="n">
        <x:v>1</x:v>
      </x:c>
      <x:c r="E1050" s="3" t="n">
        <x:v>1</x:v>
      </x:c>
      <x:c r="F1050" s="3" t="n">
        <x:v>1</x:v>
      </x:c>
    </x:row>
    <x:row r="1051" ht="21" customHeight="1">
      <x:c r="A1051" s="3" t="n">
        <x:v>32</x:v>
      </x:c>
      <x:c r="B1051" s="3" t="n">
        <x:v>2</x:v>
      </x:c>
      <x:c r="C1051" s="3" t="n">
        <x:v>5</x:v>
      </x:c>
      <x:c r="D1051" s="3" t="n">
        <x:v>1</x:v>
      </x:c>
      <x:c r="E1051" s="3" t="n">
        <x:v>1</x:v>
      </x:c>
      <x:c r="F1051" s="3" t="n">
        <x:v>1</x:v>
      </x:c>
    </x:row>
    <x:row r="1052" ht="21" customHeight="1">
      <x:c r="A1052" s="3" t="n">
        <x:v>32</x:v>
      </x:c>
      <x:c r="B1052" s="3" t="n">
        <x:v>3</x:v>
      </x:c>
      <x:c r="C1052" s="3" t="n">
        <x:v>6</x:v>
      </x:c>
      <x:c r="D1052" s="3" t="n">
        <x:v>1</x:v>
      </x:c>
      <x:c r="E1052" s="3" t="n">
        <x:v>1</x:v>
      </x:c>
      <x:c r="F1052" s="3" t="n">
        <x:v>1</x:v>
      </x:c>
    </x:row>
    <x:row r="1053" ht="21" customHeight="1">
      <x:c r="A1053" s="3" t="n">
        <x:v>32</x:v>
      </x:c>
      <x:c r="B1053" s="3" t="n">
        <x:v>4</x:v>
      </x:c>
      <x:c r="C1053" s="3" t="n">
        <x:v>7</x:v>
      </x:c>
      <x:c r="D1053" s="3" t="n">
        <x:v>1</x:v>
      </x:c>
      <x:c r="E1053" s="3" t="n">
        <x:v>2</x:v>
      </x:c>
      <x:c r="F1053" s="3" t="n">
        <x:v>2</x:v>
      </x:c>
    </x:row>
    <x:row r="1054" ht="21" customHeight="1">
      <x:c r="A1054" s="3" t="n">
        <x:v>32</x:v>
      </x:c>
      <x:c r="B1054" s="3" t="n">
        <x:v>5</x:v>
      </x:c>
      <x:c r="C1054" s="3" t="n">
        <x:v>8</x:v>
      </x:c>
      <x:c r="D1054" s="3" t="n">
        <x:v>1</x:v>
      </x:c>
      <x:c r="E1054" s="3" t="n">
        <x:v>2</x:v>
      </x:c>
      <x:c r="F1054" s="3" t="n">
        <x:v>2</x:v>
      </x:c>
    </x:row>
    <x:row r="1055" ht="21" customHeight="1">
      <x:c r="A1055" s="3" t="n">
        <x:v>32</x:v>
      </x:c>
      <x:c r="B1055" s="3" t="n">
        <x:v>6</x:v>
      </x:c>
      <x:c r="C1055" s="3" t="n">
        <x:v>9</x:v>
      </x:c>
      <x:c r="D1055" s="3" t="n">
        <x:v>2</x:v>
      </x:c>
      <x:c r="E1055" s="3" t="n">
        <x:v>2</x:v>
      </x:c>
      <x:c r="F1055" s="3" t="n">
        <x:v>1</x:v>
      </x:c>
    </x:row>
    <x:row r="1056" ht="21" customHeight="1">
      <x:c r="A1056" s="3" t="n">
        <x:v>32</x:v>
      </x:c>
      <x:c r="B1056" s="3" t="n">
        <x:v>7</x:v>
      </x:c>
      <x:c r="C1056" s="3" t="n">
        <x:v>10</x:v>
      </x:c>
      <x:c r="D1056" s="3" t="n">
        <x:v>2</x:v>
      </x:c>
      <x:c r="E1056" s="3" t="n">
        <x:v>2</x:v>
      </x:c>
      <x:c r="F1056" s="3" t="n">
        <x:v>1</x:v>
      </x:c>
    </x:row>
    <x:row r="1057" ht="21" customHeight="1">
      <x:c r="A1057" s="3" t="n">
        <x:v>32</x:v>
      </x:c>
      <x:c r="B1057" s="3" t="n">
        <x:v>8</x:v>
      </x:c>
      <x:c r="C1057" s="3" t="n">
        <x:v>11</x:v>
      </x:c>
      <x:c r="D1057" s="3" t="n">
        <x:v>2</x:v>
      </x:c>
      <x:c r="E1057" s="3" t="n">
        <x:v>2</x:v>
      </x:c>
      <x:c r="F1057" s="3" t="n">
        <x:v>1</x:v>
      </x:c>
    </x:row>
    <x:row r="1058" ht="21" customHeight="1">
      <x:c r="A1058" s="3" t="n">
        <x:v>32</x:v>
      </x:c>
      <x:c r="B1058" s="3" t="n">
        <x:v>9</x:v>
      </x:c>
      <x:c r="C1058" s="3" t="n">
        <x:v>12</x:v>
      </x:c>
      <x:c r="D1058" s="3" t="n">
        <x:v>2</x:v>
      </x:c>
      <x:c r="E1058" s="3" t="n">
        <x:v>2</x:v>
      </x:c>
      <x:c r="F1058" s="3" t="n">
        <x:v>1</x:v>
      </x:c>
    </x:row>
    <x:row r="1059" ht="21" customHeight="1">
      <x:c r="A1059" s="3" t="n">
        <x:v>32</x:v>
      </x:c>
      <x:c r="B1059" s="3" t="n">
        <x:v>10</x:v>
      </x:c>
      <x:c r="C1059" s="3" t="n">
        <x:v>13</x:v>
      </x:c>
      <x:c r="D1059" s="3" t="n">
        <x:v>2</x:v>
      </x:c>
      <x:c r="E1059" s="3" t="n">
        <x:v>3</x:v>
      </x:c>
      <x:c r="F1059" s="3" t="n">
        <x:v>2</x:v>
      </x:c>
    </x:row>
    <x:row r="1060" ht="21" customHeight="1">
      <x:c r="A1060" s="3" t="n">
        <x:v>32</x:v>
      </x:c>
      <x:c r="B1060" s="3" t="n">
        <x:v>11</x:v>
      </x:c>
      <x:c r="C1060" s="3" t="n">
        <x:v>14</x:v>
      </x:c>
      <x:c r="D1060" s="3" t="n">
        <x:v>2</x:v>
      </x:c>
      <x:c r="E1060" s="3" t="n">
        <x:v>3</x:v>
      </x:c>
      <x:c r="F1060" s="3" t="n">
        <x:v>2</x:v>
      </x:c>
    </x:row>
    <x:row r="1061" ht="21" customHeight="1">
      <x:c r="A1061" s="3" t="n">
        <x:v>32</x:v>
      </x:c>
      <x:c r="B1061" s="3" t="n">
        <x:v>12</x:v>
      </x:c>
      <x:c r="C1061" s="3" t="n">
        <x:v>15</x:v>
      </x:c>
      <x:c r="D1061" s="3" t="n">
        <x:v>3</x:v>
      </x:c>
      <x:c r="E1061" s="3" t="n">
        <x:v>3</x:v>
      </x:c>
      <x:c r="F1061" s="3" t="n">
        <x:v>1</x:v>
      </x:c>
    </x:row>
    <x:row r="1062" ht="21" customHeight="1">
      <x:c r="A1062" s="3" t="n">
        <x:v>32</x:v>
      </x:c>
      <x:c r="B1062" s="3" t="n">
        <x:v>13</x:v>
      </x:c>
      <x:c r="C1062" s="3" t="n">
        <x:v>16</x:v>
      </x:c>
      <x:c r="D1062" s="3" t="n">
        <x:v>3</x:v>
      </x:c>
      <x:c r="E1062" s="3" t="n">
        <x:v>3</x:v>
      </x:c>
      <x:c r="F1062" s="3" t="n">
        <x:v>1</x:v>
      </x:c>
    </x:row>
    <x:row r="1063" ht="21" customHeight="1">
      <x:c r="A1063" s="3" t="n">
        <x:v>32</x:v>
      </x:c>
      <x:c r="B1063" s="3" t="n">
        <x:v>14</x:v>
      </x:c>
      <x:c r="C1063" s="3" t="n">
        <x:v>17</x:v>
      </x:c>
      <x:c r="D1063" s="3" t="n">
        <x:v>3</x:v>
      </x:c>
      <x:c r="E1063" s="3" t="n">
        <x:v>3</x:v>
      </x:c>
      <x:c r="F1063" s="3" t="n">
        <x:v>1</x:v>
      </x:c>
    </x:row>
    <x:row r="1064" ht="21" customHeight="1">
      <x:c r="A1064" s="3" t="n">
        <x:v>32</x:v>
      </x:c>
      <x:c r="B1064" s="3" t="n">
        <x:v>15</x:v>
      </x:c>
      <x:c r="C1064" s="3" t="n">
        <x:v>18</x:v>
      </x:c>
      <x:c r="D1064" s="3" t="n">
        <x:v>3</x:v>
      </x:c>
      <x:c r="E1064" s="3" t="n">
        <x:v>3</x:v>
      </x:c>
      <x:c r="F1064" s="3" t="n">
        <x:v>1</x:v>
      </x:c>
    </x:row>
    <x:row r="1065" ht="21" customHeight="1">
      <x:c r="A1065" s="3" t="n">
        <x:v>32</x:v>
      </x:c>
      <x:c r="B1065" s="3" t="n">
        <x:v>16</x:v>
      </x:c>
      <x:c r="C1065" s="3" t="n">
        <x:v>19</x:v>
      </x:c>
      <x:c r="D1065" s="3" t="n">
        <x:v>3</x:v>
      </x:c>
      <x:c r="E1065" s="3" t="n">
        <x:v>4</x:v>
      </x:c>
      <x:c r="F1065" s="3" t="n">
        <x:v>2</x:v>
      </x:c>
    </x:row>
    <x:row r="1066" ht="21" customHeight="1">
      <x:c r="A1066" s="3" t="n">
        <x:v>32</x:v>
      </x:c>
      <x:c r="B1066" s="3" t="n">
        <x:v>17</x:v>
      </x:c>
      <x:c r="C1066" s="3" t="n">
        <x:v>20</x:v>
      </x:c>
      <x:c r="D1066" s="3" t="n">
        <x:v>3</x:v>
      </x:c>
      <x:c r="E1066" s="3" t="n">
        <x:v>4</x:v>
      </x:c>
      <x:c r="F1066" s="3" t="n">
        <x:v>2</x:v>
      </x:c>
    </x:row>
    <x:row r="1067" ht="21" customHeight="1">
      <x:c r="A1067" s="3" t="n">
        <x:v>32</x:v>
      </x:c>
      <x:c r="B1067" s="3" t="n">
        <x:v>18</x:v>
      </x:c>
      <x:c r="C1067" s="3" t="n">
        <x:v>21</x:v>
      </x:c>
      <x:c r="D1067" s="3" t="n">
        <x:v>4</x:v>
      </x:c>
      <x:c r="E1067" s="3" t="n">
        <x:v>4</x:v>
      </x:c>
      <x:c r="F1067" s="3" t="n">
        <x:v>1</x:v>
      </x:c>
    </x:row>
    <x:row r="1068" ht="21" customHeight="1">
      <x:c r="A1068" s="3" t="n">
        <x:v>32</x:v>
      </x:c>
      <x:c r="B1068" s="3" t="n">
        <x:v>19</x:v>
      </x:c>
      <x:c r="C1068" s="3" t="n">
        <x:v>22</x:v>
      </x:c>
      <x:c r="D1068" s="3" t="n">
        <x:v>4</x:v>
      </x:c>
      <x:c r="E1068" s="3" t="n">
        <x:v>4</x:v>
      </x:c>
      <x:c r="F1068" s="3" t="n">
        <x:v>1</x:v>
      </x:c>
    </x:row>
    <x:row r="1069" ht="21" customHeight="1">
      <x:c r="A1069" s="3" t="n">
        <x:v>32</x:v>
      </x:c>
      <x:c r="B1069" s="3" t="n">
        <x:v>20</x:v>
      </x:c>
      <x:c r="C1069" s="3" t="n">
        <x:v>23</x:v>
      </x:c>
      <x:c r="D1069" s="3" t="n">
        <x:v>4</x:v>
      </x:c>
      <x:c r="E1069" s="3" t="n">
        <x:v>4</x:v>
      </x:c>
      <x:c r="F1069" s="3" t="n">
        <x:v>1</x:v>
      </x:c>
    </x:row>
    <x:row r="1070" ht="21" customHeight="1">
      <x:c r="A1070" s="3" t="n">
        <x:v>32</x:v>
      </x:c>
      <x:c r="B1070" s="3" t="n">
        <x:v>21</x:v>
      </x:c>
      <x:c r="C1070" s="3" t="n">
        <x:v>24</x:v>
      </x:c>
      <x:c r="D1070" s="3" t="n">
        <x:v>4</x:v>
      </x:c>
      <x:c r="E1070" s="3" t="n">
        <x:v>4</x:v>
      </x:c>
      <x:c r="F1070" s="3" t="n">
        <x:v>1</x:v>
      </x:c>
    </x:row>
    <x:row r="1071" ht="21" customHeight="1">
      <x:c r="A1071" s="3" t="n">
        <x:v>32</x:v>
      </x:c>
      <x:c r="B1071" s="3" t="n">
        <x:v>22</x:v>
      </x:c>
      <x:c r="C1071" s="3" t="n">
        <x:v>25</x:v>
      </x:c>
      <x:c r="D1071" s="3" t="n">
        <x:v>4</x:v>
      </x:c>
      <x:c r="E1071" s="3" t="n">
        <x:v>5</x:v>
      </x:c>
      <x:c r="F1071" s="3" t="n">
        <x:v>2</x:v>
      </x:c>
    </x:row>
    <x:row r="1072" ht="21" customHeight="1">
      <x:c r="A1072" s="3" t="n">
        <x:v>32</x:v>
      </x:c>
      <x:c r="B1072" s="3" t="n">
        <x:v>23</x:v>
      </x:c>
      <x:c r="C1072" s="3" t="n">
        <x:v>26</x:v>
      </x:c>
      <x:c r="D1072" s="3" t="n">
        <x:v>4</x:v>
      </x:c>
      <x:c r="E1072" s="3" t="n">
        <x:v>5</x:v>
      </x:c>
      <x:c r="F1072" s="3" t="n">
        <x:v>2</x:v>
      </x:c>
    </x:row>
    <x:row r="1073" ht="21" customHeight="1">
      <x:c r="A1073" s="3" t="n">
        <x:v>32</x:v>
      </x:c>
      <x:c r="B1073" s="3" t="n">
        <x:v>24</x:v>
      </x:c>
      <x:c r="C1073" s="3" t="n">
        <x:v>27</x:v>
      </x:c>
      <x:c r="D1073" s="3" t="n">
        <x:v>5</x:v>
      </x:c>
      <x:c r="E1073" s="3" t="n">
        <x:v>5</x:v>
      </x:c>
      <x:c r="F1073" s="3" t="n">
        <x:v>1</x:v>
      </x:c>
    </x:row>
    <x:row r="1074" ht="21" customHeight="1">
      <x:c r="A1074" s="3" t="n">
        <x:v>32</x:v>
      </x:c>
      <x:c r="B1074" s="3" t="n">
        <x:v>25</x:v>
      </x:c>
      <x:c r="C1074" s="3" t="n">
        <x:v>28</x:v>
      </x:c>
      <x:c r="D1074" s="3" t="n">
        <x:v>5</x:v>
      </x:c>
      <x:c r="E1074" s="3" t="n">
        <x:v>5</x:v>
      </x:c>
      <x:c r="F1074" s="3" t="n">
        <x:v>1</x:v>
      </x:c>
    </x:row>
    <x:row r="1075" ht="21" customHeight="1">
      <x:c r="A1075" s="3" t="n">
        <x:v>32</x:v>
      </x:c>
      <x:c r="B1075" s="3" t="n">
        <x:v>26</x:v>
      </x:c>
      <x:c r="C1075" s="3" t="n">
        <x:v>29</x:v>
      </x:c>
      <x:c r="D1075" s="3" t="n">
        <x:v>5</x:v>
      </x:c>
      <x:c r="E1075" s="3" t="n">
        <x:v>5</x:v>
      </x:c>
      <x:c r="F1075" s="3" t="n">
        <x:v>1</x:v>
      </x:c>
    </x:row>
    <x:row r="1076" ht="21" customHeight="1">
      <x:c r="A1076" s="3" t="n">
        <x:v>32</x:v>
      </x:c>
      <x:c r="B1076" s="3" t="n">
        <x:v>27</x:v>
      </x:c>
      <x:c r="C1076" s="3" t="n">
        <x:v>30</x:v>
      </x:c>
      <x:c r="D1076" s="3" t="n">
        <x:v>5</x:v>
      </x:c>
      <x:c r="E1076" s="3" t="n">
        <x:v>5</x:v>
      </x:c>
      <x:c r="F1076" s="3" t="n">
        <x:v>1</x:v>
      </x:c>
    </x:row>
    <x:row r="1077" ht="21" customHeight="1">
      <x:c r="A1077" s="3" t="n">
        <x:v>32</x:v>
      </x:c>
      <x:c r="B1077" s="3" t="n">
        <x:v>28</x:v>
      </x:c>
      <x:c r="C1077" s="3" t="n">
        <x:v>31</x:v>
      </x:c>
      <x:c r="D1077" s="3" t="n">
        <x:v>5</x:v>
      </x:c>
      <x:c r="E1077" s="3" t="n">
        <x:v>6</x:v>
      </x:c>
      <x:c r="F1077" s="3" t="n">
        <x:v>2</x:v>
      </x:c>
    </x:row>
    <x:row r="1078" ht="21" customHeight="1">
      <x:c r="A1078" s="3" t="n">
        <x:v>32</x:v>
      </x:c>
      <x:c r="B1078" s="3" t="n">
        <x:v>29</x:v>
      </x:c>
      <x:c r="C1078" s="3" t="n">
        <x:v>32</x:v>
      </x:c>
      <x:c r="D1078" s="3" t="n">
        <x:v>5</x:v>
      </x:c>
      <x:c r="E1078" s="3" t="n">
        <x:v>6</x:v>
      </x:c>
      <x:c r="F1078" s="3" t="n">
        <x:v>2</x:v>
      </x:c>
    </x:row>
    <x:row r="1079" ht="21" customHeight="1">
      <x:c r="A1079" s="3" t="n">
        <x:v>32</x:v>
      </x:c>
      <x:c r="B1079" s="3" t="n">
        <x:v>30</x:v>
      </x:c>
      <x:c r="C1079" s="3" t="n">
        <x:v>33</x:v>
      </x:c>
      <x:c r="D1079" s="3" t="n">
        <x:v>6</x:v>
      </x:c>
      <x:c r="E1079" s="3" t="n">
        <x:v>6</x:v>
      </x:c>
      <x:c r="F1079" s="3" t="n">
        <x:v>1</x:v>
      </x:c>
    </x:row>
    <x:row r="1080" ht="21" customHeight="1">
      <x:c r="A1080" s="3" t="n">
        <x:v>32</x:v>
      </x:c>
      <x:c r="B1080" s="3" t="n">
        <x:v>31</x:v>
      </x:c>
      <x:c r="C1080" s="3" t="n">
        <x:v>34</x:v>
      </x:c>
      <x:c r="D1080" s="3" t="n">
        <x:v>6</x:v>
      </x:c>
      <x:c r="E1080" s="3" t="n">
        <x:v>6</x:v>
      </x:c>
      <x:c r="F1080" s="3" t="n">
        <x:v>1</x:v>
      </x:c>
    </x:row>
    <x:row r="1081" ht="21" customHeight="1">
      <x:c r="A1081" s="3" t="n">
        <x:v>32</x:v>
      </x:c>
      <x:c r="B1081" s="3" t="n">
        <x:v>32</x:v>
      </x:c>
      <x:c r="C1081" s="3" t="n">
        <x:v>35</x:v>
      </x:c>
      <x:c r="D1081" s="3" t="n">
        <x:v>6</x:v>
      </x:c>
      <x:c r="E1081" s="3" t="n">
        <x:v>6</x:v>
      </x:c>
      <x:c r="F1081" s="3" t="n">
        <x:v>1</x:v>
      </x:c>
    </x:row>
    <x:row r="1082" ht="21" customHeight="1">
      <x:c r="A1082" s="3" t="n">
        <x:v>32</x:v>
      </x:c>
      <x:c r="B1082" s="3" t="n">
        <x:v>33</x:v>
      </x:c>
      <x:c r="C1082" s="3" t="n">
        <x:v>36</x:v>
      </x:c>
      <x:c r="D1082" s="3" t="n">
        <x:v>6</x:v>
      </x:c>
      <x:c r="E1082" s="3" t="n">
        <x:v>6</x:v>
      </x:c>
      <x:c r="F1082" s="3" t="n">
        <x:v>1</x:v>
      </x:c>
    </x:row>
    <x:row r="1083" ht="21" customHeight="1">
      <x:c r="A1083" s="3" t="n">
        <x:v>33</x:v>
      </x:c>
      <x:c r="B1083" s="3" t="n">
        <x:v>0</x:v>
      </x:c>
      <x:c r="C1083" s="3" t="n">
        <x:v>2</x:v>
      </x:c>
      <x:c r="D1083" s="3" t="n">
        <x:v>1</x:v>
      </x:c>
      <x:c r="E1083" s="3" t="n">
        <x:v>1</x:v>
      </x:c>
      <x:c r="F1083" s="3" t="n">
        <x:v>1</x:v>
      </x:c>
    </x:row>
    <x:row r="1084" ht="21" customHeight="1">
      <x:c r="A1084" s="3" t="n">
        <x:v>33</x:v>
      </x:c>
      <x:c r="B1084" s="3" t="n">
        <x:v>1</x:v>
      </x:c>
      <x:c r="C1084" s="3" t="n">
        <x:v>3</x:v>
      </x:c>
      <x:c r="D1084" s="3" t="n">
        <x:v>1</x:v>
      </x:c>
      <x:c r="E1084" s="3" t="n">
        <x:v>1</x:v>
      </x:c>
      <x:c r="F1084" s="3" t="n">
        <x:v>1</x:v>
      </x:c>
    </x:row>
    <x:row r="1085" ht="21" customHeight="1">
      <x:c r="A1085" s="3" t="n">
        <x:v>33</x:v>
      </x:c>
      <x:c r="B1085" s="3" t="n">
        <x:v>2</x:v>
      </x:c>
      <x:c r="C1085" s="3" t="n">
        <x:v>4</x:v>
      </x:c>
      <x:c r="D1085" s="3" t="n">
        <x:v>1</x:v>
      </x:c>
      <x:c r="E1085" s="3" t="n">
        <x:v>1</x:v>
      </x:c>
      <x:c r="F1085" s="3" t="n">
        <x:v>1</x:v>
      </x:c>
    </x:row>
    <x:row r="1086" ht="21" customHeight="1">
      <x:c r="A1086" s="3" t="n">
        <x:v>33</x:v>
      </x:c>
      <x:c r="B1086" s="3" t="n">
        <x:v>3</x:v>
      </x:c>
      <x:c r="C1086" s="3" t="n">
        <x:v>5</x:v>
      </x:c>
      <x:c r="D1086" s="3" t="n">
        <x:v>1</x:v>
      </x:c>
      <x:c r="E1086" s="3" t="n">
        <x:v>1</x:v>
      </x:c>
      <x:c r="F1086" s="3" t="n">
        <x:v>1</x:v>
      </x:c>
    </x:row>
    <x:row r="1087" ht="21" customHeight="1">
      <x:c r="A1087" s="3" t="n">
        <x:v>33</x:v>
      </x:c>
      <x:c r="B1087" s="3" t="n">
        <x:v>4</x:v>
      </x:c>
      <x:c r="C1087" s="3" t="n">
        <x:v>6</x:v>
      </x:c>
      <x:c r="D1087" s="3" t="n">
        <x:v>1</x:v>
      </x:c>
      <x:c r="E1087" s="3" t="n">
        <x:v>1</x:v>
      </x:c>
      <x:c r="F1087" s="3" t="n">
        <x:v>1</x:v>
      </x:c>
    </x:row>
    <x:row r="1088" ht="21" customHeight="1">
      <x:c r="A1088" s="3" t="n">
        <x:v>33</x:v>
      </x:c>
      <x:c r="B1088" s="3" t="n">
        <x:v>5</x:v>
      </x:c>
      <x:c r="C1088" s="3" t="n">
        <x:v>7</x:v>
      </x:c>
      <x:c r="D1088" s="3" t="n">
        <x:v>1</x:v>
      </x:c>
      <x:c r="E1088" s="3" t="n">
        <x:v>2</x:v>
      </x:c>
      <x:c r="F1088" s="3" t="n">
        <x:v>2</x:v>
      </x:c>
    </x:row>
    <x:row r="1089" ht="21" customHeight="1">
      <x:c r="A1089" s="3" t="n">
        <x:v>33</x:v>
      </x:c>
      <x:c r="B1089" s="3" t="n">
        <x:v>6</x:v>
      </x:c>
      <x:c r="C1089" s="3" t="n">
        <x:v>8</x:v>
      </x:c>
      <x:c r="D1089" s="3" t="n">
        <x:v>2</x:v>
      </x:c>
      <x:c r="E1089" s="3" t="n">
        <x:v>2</x:v>
      </x:c>
      <x:c r="F1089" s="3" t="n">
        <x:v>1</x:v>
      </x:c>
    </x:row>
    <x:row r="1090" ht="21" customHeight="1">
      <x:c r="A1090" s="3" t="n">
        <x:v>33</x:v>
      </x:c>
      <x:c r="B1090" s="3" t="n">
        <x:v>7</x:v>
      </x:c>
      <x:c r="C1090" s="3" t="n">
        <x:v>9</x:v>
      </x:c>
      <x:c r="D1090" s="3" t="n">
        <x:v>2</x:v>
      </x:c>
      <x:c r="E1090" s="3" t="n">
        <x:v>2</x:v>
      </x:c>
      <x:c r="F1090" s="3" t="n">
        <x:v>1</x:v>
      </x:c>
    </x:row>
    <x:row r="1091" ht="21" customHeight="1">
      <x:c r="A1091" s="3" t="n">
        <x:v>33</x:v>
      </x:c>
      <x:c r="B1091" s="3" t="n">
        <x:v>8</x:v>
      </x:c>
      <x:c r="C1091" s="3" t="n">
        <x:v>10</x:v>
      </x:c>
      <x:c r="D1091" s="3" t="n">
        <x:v>2</x:v>
      </x:c>
      <x:c r="E1091" s="3" t="n">
        <x:v>2</x:v>
      </x:c>
      <x:c r="F1091" s="3" t="n">
        <x:v>1</x:v>
      </x:c>
    </x:row>
    <x:row r="1092" ht="21" customHeight="1">
      <x:c r="A1092" s="3" t="n">
        <x:v>33</x:v>
      </x:c>
      <x:c r="B1092" s="3" t="n">
        <x:v>9</x:v>
      </x:c>
      <x:c r="C1092" s="3" t="n">
        <x:v>11</x:v>
      </x:c>
      <x:c r="D1092" s="3" t="n">
        <x:v>2</x:v>
      </x:c>
      <x:c r="E1092" s="3" t="n">
        <x:v>2</x:v>
      </x:c>
      <x:c r="F1092" s="3" t="n">
        <x:v>1</x:v>
      </x:c>
    </x:row>
    <x:row r="1093" ht="21" customHeight="1">
      <x:c r="A1093" s="3" t="n">
        <x:v>33</x:v>
      </x:c>
      <x:c r="B1093" s="3" t="n">
        <x:v>10</x:v>
      </x:c>
      <x:c r="C1093" s="3" t="n">
        <x:v>12</x:v>
      </x:c>
      <x:c r="D1093" s="3" t="n">
        <x:v>2</x:v>
      </x:c>
      <x:c r="E1093" s="3" t="n">
        <x:v>2</x:v>
      </x:c>
      <x:c r="F1093" s="3" t="n">
        <x:v>1</x:v>
      </x:c>
    </x:row>
    <x:row r="1094" ht="21" customHeight="1">
      <x:c r="A1094" s="3" t="n">
        <x:v>33</x:v>
      </x:c>
      <x:c r="B1094" s="3" t="n">
        <x:v>11</x:v>
      </x:c>
      <x:c r="C1094" s="3" t="n">
        <x:v>13</x:v>
      </x:c>
      <x:c r="D1094" s="3" t="n">
        <x:v>2</x:v>
      </x:c>
      <x:c r="E1094" s="3" t="n">
        <x:v>3</x:v>
      </x:c>
      <x:c r="F1094" s="3" t="n">
        <x:v>2</x:v>
      </x:c>
    </x:row>
    <x:row r="1095" ht="21" customHeight="1">
      <x:c r="A1095" s="3" t="n">
        <x:v>33</x:v>
      </x:c>
      <x:c r="B1095" s="3" t="n">
        <x:v>12</x:v>
      </x:c>
      <x:c r="C1095" s="3" t="n">
        <x:v>14</x:v>
      </x:c>
      <x:c r="D1095" s="3" t="n">
        <x:v>3</x:v>
      </x:c>
      <x:c r="E1095" s="3" t="n">
        <x:v>3</x:v>
      </x:c>
      <x:c r="F1095" s="3" t="n">
        <x:v>1</x:v>
      </x:c>
    </x:row>
    <x:row r="1096" ht="21" customHeight="1">
      <x:c r="A1096" s="3" t="n">
        <x:v>33</x:v>
      </x:c>
      <x:c r="B1096" s="3" t="n">
        <x:v>13</x:v>
      </x:c>
      <x:c r="C1096" s="3" t="n">
        <x:v>15</x:v>
      </x:c>
      <x:c r="D1096" s="3" t="n">
        <x:v>3</x:v>
      </x:c>
      <x:c r="E1096" s="3" t="n">
        <x:v>3</x:v>
      </x:c>
      <x:c r="F1096" s="3" t="n">
        <x:v>1</x:v>
      </x:c>
    </x:row>
    <x:row r="1097" ht="21" customHeight="1">
      <x:c r="A1097" s="3" t="n">
        <x:v>33</x:v>
      </x:c>
      <x:c r="B1097" s="3" t="n">
        <x:v>14</x:v>
      </x:c>
      <x:c r="C1097" s="3" t="n">
        <x:v>16</x:v>
      </x:c>
      <x:c r="D1097" s="3" t="n">
        <x:v>3</x:v>
      </x:c>
      <x:c r="E1097" s="3" t="n">
        <x:v>3</x:v>
      </x:c>
      <x:c r="F1097" s="3" t="n">
        <x:v>1</x:v>
      </x:c>
    </x:row>
    <x:row r="1098" ht="21" customHeight="1">
      <x:c r="A1098" s="3" t="n">
        <x:v>33</x:v>
      </x:c>
      <x:c r="B1098" s="3" t="n">
        <x:v>15</x:v>
      </x:c>
      <x:c r="C1098" s="3" t="n">
        <x:v>17</x:v>
      </x:c>
      <x:c r="D1098" s="3" t="n">
        <x:v>3</x:v>
      </x:c>
      <x:c r="E1098" s="3" t="n">
        <x:v>3</x:v>
      </x:c>
      <x:c r="F1098" s="3" t="n">
        <x:v>1</x:v>
      </x:c>
    </x:row>
    <x:row r="1099" ht="21" customHeight="1">
      <x:c r="A1099" s="3" t="n">
        <x:v>33</x:v>
      </x:c>
      <x:c r="B1099" s="3" t="n">
        <x:v>16</x:v>
      </x:c>
      <x:c r="C1099" s="3" t="n">
        <x:v>18</x:v>
      </x:c>
      <x:c r="D1099" s="3" t="n">
        <x:v>3</x:v>
      </x:c>
      <x:c r="E1099" s="3" t="n">
        <x:v>3</x:v>
      </x:c>
      <x:c r="F1099" s="3" t="n">
        <x:v>1</x:v>
      </x:c>
    </x:row>
    <x:row r="1100" ht="21" customHeight="1">
      <x:c r="A1100" s="3" t="n">
        <x:v>33</x:v>
      </x:c>
      <x:c r="B1100" s="3" t="n">
        <x:v>17</x:v>
      </x:c>
      <x:c r="C1100" s="3" t="n">
        <x:v>19</x:v>
      </x:c>
      <x:c r="D1100" s="3" t="n">
        <x:v>3</x:v>
      </x:c>
      <x:c r="E1100" s="3" t="n">
        <x:v>4</x:v>
      </x:c>
      <x:c r="F1100" s="3" t="n">
        <x:v>2</x:v>
      </x:c>
    </x:row>
    <x:row r="1101" ht="21" customHeight="1">
      <x:c r="A1101" s="3" t="n">
        <x:v>33</x:v>
      </x:c>
      <x:c r="B1101" s="3" t="n">
        <x:v>18</x:v>
      </x:c>
      <x:c r="C1101" s="3" t="n">
        <x:v>20</x:v>
      </x:c>
      <x:c r="D1101" s="3" t="n">
        <x:v>4</x:v>
      </x:c>
      <x:c r="E1101" s="3" t="n">
        <x:v>4</x:v>
      </x:c>
      <x:c r="F1101" s="3" t="n">
        <x:v>1</x:v>
      </x:c>
    </x:row>
    <x:row r="1102" ht="21" customHeight="1">
      <x:c r="A1102" s="3" t="n">
        <x:v>33</x:v>
      </x:c>
      <x:c r="B1102" s="3" t="n">
        <x:v>19</x:v>
      </x:c>
      <x:c r="C1102" s="3" t="n">
        <x:v>21</x:v>
      </x:c>
      <x:c r="D1102" s="3" t="n">
        <x:v>4</x:v>
      </x:c>
      <x:c r="E1102" s="3" t="n">
        <x:v>4</x:v>
      </x:c>
      <x:c r="F1102" s="3" t="n">
        <x:v>1</x:v>
      </x:c>
    </x:row>
    <x:row r="1103" ht="21" customHeight="1">
      <x:c r="A1103" s="3" t="n">
        <x:v>33</x:v>
      </x:c>
      <x:c r="B1103" s="3" t="n">
        <x:v>20</x:v>
      </x:c>
      <x:c r="C1103" s="3" t="n">
        <x:v>22</x:v>
      </x:c>
      <x:c r="D1103" s="3" t="n">
        <x:v>4</x:v>
      </x:c>
      <x:c r="E1103" s="3" t="n">
        <x:v>4</x:v>
      </x:c>
      <x:c r="F1103" s="3" t="n">
        <x:v>1</x:v>
      </x:c>
    </x:row>
    <x:row r="1104" ht="21" customHeight="1">
      <x:c r="A1104" s="3" t="n">
        <x:v>33</x:v>
      </x:c>
      <x:c r="B1104" s="3" t="n">
        <x:v>21</x:v>
      </x:c>
      <x:c r="C1104" s="3" t="n">
        <x:v>23</x:v>
      </x:c>
      <x:c r="D1104" s="3" t="n">
        <x:v>4</x:v>
      </x:c>
      <x:c r="E1104" s="3" t="n">
        <x:v>4</x:v>
      </x:c>
      <x:c r="F1104" s="3" t="n">
        <x:v>1</x:v>
      </x:c>
    </x:row>
    <x:row r="1105" ht="21" customHeight="1">
      <x:c r="A1105" s="3" t="n">
        <x:v>33</x:v>
      </x:c>
      <x:c r="B1105" s="3" t="n">
        <x:v>22</x:v>
      </x:c>
      <x:c r="C1105" s="3" t="n">
        <x:v>24</x:v>
      </x:c>
      <x:c r="D1105" s="3" t="n">
        <x:v>4</x:v>
      </x:c>
      <x:c r="E1105" s="3" t="n">
        <x:v>4</x:v>
      </x:c>
      <x:c r="F1105" s="3" t="n">
        <x:v>1</x:v>
      </x:c>
    </x:row>
    <x:row r="1106" ht="21" customHeight="1">
      <x:c r="A1106" s="3" t="n">
        <x:v>33</x:v>
      </x:c>
      <x:c r="B1106" s="3" t="n">
        <x:v>23</x:v>
      </x:c>
      <x:c r="C1106" s="3" t="n">
        <x:v>25</x:v>
      </x:c>
      <x:c r="D1106" s="3" t="n">
        <x:v>4</x:v>
      </x:c>
      <x:c r="E1106" s="3" t="n">
        <x:v>5</x:v>
      </x:c>
      <x:c r="F1106" s="3" t="n">
        <x:v>2</x:v>
      </x:c>
    </x:row>
    <x:row r="1107" ht="21" customHeight="1">
      <x:c r="A1107" s="3" t="n">
        <x:v>33</x:v>
      </x:c>
      <x:c r="B1107" s="3" t="n">
        <x:v>24</x:v>
      </x:c>
      <x:c r="C1107" s="3" t="n">
        <x:v>26</x:v>
      </x:c>
      <x:c r="D1107" s="3" t="n">
        <x:v>5</x:v>
      </x:c>
      <x:c r="E1107" s="3" t="n">
        <x:v>5</x:v>
      </x:c>
      <x:c r="F1107" s="3" t="n">
        <x:v>1</x:v>
      </x:c>
    </x:row>
    <x:row r="1108" ht="21" customHeight="1">
      <x:c r="A1108" s="3" t="n">
        <x:v>33</x:v>
      </x:c>
      <x:c r="B1108" s="3" t="n">
        <x:v>25</x:v>
      </x:c>
      <x:c r="C1108" s="3" t="n">
        <x:v>27</x:v>
      </x:c>
      <x:c r="D1108" s="3" t="n">
        <x:v>5</x:v>
      </x:c>
      <x:c r="E1108" s="3" t="n">
        <x:v>5</x:v>
      </x:c>
      <x:c r="F1108" s="3" t="n">
        <x:v>1</x:v>
      </x:c>
    </x:row>
    <x:row r="1109" ht="21" customHeight="1">
      <x:c r="A1109" s="3" t="n">
        <x:v>33</x:v>
      </x:c>
      <x:c r="B1109" s="3" t="n">
        <x:v>26</x:v>
      </x:c>
      <x:c r="C1109" s="3" t="n">
        <x:v>28</x:v>
      </x:c>
      <x:c r="D1109" s="3" t="n">
        <x:v>5</x:v>
      </x:c>
      <x:c r="E1109" s="3" t="n">
        <x:v>5</x:v>
      </x:c>
      <x:c r="F1109" s="3" t="n">
        <x:v>1</x:v>
      </x:c>
    </x:row>
    <x:row r="1110" ht="21" customHeight="1">
      <x:c r="A1110" s="3" t="n">
        <x:v>33</x:v>
      </x:c>
      <x:c r="B1110" s="3" t="n">
        <x:v>27</x:v>
      </x:c>
      <x:c r="C1110" s="3" t="n">
        <x:v>29</x:v>
      </x:c>
      <x:c r="D1110" s="3" t="n">
        <x:v>5</x:v>
      </x:c>
      <x:c r="E1110" s="3" t="n">
        <x:v>5</x:v>
      </x:c>
      <x:c r="F1110" s="3" t="n">
        <x:v>1</x:v>
      </x:c>
    </x:row>
    <x:row r="1111" ht="21" customHeight="1">
      <x:c r="A1111" s="3" t="n">
        <x:v>33</x:v>
      </x:c>
      <x:c r="B1111" s="3" t="n">
        <x:v>28</x:v>
      </x:c>
      <x:c r="C1111" s="3" t="n">
        <x:v>30</x:v>
      </x:c>
      <x:c r="D1111" s="3" t="n">
        <x:v>5</x:v>
      </x:c>
      <x:c r="E1111" s="3" t="n">
        <x:v>5</x:v>
      </x:c>
      <x:c r="F1111" s="3" t="n">
        <x:v>1</x:v>
      </x:c>
    </x:row>
    <x:row r="1112" ht="21" customHeight="1">
      <x:c r="A1112" s="3" t="n">
        <x:v>33</x:v>
      </x:c>
      <x:c r="B1112" s="3" t="n">
        <x:v>29</x:v>
      </x:c>
      <x:c r="C1112" s="3" t="n">
        <x:v>31</x:v>
      </x:c>
      <x:c r="D1112" s="3" t="n">
        <x:v>5</x:v>
      </x:c>
      <x:c r="E1112" s="3" t="n">
        <x:v>6</x:v>
      </x:c>
      <x:c r="F1112" s="3" t="n">
        <x:v>2</x:v>
      </x:c>
    </x:row>
    <x:row r="1113" ht="21" customHeight="1">
      <x:c r="A1113" s="3" t="n">
        <x:v>33</x:v>
      </x:c>
      <x:c r="B1113" s="3" t="n">
        <x:v>30</x:v>
      </x:c>
      <x:c r="C1113" s="3" t="n">
        <x:v>32</x:v>
      </x:c>
      <x:c r="D1113" s="3" t="n">
        <x:v>6</x:v>
      </x:c>
      <x:c r="E1113" s="3" t="n">
        <x:v>6</x:v>
      </x:c>
      <x:c r="F1113" s="3" t="n">
        <x:v>1</x:v>
      </x:c>
    </x:row>
    <x:row r="1114" ht="21" customHeight="1">
      <x:c r="A1114" s="3" t="n">
        <x:v>33</x:v>
      </x:c>
      <x:c r="B1114" s="3" t="n">
        <x:v>31</x:v>
      </x:c>
      <x:c r="C1114" s="3" t="n">
        <x:v>33</x:v>
      </x:c>
      <x:c r="D1114" s="3" t="n">
        <x:v>6</x:v>
      </x:c>
      <x:c r="E1114" s="3" t="n">
        <x:v>6</x:v>
      </x:c>
      <x:c r="F1114" s="3" t="n">
        <x:v>1</x:v>
      </x:c>
    </x:row>
    <x:row r="1115" ht="21" customHeight="1">
      <x:c r="A1115" s="3" t="n">
        <x:v>33</x:v>
      </x:c>
      <x:c r="B1115" s="3" t="n">
        <x:v>32</x:v>
      </x:c>
      <x:c r="C1115" s="3" t="n">
        <x:v>34</x:v>
      </x:c>
      <x:c r="D1115" s="3" t="n">
        <x:v>6</x:v>
      </x:c>
      <x:c r="E1115" s="3" t="n">
        <x:v>6</x:v>
      </x:c>
      <x:c r="F1115" s="3" t="n">
        <x:v>1</x:v>
      </x:c>
    </x:row>
    <x:row r="1116" ht="21" customHeight="1">
      <x:c r="A1116" s="3" t="n">
        <x:v>33</x:v>
      </x:c>
      <x:c r="B1116" s="3" t="n">
        <x:v>33</x:v>
      </x:c>
      <x:c r="C1116" s="3" t="n">
        <x:v>35</x:v>
      </x:c>
      <x:c r="D1116" s="3" t="n">
        <x:v>6</x:v>
      </x:c>
      <x:c r="E1116" s="3" t="n">
        <x:v>6</x:v>
      </x:c>
      <x:c r="F1116" s="3" t="n">
        <x:v>1</x:v>
      </x:c>
    </x:row>
    <x:row r="1117" ht="21" customHeight="1">
      <x:c r="A1117" s="3" t="n">
        <x:v>33</x:v>
      </x:c>
      <x:c r="B1117" s="3" t="n">
        <x:v>34</x:v>
      </x:c>
      <x:c r="C1117" s="3" t="n">
        <x:v>36</x:v>
      </x:c>
      <x:c r="D1117" s="3" t="n">
        <x:v>6</x:v>
      </x:c>
      <x:c r="E1117" s="3" t="n">
        <x:v>6</x:v>
      </x:c>
      <x:c r="F1117" s="3" t="n">
        <x:v>1</x:v>
      </x:c>
    </x:row>
    <x:row r="1118" ht="21" customHeight="1">
      <x:c r="A1118" s="3" t="n">
        <x:v>34</x:v>
      </x:c>
      <x:c r="B1118" s="3" t="n">
        <x:v>0</x:v>
      </x:c>
      <x:c r="C1118" s="3" t="n">
        <x:v>5</x:v>
      </x:c>
      <x:c r="D1118" s="3" t="n">
        <x:v>1</x:v>
      </x:c>
      <x:c r="E1118" s="3" t="n">
        <x:v>1</x:v>
      </x:c>
      <x:c r="F1118" s="3" t="n">
        <x:v>1</x:v>
      </x:c>
    </x:row>
    <x:row r="1119" ht="21" customHeight="1">
      <x:c r="A1119" s="3" t="n">
        <x:v>34</x:v>
      </x:c>
      <x:c r="B1119" s="3" t="n">
        <x:v>1</x:v>
      </x:c>
      <x:c r="C1119" s="3" t="n">
        <x:v>6</x:v>
      </x:c>
      <x:c r="D1119" s="3" t="n">
        <x:v>1</x:v>
      </x:c>
      <x:c r="E1119" s="3" t="n">
        <x:v>1</x:v>
      </x:c>
      <x:c r="F1119" s="3" t="n">
        <x:v>1</x:v>
      </x:c>
    </x:row>
    <x:row r="1120" ht="21" customHeight="1">
      <x:c r="A1120" s="3" t="n">
        <x:v>34</x:v>
      </x:c>
      <x:c r="B1120" s="3" t="n">
        <x:v>2</x:v>
      </x:c>
      <x:c r="C1120" s="3" t="n">
        <x:v>7</x:v>
      </x:c>
      <x:c r="D1120" s="3" t="n">
        <x:v>1</x:v>
      </x:c>
      <x:c r="E1120" s="3" t="n">
        <x:v>2</x:v>
      </x:c>
      <x:c r="F1120" s="3" t="n">
        <x:v>2</x:v>
      </x:c>
    </x:row>
    <x:row r="1121" ht="21" customHeight="1">
      <x:c r="A1121" s="3" t="n">
        <x:v>34</x:v>
      </x:c>
      <x:c r="B1121" s="3" t="n">
        <x:v>3</x:v>
      </x:c>
      <x:c r="C1121" s="3" t="n">
        <x:v>8</x:v>
      </x:c>
      <x:c r="D1121" s="3" t="n">
        <x:v>1</x:v>
      </x:c>
      <x:c r="E1121" s="3" t="n">
        <x:v>2</x:v>
      </x:c>
      <x:c r="F1121" s="3" t="n">
        <x:v>2</x:v>
      </x:c>
    </x:row>
    <x:row r="1122" ht="21" customHeight="1">
      <x:c r="A1122" s="3" t="n">
        <x:v>34</x:v>
      </x:c>
      <x:c r="B1122" s="3" t="n">
        <x:v>4</x:v>
      </x:c>
      <x:c r="C1122" s="3" t="n">
        <x:v>9</x:v>
      </x:c>
      <x:c r="D1122" s="3" t="n">
        <x:v>1</x:v>
      </x:c>
      <x:c r="E1122" s="3" t="n">
        <x:v>2</x:v>
      </x:c>
      <x:c r="F1122" s="3" t="n">
        <x:v>2</x:v>
      </x:c>
    </x:row>
    <x:row r="1123" ht="21" customHeight="1">
      <x:c r="A1123" s="3" t="n">
        <x:v>34</x:v>
      </x:c>
      <x:c r="B1123" s="3" t="n">
        <x:v>5</x:v>
      </x:c>
      <x:c r="C1123" s="3" t="n">
        <x:v>10</x:v>
      </x:c>
      <x:c r="D1123" s="3" t="n">
        <x:v>1</x:v>
      </x:c>
      <x:c r="E1123" s="3" t="n">
        <x:v>2</x:v>
      </x:c>
      <x:c r="F1123" s="3" t="n">
        <x:v>2</x:v>
      </x:c>
    </x:row>
    <x:row r="1124" ht="21" customHeight="1">
      <x:c r="A1124" s="3" t="n">
        <x:v>34</x:v>
      </x:c>
      <x:c r="B1124" s="3" t="n">
        <x:v>6</x:v>
      </x:c>
      <x:c r="C1124" s="3" t="n">
        <x:v>11</x:v>
      </x:c>
      <x:c r="D1124" s="3" t="n">
        <x:v>2</x:v>
      </x:c>
      <x:c r="E1124" s="3" t="n">
        <x:v>2</x:v>
      </x:c>
      <x:c r="F1124" s="3" t="n">
        <x:v>1</x:v>
      </x:c>
    </x:row>
    <x:row r="1125" ht="21" customHeight="1">
      <x:c r="A1125" s="3" t="n">
        <x:v>34</x:v>
      </x:c>
      <x:c r="B1125" s="3" t="n">
        <x:v>7</x:v>
      </x:c>
      <x:c r="C1125" s="3" t="n">
        <x:v>12</x:v>
      </x:c>
      <x:c r="D1125" s="3" t="n">
        <x:v>2</x:v>
      </x:c>
      <x:c r="E1125" s="3" t="n">
        <x:v>2</x:v>
      </x:c>
      <x:c r="F1125" s="3" t="n">
        <x:v>1</x:v>
      </x:c>
    </x:row>
    <x:row r="1126" ht="21" customHeight="1">
      <x:c r="A1126" s="3" t="n">
        <x:v>34</x:v>
      </x:c>
      <x:c r="B1126" s="3" t="n">
        <x:v>8</x:v>
      </x:c>
      <x:c r="C1126" s="3" t="n">
        <x:v>13</x:v>
      </x:c>
      <x:c r="D1126" s="3" t="n">
        <x:v>2</x:v>
      </x:c>
      <x:c r="E1126" s="3" t="n">
        <x:v>3</x:v>
      </x:c>
      <x:c r="F1126" s="3" t="n">
        <x:v>2</x:v>
      </x:c>
    </x:row>
    <x:row r="1127" ht="21" customHeight="1">
      <x:c r="A1127" s="3" t="n">
        <x:v>34</x:v>
      </x:c>
      <x:c r="B1127" s="3" t="n">
        <x:v>9</x:v>
      </x:c>
      <x:c r="C1127" s="3" t="n">
        <x:v>14</x:v>
      </x:c>
      <x:c r="D1127" s="3" t="n">
        <x:v>2</x:v>
      </x:c>
      <x:c r="E1127" s="3" t="n">
        <x:v>3</x:v>
      </x:c>
      <x:c r="F1127" s="3" t="n">
        <x:v>2</x:v>
      </x:c>
    </x:row>
    <x:row r="1128" ht="21" customHeight="1">
      <x:c r="A1128" s="3" t="n">
        <x:v>34</x:v>
      </x:c>
      <x:c r="B1128" s="3" t="n">
        <x:v>10</x:v>
      </x:c>
      <x:c r="C1128" s="3" t="n">
        <x:v>15</x:v>
      </x:c>
      <x:c r="D1128" s="3" t="n">
        <x:v>2</x:v>
      </x:c>
      <x:c r="E1128" s="3" t="n">
        <x:v>3</x:v>
      </x:c>
      <x:c r="F1128" s="3" t="n">
        <x:v>2</x:v>
      </x:c>
    </x:row>
    <x:row r="1129" ht="21" customHeight="1">
      <x:c r="A1129" s="3" t="n">
        <x:v>34</x:v>
      </x:c>
      <x:c r="B1129" s="3" t="n">
        <x:v>11</x:v>
      </x:c>
      <x:c r="C1129" s="3" t="n">
        <x:v>16</x:v>
      </x:c>
      <x:c r="D1129" s="3" t="n">
        <x:v>2</x:v>
      </x:c>
      <x:c r="E1129" s="3" t="n">
        <x:v>3</x:v>
      </x:c>
      <x:c r="F1129" s="3" t="n">
        <x:v>2</x:v>
      </x:c>
    </x:row>
    <x:row r="1130" ht="21" customHeight="1">
      <x:c r="A1130" s="3" t="n">
        <x:v>34</x:v>
      </x:c>
      <x:c r="B1130" s="3" t="n">
        <x:v>12</x:v>
      </x:c>
      <x:c r="C1130" s="3" t="n">
        <x:v>17</x:v>
      </x:c>
      <x:c r="D1130" s="3" t="n">
        <x:v>3</x:v>
      </x:c>
      <x:c r="E1130" s="3" t="n">
        <x:v>3</x:v>
      </x:c>
      <x:c r="F1130" s="3" t="n">
        <x:v>1</x:v>
      </x:c>
    </x:row>
    <x:row r="1131" ht="21" customHeight="1">
      <x:c r="A1131" s="3" t="n">
        <x:v>34</x:v>
      </x:c>
      <x:c r="B1131" s="3" t="n">
        <x:v>13</x:v>
      </x:c>
      <x:c r="C1131" s="3" t="n">
        <x:v>18</x:v>
      </x:c>
      <x:c r="D1131" s="3" t="n">
        <x:v>3</x:v>
      </x:c>
      <x:c r="E1131" s="3" t="n">
        <x:v>3</x:v>
      </x:c>
      <x:c r="F1131" s="3" t="n">
        <x:v>1</x:v>
      </x:c>
    </x:row>
    <x:row r="1132" ht="21" customHeight="1">
      <x:c r="A1132" s="3" t="n">
        <x:v>34</x:v>
      </x:c>
      <x:c r="B1132" s="3" t="n">
        <x:v>14</x:v>
      </x:c>
      <x:c r="C1132" s="3" t="n">
        <x:v>19</x:v>
      </x:c>
      <x:c r="D1132" s="3" t="n">
        <x:v>3</x:v>
      </x:c>
      <x:c r="E1132" s="3" t="n">
        <x:v>4</x:v>
      </x:c>
      <x:c r="F1132" s="3" t="n">
        <x:v>2</x:v>
      </x:c>
    </x:row>
    <x:row r="1133" ht="21" customHeight="1">
      <x:c r="A1133" s="3" t="n">
        <x:v>34</x:v>
      </x:c>
      <x:c r="B1133" s="3" t="n">
        <x:v>15</x:v>
      </x:c>
      <x:c r="C1133" s="3" t="n">
        <x:v>20</x:v>
      </x:c>
      <x:c r="D1133" s="3" t="n">
        <x:v>3</x:v>
      </x:c>
      <x:c r="E1133" s="3" t="n">
        <x:v>4</x:v>
      </x:c>
      <x:c r="F1133" s="3" t="n">
        <x:v>2</x:v>
      </x:c>
    </x:row>
    <x:row r="1134" ht="21" customHeight="1">
      <x:c r="A1134" s="3" t="n">
        <x:v>34</x:v>
      </x:c>
      <x:c r="B1134" s="3" t="n">
        <x:v>16</x:v>
      </x:c>
      <x:c r="C1134" s="3" t="n">
        <x:v>21</x:v>
      </x:c>
      <x:c r="D1134" s="3" t="n">
        <x:v>3</x:v>
      </x:c>
      <x:c r="E1134" s="3" t="n">
        <x:v>4</x:v>
      </x:c>
      <x:c r="F1134" s="3" t="n">
        <x:v>2</x:v>
      </x:c>
    </x:row>
    <x:row r="1135" ht="21" customHeight="1">
      <x:c r="A1135" s="3" t="n">
        <x:v>34</x:v>
      </x:c>
      <x:c r="B1135" s="3" t="n">
        <x:v>17</x:v>
      </x:c>
      <x:c r="C1135" s="3" t="n">
        <x:v>22</x:v>
      </x:c>
      <x:c r="D1135" s="3" t="n">
        <x:v>3</x:v>
      </x:c>
      <x:c r="E1135" s="3" t="n">
        <x:v>4</x:v>
      </x:c>
      <x:c r="F1135" s="3" t="n">
        <x:v>2</x:v>
      </x:c>
    </x:row>
    <x:row r="1136" ht="21" customHeight="1">
      <x:c r="A1136" s="3" t="n">
        <x:v>34</x:v>
      </x:c>
      <x:c r="B1136" s="3" t="n">
        <x:v>18</x:v>
      </x:c>
      <x:c r="C1136" s="3" t="n">
        <x:v>23</x:v>
      </x:c>
      <x:c r="D1136" s="3" t="n">
        <x:v>4</x:v>
      </x:c>
      <x:c r="E1136" s="3" t="n">
        <x:v>4</x:v>
      </x:c>
      <x:c r="F1136" s="3" t="n">
        <x:v>1</x:v>
      </x:c>
    </x:row>
    <x:row r="1137" ht="21" customHeight="1">
      <x:c r="A1137" s="3" t="n">
        <x:v>34</x:v>
      </x:c>
      <x:c r="B1137" s="3" t="n">
        <x:v>19</x:v>
      </x:c>
      <x:c r="C1137" s="3" t="n">
        <x:v>24</x:v>
      </x:c>
      <x:c r="D1137" s="3" t="n">
        <x:v>4</x:v>
      </x:c>
      <x:c r="E1137" s="3" t="n">
        <x:v>4</x:v>
      </x:c>
      <x:c r="F1137" s="3" t="n">
        <x:v>1</x:v>
      </x:c>
    </x:row>
    <x:row r="1138" ht="21" customHeight="1">
      <x:c r="A1138" s="3" t="n">
        <x:v>34</x:v>
      </x:c>
      <x:c r="B1138" s="3" t="n">
        <x:v>20</x:v>
      </x:c>
      <x:c r="C1138" s="3" t="n">
        <x:v>25</x:v>
      </x:c>
      <x:c r="D1138" s="3" t="n">
        <x:v>4</x:v>
      </x:c>
      <x:c r="E1138" s="3" t="n">
        <x:v>5</x:v>
      </x:c>
      <x:c r="F1138" s="3" t="n">
        <x:v>2</x:v>
      </x:c>
    </x:row>
    <x:row r="1139" ht="21" customHeight="1">
      <x:c r="A1139" s="3" t="n">
        <x:v>34</x:v>
      </x:c>
      <x:c r="B1139" s="3" t="n">
        <x:v>21</x:v>
      </x:c>
      <x:c r="C1139" s="3" t="n">
        <x:v>26</x:v>
      </x:c>
      <x:c r="D1139" s="3" t="n">
        <x:v>4</x:v>
      </x:c>
      <x:c r="E1139" s="3" t="n">
        <x:v>5</x:v>
      </x:c>
      <x:c r="F1139" s="3" t="n">
        <x:v>2</x:v>
      </x:c>
    </x:row>
    <x:row r="1140" ht="21" customHeight="1">
      <x:c r="A1140" s="3" t="n">
        <x:v>34</x:v>
      </x:c>
      <x:c r="B1140" s="3" t="n">
        <x:v>22</x:v>
      </x:c>
      <x:c r="C1140" s="3" t="n">
        <x:v>27</x:v>
      </x:c>
      <x:c r="D1140" s="3" t="n">
        <x:v>4</x:v>
      </x:c>
      <x:c r="E1140" s="3" t="n">
        <x:v>5</x:v>
      </x:c>
      <x:c r="F1140" s="3" t="n">
        <x:v>2</x:v>
      </x:c>
    </x:row>
    <x:row r="1141" ht="21" customHeight="1">
      <x:c r="A1141" s="3" t="n">
        <x:v>34</x:v>
      </x:c>
      <x:c r="B1141" s="3" t="n">
        <x:v>23</x:v>
      </x:c>
      <x:c r="C1141" s="3" t="n">
        <x:v>28</x:v>
      </x:c>
      <x:c r="D1141" s="3" t="n">
        <x:v>4</x:v>
      </x:c>
      <x:c r="E1141" s="3" t="n">
        <x:v>5</x:v>
      </x:c>
      <x:c r="F1141" s="3" t="n">
        <x:v>2</x:v>
      </x:c>
    </x:row>
    <x:row r="1142" ht="21" customHeight="1">
      <x:c r="A1142" s="3" t="n">
        <x:v>34</x:v>
      </x:c>
      <x:c r="B1142" s="3" t="n">
        <x:v>24</x:v>
      </x:c>
      <x:c r="C1142" s="3" t="n">
        <x:v>29</x:v>
      </x:c>
      <x:c r="D1142" s="3" t="n">
        <x:v>5</x:v>
      </x:c>
      <x:c r="E1142" s="3" t="n">
        <x:v>5</x:v>
      </x:c>
      <x:c r="F1142" s="3" t="n">
        <x:v>1</x:v>
      </x:c>
    </x:row>
    <x:row r="1143" ht="21" customHeight="1">
      <x:c r="A1143" s="3" t="n">
        <x:v>34</x:v>
      </x:c>
      <x:c r="B1143" s="3" t="n">
        <x:v>25</x:v>
      </x:c>
      <x:c r="C1143" s="3" t="n">
        <x:v>30</x:v>
      </x:c>
      <x:c r="D1143" s="3" t="n">
        <x:v>5</x:v>
      </x:c>
      <x:c r="E1143" s="3" t="n">
        <x:v>5</x:v>
      </x:c>
      <x:c r="F1143" s="3" t="n">
        <x:v>1</x:v>
      </x:c>
    </x:row>
    <x:row r="1144" ht="21" customHeight="1">
      <x:c r="A1144" s="3" t="n">
        <x:v>34</x:v>
      </x:c>
      <x:c r="B1144" s="3" t="n">
        <x:v>26</x:v>
      </x:c>
      <x:c r="C1144" s="3" t="n">
        <x:v>31</x:v>
      </x:c>
      <x:c r="D1144" s="3" t="n">
        <x:v>5</x:v>
      </x:c>
      <x:c r="E1144" s="3" t="n">
        <x:v>6</x:v>
      </x:c>
      <x:c r="F1144" s="3" t="n">
        <x:v>2</x:v>
      </x:c>
    </x:row>
    <x:row r="1145" ht="21" customHeight="1">
      <x:c r="A1145" s="3" t="n">
        <x:v>34</x:v>
      </x:c>
      <x:c r="B1145" s="3" t="n">
        <x:v>27</x:v>
      </x:c>
      <x:c r="C1145" s="3" t="n">
        <x:v>32</x:v>
      </x:c>
      <x:c r="D1145" s="3" t="n">
        <x:v>5</x:v>
      </x:c>
      <x:c r="E1145" s="3" t="n">
        <x:v>6</x:v>
      </x:c>
      <x:c r="F1145" s="3" t="n">
        <x:v>2</x:v>
      </x:c>
    </x:row>
    <x:row r="1146" ht="21" customHeight="1">
      <x:c r="A1146" s="3" t="n">
        <x:v>34</x:v>
      </x:c>
      <x:c r="B1146" s="3" t="n">
        <x:v>28</x:v>
      </x:c>
      <x:c r="C1146" s="3" t="n">
        <x:v>33</x:v>
      </x:c>
      <x:c r="D1146" s="3" t="n">
        <x:v>5</x:v>
      </x:c>
      <x:c r="E1146" s="3" t="n">
        <x:v>6</x:v>
      </x:c>
      <x:c r="F1146" s="3" t="n">
        <x:v>2</x:v>
      </x:c>
    </x:row>
    <x:row r="1147" ht="21" customHeight="1">
      <x:c r="A1147" s="3" t="n">
        <x:v>34</x:v>
      </x:c>
      <x:c r="B1147" s="3" t="n">
        <x:v>29</x:v>
      </x:c>
      <x:c r="C1147" s="3" t="n">
        <x:v>34</x:v>
      </x:c>
      <x:c r="D1147" s="3" t="n">
        <x:v>5</x:v>
      </x:c>
      <x:c r="E1147" s="3" t="n">
        <x:v>6</x:v>
      </x:c>
      <x:c r="F1147" s="3" t="n">
        <x:v>2</x:v>
      </x:c>
    </x:row>
    <x:row r="1148" ht="21" customHeight="1">
      <x:c r="A1148" s="3" t="n">
        <x:v>34</x:v>
      </x:c>
      <x:c r="B1148" s="3" t="n">
        <x:v>30</x:v>
      </x:c>
      <x:c r="C1148" s="3" t="n">
        <x:v>35</x:v>
      </x:c>
      <x:c r="D1148" s="3" t="n">
        <x:v>6</x:v>
      </x:c>
      <x:c r="E1148" s="3" t="n">
        <x:v>6</x:v>
      </x:c>
      <x:c r="F1148" s="3" t="n">
        <x:v>1</x:v>
      </x:c>
    </x:row>
    <x:row r="1149" ht="21" customHeight="1">
      <x:c r="A1149" s="3" t="n">
        <x:v>34</x:v>
      </x:c>
      <x:c r="B1149" s="3" t="n">
        <x:v>31</x:v>
      </x:c>
      <x:c r="C1149" s="3" t="n">
        <x:v>36</x:v>
      </x:c>
      <x:c r="D1149" s="3" t="n">
        <x:v>6</x:v>
      </x:c>
      <x:c r="E1149" s="3" t="n">
        <x:v>6</x:v>
      </x:c>
      <x:c r="F1149" s="3" t="n">
        <x:v>1</x:v>
      </x:c>
    </x:row>
    <x:row r="1150" ht="21" customHeight="1">
      <x:c r="A1150" s="3" t="n">
        <x:v>35</x:v>
      </x:c>
      <x:c r="B1150" s="3" t="n">
        <x:v>0</x:v>
      </x:c>
      <x:c r="C1150" s="3" t="n">
        <x:v>3</x:v>
      </x:c>
      <x:c r="D1150" s="3" t="n">
        <x:v>1</x:v>
      </x:c>
      <x:c r="E1150" s="3" t="n">
        <x:v>1</x:v>
      </x:c>
      <x:c r="F1150" s="3" t="n">
        <x:v>1</x:v>
      </x:c>
    </x:row>
    <x:row r="1151" ht="21" customHeight="1">
      <x:c r="A1151" s="3" t="n">
        <x:v>35</x:v>
      </x:c>
      <x:c r="B1151" s="3" t="n">
        <x:v>1</x:v>
      </x:c>
      <x:c r="C1151" s="3" t="n">
        <x:v>4</x:v>
      </x:c>
      <x:c r="D1151" s="3" t="n">
        <x:v>1</x:v>
      </x:c>
      <x:c r="E1151" s="3" t="n">
        <x:v>1</x:v>
      </x:c>
      <x:c r="F1151" s="3" t="n">
        <x:v>1</x:v>
      </x:c>
    </x:row>
    <x:row r="1152" ht="21" customHeight="1">
      <x:c r="A1152" s="3" t="n">
        <x:v>35</x:v>
      </x:c>
      <x:c r="B1152" s="3" t="n">
        <x:v>2</x:v>
      </x:c>
      <x:c r="C1152" s="3" t="n">
        <x:v>5</x:v>
      </x:c>
      <x:c r="D1152" s="3" t="n">
        <x:v>1</x:v>
      </x:c>
      <x:c r="E1152" s="3" t="n">
        <x:v>1</x:v>
      </x:c>
      <x:c r="F1152" s="3" t="n">
        <x:v>1</x:v>
      </x:c>
    </x:row>
    <x:row r="1153" ht="21" customHeight="1">
      <x:c r="A1153" s="3" t="n">
        <x:v>35</x:v>
      </x:c>
      <x:c r="B1153" s="3" t="n">
        <x:v>3</x:v>
      </x:c>
      <x:c r="C1153" s="3" t="n">
        <x:v>6</x:v>
      </x:c>
      <x:c r="D1153" s="3" t="n">
        <x:v>1</x:v>
      </x:c>
      <x:c r="E1153" s="3" t="n">
        <x:v>1</x:v>
      </x:c>
      <x:c r="F1153" s="3" t="n">
        <x:v>1</x:v>
      </x:c>
    </x:row>
    <x:row r="1154" ht="21" customHeight="1">
      <x:c r="A1154" s="3" t="n">
        <x:v>35</x:v>
      </x:c>
      <x:c r="B1154" s="3" t="n">
        <x:v>4</x:v>
      </x:c>
      <x:c r="C1154" s="3" t="n">
        <x:v>7</x:v>
      </x:c>
      <x:c r="D1154" s="3" t="n">
        <x:v>1</x:v>
      </x:c>
      <x:c r="E1154" s="3" t="n">
        <x:v>2</x:v>
      </x:c>
      <x:c r="F1154" s="3" t="n">
        <x:v>2</x:v>
      </x:c>
    </x:row>
    <x:row r="1155" ht="21" customHeight="1">
      <x:c r="A1155" s="3" t="n">
        <x:v>35</x:v>
      </x:c>
      <x:c r="B1155" s="3" t="n">
        <x:v>5</x:v>
      </x:c>
      <x:c r="C1155" s="3" t="n">
        <x:v>8</x:v>
      </x:c>
      <x:c r="D1155" s="3" t="n">
        <x:v>1</x:v>
      </x:c>
      <x:c r="E1155" s="3" t="n">
        <x:v>2</x:v>
      </x:c>
      <x:c r="F1155" s="3" t="n">
        <x:v>2</x:v>
      </x:c>
    </x:row>
    <x:row r="1156" ht="21" customHeight="1">
      <x:c r="A1156" s="3" t="n">
        <x:v>35</x:v>
      </x:c>
      <x:c r="B1156" s="3" t="n">
        <x:v>6</x:v>
      </x:c>
      <x:c r="C1156" s="3" t="n">
        <x:v>9</x:v>
      </x:c>
      <x:c r="D1156" s="3" t="n">
        <x:v>2</x:v>
      </x:c>
      <x:c r="E1156" s="3" t="n">
        <x:v>2</x:v>
      </x:c>
      <x:c r="F1156" s="3" t="n">
        <x:v>1</x:v>
      </x:c>
    </x:row>
    <x:row r="1157" ht="21" customHeight="1">
      <x:c r="A1157" s="3" t="n">
        <x:v>35</x:v>
      </x:c>
      <x:c r="B1157" s="3" t="n">
        <x:v>7</x:v>
      </x:c>
      <x:c r="C1157" s="3" t="n">
        <x:v>10</x:v>
      </x:c>
      <x:c r="D1157" s="3" t="n">
        <x:v>2</x:v>
      </x:c>
      <x:c r="E1157" s="3" t="n">
        <x:v>2</x:v>
      </x:c>
      <x:c r="F1157" s="3" t="n">
        <x:v>1</x:v>
      </x:c>
    </x:row>
    <x:row r="1158" ht="21" customHeight="1">
      <x:c r="A1158" s="3" t="n">
        <x:v>35</x:v>
      </x:c>
      <x:c r="B1158" s="3" t="n">
        <x:v>8</x:v>
      </x:c>
      <x:c r="C1158" s="3" t="n">
        <x:v>11</x:v>
      </x:c>
      <x:c r="D1158" s="3" t="n">
        <x:v>2</x:v>
      </x:c>
      <x:c r="E1158" s="3" t="n">
        <x:v>2</x:v>
      </x:c>
      <x:c r="F1158" s="3" t="n">
        <x:v>1</x:v>
      </x:c>
    </x:row>
    <x:row r="1159" ht="21" customHeight="1">
      <x:c r="A1159" s="3" t="n">
        <x:v>35</x:v>
      </x:c>
      <x:c r="B1159" s="3" t="n">
        <x:v>9</x:v>
      </x:c>
      <x:c r="C1159" s="3" t="n">
        <x:v>12</x:v>
      </x:c>
      <x:c r="D1159" s="3" t="n">
        <x:v>2</x:v>
      </x:c>
      <x:c r="E1159" s="3" t="n">
        <x:v>2</x:v>
      </x:c>
      <x:c r="F1159" s="3" t="n">
        <x:v>1</x:v>
      </x:c>
    </x:row>
    <x:row r="1160" ht="21" customHeight="1">
      <x:c r="A1160" s="3" t="n">
        <x:v>35</x:v>
      </x:c>
      <x:c r="B1160" s="3" t="n">
        <x:v>10</x:v>
      </x:c>
      <x:c r="C1160" s="3" t="n">
        <x:v>13</x:v>
      </x:c>
      <x:c r="D1160" s="3" t="n">
        <x:v>2</x:v>
      </x:c>
      <x:c r="E1160" s="3" t="n">
        <x:v>3</x:v>
      </x:c>
      <x:c r="F1160" s="3" t="n">
        <x:v>2</x:v>
      </x:c>
    </x:row>
    <x:row r="1161" ht="21" customHeight="1">
      <x:c r="A1161" s="3" t="n">
        <x:v>35</x:v>
      </x:c>
      <x:c r="B1161" s="3" t="n">
        <x:v>11</x:v>
      </x:c>
      <x:c r="C1161" s="3" t="n">
        <x:v>14</x:v>
      </x:c>
      <x:c r="D1161" s="3" t="n">
        <x:v>2</x:v>
      </x:c>
      <x:c r="E1161" s="3" t="n">
        <x:v>3</x:v>
      </x:c>
      <x:c r="F1161" s="3" t="n">
        <x:v>2</x:v>
      </x:c>
    </x:row>
    <x:row r="1162" ht="21" customHeight="1">
      <x:c r="A1162" s="3" t="n">
        <x:v>35</x:v>
      </x:c>
      <x:c r="B1162" s="3" t="n">
        <x:v>12</x:v>
      </x:c>
      <x:c r="C1162" s="3" t="n">
        <x:v>15</x:v>
      </x:c>
      <x:c r="D1162" s="3" t="n">
        <x:v>3</x:v>
      </x:c>
      <x:c r="E1162" s="3" t="n">
        <x:v>3</x:v>
      </x:c>
      <x:c r="F1162" s="3" t="n">
        <x:v>1</x:v>
      </x:c>
    </x:row>
    <x:row r="1163" ht="21" customHeight="1">
      <x:c r="A1163" s="3" t="n">
        <x:v>35</x:v>
      </x:c>
      <x:c r="B1163" s="3" t="n">
        <x:v>13</x:v>
      </x:c>
      <x:c r="C1163" s="3" t="n">
        <x:v>16</x:v>
      </x:c>
      <x:c r="D1163" s="3" t="n">
        <x:v>3</x:v>
      </x:c>
      <x:c r="E1163" s="3" t="n">
        <x:v>3</x:v>
      </x:c>
      <x:c r="F1163" s="3" t="n">
        <x:v>1</x:v>
      </x:c>
    </x:row>
    <x:row r="1164" ht="21" customHeight="1">
      <x:c r="A1164" s="3" t="n">
        <x:v>35</x:v>
      </x:c>
      <x:c r="B1164" s="3" t="n">
        <x:v>14</x:v>
      </x:c>
      <x:c r="C1164" s="3" t="n">
        <x:v>17</x:v>
      </x:c>
      <x:c r="D1164" s="3" t="n">
        <x:v>3</x:v>
      </x:c>
      <x:c r="E1164" s="3" t="n">
        <x:v>3</x:v>
      </x:c>
      <x:c r="F1164" s="3" t="n">
        <x:v>1</x:v>
      </x:c>
    </x:row>
    <x:row r="1165" ht="21" customHeight="1">
      <x:c r="A1165" s="3" t="n">
        <x:v>35</x:v>
      </x:c>
      <x:c r="B1165" s="3" t="n">
        <x:v>15</x:v>
      </x:c>
      <x:c r="C1165" s="3" t="n">
        <x:v>18</x:v>
      </x:c>
      <x:c r="D1165" s="3" t="n">
        <x:v>3</x:v>
      </x:c>
      <x:c r="E1165" s="3" t="n">
        <x:v>3</x:v>
      </x:c>
      <x:c r="F1165" s="3" t="n">
        <x:v>1</x:v>
      </x:c>
    </x:row>
    <x:row r="1166" ht="21" customHeight="1">
      <x:c r="A1166" s="3" t="n">
        <x:v>35</x:v>
      </x:c>
      <x:c r="B1166" s="3" t="n">
        <x:v>16</x:v>
      </x:c>
      <x:c r="C1166" s="3" t="n">
        <x:v>19</x:v>
      </x:c>
      <x:c r="D1166" s="3" t="n">
        <x:v>3</x:v>
      </x:c>
      <x:c r="E1166" s="3" t="n">
        <x:v>4</x:v>
      </x:c>
      <x:c r="F1166" s="3" t="n">
        <x:v>2</x:v>
      </x:c>
    </x:row>
    <x:row r="1167" ht="21" customHeight="1">
      <x:c r="A1167" s="3" t="n">
        <x:v>35</x:v>
      </x:c>
      <x:c r="B1167" s="3" t="n">
        <x:v>17</x:v>
      </x:c>
      <x:c r="C1167" s="3" t="n">
        <x:v>20</x:v>
      </x:c>
      <x:c r="D1167" s="3" t="n">
        <x:v>3</x:v>
      </x:c>
      <x:c r="E1167" s="3" t="n">
        <x:v>4</x:v>
      </x:c>
      <x:c r="F1167" s="3" t="n">
        <x:v>2</x:v>
      </x:c>
    </x:row>
    <x:row r="1168" ht="21" customHeight="1">
      <x:c r="A1168" s="3" t="n">
        <x:v>35</x:v>
      </x:c>
      <x:c r="B1168" s="3" t="n">
        <x:v>18</x:v>
      </x:c>
      <x:c r="C1168" s="3" t="n">
        <x:v>21</x:v>
      </x:c>
      <x:c r="D1168" s="3" t="n">
        <x:v>4</x:v>
      </x:c>
      <x:c r="E1168" s="3" t="n">
        <x:v>4</x:v>
      </x:c>
      <x:c r="F1168" s="3" t="n">
        <x:v>1</x:v>
      </x:c>
    </x:row>
    <x:row r="1169" ht="21" customHeight="1">
      <x:c r="A1169" s="3" t="n">
        <x:v>35</x:v>
      </x:c>
      <x:c r="B1169" s="3" t="n">
        <x:v>19</x:v>
      </x:c>
      <x:c r="C1169" s="3" t="n">
        <x:v>22</x:v>
      </x:c>
      <x:c r="D1169" s="3" t="n">
        <x:v>4</x:v>
      </x:c>
      <x:c r="E1169" s="3" t="n">
        <x:v>4</x:v>
      </x:c>
      <x:c r="F1169" s="3" t="n">
        <x:v>1</x:v>
      </x:c>
    </x:row>
    <x:row r="1170" ht="21" customHeight="1">
      <x:c r="A1170" s="3" t="n">
        <x:v>35</x:v>
      </x:c>
      <x:c r="B1170" s="3" t="n">
        <x:v>20</x:v>
      </x:c>
      <x:c r="C1170" s="3" t="n">
        <x:v>23</x:v>
      </x:c>
      <x:c r="D1170" s="3" t="n">
        <x:v>4</x:v>
      </x:c>
      <x:c r="E1170" s="3" t="n">
        <x:v>4</x:v>
      </x:c>
      <x:c r="F1170" s="3" t="n">
        <x:v>1</x:v>
      </x:c>
    </x:row>
    <x:row r="1171" ht="21" customHeight="1">
      <x:c r="A1171" s="3" t="n">
        <x:v>35</x:v>
      </x:c>
      <x:c r="B1171" s="3" t="n">
        <x:v>21</x:v>
      </x:c>
      <x:c r="C1171" s="3" t="n">
        <x:v>24</x:v>
      </x:c>
      <x:c r="D1171" s="3" t="n">
        <x:v>4</x:v>
      </x:c>
      <x:c r="E1171" s="3" t="n">
        <x:v>4</x:v>
      </x:c>
      <x:c r="F1171" s="3" t="n">
        <x:v>1</x:v>
      </x:c>
    </x:row>
    <x:row r="1172" ht="21" customHeight="1">
      <x:c r="A1172" s="3" t="n">
        <x:v>35</x:v>
      </x:c>
      <x:c r="B1172" s="3" t="n">
        <x:v>22</x:v>
      </x:c>
      <x:c r="C1172" s="3" t="n">
        <x:v>25</x:v>
      </x:c>
      <x:c r="D1172" s="3" t="n">
        <x:v>4</x:v>
      </x:c>
      <x:c r="E1172" s="3" t="n">
        <x:v>5</x:v>
      </x:c>
      <x:c r="F1172" s="3" t="n">
        <x:v>2</x:v>
      </x:c>
    </x:row>
    <x:row r="1173" ht="21" customHeight="1">
      <x:c r="A1173" s="3" t="n">
        <x:v>35</x:v>
      </x:c>
      <x:c r="B1173" s="3" t="n">
        <x:v>23</x:v>
      </x:c>
      <x:c r="C1173" s="3" t="n">
        <x:v>26</x:v>
      </x:c>
      <x:c r="D1173" s="3" t="n">
        <x:v>4</x:v>
      </x:c>
      <x:c r="E1173" s="3" t="n">
        <x:v>5</x:v>
      </x:c>
      <x:c r="F1173" s="3" t="n">
        <x:v>2</x:v>
      </x:c>
    </x:row>
    <x:row r="1174" ht="21" customHeight="1">
      <x:c r="A1174" s="3" t="n">
        <x:v>35</x:v>
      </x:c>
      <x:c r="B1174" s="3" t="n">
        <x:v>24</x:v>
      </x:c>
      <x:c r="C1174" s="3" t="n">
        <x:v>27</x:v>
      </x:c>
      <x:c r="D1174" s="3" t="n">
        <x:v>5</x:v>
      </x:c>
      <x:c r="E1174" s="3" t="n">
        <x:v>5</x:v>
      </x:c>
      <x:c r="F1174" s="3" t="n">
        <x:v>1</x:v>
      </x:c>
    </x:row>
    <x:row r="1175" ht="21" customHeight="1">
      <x:c r="A1175" s="3" t="n">
        <x:v>35</x:v>
      </x:c>
      <x:c r="B1175" s="3" t="n">
        <x:v>25</x:v>
      </x:c>
      <x:c r="C1175" s="3" t="n">
        <x:v>28</x:v>
      </x:c>
      <x:c r="D1175" s="3" t="n">
        <x:v>5</x:v>
      </x:c>
      <x:c r="E1175" s="3" t="n">
        <x:v>5</x:v>
      </x:c>
      <x:c r="F1175" s="3" t="n">
        <x:v>1</x:v>
      </x:c>
    </x:row>
    <x:row r="1176" ht="21" customHeight="1">
      <x:c r="A1176" s="3" t="n">
        <x:v>35</x:v>
      </x:c>
      <x:c r="B1176" s="3" t="n">
        <x:v>26</x:v>
      </x:c>
      <x:c r="C1176" s="3" t="n">
        <x:v>29</x:v>
      </x:c>
      <x:c r="D1176" s="3" t="n">
        <x:v>5</x:v>
      </x:c>
      <x:c r="E1176" s="3" t="n">
        <x:v>5</x:v>
      </x:c>
      <x:c r="F1176" s="3" t="n">
        <x:v>1</x:v>
      </x:c>
    </x:row>
    <x:row r="1177" ht="21" customHeight="1">
      <x:c r="A1177" s="3" t="n">
        <x:v>35</x:v>
      </x:c>
      <x:c r="B1177" s="3" t="n">
        <x:v>27</x:v>
      </x:c>
      <x:c r="C1177" s="3" t="n">
        <x:v>30</x:v>
      </x:c>
      <x:c r="D1177" s="3" t="n">
        <x:v>5</x:v>
      </x:c>
      <x:c r="E1177" s="3" t="n">
        <x:v>5</x:v>
      </x:c>
      <x:c r="F1177" s="3" t="n">
        <x:v>1</x:v>
      </x:c>
    </x:row>
    <x:row r="1178" ht="21" customHeight="1">
      <x:c r="A1178" s="3" t="n">
        <x:v>35</x:v>
      </x:c>
      <x:c r="B1178" s="3" t="n">
        <x:v>28</x:v>
      </x:c>
      <x:c r="C1178" s="3" t="n">
        <x:v>31</x:v>
      </x:c>
      <x:c r="D1178" s="3" t="n">
        <x:v>5</x:v>
      </x:c>
      <x:c r="E1178" s="3" t="n">
        <x:v>6</x:v>
      </x:c>
      <x:c r="F1178" s="3" t="n">
        <x:v>2</x:v>
      </x:c>
    </x:row>
    <x:row r="1179" ht="21" customHeight="1">
      <x:c r="A1179" s="3" t="n">
        <x:v>35</x:v>
      </x:c>
      <x:c r="B1179" s="3" t="n">
        <x:v>29</x:v>
      </x:c>
      <x:c r="C1179" s="3" t="n">
        <x:v>32</x:v>
      </x:c>
      <x:c r="D1179" s="3" t="n">
        <x:v>5</x:v>
      </x:c>
      <x:c r="E1179" s="3" t="n">
        <x:v>6</x:v>
      </x:c>
      <x:c r="F1179" s="3" t="n">
        <x:v>2</x:v>
      </x:c>
    </x:row>
    <x:row r="1180" ht="21" customHeight="1">
      <x:c r="A1180" s="3" t="n">
        <x:v>35</x:v>
      </x:c>
      <x:c r="B1180" s="3" t="n">
        <x:v>30</x:v>
      </x:c>
      <x:c r="C1180" s="3" t="n">
        <x:v>33</x:v>
      </x:c>
      <x:c r="D1180" s="3" t="n">
        <x:v>6</x:v>
      </x:c>
      <x:c r="E1180" s="3" t="n">
        <x:v>6</x:v>
      </x:c>
      <x:c r="F1180" s="3" t="n">
        <x:v>1</x:v>
      </x:c>
    </x:row>
    <x:row r="1181" ht="21" customHeight="1">
      <x:c r="A1181" s="3" t="n">
        <x:v>35</x:v>
      </x:c>
      <x:c r="B1181" s="3" t="n">
        <x:v>31</x:v>
      </x:c>
      <x:c r="C1181" s="3" t="n">
        <x:v>34</x:v>
      </x:c>
      <x:c r="D1181" s="3" t="n">
        <x:v>6</x:v>
      </x:c>
      <x:c r="E1181" s="3" t="n">
        <x:v>6</x:v>
      </x:c>
      <x:c r="F1181" s="3" t="n">
        <x:v>1</x:v>
      </x:c>
    </x:row>
    <x:row r="1182" ht="21" customHeight="1">
      <x:c r="A1182" s="3" t="n">
        <x:v>35</x:v>
      </x:c>
      <x:c r="B1182" s="3" t="n">
        <x:v>32</x:v>
      </x:c>
      <x:c r="C1182" s="3" t="n">
        <x:v>35</x:v>
      </x:c>
      <x:c r="D1182" s="3" t="n">
        <x:v>6</x:v>
      </x:c>
      <x:c r="E1182" s="3" t="n">
        <x:v>6</x:v>
      </x:c>
      <x:c r="F1182" s="3" t="n">
        <x:v>1</x:v>
      </x:c>
    </x:row>
    <x:row r="1183" ht="21" customHeight="1">
      <x:c r="A1183" s="3" t="n">
        <x:v>35</x:v>
      </x:c>
      <x:c r="B1183" s="3" t="n">
        <x:v>33</x:v>
      </x:c>
      <x:c r="C1183" s="3" t="n">
        <x:v>36</x:v>
      </x:c>
      <x:c r="D1183" s="3" t="n">
        <x:v>6</x:v>
      </x:c>
      <x:c r="E1183" s="3" t="n">
        <x:v>6</x:v>
      </x:c>
      <x:c r="F1183" s="3" t="n">
        <x:v>1</x:v>
      </x:c>
    </x:row>
    <x:row r="1184" ht="21" customHeight="1">
      <x:c r="A1184" s="3" t="n">
        <x:v>36</x:v>
      </x:c>
      <x:c r="B1184" s="3" t="n">
        <x:v>0</x:v>
      </x:c>
      <x:c r="C1184" s="3" t="n">
        <x:v>5</x:v>
      </x:c>
      <x:c r="D1184" s="3" t="n">
        <x:v>1</x:v>
      </x:c>
      <x:c r="E1184" s="3" t="n">
        <x:v>1</x:v>
      </x:c>
      <x:c r="F1184" s="3" t="n">
        <x:v>1</x:v>
      </x:c>
    </x:row>
    <x:row r="1185" ht="21" customHeight="1">
      <x:c r="A1185" s="3" t="n">
        <x:v>36</x:v>
      </x:c>
      <x:c r="B1185" s="3" t="n">
        <x:v>1</x:v>
      </x:c>
      <x:c r="C1185" s="3" t="n">
        <x:v>6</x:v>
      </x:c>
      <x:c r="D1185" s="3" t="n">
        <x:v>1</x:v>
      </x:c>
      <x:c r="E1185" s="3" t="n">
        <x:v>1</x:v>
      </x:c>
      <x:c r="F1185" s="3" t="n">
        <x:v>1</x:v>
      </x:c>
    </x:row>
    <x:row r="1186" ht="21" customHeight="1">
      <x:c r="A1186" s="3" t="n">
        <x:v>36</x:v>
      </x:c>
      <x:c r="B1186" s="3" t="n">
        <x:v>2</x:v>
      </x:c>
      <x:c r="C1186" s="3" t="n">
        <x:v>7</x:v>
      </x:c>
      <x:c r="D1186" s="3" t="n">
        <x:v>1</x:v>
      </x:c>
      <x:c r="E1186" s="3" t="n">
        <x:v>2</x:v>
      </x:c>
      <x:c r="F1186" s="3" t="n">
        <x:v>2</x:v>
      </x:c>
    </x:row>
    <x:row r="1187" ht="21" customHeight="1">
      <x:c r="A1187" s="3" t="n">
        <x:v>36</x:v>
      </x:c>
      <x:c r="B1187" s="3" t="n">
        <x:v>3</x:v>
      </x:c>
      <x:c r="C1187" s="3" t="n">
        <x:v>8</x:v>
      </x:c>
      <x:c r="D1187" s="3" t="n">
        <x:v>1</x:v>
      </x:c>
      <x:c r="E1187" s="3" t="n">
        <x:v>2</x:v>
      </x:c>
      <x:c r="F1187" s="3" t="n">
        <x:v>2</x:v>
      </x:c>
    </x:row>
    <x:row r="1188" ht="21" customHeight="1">
      <x:c r="A1188" s="3" t="n">
        <x:v>36</x:v>
      </x:c>
      <x:c r="B1188" s="3" t="n">
        <x:v>4</x:v>
      </x:c>
      <x:c r="C1188" s="3" t="n">
        <x:v>9</x:v>
      </x:c>
      <x:c r="D1188" s="3" t="n">
        <x:v>1</x:v>
      </x:c>
      <x:c r="E1188" s="3" t="n">
        <x:v>2</x:v>
      </x:c>
      <x:c r="F1188" s="3" t="n">
        <x:v>2</x:v>
      </x:c>
    </x:row>
    <x:row r="1189" ht="21" customHeight="1">
      <x:c r="A1189" s="3" t="n">
        <x:v>36</x:v>
      </x:c>
      <x:c r="B1189" s="3" t="n">
        <x:v>5</x:v>
      </x:c>
      <x:c r="C1189" s="3" t="n">
        <x:v>10</x:v>
      </x:c>
      <x:c r="D1189" s="3" t="n">
        <x:v>1</x:v>
      </x:c>
      <x:c r="E1189" s="3" t="n">
        <x:v>2</x:v>
      </x:c>
      <x:c r="F1189" s="3" t="n">
        <x:v>2</x:v>
      </x:c>
    </x:row>
    <x:row r="1190" ht="21" customHeight="1">
      <x:c r="A1190" s="3" t="n">
        <x:v>36</x:v>
      </x:c>
      <x:c r="B1190" s="3" t="n">
        <x:v>6</x:v>
      </x:c>
      <x:c r="C1190" s="3" t="n">
        <x:v>11</x:v>
      </x:c>
      <x:c r="D1190" s="3" t="n">
        <x:v>2</x:v>
      </x:c>
      <x:c r="E1190" s="3" t="n">
        <x:v>2</x:v>
      </x:c>
      <x:c r="F1190" s="3" t="n">
        <x:v>1</x:v>
      </x:c>
    </x:row>
    <x:row r="1191" ht="21" customHeight="1">
      <x:c r="A1191" s="3" t="n">
        <x:v>36</x:v>
      </x:c>
      <x:c r="B1191" s="3" t="n">
        <x:v>7</x:v>
      </x:c>
      <x:c r="C1191" s="3" t="n">
        <x:v>12</x:v>
      </x:c>
      <x:c r="D1191" s="3" t="n">
        <x:v>2</x:v>
      </x:c>
      <x:c r="E1191" s="3" t="n">
        <x:v>2</x:v>
      </x:c>
      <x:c r="F1191" s="3" t="n">
        <x:v>1</x:v>
      </x:c>
    </x:row>
    <x:row r="1192" ht="21" customHeight="1">
      <x:c r="A1192" s="3" t="n">
        <x:v>36</x:v>
      </x:c>
      <x:c r="B1192" s="3" t="n">
        <x:v>8</x:v>
      </x:c>
      <x:c r="C1192" s="3" t="n">
        <x:v>13</x:v>
      </x:c>
      <x:c r="D1192" s="3" t="n">
        <x:v>2</x:v>
      </x:c>
      <x:c r="E1192" s="3" t="n">
        <x:v>3</x:v>
      </x:c>
      <x:c r="F1192" s="3" t="n">
        <x:v>2</x:v>
      </x:c>
    </x:row>
    <x:row r="1193" ht="21" customHeight="1">
      <x:c r="A1193" s="3" t="n">
        <x:v>36</x:v>
      </x:c>
      <x:c r="B1193" s="3" t="n">
        <x:v>9</x:v>
      </x:c>
      <x:c r="C1193" s="3" t="n">
        <x:v>14</x:v>
      </x:c>
      <x:c r="D1193" s="3" t="n">
        <x:v>2</x:v>
      </x:c>
      <x:c r="E1193" s="3" t="n">
        <x:v>3</x:v>
      </x:c>
      <x:c r="F1193" s="3" t="n">
        <x:v>2</x:v>
      </x:c>
    </x:row>
    <x:row r="1194" ht="21" customHeight="1">
      <x:c r="A1194" s="3" t="n">
        <x:v>36</x:v>
      </x:c>
      <x:c r="B1194" s="3" t="n">
        <x:v>10</x:v>
      </x:c>
      <x:c r="C1194" s="3" t="n">
        <x:v>15</x:v>
      </x:c>
      <x:c r="D1194" s="3" t="n">
        <x:v>2</x:v>
      </x:c>
      <x:c r="E1194" s="3" t="n">
        <x:v>3</x:v>
      </x:c>
      <x:c r="F1194" s="3" t="n">
        <x:v>2</x:v>
      </x:c>
    </x:row>
    <x:row r="1195" ht="21" customHeight="1">
      <x:c r="A1195" s="3" t="n">
        <x:v>36</x:v>
      </x:c>
      <x:c r="B1195" s="3" t="n">
        <x:v>11</x:v>
      </x:c>
      <x:c r="C1195" s="3" t="n">
        <x:v>16</x:v>
      </x:c>
      <x:c r="D1195" s="3" t="n">
        <x:v>2</x:v>
      </x:c>
      <x:c r="E1195" s="3" t="n">
        <x:v>3</x:v>
      </x:c>
      <x:c r="F1195" s="3" t="n">
        <x:v>2</x:v>
      </x:c>
    </x:row>
    <x:row r="1196" ht="21" customHeight="1">
      <x:c r="A1196" s="3" t="n">
        <x:v>36</x:v>
      </x:c>
      <x:c r="B1196" s="3" t="n">
        <x:v>12</x:v>
      </x:c>
      <x:c r="C1196" s="3" t="n">
        <x:v>17</x:v>
      </x:c>
      <x:c r="D1196" s="3" t="n">
        <x:v>3</x:v>
      </x:c>
      <x:c r="E1196" s="3" t="n">
        <x:v>3</x:v>
      </x:c>
      <x:c r="F1196" s="3" t="n">
        <x:v>1</x:v>
      </x:c>
    </x:row>
    <x:row r="1197" ht="21" customHeight="1">
      <x:c r="A1197" s="3" t="n">
        <x:v>36</x:v>
      </x:c>
      <x:c r="B1197" s="3" t="n">
        <x:v>13</x:v>
      </x:c>
      <x:c r="C1197" s="3" t="n">
        <x:v>18</x:v>
      </x:c>
      <x:c r="D1197" s="3" t="n">
        <x:v>3</x:v>
      </x:c>
      <x:c r="E1197" s="3" t="n">
        <x:v>3</x:v>
      </x:c>
      <x:c r="F1197" s="3" t="n">
        <x:v>1</x:v>
      </x:c>
    </x:row>
    <x:row r="1198" ht="21" customHeight="1">
      <x:c r="A1198" s="3" t="n">
        <x:v>36</x:v>
      </x:c>
      <x:c r="B1198" s="3" t="n">
        <x:v>14</x:v>
      </x:c>
      <x:c r="C1198" s="3" t="n">
        <x:v>19</x:v>
      </x:c>
      <x:c r="D1198" s="3" t="n">
        <x:v>3</x:v>
      </x:c>
      <x:c r="E1198" s="3" t="n">
        <x:v>4</x:v>
      </x:c>
      <x:c r="F1198" s="3" t="n">
        <x:v>2</x:v>
      </x:c>
    </x:row>
    <x:row r="1199" ht="21" customHeight="1">
      <x:c r="A1199" s="3" t="n">
        <x:v>36</x:v>
      </x:c>
      <x:c r="B1199" s="3" t="n">
        <x:v>15</x:v>
      </x:c>
      <x:c r="C1199" s="3" t="n">
        <x:v>20</x:v>
      </x:c>
      <x:c r="D1199" s="3" t="n">
        <x:v>3</x:v>
      </x:c>
      <x:c r="E1199" s="3" t="n">
        <x:v>4</x:v>
      </x:c>
      <x:c r="F1199" s="3" t="n">
        <x:v>2</x:v>
      </x:c>
    </x:row>
    <x:row r="1200" ht="21" customHeight="1">
      <x:c r="A1200" s="3" t="n">
        <x:v>36</x:v>
      </x:c>
      <x:c r="B1200" s="3" t="n">
        <x:v>16</x:v>
      </x:c>
      <x:c r="C1200" s="3" t="n">
        <x:v>21</x:v>
      </x:c>
      <x:c r="D1200" s="3" t="n">
        <x:v>3</x:v>
      </x:c>
      <x:c r="E1200" s="3" t="n">
        <x:v>4</x:v>
      </x:c>
      <x:c r="F1200" s="3" t="n">
        <x:v>2</x:v>
      </x:c>
    </x:row>
    <x:row r="1201" ht="21" customHeight="1">
      <x:c r="A1201" s="3" t="n">
        <x:v>36</x:v>
      </x:c>
      <x:c r="B1201" s="3" t="n">
        <x:v>17</x:v>
      </x:c>
      <x:c r="C1201" s="3" t="n">
        <x:v>22</x:v>
      </x:c>
      <x:c r="D1201" s="3" t="n">
        <x:v>3</x:v>
      </x:c>
      <x:c r="E1201" s="3" t="n">
        <x:v>4</x:v>
      </x:c>
      <x:c r="F1201" s="3" t="n">
        <x:v>2</x:v>
      </x:c>
    </x:row>
    <x:row r="1202" ht="21" customHeight="1">
      <x:c r="A1202" s="3" t="n">
        <x:v>36</x:v>
      </x:c>
      <x:c r="B1202" s="3" t="n">
        <x:v>18</x:v>
      </x:c>
      <x:c r="C1202" s="3" t="n">
        <x:v>23</x:v>
      </x:c>
      <x:c r="D1202" s="3" t="n">
        <x:v>4</x:v>
      </x:c>
      <x:c r="E1202" s="3" t="n">
        <x:v>4</x:v>
      </x:c>
      <x:c r="F1202" s="3" t="n">
        <x:v>1</x:v>
      </x:c>
    </x:row>
    <x:row r="1203" ht="21" customHeight="1">
      <x:c r="A1203" s="3" t="n">
        <x:v>36</x:v>
      </x:c>
      <x:c r="B1203" s="3" t="n">
        <x:v>19</x:v>
      </x:c>
      <x:c r="C1203" s="3" t="n">
        <x:v>24</x:v>
      </x:c>
      <x:c r="D1203" s="3" t="n">
        <x:v>4</x:v>
      </x:c>
      <x:c r="E1203" s="3" t="n">
        <x:v>4</x:v>
      </x:c>
      <x:c r="F1203" s="3" t="n">
        <x:v>1</x:v>
      </x:c>
    </x:row>
    <x:row r="1204" ht="21" customHeight="1">
      <x:c r="A1204" s="3" t="n">
        <x:v>36</x:v>
      </x:c>
      <x:c r="B1204" s="3" t="n">
        <x:v>20</x:v>
      </x:c>
      <x:c r="C1204" s="3" t="n">
        <x:v>25</x:v>
      </x:c>
      <x:c r="D1204" s="3" t="n">
        <x:v>4</x:v>
      </x:c>
      <x:c r="E1204" s="3" t="n">
        <x:v>5</x:v>
      </x:c>
      <x:c r="F1204" s="3" t="n">
        <x:v>2</x:v>
      </x:c>
    </x:row>
    <x:row r="1205" ht="21" customHeight="1">
      <x:c r="A1205" s="3" t="n">
        <x:v>36</x:v>
      </x:c>
      <x:c r="B1205" s="3" t="n">
        <x:v>21</x:v>
      </x:c>
      <x:c r="C1205" s="3" t="n">
        <x:v>26</x:v>
      </x:c>
      <x:c r="D1205" s="3" t="n">
        <x:v>4</x:v>
      </x:c>
      <x:c r="E1205" s="3" t="n">
        <x:v>5</x:v>
      </x:c>
      <x:c r="F1205" s="3" t="n">
        <x:v>2</x:v>
      </x:c>
    </x:row>
    <x:row r="1206" ht="21" customHeight="1">
      <x:c r="A1206" s="3" t="n">
        <x:v>36</x:v>
      </x:c>
      <x:c r="B1206" s="3" t="n">
        <x:v>22</x:v>
      </x:c>
      <x:c r="C1206" s="3" t="n">
        <x:v>27</x:v>
      </x:c>
      <x:c r="D1206" s="3" t="n">
        <x:v>4</x:v>
      </x:c>
      <x:c r="E1206" s="3" t="n">
        <x:v>5</x:v>
      </x:c>
      <x:c r="F1206" s="3" t="n">
        <x:v>2</x:v>
      </x:c>
    </x:row>
    <x:row r="1207" ht="21" customHeight="1">
      <x:c r="A1207" s="3" t="n">
        <x:v>36</x:v>
      </x:c>
      <x:c r="B1207" s="3" t="n">
        <x:v>23</x:v>
      </x:c>
      <x:c r="C1207" s="3" t="n">
        <x:v>28</x:v>
      </x:c>
      <x:c r="D1207" s="3" t="n">
        <x:v>4</x:v>
      </x:c>
      <x:c r="E1207" s="3" t="n">
        <x:v>5</x:v>
      </x:c>
      <x:c r="F1207" s="3" t="n">
        <x:v>2</x:v>
      </x:c>
    </x:row>
    <x:row r="1208" ht="21" customHeight="1">
      <x:c r="A1208" s="3" t="n">
        <x:v>36</x:v>
      </x:c>
      <x:c r="B1208" s="3" t="n">
        <x:v>24</x:v>
      </x:c>
      <x:c r="C1208" s="3" t="n">
        <x:v>29</x:v>
      </x:c>
      <x:c r="D1208" s="3" t="n">
        <x:v>5</x:v>
      </x:c>
      <x:c r="E1208" s="3" t="n">
        <x:v>5</x:v>
      </x:c>
      <x:c r="F1208" s="3" t="n">
        <x:v>1</x:v>
      </x:c>
    </x:row>
    <x:row r="1209" ht="21" customHeight="1">
      <x:c r="A1209" s="3" t="n">
        <x:v>36</x:v>
      </x:c>
      <x:c r="B1209" s="3" t="n">
        <x:v>25</x:v>
      </x:c>
      <x:c r="C1209" s="3" t="n">
        <x:v>30</x:v>
      </x:c>
      <x:c r="D1209" s="3" t="n">
        <x:v>5</x:v>
      </x:c>
      <x:c r="E1209" s="3" t="n">
        <x:v>5</x:v>
      </x:c>
      <x:c r="F1209" s="3" t="n">
        <x:v>1</x:v>
      </x:c>
    </x:row>
    <x:row r="1210" ht="21" customHeight="1">
      <x:c r="A1210" s="3" t="n">
        <x:v>36</x:v>
      </x:c>
      <x:c r="B1210" s="3" t="n">
        <x:v>26</x:v>
      </x:c>
      <x:c r="C1210" s="3" t="n">
        <x:v>31</x:v>
      </x:c>
      <x:c r="D1210" s="3" t="n">
        <x:v>5</x:v>
      </x:c>
      <x:c r="E1210" s="3" t="n">
        <x:v>6</x:v>
      </x:c>
      <x:c r="F1210" s="3" t="n">
        <x:v>2</x:v>
      </x:c>
    </x:row>
    <x:row r="1211" ht="21" customHeight="1">
      <x:c r="A1211" s="3" t="n">
        <x:v>36</x:v>
      </x:c>
      <x:c r="B1211" s="3" t="n">
        <x:v>27</x:v>
      </x:c>
      <x:c r="C1211" s="3" t="n">
        <x:v>32</x:v>
      </x:c>
      <x:c r="D1211" s="3" t="n">
        <x:v>5</x:v>
      </x:c>
      <x:c r="E1211" s="3" t="n">
        <x:v>6</x:v>
      </x:c>
      <x:c r="F1211" s="3" t="n">
        <x:v>2</x:v>
      </x:c>
    </x:row>
    <x:row r="1212" ht="21" customHeight="1">
      <x:c r="A1212" s="3" t="n">
        <x:v>36</x:v>
      </x:c>
      <x:c r="B1212" s="3" t="n">
        <x:v>28</x:v>
      </x:c>
      <x:c r="C1212" s="3" t="n">
        <x:v>33</x:v>
      </x:c>
      <x:c r="D1212" s="3" t="n">
        <x:v>5</x:v>
      </x:c>
      <x:c r="E1212" s="3" t="n">
        <x:v>6</x:v>
      </x:c>
      <x:c r="F1212" s="3" t="n">
        <x:v>2</x:v>
      </x:c>
    </x:row>
    <x:row r="1213" ht="21" customHeight="1">
      <x:c r="A1213" s="3" t="n">
        <x:v>36</x:v>
      </x:c>
      <x:c r="B1213" s="3" t="n">
        <x:v>29</x:v>
      </x:c>
      <x:c r="C1213" s="3" t="n">
        <x:v>34</x:v>
      </x:c>
      <x:c r="D1213" s="3" t="n">
        <x:v>5</x:v>
      </x:c>
      <x:c r="E1213" s="3" t="n">
        <x:v>6</x:v>
      </x:c>
      <x:c r="F1213" s="3" t="n">
        <x:v>2</x:v>
      </x:c>
    </x:row>
    <x:row r="1214" ht="21" customHeight="1">
      <x:c r="A1214" s="3" t="n">
        <x:v>36</x:v>
      </x:c>
      <x:c r="B1214" s="3" t="n">
        <x:v>30</x:v>
      </x:c>
      <x:c r="C1214" s="3" t="n">
        <x:v>35</x:v>
      </x:c>
      <x:c r="D1214" s="3" t="n">
        <x:v>6</x:v>
      </x:c>
      <x:c r="E1214" s="3" t="n">
        <x:v>6</x:v>
      </x:c>
      <x:c r="F1214" s="3" t="n">
        <x:v>1</x:v>
      </x:c>
    </x:row>
    <x:row r="1215" ht="21" customHeight="1">
      <x:c r="A1215" s="3" t="n">
        <x:v>36</x:v>
      </x:c>
      <x:c r="B1215" s="3" t="n">
        <x:v>31</x:v>
      </x:c>
      <x:c r="C1215" s="3" t="n">
        <x:v>36</x:v>
      </x:c>
      <x:c r="D1215" s="3" t="n">
        <x:v>6</x:v>
      </x:c>
      <x:c r="E1215" s="3" t="n">
        <x:v>6</x:v>
      </x:c>
      <x:c r="F1215" s="3" t="n">
        <x:v>1</x:v>
      </x:c>
    </x:row>
    <x:row r="1216" ht="21" customHeight="1">
      <x:c r="A1216" s="3" t="n">
        <x:v>37</x:v>
      </x:c>
      <x:c r="B1216" s="3" t="n">
        <x:v>0</x:v>
      </x:c>
      <x:c r="C1216" s="3" t="n">
        <x:v>2</x:v>
      </x:c>
      <x:c r="D1216" s="3" t="n">
        <x:v>1</x:v>
      </x:c>
      <x:c r="E1216" s="3" t="n">
        <x:v>1</x:v>
      </x:c>
      <x:c r="F1216" s="3" t="n">
        <x:v>1</x:v>
      </x:c>
    </x:row>
    <x:row r="1217" ht="21" customHeight="1">
      <x:c r="A1217" s="3" t="n">
        <x:v>37</x:v>
      </x:c>
      <x:c r="B1217" s="3" t="n">
        <x:v>1</x:v>
      </x:c>
      <x:c r="C1217" s="3" t="n">
        <x:v>3</x:v>
      </x:c>
      <x:c r="D1217" s="3" t="n">
        <x:v>1</x:v>
      </x:c>
      <x:c r="E1217" s="3" t="n">
        <x:v>1</x:v>
      </x:c>
      <x:c r="F1217" s="3" t="n">
        <x:v>1</x:v>
      </x:c>
    </x:row>
    <x:row r="1218" ht="21" customHeight="1">
      <x:c r="A1218" s="3" t="n">
        <x:v>37</x:v>
      </x:c>
      <x:c r="B1218" s="3" t="n">
        <x:v>2</x:v>
      </x:c>
      <x:c r="C1218" s="3" t="n">
        <x:v>4</x:v>
      </x:c>
      <x:c r="D1218" s="3" t="n">
        <x:v>1</x:v>
      </x:c>
      <x:c r="E1218" s="3" t="n">
        <x:v>1</x:v>
      </x:c>
      <x:c r="F1218" s="3" t="n">
        <x:v>1</x:v>
      </x:c>
    </x:row>
    <x:row r="1219" ht="21" customHeight="1">
      <x:c r="A1219" s="3" t="n">
        <x:v>37</x:v>
      </x:c>
      <x:c r="B1219" s="3" t="n">
        <x:v>3</x:v>
      </x:c>
      <x:c r="C1219" s="3" t="n">
        <x:v>5</x:v>
      </x:c>
      <x:c r="D1219" s="3" t="n">
        <x:v>1</x:v>
      </x:c>
      <x:c r="E1219" s="3" t="n">
        <x:v>1</x:v>
      </x:c>
      <x:c r="F1219" s="3" t="n">
        <x:v>1</x:v>
      </x:c>
    </x:row>
    <x:row r="1220" ht="21" customHeight="1">
      <x:c r="A1220" s="3" t="n">
        <x:v>37</x:v>
      </x:c>
      <x:c r="B1220" s="3" t="n">
        <x:v>4</x:v>
      </x:c>
      <x:c r="C1220" s="3" t="n">
        <x:v>6</x:v>
      </x:c>
      <x:c r="D1220" s="3" t="n">
        <x:v>1</x:v>
      </x:c>
      <x:c r="E1220" s="3" t="n">
        <x:v>1</x:v>
      </x:c>
      <x:c r="F1220" s="3" t="n">
        <x:v>1</x:v>
      </x:c>
    </x:row>
    <x:row r="1221" ht="21" customHeight="1">
      <x:c r="A1221" s="3" t="n">
        <x:v>37</x:v>
      </x:c>
      <x:c r="B1221" s="3" t="n">
        <x:v>5</x:v>
      </x:c>
      <x:c r="C1221" s="3" t="n">
        <x:v>7</x:v>
      </x:c>
      <x:c r="D1221" s="3" t="n">
        <x:v>1</x:v>
      </x:c>
      <x:c r="E1221" s="3" t="n">
        <x:v>2</x:v>
      </x:c>
      <x:c r="F1221" s="3" t="n">
        <x:v>2</x:v>
      </x:c>
    </x:row>
    <x:row r="1222" ht="21" customHeight="1">
      <x:c r="A1222" s="3" t="n">
        <x:v>37</x:v>
      </x:c>
      <x:c r="B1222" s="3" t="n">
        <x:v>6</x:v>
      </x:c>
      <x:c r="C1222" s="3" t="n">
        <x:v>8</x:v>
      </x:c>
      <x:c r="D1222" s="3" t="n">
        <x:v>2</x:v>
      </x:c>
      <x:c r="E1222" s="3" t="n">
        <x:v>2</x:v>
      </x:c>
      <x:c r="F1222" s="3" t="n">
        <x:v>1</x:v>
      </x:c>
    </x:row>
    <x:row r="1223" ht="21" customHeight="1">
      <x:c r="A1223" s="3" t="n">
        <x:v>37</x:v>
      </x:c>
      <x:c r="B1223" s="3" t="n">
        <x:v>7</x:v>
      </x:c>
      <x:c r="C1223" s="3" t="n">
        <x:v>9</x:v>
      </x:c>
      <x:c r="D1223" s="3" t="n">
        <x:v>2</x:v>
      </x:c>
      <x:c r="E1223" s="3" t="n">
        <x:v>2</x:v>
      </x:c>
      <x:c r="F1223" s="3" t="n">
        <x:v>1</x:v>
      </x:c>
    </x:row>
    <x:row r="1224" ht="21" customHeight="1">
      <x:c r="A1224" s="3" t="n">
        <x:v>37</x:v>
      </x:c>
      <x:c r="B1224" s="3" t="n">
        <x:v>8</x:v>
      </x:c>
      <x:c r="C1224" s="3" t="n">
        <x:v>10</x:v>
      </x:c>
      <x:c r="D1224" s="3" t="n">
        <x:v>2</x:v>
      </x:c>
      <x:c r="E1224" s="3" t="n">
        <x:v>2</x:v>
      </x:c>
      <x:c r="F1224" s="3" t="n">
        <x:v>1</x:v>
      </x:c>
    </x:row>
    <x:row r="1225" ht="21" customHeight="1">
      <x:c r="A1225" s="3" t="n">
        <x:v>37</x:v>
      </x:c>
      <x:c r="B1225" s="3" t="n">
        <x:v>9</x:v>
      </x:c>
      <x:c r="C1225" s="3" t="n">
        <x:v>11</x:v>
      </x:c>
      <x:c r="D1225" s="3" t="n">
        <x:v>2</x:v>
      </x:c>
      <x:c r="E1225" s="3" t="n">
        <x:v>2</x:v>
      </x:c>
      <x:c r="F1225" s="3" t="n">
        <x:v>1</x:v>
      </x:c>
    </x:row>
    <x:row r="1226" ht="21" customHeight="1">
      <x:c r="A1226" s="3" t="n">
        <x:v>37</x:v>
      </x:c>
      <x:c r="B1226" s="3" t="n">
        <x:v>10</x:v>
      </x:c>
      <x:c r="C1226" s="3" t="n">
        <x:v>12</x:v>
      </x:c>
      <x:c r="D1226" s="3" t="n">
        <x:v>2</x:v>
      </x:c>
      <x:c r="E1226" s="3" t="n">
        <x:v>2</x:v>
      </x:c>
      <x:c r="F1226" s="3" t="n">
        <x:v>1</x:v>
      </x:c>
    </x:row>
    <x:row r="1227" ht="21" customHeight="1">
      <x:c r="A1227" s="3" t="n">
        <x:v>37</x:v>
      </x:c>
      <x:c r="B1227" s="3" t="n">
        <x:v>11</x:v>
      </x:c>
      <x:c r="C1227" s="3" t="n">
        <x:v>13</x:v>
      </x:c>
      <x:c r="D1227" s="3" t="n">
        <x:v>2</x:v>
      </x:c>
      <x:c r="E1227" s="3" t="n">
        <x:v>3</x:v>
      </x:c>
      <x:c r="F1227" s="3" t="n">
        <x:v>2</x:v>
      </x:c>
    </x:row>
    <x:row r="1228" ht="21" customHeight="1">
      <x:c r="A1228" s="3" t="n">
        <x:v>37</x:v>
      </x:c>
      <x:c r="B1228" s="3" t="n">
        <x:v>12</x:v>
      </x:c>
      <x:c r="C1228" s="3" t="n">
        <x:v>14</x:v>
      </x:c>
      <x:c r="D1228" s="3" t="n">
        <x:v>3</x:v>
      </x:c>
      <x:c r="E1228" s="3" t="n">
        <x:v>3</x:v>
      </x:c>
      <x:c r="F1228" s="3" t="n">
        <x:v>1</x:v>
      </x:c>
    </x:row>
    <x:row r="1229" ht="21" customHeight="1">
      <x:c r="A1229" s="3" t="n">
        <x:v>37</x:v>
      </x:c>
      <x:c r="B1229" s="3" t="n">
        <x:v>13</x:v>
      </x:c>
      <x:c r="C1229" s="3" t="n">
        <x:v>15</x:v>
      </x:c>
      <x:c r="D1229" s="3" t="n">
        <x:v>3</x:v>
      </x:c>
      <x:c r="E1229" s="3" t="n">
        <x:v>3</x:v>
      </x:c>
      <x:c r="F1229" s="3" t="n">
        <x:v>1</x:v>
      </x:c>
    </x:row>
    <x:row r="1230" ht="21" customHeight="1">
      <x:c r="A1230" s="3" t="n">
        <x:v>37</x:v>
      </x:c>
      <x:c r="B1230" s="3" t="n">
        <x:v>14</x:v>
      </x:c>
      <x:c r="C1230" s="3" t="n">
        <x:v>16</x:v>
      </x:c>
      <x:c r="D1230" s="3" t="n">
        <x:v>3</x:v>
      </x:c>
      <x:c r="E1230" s="3" t="n">
        <x:v>3</x:v>
      </x:c>
      <x:c r="F1230" s="3" t="n">
        <x:v>1</x:v>
      </x:c>
    </x:row>
    <x:row r="1231" ht="21" customHeight="1">
      <x:c r="A1231" s="3" t="n">
        <x:v>37</x:v>
      </x:c>
      <x:c r="B1231" s="3" t="n">
        <x:v>15</x:v>
      </x:c>
      <x:c r="C1231" s="3" t="n">
        <x:v>17</x:v>
      </x:c>
      <x:c r="D1231" s="3" t="n">
        <x:v>3</x:v>
      </x:c>
      <x:c r="E1231" s="3" t="n">
        <x:v>3</x:v>
      </x:c>
      <x:c r="F1231" s="3" t="n">
        <x:v>1</x:v>
      </x:c>
    </x:row>
    <x:row r="1232" ht="21" customHeight="1">
      <x:c r="A1232" s="3" t="n">
        <x:v>37</x:v>
      </x:c>
      <x:c r="B1232" s="3" t="n">
        <x:v>16</x:v>
      </x:c>
      <x:c r="C1232" s="3" t="n">
        <x:v>18</x:v>
      </x:c>
      <x:c r="D1232" s="3" t="n">
        <x:v>3</x:v>
      </x:c>
      <x:c r="E1232" s="3" t="n">
        <x:v>3</x:v>
      </x:c>
      <x:c r="F1232" s="3" t="n">
        <x:v>1</x:v>
      </x:c>
    </x:row>
    <x:row r="1233" ht="21" customHeight="1">
      <x:c r="A1233" s="3" t="n">
        <x:v>37</x:v>
      </x:c>
      <x:c r="B1233" s="3" t="n">
        <x:v>17</x:v>
      </x:c>
      <x:c r="C1233" s="3" t="n">
        <x:v>19</x:v>
      </x:c>
      <x:c r="D1233" s="3" t="n">
        <x:v>3</x:v>
      </x:c>
      <x:c r="E1233" s="3" t="n">
        <x:v>4</x:v>
      </x:c>
      <x:c r="F1233" s="3" t="n">
        <x:v>2</x:v>
      </x:c>
    </x:row>
    <x:row r="1234" ht="21" customHeight="1">
      <x:c r="A1234" s="3" t="n">
        <x:v>37</x:v>
      </x:c>
      <x:c r="B1234" s="3" t="n">
        <x:v>18</x:v>
      </x:c>
      <x:c r="C1234" s="3" t="n">
        <x:v>20</x:v>
      </x:c>
      <x:c r="D1234" s="3" t="n">
        <x:v>4</x:v>
      </x:c>
      <x:c r="E1234" s="3" t="n">
        <x:v>4</x:v>
      </x:c>
      <x:c r="F1234" s="3" t="n">
        <x:v>1</x:v>
      </x:c>
    </x:row>
    <x:row r="1235" ht="21" customHeight="1">
      <x:c r="A1235" s="3" t="n">
        <x:v>37</x:v>
      </x:c>
      <x:c r="B1235" s="3" t="n">
        <x:v>19</x:v>
      </x:c>
      <x:c r="C1235" s="3" t="n">
        <x:v>21</x:v>
      </x:c>
      <x:c r="D1235" s="3" t="n">
        <x:v>4</x:v>
      </x:c>
      <x:c r="E1235" s="3" t="n">
        <x:v>4</x:v>
      </x:c>
      <x:c r="F1235" s="3" t="n">
        <x:v>1</x:v>
      </x:c>
    </x:row>
    <x:row r="1236" ht="21" customHeight="1">
      <x:c r="A1236" s="3" t="n">
        <x:v>37</x:v>
      </x:c>
      <x:c r="B1236" s="3" t="n">
        <x:v>20</x:v>
      </x:c>
      <x:c r="C1236" s="3" t="n">
        <x:v>22</x:v>
      </x:c>
      <x:c r="D1236" s="3" t="n">
        <x:v>4</x:v>
      </x:c>
      <x:c r="E1236" s="3" t="n">
        <x:v>4</x:v>
      </x:c>
      <x:c r="F1236" s="3" t="n">
        <x:v>1</x:v>
      </x:c>
    </x:row>
    <x:row r="1237" ht="21" customHeight="1">
      <x:c r="A1237" s="3" t="n">
        <x:v>37</x:v>
      </x:c>
      <x:c r="B1237" s="3" t="n">
        <x:v>21</x:v>
      </x:c>
      <x:c r="C1237" s="3" t="n">
        <x:v>23</x:v>
      </x:c>
      <x:c r="D1237" s="3" t="n">
        <x:v>4</x:v>
      </x:c>
      <x:c r="E1237" s="3" t="n">
        <x:v>4</x:v>
      </x:c>
      <x:c r="F1237" s="3" t="n">
        <x:v>1</x:v>
      </x:c>
    </x:row>
    <x:row r="1238" ht="21" customHeight="1">
      <x:c r="A1238" s="3" t="n">
        <x:v>37</x:v>
      </x:c>
      <x:c r="B1238" s="3" t="n">
        <x:v>22</x:v>
      </x:c>
      <x:c r="C1238" s="3" t="n">
        <x:v>24</x:v>
      </x:c>
      <x:c r="D1238" s="3" t="n">
        <x:v>4</x:v>
      </x:c>
      <x:c r="E1238" s="3" t="n">
        <x:v>4</x:v>
      </x:c>
      <x:c r="F1238" s="3" t="n">
        <x:v>1</x:v>
      </x:c>
    </x:row>
    <x:row r="1239" ht="21" customHeight="1">
      <x:c r="A1239" s="3" t="n">
        <x:v>37</x:v>
      </x:c>
      <x:c r="B1239" s="3" t="n">
        <x:v>23</x:v>
      </x:c>
      <x:c r="C1239" s="3" t="n">
        <x:v>25</x:v>
      </x:c>
      <x:c r="D1239" s="3" t="n">
        <x:v>4</x:v>
      </x:c>
      <x:c r="E1239" s="3" t="n">
        <x:v>5</x:v>
      </x:c>
      <x:c r="F1239" s="3" t="n">
        <x:v>2</x:v>
      </x:c>
    </x:row>
    <x:row r="1240" ht="21" customHeight="1">
      <x:c r="A1240" s="3" t="n">
        <x:v>37</x:v>
      </x:c>
      <x:c r="B1240" s="3" t="n">
        <x:v>24</x:v>
      </x:c>
      <x:c r="C1240" s="3" t="n">
        <x:v>26</x:v>
      </x:c>
      <x:c r="D1240" s="3" t="n">
        <x:v>5</x:v>
      </x:c>
      <x:c r="E1240" s="3" t="n">
        <x:v>5</x:v>
      </x:c>
      <x:c r="F1240" s="3" t="n">
        <x:v>1</x:v>
      </x:c>
    </x:row>
    <x:row r="1241" ht="21" customHeight="1">
      <x:c r="A1241" s="3" t="n">
        <x:v>37</x:v>
      </x:c>
      <x:c r="B1241" s="3" t="n">
        <x:v>25</x:v>
      </x:c>
      <x:c r="C1241" s="3" t="n">
        <x:v>27</x:v>
      </x:c>
      <x:c r="D1241" s="3" t="n">
        <x:v>5</x:v>
      </x:c>
      <x:c r="E1241" s="3" t="n">
        <x:v>5</x:v>
      </x:c>
      <x:c r="F1241" s="3" t="n">
        <x:v>1</x:v>
      </x:c>
    </x:row>
    <x:row r="1242" ht="21" customHeight="1">
      <x:c r="A1242" s="3" t="n">
        <x:v>37</x:v>
      </x:c>
      <x:c r="B1242" s="3" t="n">
        <x:v>26</x:v>
      </x:c>
      <x:c r="C1242" s="3" t="n">
        <x:v>28</x:v>
      </x:c>
      <x:c r="D1242" s="3" t="n">
        <x:v>5</x:v>
      </x:c>
      <x:c r="E1242" s="3" t="n">
        <x:v>5</x:v>
      </x:c>
      <x:c r="F1242" s="3" t="n">
        <x:v>1</x:v>
      </x:c>
    </x:row>
    <x:row r="1243" ht="21" customHeight="1">
      <x:c r="A1243" s="3" t="n">
        <x:v>37</x:v>
      </x:c>
      <x:c r="B1243" s="3" t="n">
        <x:v>27</x:v>
      </x:c>
      <x:c r="C1243" s="3" t="n">
        <x:v>29</x:v>
      </x:c>
      <x:c r="D1243" s="3" t="n">
        <x:v>5</x:v>
      </x:c>
      <x:c r="E1243" s="3" t="n">
        <x:v>5</x:v>
      </x:c>
      <x:c r="F1243" s="3" t="n">
        <x:v>1</x:v>
      </x:c>
    </x:row>
    <x:row r="1244" ht="21" customHeight="1">
      <x:c r="A1244" s="3" t="n">
        <x:v>37</x:v>
      </x:c>
      <x:c r="B1244" s="3" t="n">
        <x:v>28</x:v>
      </x:c>
      <x:c r="C1244" s="3" t="n">
        <x:v>30</x:v>
      </x:c>
      <x:c r="D1244" s="3" t="n">
        <x:v>5</x:v>
      </x:c>
      <x:c r="E1244" s="3" t="n">
        <x:v>5</x:v>
      </x:c>
      <x:c r="F1244" s="3" t="n">
        <x:v>1</x:v>
      </x:c>
    </x:row>
    <x:row r="1245" ht="21" customHeight="1">
      <x:c r="A1245" s="3" t="n">
        <x:v>37</x:v>
      </x:c>
      <x:c r="B1245" s="3" t="n">
        <x:v>29</x:v>
      </x:c>
      <x:c r="C1245" s="3" t="n">
        <x:v>31</x:v>
      </x:c>
      <x:c r="D1245" s="3" t="n">
        <x:v>5</x:v>
      </x:c>
      <x:c r="E1245" s="3" t="n">
        <x:v>6</x:v>
      </x:c>
      <x:c r="F1245" s="3" t="n">
        <x:v>2</x:v>
      </x:c>
    </x:row>
    <x:row r="1246" ht="21" customHeight="1">
      <x:c r="A1246" s="3" t="n">
        <x:v>37</x:v>
      </x:c>
      <x:c r="B1246" s="3" t="n">
        <x:v>30</x:v>
      </x:c>
      <x:c r="C1246" s="3" t="n">
        <x:v>32</x:v>
      </x:c>
      <x:c r="D1246" s="3" t="n">
        <x:v>6</x:v>
      </x:c>
      <x:c r="E1246" s="3" t="n">
        <x:v>6</x:v>
      </x:c>
      <x:c r="F1246" s="3" t="n">
        <x:v>1</x:v>
      </x:c>
    </x:row>
    <x:row r="1247" ht="21" customHeight="1">
      <x:c r="A1247" s="3" t="n">
        <x:v>37</x:v>
      </x:c>
      <x:c r="B1247" s="3" t="n">
        <x:v>31</x:v>
      </x:c>
      <x:c r="C1247" s="3" t="n">
        <x:v>33</x:v>
      </x:c>
      <x:c r="D1247" s="3" t="n">
        <x:v>6</x:v>
      </x:c>
      <x:c r="E1247" s="3" t="n">
        <x:v>6</x:v>
      </x:c>
      <x:c r="F1247" s="3" t="n">
        <x:v>1</x:v>
      </x:c>
    </x:row>
    <x:row r="1248" ht="21" customHeight="1">
      <x:c r="A1248" s="3" t="n">
        <x:v>37</x:v>
      </x:c>
      <x:c r="B1248" s="3" t="n">
        <x:v>32</x:v>
      </x:c>
      <x:c r="C1248" s="3" t="n">
        <x:v>34</x:v>
      </x:c>
      <x:c r="D1248" s="3" t="n">
        <x:v>6</x:v>
      </x:c>
      <x:c r="E1248" s="3" t="n">
        <x:v>6</x:v>
      </x:c>
      <x:c r="F1248" s="3" t="n">
        <x:v>1</x:v>
      </x:c>
    </x:row>
    <x:row r="1249" ht="21" customHeight="1">
      <x:c r="A1249" s="3" t="n">
        <x:v>37</x:v>
      </x:c>
      <x:c r="B1249" s="3" t="n">
        <x:v>33</x:v>
      </x:c>
      <x:c r="C1249" s="3" t="n">
        <x:v>35</x:v>
      </x:c>
      <x:c r="D1249" s="3" t="n">
        <x:v>6</x:v>
      </x:c>
      <x:c r="E1249" s="3" t="n">
        <x:v>6</x:v>
      </x:c>
      <x:c r="F1249" s="3" t="n">
        <x:v>1</x:v>
      </x:c>
    </x:row>
    <x:row r="1250" ht="21" customHeight="1">
      <x:c r="A1250" s="3" t="n">
        <x:v>37</x:v>
      </x:c>
      <x:c r="B1250" s="3" t="n">
        <x:v>34</x:v>
      </x:c>
      <x:c r="C1250" s="3" t="n">
        <x:v>36</x:v>
      </x:c>
      <x:c r="D1250" s="3" t="n">
        <x:v>6</x:v>
      </x:c>
      <x:c r="E1250" s="3" t="n">
        <x:v>6</x:v>
      </x:c>
      <x:c r="F1250" s="3" t="n">
        <x:v>1</x:v>
      </x:c>
    </x:row>
    <x:row r="1251" ht="21" customHeight="1">
      <x:c r="A1251" s="3" t="n">
        <x:v>38</x:v>
      </x:c>
      <x:c r="B1251" s="3" t="n">
        <x:v>0</x:v>
      </x:c>
      <x:c r="C1251" s="3" t="n">
        <x:v>2</x:v>
      </x:c>
      <x:c r="D1251" s="3" t="n">
        <x:v>1</x:v>
      </x:c>
      <x:c r="E1251" s="3" t="n">
        <x:v>1</x:v>
      </x:c>
      <x:c r="F1251" s="3" t="n">
        <x:v>1</x:v>
      </x:c>
    </x:row>
    <x:row r="1252" ht="21" customHeight="1">
      <x:c r="A1252" s="3" t="n">
        <x:v>38</x:v>
      </x:c>
      <x:c r="B1252" s="3" t="n">
        <x:v>1</x:v>
      </x:c>
      <x:c r="C1252" s="3" t="n">
        <x:v>3</x:v>
      </x:c>
      <x:c r="D1252" s="3" t="n">
        <x:v>1</x:v>
      </x:c>
      <x:c r="E1252" s="3" t="n">
        <x:v>1</x:v>
      </x:c>
      <x:c r="F1252" s="3" t="n">
        <x:v>1</x:v>
      </x:c>
    </x:row>
    <x:row r="1253" ht="21" customHeight="1">
      <x:c r="A1253" s="3" t="n">
        <x:v>38</x:v>
      </x:c>
      <x:c r="B1253" s="3" t="n">
        <x:v>2</x:v>
      </x:c>
      <x:c r="C1253" s="3" t="n">
        <x:v>4</x:v>
      </x:c>
      <x:c r="D1253" s="3" t="n">
        <x:v>1</x:v>
      </x:c>
      <x:c r="E1253" s="3" t="n">
        <x:v>1</x:v>
      </x:c>
      <x:c r="F1253" s="3" t="n">
        <x:v>1</x:v>
      </x:c>
    </x:row>
    <x:row r="1254" ht="21" customHeight="1">
      <x:c r="A1254" s="3" t="n">
        <x:v>38</x:v>
      </x:c>
      <x:c r="B1254" s="3" t="n">
        <x:v>3</x:v>
      </x:c>
      <x:c r="C1254" s="3" t="n">
        <x:v>5</x:v>
      </x:c>
      <x:c r="D1254" s="3" t="n">
        <x:v>1</x:v>
      </x:c>
      <x:c r="E1254" s="3" t="n">
        <x:v>1</x:v>
      </x:c>
      <x:c r="F1254" s="3" t="n">
        <x:v>1</x:v>
      </x:c>
    </x:row>
    <x:row r="1255" ht="21" customHeight="1">
      <x:c r="A1255" s="3" t="n">
        <x:v>38</x:v>
      </x:c>
      <x:c r="B1255" s="3" t="n">
        <x:v>4</x:v>
      </x:c>
      <x:c r="C1255" s="3" t="n">
        <x:v>6</x:v>
      </x:c>
      <x:c r="D1255" s="3" t="n">
        <x:v>1</x:v>
      </x:c>
      <x:c r="E1255" s="3" t="n">
        <x:v>1</x:v>
      </x:c>
      <x:c r="F1255" s="3" t="n">
        <x:v>1</x:v>
      </x:c>
    </x:row>
    <x:row r="1256" ht="21" customHeight="1">
      <x:c r="A1256" s="3" t="n">
        <x:v>38</x:v>
      </x:c>
      <x:c r="B1256" s="3" t="n">
        <x:v>5</x:v>
      </x:c>
      <x:c r="C1256" s="3" t="n">
        <x:v>7</x:v>
      </x:c>
      <x:c r="D1256" s="3" t="n">
        <x:v>1</x:v>
      </x:c>
      <x:c r="E1256" s="3" t="n">
        <x:v>2</x:v>
      </x:c>
      <x:c r="F1256" s="3" t="n">
        <x:v>2</x:v>
      </x:c>
    </x:row>
    <x:row r="1257" ht="21" customHeight="1">
      <x:c r="A1257" s="3" t="n">
        <x:v>38</x:v>
      </x:c>
      <x:c r="B1257" s="3" t="n">
        <x:v>6</x:v>
      </x:c>
      <x:c r="C1257" s="3" t="n">
        <x:v>8</x:v>
      </x:c>
      <x:c r="D1257" s="3" t="n">
        <x:v>2</x:v>
      </x:c>
      <x:c r="E1257" s="3" t="n">
        <x:v>2</x:v>
      </x:c>
      <x:c r="F1257" s="3" t="n">
        <x:v>1</x:v>
      </x:c>
    </x:row>
    <x:row r="1258" ht="21" customHeight="1">
      <x:c r="A1258" s="3" t="n">
        <x:v>38</x:v>
      </x:c>
      <x:c r="B1258" s="3" t="n">
        <x:v>7</x:v>
      </x:c>
      <x:c r="C1258" s="3" t="n">
        <x:v>9</x:v>
      </x:c>
      <x:c r="D1258" s="3" t="n">
        <x:v>2</x:v>
      </x:c>
      <x:c r="E1258" s="3" t="n">
        <x:v>2</x:v>
      </x:c>
      <x:c r="F1258" s="3" t="n">
        <x:v>1</x:v>
      </x:c>
    </x:row>
    <x:row r="1259" ht="21" customHeight="1">
      <x:c r="A1259" s="3" t="n">
        <x:v>38</x:v>
      </x:c>
      <x:c r="B1259" s="3" t="n">
        <x:v>8</x:v>
      </x:c>
      <x:c r="C1259" s="3" t="n">
        <x:v>10</x:v>
      </x:c>
      <x:c r="D1259" s="3" t="n">
        <x:v>2</x:v>
      </x:c>
      <x:c r="E1259" s="3" t="n">
        <x:v>2</x:v>
      </x:c>
      <x:c r="F1259" s="3" t="n">
        <x:v>1</x:v>
      </x:c>
    </x:row>
    <x:row r="1260" ht="21" customHeight="1">
      <x:c r="A1260" s="3" t="n">
        <x:v>38</x:v>
      </x:c>
      <x:c r="B1260" s="3" t="n">
        <x:v>9</x:v>
      </x:c>
      <x:c r="C1260" s="3" t="n">
        <x:v>11</x:v>
      </x:c>
      <x:c r="D1260" s="3" t="n">
        <x:v>2</x:v>
      </x:c>
      <x:c r="E1260" s="3" t="n">
        <x:v>2</x:v>
      </x:c>
      <x:c r="F1260" s="3" t="n">
        <x:v>1</x:v>
      </x:c>
    </x:row>
    <x:row r="1261" ht="21" customHeight="1">
      <x:c r="A1261" s="3" t="n">
        <x:v>38</x:v>
      </x:c>
      <x:c r="B1261" s="3" t="n">
        <x:v>10</x:v>
      </x:c>
      <x:c r="C1261" s="3" t="n">
        <x:v>12</x:v>
      </x:c>
      <x:c r="D1261" s="3" t="n">
        <x:v>2</x:v>
      </x:c>
      <x:c r="E1261" s="3" t="n">
        <x:v>2</x:v>
      </x:c>
      <x:c r="F1261" s="3" t="n">
        <x:v>1</x:v>
      </x:c>
    </x:row>
    <x:row r="1262" ht="21" customHeight="1">
      <x:c r="A1262" s="3" t="n">
        <x:v>38</x:v>
      </x:c>
      <x:c r="B1262" s="3" t="n">
        <x:v>11</x:v>
      </x:c>
      <x:c r="C1262" s="3" t="n">
        <x:v>13</x:v>
      </x:c>
      <x:c r="D1262" s="3" t="n">
        <x:v>2</x:v>
      </x:c>
      <x:c r="E1262" s="3" t="n">
        <x:v>3</x:v>
      </x:c>
      <x:c r="F1262" s="3" t="n">
        <x:v>2</x:v>
      </x:c>
    </x:row>
    <x:row r="1263" ht="21" customHeight="1">
      <x:c r="A1263" s="3" t="n">
        <x:v>38</x:v>
      </x:c>
      <x:c r="B1263" s="3" t="n">
        <x:v>12</x:v>
      </x:c>
      <x:c r="C1263" s="3" t="n">
        <x:v>14</x:v>
      </x:c>
      <x:c r="D1263" s="3" t="n">
        <x:v>3</x:v>
      </x:c>
      <x:c r="E1263" s="3" t="n">
        <x:v>3</x:v>
      </x:c>
      <x:c r="F1263" s="3" t="n">
        <x:v>1</x:v>
      </x:c>
    </x:row>
    <x:row r="1264" ht="21" customHeight="1">
      <x:c r="A1264" s="3" t="n">
        <x:v>38</x:v>
      </x:c>
      <x:c r="B1264" s="3" t="n">
        <x:v>13</x:v>
      </x:c>
      <x:c r="C1264" s="3" t="n">
        <x:v>15</x:v>
      </x:c>
      <x:c r="D1264" s="3" t="n">
        <x:v>3</x:v>
      </x:c>
      <x:c r="E1264" s="3" t="n">
        <x:v>3</x:v>
      </x:c>
      <x:c r="F1264" s="3" t="n">
        <x:v>1</x:v>
      </x:c>
    </x:row>
    <x:row r="1265" ht="21" customHeight="1">
      <x:c r="A1265" s="3" t="n">
        <x:v>38</x:v>
      </x:c>
      <x:c r="B1265" s="3" t="n">
        <x:v>14</x:v>
      </x:c>
      <x:c r="C1265" s="3" t="n">
        <x:v>16</x:v>
      </x:c>
      <x:c r="D1265" s="3" t="n">
        <x:v>3</x:v>
      </x:c>
      <x:c r="E1265" s="3" t="n">
        <x:v>3</x:v>
      </x:c>
      <x:c r="F1265" s="3" t="n">
        <x:v>1</x:v>
      </x:c>
    </x:row>
    <x:row r="1266" ht="21" customHeight="1">
      <x:c r="A1266" s="3" t="n">
        <x:v>38</x:v>
      </x:c>
      <x:c r="B1266" s="3" t="n">
        <x:v>15</x:v>
      </x:c>
      <x:c r="C1266" s="3" t="n">
        <x:v>17</x:v>
      </x:c>
      <x:c r="D1266" s="3" t="n">
        <x:v>3</x:v>
      </x:c>
      <x:c r="E1266" s="3" t="n">
        <x:v>3</x:v>
      </x:c>
      <x:c r="F1266" s="3" t="n">
        <x:v>1</x:v>
      </x:c>
    </x:row>
    <x:row r="1267" ht="21" customHeight="1">
      <x:c r="A1267" s="3" t="n">
        <x:v>38</x:v>
      </x:c>
      <x:c r="B1267" s="3" t="n">
        <x:v>16</x:v>
      </x:c>
      <x:c r="C1267" s="3" t="n">
        <x:v>18</x:v>
      </x:c>
      <x:c r="D1267" s="3" t="n">
        <x:v>3</x:v>
      </x:c>
      <x:c r="E1267" s="3" t="n">
        <x:v>3</x:v>
      </x:c>
      <x:c r="F1267" s="3" t="n">
        <x:v>1</x:v>
      </x:c>
    </x:row>
    <x:row r="1268" ht="21" customHeight="1">
      <x:c r="A1268" s="3" t="n">
        <x:v>38</x:v>
      </x:c>
      <x:c r="B1268" s="3" t="n">
        <x:v>17</x:v>
      </x:c>
      <x:c r="C1268" s="3" t="n">
        <x:v>19</x:v>
      </x:c>
      <x:c r="D1268" s="3" t="n">
        <x:v>3</x:v>
      </x:c>
      <x:c r="E1268" s="3" t="n">
        <x:v>4</x:v>
      </x:c>
      <x:c r="F1268" s="3" t="n">
        <x:v>2</x:v>
      </x:c>
    </x:row>
    <x:row r="1269" ht="21" customHeight="1">
      <x:c r="A1269" s="3" t="n">
        <x:v>38</x:v>
      </x:c>
      <x:c r="B1269" s="3" t="n">
        <x:v>18</x:v>
      </x:c>
      <x:c r="C1269" s="3" t="n">
        <x:v>20</x:v>
      </x:c>
      <x:c r="D1269" s="3" t="n">
        <x:v>4</x:v>
      </x:c>
      <x:c r="E1269" s="3" t="n">
        <x:v>4</x:v>
      </x:c>
      <x:c r="F1269" s="3" t="n">
        <x:v>1</x:v>
      </x:c>
    </x:row>
    <x:row r="1270" ht="21" customHeight="1">
      <x:c r="A1270" s="3" t="n">
        <x:v>38</x:v>
      </x:c>
      <x:c r="B1270" s="3" t="n">
        <x:v>19</x:v>
      </x:c>
      <x:c r="C1270" s="3" t="n">
        <x:v>21</x:v>
      </x:c>
      <x:c r="D1270" s="3" t="n">
        <x:v>4</x:v>
      </x:c>
      <x:c r="E1270" s="3" t="n">
        <x:v>4</x:v>
      </x:c>
      <x:c r="F1270" s="3" t="n">
        <x:v>1</x:v>
      </x:c>
    </x:row>
    <x:row r="1271" ht="21" customHeight="1">
      <x:c r="A1271" s="3" t="n">
        <x:v>38</x:v>
      </x:c>
      <x:c r="B1271" s="3" t="n">
        <x:v>20</x:v>
      </x:c>
      <x:c r="C1271" s="3" t="n">
        <x:v>22</x:v>
      </x:c>
      <x:c r="D1271" s="3" t="n">
        <x:v>4</x:v>
      </x:c>
      <x:c r="E1271" s="3" t="n">
        <x:v>4</x:v>
      </x:c>
      <x:c r="F1271" s="3" t="n">
        <x:v>1</x:v>
      </x:c>
    </x:row>
    <x:row r="1272" ht="21" customHeight="1">
      <x:c r="A1272" s="3" t="n">
        <x:v>38</x:v>
      </x:c>
      <x:c r="B1272" s="3" t="n">
        <x:v>21</x:v>
      </x:c>
      <x:c r="C1272" s="3" t="n">
        <x:v>23</x:v>
      </x:c>
      <x:c r="D1272" s="3" t="n">
        <x:v>4</x:v>
      </x:c>
      <x:c r="E1272" s="3" t="n">
        <x:v>4</x:v>
      </x:c>
      <x:c r="F1272" s="3" t="n">
        <x:v>1</x:v>
      </x:c>
    </x:row>
    <x:row r="1273" ht="21" customHeight="1">
      <x:c r="A1273" s="3" t="n">
        <x:v>38</x:v>
      </x:c>
      <x:c r="B1273" s="3" t="n">
        <x:v>22</x:v>
      </x:c>
      <x:c r="C1273" s="3" t="n">
        <x:v>24</x:v>
      </x:c>
      <x:c r="D1273" s="3" t="n">
        <x:v>4</x:v>
      </x:c>
      <x:c r="E1273" s="3" t="n">
        <x:v>4</x:v>
      </x:c>
      <x:c r="F1273" s="3" t="n">
        <x:v>1</x:v>
      </x:c>
    </x:row>
    <x:row r="1274" ht="21" customHeight="1">
      <x:c r="A1274" s="3" t="n">
        <x:v>38</x:v>
      </x:c>
      <x:c r="B1274" s="3" t="n">
        <x:v>23</x:v>
      </x:c>
      <x:c r="C1274" s="3" t="n">
        <x:v>25</x:v>
      </x:c>
      <x:c r="D1274" s="3" t="n">
        <x:v>4</x:v>
      </x:c>
      <x:c r="E1274" s="3" t="n">
        <x:v>5</x:v>
      </x:c>
      <x:c r="F1274" s="3" t="n">
        <x:v>2</x:v>
      </x:c>
    </x:row>
    <x:row r="1275" ht="21" customHeight="1">
      <x:c r="A1275" s="3" t="n">
        <x:v>38</x:v>
      </x:c>
      <x:c r="B1275" s="3" t="n">
        <x:v>24</x:v>
      </x:c>
      <x:c r="C1275" s="3" t="n">
        <x:v>26</x:v>
      </x:c>
      <x:c r="D1275" s="3" t="n">
        <x:v>5</x:v>
      </x:c>
      <x:c r="E1275" s="3" t="n">
        <x:v>5</x:v>
      </x:c>
      <x:c r="F1275" s="3" t="n">
        <x:v>1</x:v>
      </x:c>
    </x:row>
    <x:row r="1276" ht="21" customHeight="1">
      <x:c r="A1276" s="3" t="n">
        <x:v>38</x:v>
      </x:c>
      <x:c r="B1276" s="3" t="n">
        <x:v>25</x:v>
      </x:c>
      <x:c r="C1276" s="3" t="n">
        <x:v>27</x:v>
      </x:c>
      <x:c r="D1276" s="3" t="n">
        <x:v>5</x:v>
      </x:c>
      <x:c r="E1276" s="3" t="n">
        <x:v>5</x:v>
      </x:c>
      <x:c r="F1276" s="3" t="n">
        <x:v>1</x:v>
      </x:c>
    </x:row>
    <x:row r="1277" ht="21" customHeight="1">
      <x:c r="A1277" s="3" t="n">
        <x:v>38</x:v>
      </x:c>
      <x:c r="B1277" s="3" t="n">
        <x:v>26</x:v>
      </x:c>
      <x:c r="C1277" s="3" t="n">
        <x:v>28</x:v>
      </x:c>
      <x:c r="D1277" s="3" t="n">
        <x:v>5</x:v>
      </x:c>
      <x:c r="E1277" s="3" t="n">
        <x:v>5</x:v>
      </x:c>
      <x:c r="F1277" s="3" t="n">
        <x:v>1</x:v>
      </x:c>
    </x:row>
    <x:row r="1278" ht="21" customHeight="1">
      <x:c r="A1278" s="3" t="n">
        <x:v>38</x:v>
      </x:c>
      <x:c r="B1278" s="3" t="n">
        <x:v>27</x:v>
      </x:c>
      <x:c r="C1278" s="3" t="n">
        <x:v>29</x:v>
      </x:c>
      <x:c r="D1278" s="3" t="n">
        <x:v>5</x:v>
      </x:c>
      <x:c r="E1278" s="3" t="n">
        <x:v>5</x:v>
      </x:c>
      <x:c r="F1278" s="3" t="n">
        <x:v>1</x:v>
      </x:c>
    </x:row>
    <x:row r="1279" ht="21" customHeight="1">
      <x:c r="A1279" s="3" t="n">
        <x:v>38</x:v>
      </x:c>
      <x:c r="B1279" s="3" t="n">
        <x:v>28</x:v>
      </x:c>
      <x:c r="C1279" s="3" t="n">
        <x:v>30</x:v>
      </x:c>
      <x:c r="D1279" s="3" t="n">
        <x:v>5</x:v>
      </x:c>
      <x:c r="E1279" s="3" t="n">
        <x:v>5</x:v>
      </x:c>
      <x:c r="F1279" s="3" t="n">
        <x:v>1</x:v>
      </x:c>
    </x:row>
    <x:row r="1280" ht="21" customHeight="1">
      <x:c r="A1280" s="3" t="n">
        <x:v>38</x:v>
      </x:c>
      <x:c r="B1280" s="3" t="n">
        <x:v>29</x:v>
      </x:c>
      <x:c r="C1280" s="3" t="n">
        <x:v>31</x:v>
      </x:c>
      <x:c r="D1280" s="3" t="n">
        <x:v>5</x:v>
      </x:c>
      <x:c r="E1280" s="3" t="n">
        <x:v>6</x:v>
      </x:c>
      <x:c r="F1280" s="3" t="n">
        <x:v>2</x:v>
      </x:c>
    </x:row>
    <x:row r="1281" ht="21" customHeight="1">
      <x:c r="A1281" s="3" t="n">
        <x:v>38</x:v>
      </x:c>
      <x:c r="B1281" s="3" t="n">
        <x:v>30</x:v>
      </x:c>
      <x:c r="C1281" s="3" t="n">
        <x:v>32</x:v>
      </x:c>
      <x:c r="D1281" s="3" t="n">
        <x:v>6</x:v>
      </x:c>
      <x:c r="E1281" s="3" t="n">
        <x:v>6</x:v>
      </x:c>
      <x:c r="F1281" s="3" t="n">
        <x:v>1</x:v>
      </x:c>
    </x:row>
    <x:row r="1282" ht="21" customHeight="1">
      <x:c r="A1282" s="3" t="n">
        <x:v>38</x:v>
      </x:c>
      <x:c r="B1282" s="3" t="n">
        <x:v>31</x:v>
      </x:c>
      <x:c r="C1282" s="3" t="n">
        <x:v>33</x:v>
      </x:c>
      <x:c r="D1282" s="3" t="n">
        <x:v>6</x:v>
      </x:c>
      <x:c r="E1282" s="3" t="n">
        <x:v>6</x:v>
      </x:c>
      <x:c r="F1282" s="3" t="n">
        <x:v>1</x:v>
      </x:c>
    </x:row>
    <x:row r="1283" ht="21" customHeight="1">
      <x:c r="A1283" s="3" t="n">
        <x:v>38</x:v>
      </x:c>
      <x:c r="B1283" s="3" t="n">
        <x:v>32</x:v>
      </x:c>
      <x:c r="C1283" s="3" t="n">
        <x:v>34</x:v>
      </x:c>
      <x:c r="D1283" s="3" t="n">
        <x:v>6</x:v>
      </x:c>
      <x:c r="E1283" s="3" t="n">
        <x:v>6</x:v>
      </x:c>
      <x:c r="F1283" s="3" t="n">
        <x:v>1</x:v>
      </x:c>
    </x:row>
    <x:row r="1284" ht="21" customHeight="1">
      <x:c r="A1284" s="3" t="n">
        <x:v>38</x:v>
      </x:c>
      <x:c r="B1284" s="3" t="n">
        <x:v>33</x:v>
      </x:c>
      <x:c r="C1284" s="3" t="n">
        <x:v>35</x:v>
      </x:c>
      <x:c r="D1284" s="3" t="n">
        <x:v>6</x:v>
      </x:c>
      <x:c r="E1284" s="3" t="n">
        <x:v>6</x:v>
      </x:c>
      <x:c r="F1284" s="3" t="n">
        <x:v>1</x:v>
      </x:c>
    </x:row>
    <x:row r="1285" ht="21" customHeight="1">
      <x:c r="A1285" s="3" t="n">
        <x:v>38</x:v>
      </x:c>
      <x:c r="B1285" s="3" t="n">
        <x:v>34</x:v>
      </x:c>
      <x:c r="C1285" s="3" t="n">
        <x:v>36</x:v>
      </x:c>
      <x:c r="D1285" s="3" t="n">
        <x:v>6</x:v>
      </x:c>
      <x:c r="E1285" s="3" t="n">
        <x:v>6</x:v>
      </x:c>
      <x:c r="F1285" s="3" t="n">
        <x:v>1</x:v>
      </x:c>
    </x:row>
    <x:row r="1286" ht="21" customHeight="1">
      <x:c r="A1286" s="3" t="n">
        <x:v>39</x:v>
      </x:c>
      <x:c r="B1286" s="3" t="n">
        <x:v>0</x:v>
      </x:c>
      <x:c r="C1286" s="3" t="n">
        <x:v>5</x:v>
      </x:c>
      <x:c r="D1286" s="3" t="n">
        <x:v>1</x:v>
      </x:c>
      <x:c r="E1286" s="3" t="n">
        <x:v>1</x:v>
      </x:c>
      <x:c r="F1286" s="3" t="n">
        <x:v>1</x:v>
      </x:c>
    </x:row>
    <x:row r="1287" ht="21" customHeight="1">
      <x:c r="A1287" s="3" t="n">
        <x:v>39</x:v>
      </x:c>
      <x:c r="B1287" s="3" t="n">
        <x:v>1</x:v>
      </x:c>
      <x:c r="C1287" s="3" t="n">
        <x:v>6</x:v>
      </x:c>
      <x:c r="D1287" s="3" t="n">
        <x:v>1</x:v>
      </x:c>
      <x:c r="E1287" s="3" t="n">
        <x:v>1</x:v>
      </x:c>
      <x:c r="F1287" s="3" t="n">
        <x:v>1</x:v>
      </x:c>
    </x:row>
    <x:row r="1288" ht="21" customHeight="1">
      <x:c r="A1288" s="3" t="n">
        <x:v>39</x:v>
      </x:c>
      <x:c r="B1288" s="3" t="n">
        <x:v>2</x:v>
      </x:c>
      <x:c r="C1288" s="3" t="n">
        <x:v>7</x:v>
      </x:c>
      <x:c r="D1288" s="3" t="n">
        <x:v>1</x:v>
      </x:c>
      <x:c r="E1288" s="3" t="n">
        <x:v>2</x:v>
      </x:c>
      <x:c r="F1288" s="3" t="n">
        <x:v>2</x:v>
      </x:c>
    </x:row>
    <x:row r="1289" ht="21" customHeight="1">
      <x:c r="A1289" s="3" t="n">
        <x:v>39</x:v>
      </x:c>
      <x:c r="B1289" s="3" t="n">
        <x:v>3</x:v>
      </x:c>
      <x:c r="C1289" s="3" t="n">
        <x:v>8</x:v>
      </x:c>
      <x:c r="D1289" s="3" t="n">
        <x:v>1</x:v>
      </x:c>
      <x:c r="E1289" s="3" t="n">
        <x:v>2</x:v>
      </x:c>
      <x:c r="F1289" s="3" t="n">
        <x:v>2</x:v>
      </x:c>
    </x:row>
    <x:row r="1290" ht="21" customHeight="1">
      <x:c r="A1290" s="3" t="n">
        <x:v>39</x:v>
      </x:c>
      <x:c r="B1290" s="3" t="n">
        <x:v>4</x:v>
      </x:c>
      <x:c r="C1290" s="3" t="n">
        <x:v>9</x:v>
      </x:c>
      <x:c r="D1290" s="3" t="n">
        <x:v>1</x:v>
      </x:c>
      <x:c r="E1290" s="3" t="n">
        <x:v>2</x:v>
      </x:c>
      <x:c r="F1290" s="3" t="n">
        <x:v>2</x:v>
      </x:c>
    </x:row>
    <x:row r="1291" ht="21" customHeight="1">
      <x:c r="A1291" s="3" t="n">
        <x:v>39</x:v>
      </x:c>
      <x:c r="B1291" s="3" t="n">
        <x:v>5</x:v>
      </x:c>
      <x:c r="C1291" s="3" t="n">
        <x:v>10</x:v>
      </x:c>
      <x:c r="D1291" s="3" t="n">
        <x:v>1</x:v>
      </x:c>
      <x:c r="E1291" s="3" t="n">
        <x:v>2</x:v>
      </x:c>
      <x:c r="F1291" s="3" t="n">
        <x:v>2</x:v>
      </x:c>
    </x:row>
    <x:row r="1292" ht="21" customHeight="1">
      <x:c r="A1292" s="3" t="n">
        <x:v>39</x:v>
      </x:c>
      <x:c r="B1292" s="3" t="n">
        <x:v>6</x:v>
      </x:c>
      <x:c r="C1292" s="3" t="n">
        <x:v>11</x:v>
      </x:c>
      <x:c r="D1292" s="3" t="n">
        <x:v>2</x:v>
      </x:c>
      <x:c r="E1292" s="3" t="n">
        <x:v>2</x:v>
      </x:c>
      <x:c r="F1292" s="3" t="n">
        <x:v>1</x:v>
      </x:c>
    </x:row>
    <x:row r="1293" ht="21" customHeight="1">
      <x:c r="A1293" s="3" t="n">
        <x:v>39</x:v>
      </x:c>
      <x:c r="B1293" s="3" t="n">
        <x:v>7</x:v>
      </x:c>
      <x:c r="C1293" s="3" t="n">
        <x:v>12</x:v>
      </x:c>
      <x:c r="D1293" s="3" t="n">
        <x:v>2</x:v>
      </x:c>
      <x:c r="E1293" s="3" t="n">
        <x:v>2</x:v>
      </x:c>
      <x:c r="F1293" s="3" t="n">
        <x:v>1</x:v>
      </x:c>
    </x:row>
    <x:row r="1294" ht="21" customHeight="1">
      <x:c r="A1294" s="3" t="n">
        <x:v>39</x:v>
      </x:c>
      <x:c r="B1294" s="3" t="n">
        <x:v>8</x:v>
      </x:c>
      <x:c r="C1294" s="3" t="n">
        <x:v>13</x:v>
      </x:c>
      <x:c r="D1294" s="3" t="n">
        <x:v>2</x:v>
      </x:c>
      <x:c r="E1294" s="3" t="n">
        <x:v>3</x:v>
      </x:c>
      <x:c r="F1294" s="3" t="n">
        <x:v>2</x:v>
      </x:c>
    </x:row>
    <x:row r="1295" ht="21" customHeight="1">
      <x:c r="A1295" s="3" t="n">
        <x:v>39</x:v>
      </x:c>
      <x:c r="B1295" s="3" t="n">
        <x:v>9</x:v>
      </x:c>
      <x:c r="C1295" s="3" t="n">
        <x:v>14</x:v>
      </x:c>
      <x:c r="D1295" s="3" t="n">
        <x:v>2</x:v>
      </x:c>
      <x:c r="E1295" s="3" t="n">
        <x:v>3</x:v>
      </x:c>
      <x:c r="F1295" s="3" t="n">
        <x:v>2</x:v>
      </x:c>
    </x:row>
    <x:row r="1296" ht="21" customHeight="1">
      <x:c r="A1296" s="3" t="n">
        <x:v>39</x:v>
      </x:c>
      <x:c r="B1296" s="3" t="n">
        <x:v>10</x:v>
      </x:c>
      <x:c r="C1296" s="3" t="n">
        <x:v>15</x:v>
      </x:c>
      <x:c r="D1296" s="3" t="n">
        <x:v>2</x:v>
      </x:c>
      <x:c r="E1296" s="3" t="n">
        <x:v>3</x:v>
      </x:c>
      <x:c r="F1296" s="3" t="n">
        <x:v>2</x:v>
      </x:c>
    </x:row>
    <x:row r="1297" ht="21" customHeight="1">
      <x:c r="A1297" s="3" t="n">
        <x:v>39</x:v>
      </x:c>
      <x:c r="B1297" s="3" t="n">
        <x:v>11</x:v>
      </x:c>
      <x:c r="C1297" s="3" t="n">
        <x:v>16</x:v>
      </x:c>
      <x:c r="D1297" s="3" t="n">
        <x:v>2</x:v>
      </x:c>
      <x:c r="E1297" s="3" t="n">
        <x:v>3</x:v>
      </x:c>
      <x:c r="F1297" s="3" t="n">
        <x:v>2</x:v>
      </x:c>
    </x:row>
    <x:row r="1298" ht="21" customHeight="1">
      <x:c r="A1298" s="3" t="n">
        <x:v>39</x:v>
      </x:c>
      <x:c r="B1298" s="3" t="n">
        <x:v>12</x:v>
      </x:c>
      <x:c r="C1298" s="3" t="n">
        <x:v>17</x:v>
      </x:c>
      <x:c r="D1298" s="3" t="n">
        <x:v>3</x:v>
      </x:c>
      <x:c r="E1298" s="3" t="n">
        <x:v>3</x:v>
      </x:c>
      <x:c r="F1298" s="3" t="n">
        <x:v>1</x:v>
      </x:c>
    </x:row>
    <x:row r="1299" ht="21" customHeight="1">
      <x:c r="A1299" s="3" t="n">
        <x:v>39</x:v>
      </x:c>
      <x:c r="B1299" s="3" t="n">
        <x:v>13</x:v>
      </x:c>
      <x:c r="C1299" s="3" t="n">
        <x:v>18</x:v>
      </x:c>
      <x:c r="D1299" s="3" t="n">
        <x:v>3</x:v>
      </x:c>
      <x:c r="E1299" s="3" t="n">
        <x:v>3</x:v>
      </x:c>
      <x:c r="F1299" s="3" t="n">
        <x:v>1</x:v>
      </x:c>
    </x:row>
    <x:row r="1300" ht="21" customHeight="1">
      <x:c r="A1300" s="3" t="n">
        <x:v>39</x:v>
      </x:c>
      <x:c r="B1300" s="3" t="n">
        <x:v>14</x:v>
      </x:c>
      <x:c r="C1300" s="3" t="n">
        <x:v>19</x:v>
      </x:c>
      <x:c r="D1300" s="3" t="n">
        <x:v>3</x:v>
      </x:c>
      <x:c r="E1300" s="3" t="n">
        <x:v>4</x:v>
      </x:c>
      <x:c r="F1300" s="3" t="n">
        <x:v>2</x:v>
      </x:c>
    </x:row>
    <x:row r="1301" ht="21" customHeight="1">
      <x:c r="A1301" s="3" t="n">
        <x:v>39</x:v>
      </x:c>
      <x:c r="B1301" s="3" t="n">
        <x:v>15</x:v>
      </x:c>
      <x:c r="C1301" s="3" t="n">
        <x:v>20</x:v>
      </x:c>
      <x:c r="D1301" s="3" t="n">
        <x:v>3</x:v>
      </x:c>
      <x:c r="E1301" s="3" t="n">
        <x:v>4</x:v>
      </x:c>
      <x:c r="F1301" s="3" t="n">
        <x:v>2</x:v>
      </x:c>
    </x:row>
    <x:row r="1302" ht="21" customHeight="1">
      <x:c r="A1302" s="3" t="n">
        <x:v>39</x:v>
      </x:c>
      <x:c r="B1302" s="3" t="n">
        <x:v>16</x:v>
      </x:c>
      <x:c r="C1302" s="3" t="n">
        <x:v>21</x:v>
      </x:c>
      <x:c r="D1302" s="3" t="n">
        <x:v>3</x:v>
      </x:c>
      <x:c r="E1302" s="3" t="n">
        <x:v>4</x:v>
      </x:c>
      <x:c r="F1302" s="3" t="n">
        <x:v>2</x:v>
      </x:c>
    </x:row>
    <x:row r="1303" ht="21" customHeight="1">
      <x:c r="A1303" s="3" t="n">
        <x:v>39</x:v>
      </x:c>
      <x:c r="B1303" s="3" t="n">
        <x:v>17</x:v>
      </x:c>
      <x:c r="C1303" s="3" t="n">
        <x:v>22</x:v>
      </x:c>
      <x:c r="D1303" s="3" t="n">
        <x:v>3</x:v>
      </x:c>
      <x:c r="E1303" s="3" t="n">
        <x:v>4</x:v>
      </x:c>
      <x:c r="F1303" s="3" t="n">
        <x:v>2</x:v>
      </x:c>
    </x:row>
    <x:row r="1304" ht="21" customHeight="1">
      <x:c r="A1304" s="3" t="n">
        <x:v>39</x:v>
      </x:c>
      <x:c r="B1304" s="3" t="n">
        <x:v>18</x:v>
      </x:c>
      <x:c r="C1304" s="3" t="n">
        <x:v>23</x:v>
      </x:c>
      <x:c r="D1304" s="3" t="n">
        <x:v>4</x:v>
      </x:c>
      <x:c r="E1304" s="3" t="n">
        <x:v>4</x:v>
      </x:c>
      <x:c r="F1304" s="3" t="n">
        <x:v>1</x:v>
      </x:c>
    </x:row>
    <x:row r="1305" ht="21" customHeight="1">
      <x:c r="A1305" s="3" t="n">
        <x:v>39</x:v>
      </x:c>
      <x:c r="B1305" s="3" t="n">
        <x:v>19</x:v>
      </x:c>
      <x:c r="C1305" s="3" t="n">
        <x:v>24</x:v>
      </x:c>
      <x:c r="D1305" s="3" t="n">
        <x:v>4</x:v>
      </x:c>
      <x:c r="E1305" s="3" t="n">
        <x:v>4</x:v>
      </x:c>
      <x:c r="F1305" s="3" t="n">
        <x:v>1</x:v>
      </x:c>
    </x:row>
    <x:row r="1306" ht="21" customHeight="1">
      <x:c r="A1306" s="3" t="n">
        <x:v>39</x:v>
      </x:c>
      <x:c r="B1306" s="3" t="n">
        <x:v>20</x:v>
      </x:c>
      <x:c r="C1306" s="3" t="n">
        <x:v>25</x:v>
      </x:c>
      <x:c r="D1306" s="3" t="n">
        <x:v>4</x:v>
      </x:c>
      <x:c r="E1306" s="3" t="n">
        <x:v>5</x:v>
      </x:c>
      <x:c r="F1306" s="3" t="n">
        <x:v>2</x:v>
      </x:c>
    </x:row>
    <x:row r="1307" ht="21" customHeight="1">
      <x:c r="A1307" s="3" t="n">
        <x:v>39</x:v>
      </x:c>
      <x:c r="B1307" s="3" t="n">
        <x:v>21</x:v>
      </x:c>
      <x:c r="C1307" s="3" t="n">
        <x:v>26</x:v>
      </x:c>
      <x:c r="D1307" s="3" t="n">
        <x:v>4</x:v>
      </x:c>
      <x:c r="E1307" s="3" t="n">
        <x:v>5</x:v>
      </x:c>
      <x:c r="F1307" s="3" t="n">
        <x:v>2</x:v>
      </x:c>
    </x:row>
    <x:row r="1308" ht="21" customHeight="1">
      <x:c r="A1308" s="3" t="n">
        <x:v>39</x:v>
      </x:c>
      <x:c r="B1308" s="3" t="n">
        <x:v>22</x:v>
      </x:c>
      <x:c r="C1308" s="3" t="n">
        <x:v>27</x:v>
      </x:c>
      <x:c r="D1308" s="3" t="n">
        <x:v>4</x:v>
      </x:c>
      <x:c r="E1308" s="3" t="n">
        <x:v>5</x:v>
      </x:c>
      <x:c r="F1308" s="3" t="n">
        <x:v>2</x:v>
      </x:c>
    </x:row>
    <x:row r="1309" ht="21" customHeight="1">
      <x:c r="A1309" s="3" t="n">
        <x:v>39</x:v>
      </x:c>
      <x:c r="B1309" s="3" t="n">
        <x:v>23</x:v>
      </x:c>
      <x:c r="C1309" s="3" t="n">
        <x:v>28</x:v>
      </x:c>
      <x:c r="D1309" s="3" t="n">
        <x:v>4</x:v>
      </x:c>
      <x:c r="E1309" s="3" t="n">
        <x:v>5</x:v>
      </x:c>
      <x:c r="F1309" s="3" t="n">
        <x:v>2</x:v>
      </x:c>
    </x:row>
    <x:row r="1310" ht="21" customHeight="1">
      <x:c r="A1310" s="3" t="n">
        <x:v>39</x:v>
      </x:c>
      <x:c r="B1310" s="3" t="n">
        <x:v>24</x:v>
      </x:c>
      <x:c r="C1310" s="3" t="n">
        <x:v>29</x:v>
      </x:c>
      <x:c r="D1310" s="3" t="n">
        <x:v>5</x:v>
      </x:c>
      <x:c r="E1310" s="3" t="n">
        <x:v>5</x:v>
      </x:c>
      <x:c r="F1310" s="3" t="n">
        <x:v>1</x:v>
      </x:c>
    </x:row>
    <x:row r="1311" ht="21" customHeight="1">
      <x:c r="A1311" s="3" t="n">
        <x:v>39</x:v>
      </x:c>
      <x:c r="B1311" s="3" t="n">
        <x:v>25</x:v>
      </x:c>
      <x:c r="C1311" s="3" t="n">
        <x:v>30</x:v>
      </x:c>
      <x:c r="D1311" s="3" t="n">
        <x:v>5</x:v>
      </x:c>
      <x:c r="E1311" s="3" t="n">
        <x:v>5</x:v>
      </x:c>
      <x:c r="F1311" s="3" t="n">
        <x:v>1</x:v>
      </x:c>
    </x:row>
    <x:row r="1312" ht="21" customHeight="1">
      <x:c r="A1312" s="3" t="n">
        <x:v>39</x:v>
      </x:c>
      <x:c r="B1312" s="3" t="n">
        <x:v>26</x:v>
      </x:c>
      <x:c r="C1312" s="3" t="n">
        <x:v>31</x:v>
      </x:c>
      <x:c r="D1312" s="3" t="n">
        <x:v>5</x:v>
      </x:c>
      <x:c r="E1312" s="3" t="n">
        <x:v>6</x:v>
      </x:c>
      <x:c r="F1312" s="3" t="n">
        <x:v>2</x:v>
      </x:c>
    </x:row>
    <x:row r="1313" ht="21" customHeight="1">
      <x:c r="A1313" s="3" t="n">
        <x:v>39</x:v>
      </x:c>
      <x:c r="B1313" s="3" t="n">
        <x:v>27</x:v>
      </x:c>
      <x:c r="C1313" s="3" t="n">
        <x:v>32</x:v>
      </x:c>
      <x:c r="D1313" s="3" t="n">
        <x:v>5</x:v>
      </x:c>
      <x:c r="E1313" s="3" t="n">
        <x:v>6</x:v>
      </x:c>
      <x:c r="F1313" s="3" t="n">
        <x:v>2</x:v>
      </x:c>
    </x:row>
    <x:row r="1314" ht="21" customHeight="1">
      <x:c r="A1314" s="3" t="n">
        <x:v>39</x:v>
      </x:c>
      <x:c r="B1314" s="3" t="n">
        <x:v>28</x:v>
      </x:c>
      <x:c r="C1314" s="3" t="n">
        <x:v>33</x:v>
      </x:c>
      <x:c r="D1314" s="3" t="n">
        <x:v>5</x:v>
      </x:c>
      <x:c r="E1314" s="3" t="n">
        <x:v>6</x:v>
      </x:c>
      <x:c r="F1314" s="3" t="n">
        <x:v>2</x:v>
      </x:c>
    </x:row>
    <x:row r="1315" ht="21" customHeight="1">
      <x:c r="A1315" s="3" t="n">
        <x:v>39</x:v>
      </x:c>
      <x:c r="B1315" s="3" t="n">
        <x:v>29</x:v>
      </x:c>
      <x:c r="C1315" s="3" t="n">
        <x:v>34</x:v>
      </x:c>
      <x:c r="D1315" s="3" t="n">
        <x:v>5</x:v>
      </x:c>
      <x:c r="E1315" s="3" t="n">
        <x:v>6</x:v>
      </x:c>
      <x:c r="F1315" s="3" t="n">
        <x:v>2</x:v>
      </x:c>
    </x:row>
    <x:row r="1316" ht="21" customHeight="1">
      <x:c r="A1316" s="3" t="n">
        <x:v>39</x:v>
      </x:c>
      <x:c r="B1316" s="3" t="n">
        <x:v>30</x:v>
      </x:c>
      <x:c r="C1316" s="3" t="n">
        <x:v>35</x:v>
      </x:c>
      <x:c r="D1316" s="3" t="n">
        <x:v>6</x:v>
      </x:c>
      <x:c r="E1316" s="3" t="n">
        <x:v>6</x:v>
      </x:c>
      <x:c r="F1316" s="3" t="n">
        <x:v>1</x:v>
      </x:c>
    </x:row>
    <x:row r="1317" ht="21" customHeight="1">
      <x:c r="A1317" s="3" t="n">
        <x:v>39</x:v>
      </x:c>
      <x:c r="B1317" s="3" t="n">
        <x:v>31</x:v>
      </x:c>
      <x:c r="C1317" s="3" t="n">
        <x:v>36</x:v>
      </x:c>
      <x:c r="D1317" s="3" t="n">
        <x:v>6</x:v>
      </x:c>
      <x:c r="E1317" s="3" t="n">
        <x:v>6</x:v>
      </x:c>
      <x:c r="F1317" s="3" t="n">
        <x:v>1</x:v>
      </x:c>
    </x:row>
    <x:row r="1318" ht="21" customHeight="1">
      <x:c r="A1318" s="3" t="n">
        <x:v>40</x:v>
      </x:c>
      <x:c r="B1318" s="3" t="n">
        <x:v>0</x:v>
      </x:c>
      <x:c r="C1318" s="3" t="n">
        <x:v>5</x:v>
      </x:c>
      <x:c r="D1318" s="3" t="n">
        <x:v>1</x:v>
      </x:c>
      <x:c r="E1318" s="3" t="n">
        <x:v>1</x:v>
      </x:c>
      <x:c r="F1318" s="3" t="n">
        <x:v>1</x:v>
      </x:c>
    </x:row>
    <x:row r="1319" ht="21" customHeight="1">
      <x:c r="A1319" s="3" t="n">
        <x:v>40</x:v>
      </x:c>
      <x:c r="B1319" s="3" t="n">
        <x:v>1</x:v>
      </x:c>
      <x:c r="C1319" s="3" t="n">
        <x:v>6</x:v>
      </x:c>
      <x:c r="D1319" s="3" t="n">
        <x:v>1</x:v>
      </x:c>
      <x:c r="E1319" s="3" t="n">
        <x:v>1</x:v>
      </x:c>
      <x:c r="F1319" s="3" t="n">
        <x:v>1</x:v>
      </x:c>
    </x:row>
    <x:row r="1320" ht="21" customHeight="1">
      <x:c r="A1320" s="3" t="n">
        <x:v>40</x:v>
      </x:c>
      <x:c r="B1320" s="3" t="n">
        <x:v>2</x:v>
      </x:c>
      <x:c r="C1320" s="3" t="n">
        <x:v>7</x:v>
      </x:c>
      <x:c r="D1320" s="3" t="n">
        <x:v>1</x:v>
      </x:c>
      <x:c r="E1320" s="3" t="n">
        <x:v>2</x:v>
      </x:c>
      <x:c r="F1320" s="3" t="n">
        <x:v>2</x:v>
      </x:c>
    </x:row>
    <x:row r="1321" ht="21" customHeight="1">
      <x:c r="A1321" s="3" t="n">
        <x:v>40</x:v>
      </x:c>
      <x:c r="B1321" s="3" t="n">
        <x:v>3</x:v>
      </x:c>
      <x:c r="C1321" s="3" t="n">
        <x:v>8</x:v>
      </x:c>
      <x:c r="D1321" s="3" t="n">
        <x:v>1</x:v>
      </x:c>
      <x:c r="E1321" s="3" t="n">
        <x:v>2</x:v>
      </x:c>
      <x:c r="F1321" s="3" t="n">
        <x:v>2</x:v>
      </x:c>
    </x:row>
    <x:row r="1322" ht="21" customHeight="1">
      <x:c r="A1322" s="3" t="n">
        <x:v>40</x:v>
      </x:c>
      <x:c r="B1322" s="3" t="n">
        <x:v>4</x:v>
      </x:c>
      <x:c r="C1322" s="3" t="n">
        <x:v>9</x:v>
      </x:c>
      <x:c r="D1322" s="3" t="n">
        <x:v>1</x:v>
      </x:c>
      <x:c r="E1322" s="3" t="n">
        <x:v>2</x:v>
      </x:c>
      <x:c r="F1322" s="3" t="n">
        <x:v>2</x:v>
      </x:c>
    </x:row>
    <x:row r="1323" ht="21" customHeight="1">
      <x:c r="A1323" s="3" t="n">
        <x:v>40</x:v>
      </x:c>
      <x:c r="B1323" s="3" t="n">
        <x:v>5</x:v>
      </x:c>
      <x:c r="C1323" s="3" t="n">
        <x:v>10</x:v>
      </x:c>
      <x:c r="D1323" s="3" t="n">
        <x:v>1</x:v>
      </x:c>
      <x:c r="E1323" s="3" t="n">
        <x:v>2</x:v>
      </x:c>
      <x:c r="F1323" s="3" t="n">
        <x:v>2</x:v>
      </x:c>
    </x:row>
    <x:row r="1324" ht="21" customHeight="1">
      <x:c r="A1324" s="3" t="n">
        <x:v>40</x:v>
      </x:c>
      <x:c r="B1324" s="3" t="n">
        <x:v>6</x:v>
      </x:c>
      <x:c r="C1324" s="3" t="n">
        <x:v>11</x:v>
      </x:c>
      <x:c r="D1324" s="3" t="n">
        <x:v>2</x:v>
      </x:c>
      <x:c r="E1324" s="3" t="n">
        <x:v>2</x:v>
      </x:c>
      <x:c r="F1324" s="3" t="n">
        <x:v>1</x:v>
      </x:c>
    </x:row>
    <x:row r="1325" ht="21" customHeight="1">
      <x:c r="A1325" s="3" t="n">
        <x:v>40</x:v>
      </x:c>
      <x:c r="B1325" s="3" t="n">
        <x:v>7</x:v>
      </x:c>
      <x:c r="C1325" s="3" t="n">
        <x:v>12</x:v>
      </x:c>
      <x:c r="D1325" s="3" t="n">
        <x:v>2</x:v>
      </x:c>
      <x:c r="E1325" s="3" t="n">
        <x:v>2</x:v>
      </x:c>
      <x:c r="F1325" s="3" t="n">
        <x:v>1</x:v>
      </x:c>
    </x:row>
    <x:row r="1326" ht="21" customHeight="1">
      <x:c r="A1326" s="3" t="n">
        <x:v>40</x:v>
      </x:c>
      <x:c r="B1326" s="3" t="n">
        <x:v>8</x:v>
      </x:c>
      <x:c r="C1326" s="3" t="n">
        <x:v>13</x:v>
      </x:c>
      <x:c r="D1326" s="3" t="n">
        <x:v>2</x:v>
      </x:c>
      <x:c r="E1326" s="3" t="n">
        <x:v>3</x:v>
      </x:c>
      <x:c r="F1326" s="3" t="n">
        <x:v>2</x:v>
      </x:c>
    </x:row>
    <x:row r="1327" ht="21" customHeight="1">
      <x:c r="A1327" s="3" t="n">
        <x:v>40</x:v>
      </x:c>
      <x:c r="B1327" s="3" t="n">
        <x:v>9</x:v>
      </x:c>
      <x:c r="C1327" s="3" t="n">
        <x:v>14</x:v>
      </x:c>
      <x:c r="D1327" s="3" t="n">
        <x:v>2</x:v>
      </x:c>
      <x:c r="E1327" s="3" t="n">
        <x:v>3</x:v>
      </x:c>
      <x:c r="F1327" s="3" t="n">
        <x:v>2</x:v>
      </x:c>
    </x:row>
    <x:row r="1328" ht="21" customHeight="1">
      <x:c r="A1328" s="3" t="n">
        <x:v>40</x:v>
      </x:c>
      <x:c r="B1328" s="3" t="n">
        <x:v>10</x:v>
      </x:c>
      <x:c r="C1328" s="3" t="n">
        <x:v>15</x:v>
      </x:c>
      <x:c r="D1328" s="3" t="n">
        <x:v>2</x:v>
      </x:c>
      <x:c r="E1328" s="3" t="n">
        <x:v>3</x:v>
      </x:c>
      <x:c r="F1328" s="3" t="n">
        <x:v>2</x:v>
      </x:c>
    </x:row>
    <x:row r="1329" ht="21" customHeight="1">
      <x:c r="A1329" s="3" t="n">
        <x:v>40</x:v>
      </x:c>
      <x:c r="B1329" s="3" t="n">
        <x:v>11</x:v>
      </x:c>
      <x:c r="C1329" s="3" t="n">
        <x:v>16</x:v>
      </x:c>
      <x:c r="D1329" s="3" t="n">
        <x:v>2</x:v>
      </x:c>
      <x:c r="E1329" s="3" t="n">
        <x:v>3</x:v>
      </x:c>
      <x:c r="F1329" s="3" t="n">
        <x:v>2</x:v>
      </x:c>
    </x:row>
    <x:row r="1330" ht="21" customHeight="1">
      <x:c r="A1330" s="3" t="n">
        <x:v>40</x:v>
      </x:c>
      <x:c r="B1330" s="3" t="n">
        <x:v>12</x:v>
      </x:c>
      <x:c r="C1330" s="3" t="n">
        <x:v>17</x:v>
      </x:c>
      <x:c r="D1330" s="3" t="n">
        <x:v>3</x:v>
      </x:c>
      <x:c r="E1330" s="3" t="n">
        <x:v>3</x:v>
      </x:c>
      <x:c r="F1330" s="3" t="n">
        <x:v>1</x:v>
      </x:c>
    </x:row>
    <x:row r="1331" ht="21" customHeight="1">
      <x:c r="A1331" s="3" t="n">
        <x:v>40</x:v>
      </x:c>
      <x:c r="B1331" s="3" t="n">
        <x:v>13</x:v>
      </x:c>
      <x:c r="C1331" s="3" t="n">
        <x:v>18</x:v>
      </x:c>
      <x:c r="D1331" s="3" t="n">
        <x:v>3</x:v>
      </x:c>
      <x:c r="E1331" s="3" t="n">
        <x:v>3</x:v>
      </x:c>
      <x:c r="F1331" s="3" t="n">
        <x:v>1</x:v>
      </x:c>
    </x:row>
    <x:row r="1332" ht="21" customHeight="1">
      <x:c r="A1332" s="3" t="n">
        <x:v>40</x:v>
      </x:c>
      <x:c r="B1332" s="3" t="n">
        <x:v>14</x:v>
      </x:c>
      <x:c r="C1332" s="3" t="n">
        <x:v>19</x:v>
      </x:c>
      <x:c r="D1332" s="3" t="n">
        <x:v>3</x:v>
      </x:c>
      <x:c r="E1332" s="3" t="n">
        <x:v>4</x:v>
      </x:c>
      <x:c r="F1332" s="3" t="n">
        <x:v>2</x:v>
      </x:c>
    </x:row>
    <x:row r="1333" ht="21" customHeight="1">
      <x:c r="A1333" s="3" t="n">
        <x:v>40</x:v>
      </x:c>
      <x:c r="B1333" s="3" t="n">
        <x:v>15</x:v>
      </x:c>
      <x:c r="C1333" s="3" t="n">
        <x:v>20</x:v>
      </x:c>
      <x:c r="D1333" s="3" t="n">
        <x:v>3</x:v>
      </x:c>
      <x:c r="E1333" s="3" t="n">
        <x:v>4</x:v>
      </x:c>
      <x:c r="F1333" s="3" t="n">
        <x:v>2</x:v>
      </x:c>
    </x:row>
    <x:row r="1334" ht="21" customHeight="1">
      <x:c r="A1334" s="3" t="n">
        <x:v>40</x:v>
      </x:c>
      <x:c r="B1334" s="3" t="n">
        <x:v>16</x:v>
      </x:c>
      <x:c r="C1334" s="3" t="n">
        <x:v>21</x:v>
      </x:c>
      <x:c r="D1334" s="3" t="n">
        <x:v>3</x:v>
      </x:c>
      <x:c r="E1334" s="3" t="n">
        <x:v>4</x:v>
      </x:c>
      <x:c r="F1334" s="3" t="n">
        <x:v>2</x:v>
      </x:c>
    </x:row>
    <x:row r="1335" ht="21" customHeight="1">
      <x:c r="A1335" s="3" t="n">
        <x:v>40</x:v>
      </x:c>
      <x:c r="B1335" s="3" t="n">
        <x:v>17</x:v>
      </x:c>
      <x:c r="C1335" s="3" t="n">
        <x:v>22</x:v>
      </x:c>
      <x:c r="D1335" s="3" t="n">
        <x:v>3</x:v>
      </x:c>
      <x:c r="E1335" s="3" t="n">
        <x:v>4</x:v>
      </x:c>
      <x:c r="F1335" s="3" t="n">
        <x:v>2</x:v>
      </x:c>
    </x:row>
    <x:row r="1336" ht="21" customHeight="1">
      <x:c r="A1336" s="3" t="n">
        <x:v>40</x:v>
      </x:c>
      <x:c r="B1336" s="3" t="n">
        <x:v>18</x:v>
      </x:c>
      <x:c r="C1336" s="3" t="n">
        <x:v>23</x:v>
      </x:c>
      <x:c r="D1336" s="3" t="n">
        <x:v>4</x:v>
      </x:c>
      <x:c r="E1336" s="3" t="n">
        <x:v>4</x:v>
      </x:c>
      <x:c r="F1336" s="3" t="n">
        <x:v>1</x:v>
      </x:c>
    </x:row>
    <x:row r="1337" ht="21" customHeight="1">
      <x:c r="A1337" s="3" t="n">
        <x:v>40</x:v>
      </x:c>
      <x:c r="B1337" s="3" t="n">
        <x:v>19</x:v>
      </x:c>
      <x:c r="C1337" s="3" t="n">
        <x:v>24</x:v>
      </x:c>
      <x:c r="D1337" s="3" t="n">
        <x:v>4</x:v>
      </x:c>
      <x:c r="E1337" s="3" t="n">
        <x:v>4</x:v>
      </x:c>
      <x:c r="F1337" s="3" t="n">
        <x:v>1</x:v>
      </x:c>
    </x:row>
    <x:row r="1338" ht="21" customHeight="1">
      <x:c r="A1338" s="3" t="n">
        <x:v>40</x:v>
      </x:c>
      <x:c r="B1338" s="3" t="n">
        <x:v>20</x:v>
      </x:c>
      <x:c r="C1338" s="3" t="n">
        <x:v>25</x:v>
      </x:c>
      <x:c r="D1338" s="3" t="n">
        <x:v>4</x:v>
      </x:c>
      <x:c r="E1338" s="3" t="n">
        <x:v>5</x:v>
      </x:c>
      <x:c r="F1338" s="3" t="n">
        <x:v>2</x:v>
      </x:c>
    </x:row>
    <x:row r="1339" ht="21" customHeight="1">
      <x:c r="A1339" s="3" t="n">
        <x:v>40</x:v>
      </x:c>
      <x:c r="B1339" s="3" t="n">
        <x:v>21</x:v>
      </x:c>
      <x:c r="C1339" s="3" t="n">
        <x:v>26</x:v>
      </x:c>
      <x:c r="D1339" s="3" t="n">
        <x:v>4</x:v>
      </x:c>
      <x:c r="E1339" s="3" t="n">
        <x:v>5</x:v>
      </x:c>
      <x:c r="F1339" s="3" t="n">
        <x:v>2</x:v>
      </x:c>
    </x:row>
    <x:row r="1340" ht="21" customHeight="1">
      <x:c r="A1340" s="3" t="n">
        <x:v>40</x:v>
      </x:c>
      <x:c r="B1340" s="3" t="n">
        <x:v>22</x:v>
      </x:c>
      <x:c r="C1340" s="3" t="n">
        <x:v>27</x:v>
      </x:c>
      <x:c r="D1340" s="3" t="n">
        <x:v>4</x:v>
      </x:c>
      <x:c r="E1340" s="3" t="n">
        <x:v>5</x:v>
      </x:c>
      <x:c r="F1340" s="3" t="n">
        <x:v>2</x:v>
      </x:c>
    </x:row>
    <x:row r="1341" ht="21" customHeight="1">
      <x:c r="A1341" s="3" t="n">
        <x:v>40</x:v>
      </x:c>
      <x:c r="B1341" s="3" t="n">
        <x:v>23</x:v>
      </x:c>
      <x:c r="C1341" s="3" t="n">
        <x:v>28</x:v>
      </x:c>
      <x:c r="D1341" s="3" t="n">
        <x:v>4</x:v>
      </x:c>
      <x:c r="E1341" s="3" t="n">
        <x:v>5</x:v>
      </x:c>
      <x:c r="F1341" s="3" t="n">
        <x:v>2</x:v>
      </x:c>
    </x:row>
    <x:row r="1342" ht="21" customHeight="1">
      <x:c r="A1342" s="3" t="n">
        <x:v>40</x:v>
      </x:c>
      <x:c r="B1342" s="3" t="n">
        <x:v>24</x:v>
      </x:c>
      <x:c r="C1342" s="3" t="n">
        <x:v>29</x:v>
      </x:c>
      <x:c r="D1342" s="3" t="n">
        <x:v>5</x:v>
      </x:c>
      <x:c r="E1342" s="3" t="n">
        <x:v>5</x:v>
      </x:c>
      <x:c r="F1342" s="3" t="n">
        <x:v>1</x:v>
      </x:c>
    </x:row>
    <x:row r="1343" ht="21" customHeight="1">
      <x:c r="A1343" s="3" t="n">
        <x:v>40</x:v>
      </x:c>
      <x:c r="B1343" s="3" t="n">
        <x:v>25</x:v>
      </x:c>
      <x:c r="C1343" s="3" t="n">
        <x:v>30</x:v>
      </x:c>
      <x:c r="D1343" s="3" t="n">
        <x:v>5</x:v>
      </x:c>
      <x:c r="E1343" s="3" t="n">
        <x:v>5</x:v>
      </x:c>
      <x:c r="F1343" s="3" t="n">
        <x:v>1</x:v>
      </x:c>
    </x:row>
    <x:row r="1344" ht="21" customHeight="1">
      <x:c r="A1344" s="3" t="n">
        <x:v>40</x:v>
      </x:c>
      <x:c r="B1344" s="3" t="n">
        <x:v>26</x:v>
      </x:c>
      <x:c r="C1344" s="3" t="n">
        <x:v>31</x:v>
      </x:c>
      <x:c r="D1344" s="3" t="n">
        <x:v>5</x:v>
      </x:c>
      <x:c r="E1344" s="3" t="n">
        <x:v>6</x:v>
      </x:c>
      <x:c r="F1344" s="3" t="n">
        <x:v>2</x:v>
      </x:c>
    </x:row>
    <x:row r="1345" ht="21" customHeight="1">
      <x:c r="A1345" s="3" t="n">
        <x:v>40</x:v>
      </x:c>
      <x:c r="B1345" s="3" t="n">
        <x:v>27</x:v>
      </x:c>
      <x:c r="C1345" s="3" t="n">
        <x:v>32</x:v>
      </x:c>
      <x:c r="D1345" s="3" t="n">
        <x:v>5</x:v>
      </x:c>
      <x:c r="E1345" s="3" t="n">
        <x:v>6</x:v>
      </x:c>
      <x:c r="F1345" s="3" t="n">
        <x:v>2</x:v>
      </x:c>
    </x:row>
    <x:row r="1346" ht="21" customHeight="1">
      <x:c r="A1346" s="3" t="n">
        <x:v>40</x:v>
      </x:c>
      <x:c r="B1346" s="3" t="n">
        <x:v>28</x:v>
      </x:c>
      <x:c r="C1346" s="3" t="n">
        <x:v>33</x:v>
      </x:c>
      <x:c r="D1346" s="3" t="n">
        <x:v>5</x:v>
      </x:c>
      <x:c r="E1346" s="3" t="n">
        <x:v>6</x:v>
      </x:c>
      <x:c r="F1346" s="3" t="n">
        <x:v>2</x:v>
      </x:c>
    </x:row>
    <x:row r="1347" ht="21" customHeight="1">
      <x:c r="A1347" s="3" t="n">
        <x:v>40</x:v>
      </x:c>
      <x:c r="B1347" s="3" t="n">
        <x:v>29</x:v>
      </x:c>
      <x:c r="C1347" s="3" t="n">
        <x:v>34</x:v>
      </x:c>
      <x:c r="D1347" s="3" t="n">
        <x:v>5</x:v>
      </x:c>
      <x:c r="E1347" s="3" t="n">
        <x:v>6</x:v>
      </x:c>
      <x:c r="F1347" s="3" t="n">
        <x:v>2</x:v>
      </x:c>
    </x:row>
    <x:row r="1348" ht="21" customHeight="1">
      <x:c r="A1348" s="3" t="n">
        <x:v>40</x:v>
      </x:c>
      <x:c r="B1348" s="3" t="n">
        <x:v>30</x:v>
      </x:c>
      <x:c r="C1348" s="3" t="n">
        <x:v>35</x:v>
      </x:c>
      <x:c r="D1348" s="3" t="n">
        <x:v>6</x:v>
      </x:c>
      <x:c r="E1348" s="3" t="n">
        <x:v>6</x:v>
      </x:c>
      <x:c r="F1348" s="3" t="n">
        <x:v>1</x:v>
      </x:c>
    </x:row>
    <x:row r="1349" ht="21" customHeight="1">
      <x:c r="A1349" s="3" t="n">
        <x:v>40</x:v>
      </x:c>
      <x:c r="B1349" s="3" t="n">
        <x:v>31</x:v>
      </x:c>
      <x:c r="C1349" s="3" t="n">
        <x:v>36</x:v>
      </x:c>
      <x:c r="D1349" s="3" t="n">
        <x:v>6</x:v>
      </x:c>
      <x:c r="E1349" s="3" t="n">
        <x:v>6</x:v>
      </x:c>
      <x:c r="F1349" s="3" t="n">
        <x:v>1</x:v>
      </x:c>
    </x:row>
    <x:row r="1350" ht="21" customHeight="1">
      <x:c r="A1350" s="3" t="n">
        <x:v>41</x:v>
      </x:c>
      <x:c r="B1350" s="3" t="n">
        <x:v>0</x:v>
      </x:c>
      <x:c r="C1350" s="3" t="n">
        <x:v>2</x:v>
      </x:c>
      <x:c r="D1350" s="3" t="n">
        <x:v>1</x:v>
      </x:c>
      <x:c r="E1350" s="3" t="n">
        <x:v>1</x:v>
      </x:c>
      <x:c r="F1350" s="3" t="n">
        <x:v>1</x:v>
      </x:c>
    </x:row>
    <x:row r="1351" ht="21" customHeight="1">
      <x:c r="A1351" s="3" t="n">
        <x:v>41</x:v>
      </x:c>
      <x:c r="B1351" s="3" t="n">
        <x:v>1</x:v>
      </x:c>
      <x:c r="C1351" s="3" t="n">
        <x:v>3</x:v>
      </x:c>
      <x:c r="D1351" s="3" t="n">
        <x:v>1</x:v>
      </x:c>
      <x:c r="E1351" s="3" t="n">
        <x:v>1</x:v>
      </x:c>
      <x:c r="F1351" s="3" t="n">
        <x:v>1</x:v>
      </x:c>
    </x:row>
    <x:row r="1352" ht="21" customHeight="1">
      <x:c r="A1352" s="3" t="n">
        <x:v>41</x:v>
      </x:c>
      <x:c r="B1352" s="3" t="n">
        <x:v>2</x:v>
      </x:c>
      <x:c r="C1352" s="3" t="n">
        <x:v>4</x:v>
      </x:c>
      <x:c r="D1352" s="3" t="n">
        <x:v>1</x:v>
      </x:c>
      <x:c r="E1352" s="3" t="n">
        <x:v>1</x:v>
      </x:c>
      <x:c r="F1352" s="3" t="n">
        <x:v>1</x:v>
      </x:c>
    </x:row>
    <x:row r="1353" ht="21" customHeight="1">
      <x:c r="A1353" s="3" t="n">
        <x:v>41</x:v>
      </x:c>
      <x:c r="B1353" s="3" t="n">
        <x:v>3</x:v>
      </x:c>
      <x:c r="C1353" s="3" t="n">
        <x:v>5</x:v>
      </x:c>
      <x:c r="D1353" s="3" t="n">
        <x:v>1</x:v>
      </x:c>
      <x:c r="E1353" s="3" t="n">
        <x:v>1</x:v>
      </x:c>
      <x:c r="F1353" s="3" t="n">
        <x:v>1</x:v>
      </x:c>
    </x:row>
    <x:row r="1354" ht="21" customHeight="1">
      <x:c r="A1354" s="3" t="n">
        <x:v>41</x:v>
      </x:c>
      <x:c r="B1354" s="3" t="n">
        <x:v>4</x:v>
      </x:c>
      <x:c r="C1354" s="3" t="n">
        <x:v>6</x:v>
      </x:c>
      <x:c r="D1354" s="3" t="n">
        <x:v>1</x:v>
      </x:c>
      <x:c r="E1354" s="3" t="n">
        <x:v>1</x:v>
      </x:c>
      <x:c r="F1354" s="3" t="n">
        <x:v>1</x:v>
      </x:c>
    </x:row>
    <x:row r="1355" ht="21" customHeight="1">
      <x:c r="A1355" s="3" t="n">
        <x:v>41</x:v>
      </x:c>
      <x:c r="B1355" s="3" t="n">
        <x:v>5</x:v>
      </x:c>
      <x:c r="C1355" s="3" t="n">
        <x:v>7</x:v>
      </x:c>
      <x:c r="D1355" s="3" t="n">
        <x:v>1</x:v>
      </x:c>
      <x:c r="E1355" s="3" t="n">
        <x:v>2</x:v>
      </x:c>
      <x:c r="F1355" s="3" t="n">
        <x:v>2</x:v>
      </x:c>
    </x:row>
    <x:row r="1356" ht="21" customHeight="1">
      <x:c r="A1356" s="3" t="n">
        <x:v>41</x:v>
      </x:c>
      <x:c r="B1356" s="3" t="n">
        <x:v>6</x:v>
      </x:c>
      <x:c r="C1356" s="3" t="n">
        <x:v>8</x:v>
      </x:c>
      <x:c r="D1356" s="3" t="n">
        <x:v>2</x:v>
      </x:c>
      <x:c r="E1356" s="3" t="n">
        <x:v>2</x:v>
      </x:c>
      <x:c r="F1356" s="3" t="n">
        <x:v>1</x:v>
      </x:c>
    </x:row>
    <x:row r="1357" ht="21" customHeight="1">
      <x:c r="A1357" s="3" t="n">
        <x:v>41</x:v>
      </x:c>
      <x:c r="B1357" s="3" t="n">
        <x:v>7</x:v>
      </x:c>
      <x:c r="C1357" s="3" t="n">
        <x:v>9</x:v>
      </x:c>
      <x:c r="D1357" s="3" t="n">
        <x:v>2</x:v>
      </x:c>
      <x:c r="E1357" s="3" t="n">
        <x:v>2</x:v>
      </x:c>
      <x:c r="F1357" s="3" t="n">
        <x:v>1</x:v>
      </x:c>
    </x:row>
    <x:row r="1358" ht="21" customHeight="1">
      <x:c r="A1358" s="3" t="n">
        <x:v>41</x:v>
      </x:c>
      <x:c r="B1358" s="3" t="n">
        <x:v>8</x:v>
      </x:c>
      <x:c r="C1358" s="3" t="n">
        <x:v>10</x:v>
      </x:c>
      <x:c r="D1358" s="3" t="n">
        <x:v>2</x:v>
      </x:c>
      <x:c r="E1358" s="3" t="n">
        <x:v>2</x:v>
      </x:c>
      <x:c r="F1358" s="3" t="n">
        <x:v>1</x:v>
      </x:c>
    </x:row>
    <x:row r="1359" ht="21" customHeight="1">
      <x:c r="A1359" s="3" t="n">
        <x:v>41</x:v>
      </x:c>
      <x:c r="B1359" s="3" t="n">
        <x:v>9</x:v>
      </x:c>
      <x:c r="C1359" s="3" t="n">
        <x:v>11</x:v>
      </x:c>
      <x:c r="D1359" s="3" t="n">
        <x:v>2</x:v>
      </x:c>
      <x:c r="E1359" s="3" t="n">
        <x:v>2</x:v>
      </x:c>
      <x:c r="F1359" s="3" t="n">
        <x:v>1</x:v>
      </x:c>
    </x:row>
    <x:row r="1360" ht="21" customHeight="1">
      <x:c r="A1360" s="3" t="n">
        <x:v>41</x:v>
      </x:c>
      <x:c r="B1360" s="3" t="n">
        <x:v>10</x:v>
      </x:c>
      <x:c r="C1360" s="3" t="n">
        <x:v>12</x:v>
      </x:c>
      <x:c r="D1360" s="3" t="n">
        <x:v>2</x:v>
      </x:c>
      <x:c r="E1360" s="3" t="n">
        <x:v>2</x:v>
      </x:c>
      <x:c r="F1360" s="3" t="n">
        <x:v>1</x:v>
      </x:c>
    </x:row>
    <x:row r="1361" ht="21" customHeight="1">
      <x:c r="A1361" s="3" t="n">
        <x:v>41</x:v>
      </x:c>
      <x:c r="B1361" s="3" t="n">
        <x:v>11</x:v>
      </x:c>
      <x:c r="C1361" s="3" t="n">
        <x:v>13</x:v>
      </x:c>
      <x:c r="D1361" s="3" t="n">
        <x:v>2</x:v>
      </x:c>
      <x:c r="E1361" s="3" t="n">
        <x:v>3</x:v>
      </x:c>
      <x:c r="F1361" s="3" t="n">
        <x:v>2</x:v>
      </x:c>
    </x:row>
    <x:row r="1362" ht="21" customHeight="1">
      <x:c r="A1362" s="3" t="n">
        <x:v>41</x:v>
      </x:c>
      <x:c r="B1362" s="3" t="n">
        <x:v>12</x:v>
      </x:c>
      <x:c r="C1362" s="3" t="n">
        <x:v>14</x:v>
      </x:c>
      <x:c r="D1362" s="3" t="n">
        <x:v>3</x:v>
      </x:c>
      <x:c r="E1362" s="3" t="n">
        <x:v>3</x:v>
      </x:c>
      <x:c r="F1362" s="3" t="n">
        <x:v>1</x:v>
      </x:c>
    </x:row>
    <x:row r="1363" ht="21" customHeight="1">
      <x:c r="A1363" s="3" t="n">
        <x:v>41</x:v>
      </x:c>
      <x:c r="B1363" s="3" t="n">
        <x:v>13</x:v>
      </x:c>
      <x:c r="C1363" s="3" t="n">
        <x:v>15</x:v>
      </x:c>
      <x:c r="D1363" s="3" t="n">
        <x:v>3</x:v>
      </x:c>
      <x:c r="E1363" s="3" t="n">
        <x:v>3</x:v>
      </x:c>
      <x:c r="F1363" s="3" t="n">
        <x:v>1</x:v>
      </x:c>
    </x:row>
    <x:row r="1364" ht="21" customHeight="1">
      <x:c r="A1364" s="3" t="n">
        <x:v>41</x:v>
      </x:c>
      <x:c r="B1364" s="3" t="n">
        <x:v>14</x:v>
      </x:c>
      <x:c r="C1364" s="3" t="n">
        <x:v>16</x:v>
      </x:c>
      <x:c r="D1364" s="3" t="n">
        <x:v>3</x:v>
      </x:c>
      <x:c r="E1364" s="3" t="n">
        <x:v>3</x:v>
      </x:c>
      <x:c r="F1364" s="3" t="n">
        <x:v>1</x:v>
      </x:c>
    </x:row>
    <x:row r="1365" ht="21" customHeight="1">
      <x:c r="A1365" s="3" t="n">
        <x:v>41</x:v>
      </x:c>
      <x:c r="B1365" s="3" t="n">
        <x:v>15</x:v>
      </x:c>
      <x:c r="C1365" s="3" t="n">
        <x:v>17</x:v>
      </x:c>
      <x:c r="D1365" s="3" t="n">
        <x:v>3</x:v>
      </x:c>
      <x:c r="E1365" s="3" t="n">
        <x:v>3</x:v>
      </x:c>
      <x:c r="F1365" s="3" t="n">
        <x:v>1</x:v>
      </x:c>
    </x:row>
    <x:row r="1366" ht="21" customHeight="1">
      <x:c r="A1366" s="3" t="n">
        <x:v>41</x:v>
      </x:c>
      <x:c r="B1366" s="3" t="n">
        <x:v>16</x:v>
      </x:c>
      <x:c r="C1366" s="3" t="n">
        <x:v>18</x:v>
      </x:c>
      <x:c r="D1366" s="3" t="n">
        <x:v>3</x:v>
      </x:c>
      <x:c r="E1366" s="3" t="n">
        <x:v>3</x:v>
      </x:c>
      <x:c r="F1366" s="3" t="n">
        <x:v>1</x:v>
      </x:c>
    </x:row>
    <x:row r="1367" ht="21" customHeight="1">
      <x:c r="A1367" s="3" t="n">
        <x:v>41</x:v>
      </x:c>
      <x:c r="B1367" s="3" t="n">
        <x:v>17</x:v>
      </x:c>
      <x:c r="C1367" s="3" t="n">
        <x:v>19</x:v>
      </x:c>
      <x:c r="D1367" s="3" t="n">
        <x:v>3</x:v>
      </x:c>
      <x:c r="E1367" s="3" t="n">
        <x:v>4</x:v>
      </x:c>
      <x:c r="F1367" s="3" t="n">
        <x:v>2</x:v>
      </x:c>
    </x:row>
    <x:row r="1368" ht="21" customHeight="1">
      <x:c r="A1368" s="3" t="n">
        <x:v>41</x:v>
      </x:c>
      <x:c r="B1368" s="3" t="n">
        <x:v>18</x:v>
      </x:c>
      <x:c r="C1368" s="3" t="n">
        <x:v>20</x:v>
      </x:c>
      <x:c r="D1368" s="3" t="n">
        <x:v>4</x:v>
      </x:c>
      <x:c r="E1368" s="3" t="n">
        <x:v>4</x:v>
      </x:c>
      <x:c r="F1368" s="3" t="n">
        <x:v>1</x:v>
      </x:c>
    </x:row>
    <x:row r="1369" ht="21" customHeight="1">
      <x:c r="A1369" s="3" t="n">
        <x:v>41</x:v>
      </x:c>
      <x:c r="B1369" s="3" t="n">
        <x:v>19</x:v>
      </x:c>
      <x:c r="C1369" s="3" t="n">
        <x:v>21</x:v>
      </x:c>
      <x:c r="D1369" s="3" t="n">
        <x:v>4</x:v>
      </x:c>
      <x:c r="E1369" s="3" t="n">
        <x:v>4</x:v>
      </x:c>
      <x:c r="F1369" s="3" t="n">
        <x:v>1</x:v>
      </x:c>
    </x:row>
    <x:row r="1370" ht="21" customHeight="1">
      <x:c r="A1370" s="3" t="n">
        <x:v>41</x:v>
      </x:c>
      <x:c r="B1370" s="3" t="n">
        <x:v>20</x:v>
      </x:c>
      <x:c r="C1370" s="3" t="n">
        <x:v>22</x:v>
      </x:c>
      <x:c r="D1370" s="3" t="n">
        <x:v>4</x:v>
      </x:c>
      <x:c r="E1370" s="3" t="n">
        <x:v>4</x:v>
      </x:c>
      <x:c r="F1370" s="3" t="n">
        <x:v>1</x:v>
      </x:c>
    </x:row>
    <x:row r="1371" ht="21" customHeight="1">
      <x:c r="A1371" s="3" t="n">
        <x:v>41</x:v>
      </x:c>
      <x:c r="B1371" s="3" t="n">
        <x:v>21</x:v>
      </x:c>
      <x:c r="C1371" s="3" t="n">
        <x:v>23</x:v>
      </x:c>
      <x:c r="D1371" s="3" t="n">
        <x:v>4</x:v>
      </x:c>
      <x:c r="E1371" s="3" t="n">
        <x:v>4</x:v>
      </x:c>
      <x:c r="F1371" s="3" t="n">
        <x:v>1</x:v>
      </x:c>
    </x:row>
    <x:row r="1372" ht="21" customHeight="1">
      <x:c r="A1372" s="3" t="n">
        <x:v>41</x:v>
      </x:c>
      <x:c r="B1372" s="3" t="n">
        <x:v>22</x:v>
      </x:c>
      <x:c r="C1372" s="3" t="n">
        <x:v>24</x:v>
      </x:c>
      <x:c r="D1372" s="3" t="n">
        <x:v>4</x:v>
      </x:c>
      <x:c r="E1372" s="3" t="n">
        <x:v>4</x:v>
      </x:c>
      <x:c r="F1372" s="3" t="n">
        <x:v>1</x:v>
      </x:c>
    </x:row>
    <x:row r="1373" ht="21" customHeight="1">
      <x:c r="A1373" s="3" t="n">
        <x:v>41</x:v>
      </x:c>
      <x:c r="B1373" s="3" t="n">
        <x:v>23</x:v>
      </x:c>
      <x:c r="C1373" s="3" t="n">
        <x:v>25</x:v>
      </x:c>
      <x:c r="D1373" s="3" t="n">
        <x:v>4</x:v>
      </x:c>
      <x:c r="E1373" s="3" t="n">
        <x:v>5</x:v>
      </x:c>
      <x:c r="F1373" s="3" t="n">
        <x:v>2</x:v>
      </x:c>
    </x:row>
    <x:row r="1374" ht="21" customHeight="1">
      <x:c r="A1374" s="3" t="n">
        <x:v>41</x:v>
      </x:c>
      <x:c r="B1374" s="3" t="n">
        <x:v>24</x:v>
      </x:c>
      <x:c r="C1374" s="3" t="n">
        <x:v>26</x:v>
      </x:c>
      <x:c r="D1374" s="3" t="n">
        <x:v>5</x:v>
      </x:c>
      <x:c r="E1374" s="3" t="n">
        <x:v>5</x:v>
      </x:c>
      <x:c r="F1374" s="3" t="n">
        <x:v>1</x:v>
      </x:c>
    </x:row>
    <x:row r="1375" ht="21" customHeight="1">
      <x:c r="A1375" s="3" t="n">
        <x:v>41</x:v>
      </x:c>
      <x:c r="B1375" s="3" t="n">
        <x:v>25</x:v>
      </x:c>
      <x:c r="C1375" s="3" t="n">
        <x:v>27</x:v>
      </x:c>
      <x:c r="D1375" s="3" t="n">
        <x:v>5</x:v>
      </x:c>
      <x:c r="E1375" s="3" t="n">
        <x:v>5</x:v>
      </x:c>
      <x:c r="F1375" s="3" t="n">
        <x:v>1</x:v>
      </x:c>
    </x:row>
    <x:row r="1376" ht="21" customHeight="1">
      <x:c r="A1376" s="3" t="n">
        <x:v>41</x:v>
      </x:c>
      <x:c r="B1376" s="3" t="n">
        <x:v>26</x:v>
      </x:c>
      <x:c r="C1376" s="3" t="n">
        <x:v>28</x:v>
      </x:c>
      <x:c r="D1376" s="3" t="n">
        <x:v>5</x:v>
      </x:c>
      <x:c r="E1376" s="3" t="n">
        <x:v>5</x:v>
      </x:c>
      <x:c r="F1376" s="3" t="n">
        <x:v>1</x:v>
      </x:c>
    </x:row>
    <x:row r="1377" ht="21" customHeight="1">
      <x:c r="A1377" s="3" t="n">
        <x:v>41</x:v>
      </x:c>
      <x:c r="B1377" s="3" t="n">
        <x:v>27</x:v>
      </x:c>
      <x:c r="C1377" s="3" t="n">
        <x:v>29</x:v>
      </x:c>
      <x:c r="D1377" s="3" t="n">
        <x:v>5</x:v>
      </x:c>
      <x:c r="E1377" s="3" t="n">
        <x:v>5</x:v>
      </x:c>
      <x:c r="F1377" s="3" t="n">
        <x:v>1</x:v>
      </x:c>
    </x:row>
    <x:row r="1378" ht="21" customHeight="1">
      <x:c r="A1378" s="3" t="n">
        <x:v>41</x:v>
      </x:c>
      <x:c r="B1378" s="3" t="n">
        <x:v>28</x:v>
      </x:c>
      <x:c r="C1378" s="3" t="n">
        <x:v>30</x:v>
      </x:c>
      <x:c r="D1378" s="3" t="n">
        <x:v>5</x:v>
      </x:c>
      <x:c r="E1378" s="3" t="n">
        <x:v>5</x:v>
      </x:c>
      <x:c r="F1378" s="3" t="n">
        <x:v>1</x:v>
      </x:c>
    </x:row>
    <x:row r="1379" ht="21" customHeight="1">
      <x:c r="A1379" s="3" t="n">
        <x:v>41</x:v>
      </x:c>
      <x:c r="B1379" s="3" t="n">
        <x:v>29</x:v>
      </x:c>
      <x:c r="C1379" s="3" t="n">
        <x:v>31</x:v>
      </x:c>
      <x:c r="D1379" s="3" t="n">
        <x:v>5</x:v>
      </x:c>
      <x:c r="E1379" s="3" t="n">
        <x:v>6</x:v>
      </x:c>
      <x:c r="F1379" s="3" t="n">
        <x:v>2</x:v>
      </x:c>
    </x:row>
    <x:row r="1380" ht="21" customHeight="1">
      <x:c r="A1380" s="3" t="n">
        <x:v>41</x:v>
      </x:c>
      <x:c r="B1380" s="3" t="n">
        <x:v>30</x:v>
      </x:c>
      <x:c r="C1380" s="3" t="n">
        <x:v>32</x:v>
      </x:c>
      <x:c r="D1380" s="3" t="n">
        <x:v>6</x:v>
      </x:c>
      <x:c r="E1380" s="3" t="n">
        <x:v>6</x:v>
      </x:c>
      <x:c r="F1380" s="3" t="n">
        <x:v>1</x:v>
      </x:c>
    </x:row>
    <x:row r="1381" ht="21" customHeight="1">
      <x:c r="A1381" s="3" t="n">
        <x:v>41</x:v>
      </x:c>
      <x:c r="B1381" s="3" t="n">
        <x:v>31</x:v>
      </x:c>
      <x:c r="C1381" s="3" t="n">
        <x:v>33</x:v>
      </x:c>
      <x:c r="D1381" s="3" t="n">
        <x:v>6</x:v>
      </x:c>
      <x:c r="E1381" s="3" t="n">
        <x:v>6</x:v>
      </x:c>
      <x:c r="F1381" s="3" t="n">
        <x:v>1</x:v>
      </x:c>
    </x:row>
    <x:row r="1382" ht="21" customHeight="1">
      <x:c r="A1382" s="3" t="n">
        <x:v>41</x:v>
      </x:c>
      <x:c r="B1382" s="3" t="n">
        <x:v>32</x:v>
      </x:c>
      <x:c r="C1382" s="3" t="n">
        <x:v>34</x:v>
      </x:c>
      <x:c r="D1382" s="3" t="n">
        <x:v>6</x:v>
      </x:c>
      <x:c r="E1382" s="3" t="n">
        <x:v>6</x:v>
      </x:c>
      <x:c r="F1382" s="3" t="n">
        <x:v>1</x:v>
      </x:c>
    </x:row>
    <x:row r="1383" ht="21" customHeight="1">
      <x:c r="A1383" s="3" t="n">
        <x:v>41</x:v>
      </x:c>
      <x:c r="B1383" s="3" t="n">
        <x:v>33</x:v>
      </x:c>
      <x:c r="C1383" s="3" t="n">
        <x:v>35</x:v>
      </x:c>
      <x:c r="D1383" s="3" t="n">
        <x:v>6</x:v>
      </x:c>
      <x:c r="E1383" s="3" t="n">
        <x:v>6</x:v>
      </x:c>
      <x:c r="F1383" s="3" t="n">
        <x:v>1</x:v>
      </x:c>
    </x:row>
    <x:row r="1384" ht="21" customHeight="1">
      <x:c r="A1384" s="3" t="n">
        <x:v>41</x:v>
      </x:c>
      <x:c r="B1384" s="3" t="n">
        <x:v>34</x:v>
      </x:c>
      <x:c r="C1384" s="3" t="n">
        <x:v>36</x:v>
      </x:c>
      <x:c r="D1384" s="3" t="n">
        <x:v>6</x:v>
      </x:c>
      <x:c r="E1384" s="3" t="n">
        <x:v>6</x:v>
      </x:c>
      <x:c r="F1384" s="3" t="n">
        <x:v>1</x:v>
      </x:c>
    </x:row>
    <x:row r="1385" ht="21" customHeight="1">
      <x:c r="A1385" s="3" t="n">
        <x:v>42</x:v>
      </x:c>
      <x:c r="B1385" s="3" t="n">
        <x:v>0</x:v>
      </x:c>
      <x:c r="C1385" s="3" t="n">
        <x:v>3</x:v>
      </x:c>
      <x:c r="D1385" s="3" t="n">
        <x:v>1</x:v>
      </x:c>
      <x:c r="E1385" s="3" t="n">
        <x:v>1</x:v>
      </x:c>
      <x:c r="F1385" s="3" t="n">
        <x:v>1</x:v>
      </x:c>
    </x:row>
    <x:row r="1386" ht="21" customHeight="1">
      <x:c r="A1386" s="3" t="n">
        <x:v>42</x:v>
      </x:c>
      <x:c r="B1386" s="3" t="n">
        <x:v>1</x:v>
      </x:c>
      <x:c r="C1386" s="3" t="n">
        <x:v>4</x:v>
      </x:c>
      <x:c r="D1386" s="3" t="n">
        <x:v>1</x:v>
      </x:c>
      <x:c r="E1386" s="3" t="n">
        <x:v>1</x:v>
      </x:c>
      <x:c r="F1386" s="3" t="n">
        <x:v>1</x:v>
      </x:c>
    </x:row>
    <x:row r="1387" ht="21" customHeight="1">
      <x:c r="A1387" s="3" t="n">
        <x:v>42</x:v>
      </x:c>
      <x:c r="B1387" s="3" t="n">
        <x:v>2</x:v>
      </x:c>
      <x:c r="C1387" s="3" t="n">
        <x:v>5</x:v>
      </x:c>
      <x:c r="D1387" s="3" t="n">
        <x:v>1</x:v>
      </x:c>
      <x:c r="E1387" s="3" t="n">
        <x:v>1</x:v>
      </x:c>
      <x:c r="F1387" s="3" t="n">
        <x:v>1</x:v>
      </x:c>
    </x:row>
    <x:row r="1388" ht="21" customHeight="1">
      <x:c r="A1388" s="3" t="n">
        <x:v>42</x:v>
      </x:c>
      <x:c r="B1388" s="3" t="n">
        <x:v>3</x:v>
      </x:c>
      <x:c r="C1388" s="3" t="n">
        <x:v>6</x:v>
      </x:c>
      <x:c r="D1388" s="3" t="n">
        <x:v>1</x:v>
      </x:c>
      <x:c r="E1388" s="3" t="n">
        <x:v>1</x:v>
      </x:c>
      <x:c r="F1388" s="3" t="n">
        <x:v>1</x:v>
      </x:c>
    </x:row>
    <x:row r="1389" ht="21" customHeight="1">
      <x:c r="A1389" s="3" t="n">
        <x:v>42</x:v>
      </x:c>
      <x:c r="B1389" s="3" t="n">
        <x:v>4</x:v>
      </x:c>
      <x:c r="C1389" s="3" t="n">
        <x:v>7</x:v>
      </x:c>
      <x:c r="D1389" s="3" t="n">
        <x:v>1</x:v>
      </x:c>
      <x:c r="E1389" s="3" t="n">
        <x:v>2</x:v>
      </x:c>
      <x:c r="F1389" s="3" t="n">
        <x:v>2</x:v>
      </x:c>
    </x:row>
    <x:row r="1390" ht="21" customHeight="1">
      <x:c r="A1390" s="3" t="n">
        <x:v>42</x:v>
      </x:c>
      <x:c r="B1390" s="3" t="n">
        <x:v>5</x:v>
      </x:c>
      <x:c r="C1390" s="3" t="n">
        <x:v>8</x:v>
      </x:c>
      <x:c r="D1390" s="3" t="n">
        <x:v>1</x:v>
      </x:c>
      <x:c r="E1390" s="3" t="n">
        <x:v>2</x:v>
      </x:c>
      <x:c r="F1390" s="3" t="n">
        <x:v>2</x:v>
      </x:c>
    </x:row>
    <x:row r="1391" ht="21" customHeight="1">
      <x:c r="A1391" s="3" t="n">
        <x:v>42</x:v>
      </x:c>
      <x:c r="B1391" s="3" t="n">
        <x:v>6</x:v>
      </x:c>
      <x:c r="C1391" s="3" t="n">
        <x:v>9</x:v>
      </x:c>
      <x:c r="D1391" s="3" t="n">
        <x:v>2</x:v>
      </x:c>
      <x:c r="E1391" s="3" t="n">
        <x:v>2</x:v>
      </x:c>
      <x:c r="F1391" s="3" t="n">
        <x:v>1</x:v>
      </x:c>
    </x:row>
    <x:row r="1392" ht="21" customHeight="1">
      <x:c r="A1392" s="3" t="n">
        <x:v>42</x:v>
      </x:c>
      <x:c r="B1392" s="3" t="n">
        <x:v>7</x:v>
      </x:c>
      <x:c r="C1392" s="3" t="n">
        <x:v>10</x:v>
      </x:c>
      <x:c r="D1392" s="3" t="n">
        <x:v>2</x:v>
      </x:c>
      <x:c r="E1392" s="3" t="n">
        <x:v>2</x:v>
      </x:c>
      <x:c r="F1392" s="3" t="n">
        <x:v>1</x:v>
      </x:c>
    </x:row>
    <x:row r="1393" ht="21" customHeight="1">
      <x:c r="A1393" s="3" t="n">
        <x:v>42</x:v>
      </x:c>
      <x:c r="B1393" s="3" t="n">
        <x:v>8</x:v>
      </x:c>
      <x:c r="C1393" s="3" t="n">
        <x:v>11</x:v>
      </x:c>
      <x:c r="D1393" s="3" t="n">
        <x:v>2</x:v>
      </x:c>
      <x:c r="E1393" s="3" t="n">
        <x:v>2</x:v>
      </x:c>
      <x:c r="F1393" s="3" t="n">
        <x:v>1</x:v>
      </x:c>
    </x:row>
    <x:row r="1394" ht="21" customHeight="1">
      <x:c r="A1394" s="3" t="n">
        <x:v>42</x:v>
      </x:c>
      <x:c r="B1394" s="3" t="n">
        <x:v>9</x:v>
      </x:c>
      <x:c r="C1394" s="3" t="n">
        <x:v>12</x:v>
      </x:c>
      <x:c r="D1394" s="3" t="n">
        <x:v>2</x:v>
      </x:c>
      <x:c r="E1394" s="3" t="n">
        <x:v>2</x:v>
      </x:c>
      <x:c r="F1394" s="3" t="n">
        <x:v>1</x:v>
      </x:c>
    </x:row>
    <x:row r="1395" ht="21" customHeight="1">
      <x:c r="A1395" s="3" t="n">
        <x:v>42</x:v>
      </x:c>
      <x:c r="B1395" s="3" t="n">
        <x:v>10</x:v>
      </x:c>
      <x:c r="C1395" s="3" t="n">
        <x:v>13</x:v>
      </x:c>
      <x:c r="D1395" s="3" t="n">
        <x:v>2</x:v>
      </x:c>
      <x:c r="E1395" s="3" t="n">
        <x:v>3</x:v>
      </x:c>
      <x:c r="F1395" s="3" t="n">
        <x:v>2</x:v>
      </x:c>
    </x:row>
    <x:row r="1396" ht="21" customHeight="1">
      <x:c r="A1396" s="3" t="n">
        <x:v>42</x:v>
      </x:c>
      <x:c r="B1396" s="3" t="n">
        <x:v>11</x:v>
      </x:c>
      <x:c r="C1396" s="3" t="n">
        <x:v>14</x:v>
      </x:c>
      <x:c r="D1396" s="3" t="n">
        <x:v>2</x:v>
      </x:c>
      <x:c r="E1396" s="3" t="n">
        <x:v>3</x:v>
      </x:c>
      <x:c r="F1396" s="3" t="n">
        <x:v>2</x:v>
      </x:c>
    </x:row>
    <x:row r="1397" ht="21" customHeight="1">
      <x:c r="A1397" s="3" t="n">
        <x:v>42</x:v>
      </x:c>
      <x:c r="B1397" s="3" t="n">
        <x:v>12</x:v>
      </x:c>
      <x:c r="C1397" s="3" t="n">
        <x:v>15</x:v>
      </x:c>
      <x:c r="D1397" s="3" t="n">
        <x:v>3</x:v>
      </x:c>
      <x:c r="E1397" s="3" t="n">
        <x:v>3</x:v>
      </x:c>
      <x:c r="F1397" s="3" t="n">
        <x:v>1</x:v>
      </x:c>
    </x:row>
    <x:row r="1398" ht="21" customHeight="1">
      <x:c r="A1398" s="3" t="n">
        <x:v>42</x:v>
      </x:c>
      <x:c r="B1398" s="3" t="n">
        <x:v>13</x:v>
      </x:c>
      <x:c r="C1398" s="3" t="n">
        <x:v>16</x:v>
      </x:c>
      <x:c r="D1398" s="3" t="n">
        <x:v>3</x:v>
      </x:c>
      <x:c r="E1398" s="3" t="n">
        <x:v>3</x:v>
      </x:c>
      <x:c r="F1398" s="3" t="n">
        <x:v>1</x:v>
      </x:c>
    </x:row>
    <x:row r="1399" ht="21" customHeight="1">
      <x:c r="A1399" s="3" t="n">
        <x:v>42</x:v>
      </x:c>
      <x:c r="B1399" s="3" t="n">
        <x:v>14</x:v>
      </x:c>
      <x:c r="C1399" s="3" t="n">
        <x:v>17</x:v>
      </x:c>
      <x:c r="D1399" s="3" t="n">
        <x:v>3</x:v>
      </x:c>
      <x:c r="E1399" s="3" t="n">
        <x:v>3</x:v>
      </x:c>
      <x:c r="F1399" s="3" t="n">
        <x:v>1</x:v>
      </x:c>
    </x:row>
    <x:row r="1400" ht="21" customHeight="1">
      <x:c r="A1400" s="3" t="n">
        <x:v>42</x:v>
      </x:c>
      <x:c r="B1400" s="3" t="n">
        <x:v>15</x:v>
      </x:c>
      <x:c r="C1400" s="3" t="n">
        <x:v>18</x:v>
      </x:c>
      <x:c r="D1400" s="3" t="n">
        <x:v>3</x:v>
      </x:c>
      <x:c r="E1400" s="3" t="n">
        <x:v>3</x:v>
      </x:c>
      <x:c r="F1400" s="3" t="n">
        <x:v>1</x:v>
      </x:c>
    </x:row>
    <x:row r="1401" ht="21" customHeight="1">
      <x:c r="A1401" s="3" t="n">
        <x:v>42</x:v>
      </x:c>
      <x:c r="B1401" s="3" t="n">
        <x:v>16</x:v>
      </x:c>
      <x:c r="C1401" s="3" t="n">
        <x:v>19</x:v>
      </x:c>
      <x:c r="D1401" s="3" t="n">
        <x:v>3</x:v>
      </x:c>
      <x:c r="E1401" s="3" t="n">
        <x:v>4</x:v>
      </x:c>
      <x:c r="F1401" s="3" t="n">
        <x:v>2</x:v>
      </x:c>
    </x:row>
    <x:row r="1402" ht="21" customHeight="1">
      <x:c r="A1402" s="3" t="n">
        <x:v>42</x:v>
      </x:c>
      <x:c r="B1402" s="3" t="n">
        <x:v>17</x:v>
      </x:c>
      <x:c r="C1402" s="3" t="n">
        <x:v>20</x:v>
      </x:c>
      <x:c r="D1402" s="3" t="n">
        <x:v>3</x:v>
      </x:c>
      <x:c r="E1402" s="3" t="n">
        <x:v>4</x:v>
      </x:c>
      <x:c r="F1402" s="3" t="n">
        <x:v>2</x:v>
      </x:c>
    </x:row>
    <x:row r="1403" ht="21" customHeight="1">
      <x:c r="A1403" s="3" t="n">
        <x:v>42</x:v>
      </x:c>
      <x:c r="B1403" s="3" t="n">
        <x:v>18</x:v>
      </x:c>
      <x:c r="C1403" s="3" t="n">
        <x:v>21</x:v>
      </x:c>
      <x:c r="D1403" s="3" t="n">
        <x:v>4</x:v>
      </x:c>
      <x:c r="E1403" s="3" t="n">
        <x:v>4</x:v>
      </x:c>
      <x:c r="F1403" s="3" t="n">
        <x:v>1</x:v>
      </x:c>
    </x:row>
    <x:row r="1404" ht="21" customHeight="1">
      <x:c r="A1404" s="3" t="n">
        <x:v>42</x:v>
      </x:c>
      <x:c r="B1404" s="3" t="n">
        <x:v>19</x:v>
      </x:c>
      <x:c r="C1404" s="3" t="n">
        <x:v>22</x:v>
      </x:c>
      <x:c r="D1404" s="3" t="n">
        <x:v>4</x:v>
      </x:c>
      <x:c r="E1404" s="3" t="n">
        <x:v>4</x:v>
      </x:c>
      <x:c r="F1404" s="3" t="n">
        <x:v>1</x:v>
      </x:c>
    </x:row>
    <x:row r="1405" ht="21" customHeight="1">
      <x:c r="A1405" s="3" t="n">
        <x:v>42</x:v>
      </x:c>
      <x:c r="B1405" s="3" t="n">
        <x:v>20</x:v>
      </x:c>
      <x:c r="C1405" s="3" t="n">
        <x:v>23</x:v>
      </x:c>
      <x:c r="D1405" s="3" t="n">
        <x:v>4</x:v>
      </x:c>
      <x:c r="E1405" s="3" t="n">
        <x:v>4</x:v>
      </x:c>
      <x:c r="F1405" s="3" t="n">
        <x:v>1</x:v>
      </x:c>
    </x:row>
    <x:row r="1406" ht="21" customHeight="1">
      <x:c r="A1406" s="3" t="n">
        <x:v>42</x:v>
      </x:c>
      <x:c r="B1406" s="3" t="n">
        <x:v>21</x:v>
      </x:c>
      <x:c r="C1406" s="3" t="n">
        <x:v>24</x:v>
      </x:c>
      <x:c r="D1406" s="3" t="n">
        <x:v>4</x:v>
      </x:c>
      <x:c r="E1406" s="3" t="n">
        <x:v>4</x:v>
      </x:c>
      <x:c r="F1406" s="3" t="n">
        <x:v>1</x:v>
      </x:c>
    </x:row>
    <x:row r="1407" ht="21" customHeight="1">
      <x:c r="A1407" s="3" t="n">
        <x:v>42</x:v>
      </x:c>
      <x:c r="B1407" s="3" t="n">
        <x:v>22</x:v>
      </x:c>
      <x:c r="C1407" s="3" t="n">
        <x:v>25</x:v>
      </x:c>
      <x:c r="D1407" s="3" t="n">
        <x:v>4</x:v>
      </x:c>
      <x:c r="E1407" s="3" t="n">
        <x:v>5</x:v>
      </x:c>
      <x:c r="F1407" s="3" t="n">
        <x:v>2</x:v>
      </x:c>
    </x:row>
    <x:row r="1408" ht="21" customHeight="1">
      <x:c r="A1408" s="3" t="n">
        <x:v>42</x:v>
      </x:c>
      <x:c r="B1408" s="3" t="n">
        <x:v>23</x:v>
      </x:c>
      <x:c r="C1408" s="3" t="n">
        <x:v>26</x:v>
      </x:c>
      <x:c r="D1408" s="3" t="n">
        <x:v>4</x:v>
      </x:c>
      <x:c r="E1408" s="3" t="n">
        <x:v>5</x:v>
      </x:c>
      <x:c r="F1408" s="3" t="n">
        <x:v>2</x:v>
      </x:c>
    </x:row>
    <x:row r="1409" ht="21" customHeight="1">
      <x:c r="A1409" s="3" t="n">
        <x:v>42</x:v>
      </x:c>
      <x:c r="B1409" s="3" t="n">
        <x:v>24</x:v>
      </x:c>
      <x:c r="C1409" s="3" t="n">
        <x:v>27</x:v>
      </x:c>
      <x:c r="D1409" s="3" t="n">
        <x:v>5</x:v>
      </x:c>
      <x:c r="E1409" s="3" t="n">
        <x:v>5</x:v>
      </x:c>
      <x:c r="F1409" s="3" t="n">
        <x:v>1</x:v>
      </x:c>
    </x:row>
    <x:row r="1410" ht="21" customHeight="1">
      <x:c r="A1410" s="3" t="n">
        <x:v>42</x:v>
      </x:c>
      <x:c r="B1410" s="3" t="n">
        <x:v>25</x:v>
      </x:c>
      <x:c r="C1410" s="3" t="n">
        <x:v>28</x:v>
      </x:c>
      <x:c r="D1410" s="3" t="n">
        <x:v>5</x:v>
      </x:c>
      <x:c r="E1410" s="3" t="n">
        <x:v>5</x:v>
      </x:c>
      <x:c r="F1410" s="3" t="n">
        <x:v>1</x:v>
      </x:c>
    </x:row>
    <x:row r="1411" ht="21" customHeight="1">
      <x:c r="A1411" s="3" t="n">
        <x:v>42</x:v>
      </x:c>
      <x:c r="B1411" s="3" t="n">
        <x:v>26</x:v>
      </x:c>
      <x:c r="C1411" s="3" t="n">
        <x:v>29</x:v>
      </x:c>
      <x:c r="D1411" s="3" t="n">
        <x:v>5</x:v>
      </x:c>
      <x:c r="E1411" s="3" t="n">
        <x:v>5</x:v>
      </x:c>
      <x:c r="F1411" s="3" t="n">
        <x:v>1</x:v>
      </x:c>
    </x:row>
    <x:row r="1412" ht="21" customHeight="1">
      <x:c r="A1412" s="3" t="n">
        <x:v>42</x:v>
      </x:c>
      <x:c r="B1412" s="3" t="n">
        <x:v>27</x:v>
      </x:c>
      <x:c r="C1412" s="3" t="n">
        <x:v>30</x:v>
      </x:c>
      <x:c r="D1412" s="3" t="n">
        <x:v>5</x:v>
      </x:c>
      <x:c r="E1412" s="3" t="n">
        <x:v>5</x:v>
      </x:c>
      <x:c r="F1412" s="3" t="n">
        <x:v>1</x:v>
      </x:c>
    </x:row>
    <x:row r="1413" ht="21" customHeight="1">
      <x:c r="A1413" s="3" t="n">
        <x:v>42</x:v>
      </x:c>
      <x:c r="B1413" s="3" t="n">
        <x:v>28</x:v>
      </x:c>
      <x:c r="C1413" s="3" t="n">
        <x:v>31</x:v>
      </x:c>
      <x:c r="D1413" s="3" t="n">
        <x:v>5</x:v>
      </x:c>
      <x:c r="E1413" s="3" t="n">
        <x:v>6</x:v>
      </x:c>
      <x:c r="F1413" s="3" t="n">
        <x:v>2</x:v>
      </x:c>
    </x:row>
    <x:row r="1414" ht="21" customHeight="1">
      <x:c r="A1414" s="3" t="n">
        <x:v>42</x:v>
      </x:c>
      <x:c r="B1414" s="3" t="n">
        <x:v>29</x:v>
      </x:c>
      <x:c r="C1414" s="3" t="n">
        <x:v>32</x:v>
      </x:c>
      <x:c r="D1414" s="3" t="n">
        <x:v>5</x:v>
      </x:c>
      <x:c r="E1414" s="3" t="n">
        <x:v>6</x:v>
      </x:c>
      <x:c r="F1414" s="3" t="n">
        <x:v>2</x:v>
      </x:c>
    </x:row>
    <x:row r="1415" ht="21" customHeight="1">
      <x:c r="A1415" s="3" t="n">
        <x:v>42</x:v>
      </x:c>
      <x:c r="B1415" s="3" t="n">
        <x:v>30</x:v>
      </x:c>
      <x:c r="C1415" s="3" t="n">
        <x:v>33</x:v>
      </x:c>
      <x:c r="D1415" s="3" t="n">
        <x:v>6</x:v>
      </x:c>
      <x:c r="E1415" s="3" t="n">
        <x:v>6</x:v>
      </x:c>
      <x:c r="F1415" s="3" t="n">
        <x:v>1</x:v>
      </x:c>
    </x:row>
    <x:row r="1416" ht="21" customHeight="1">
      <x:c r="A1416" s="3" t="n">
        <x:v>42</x:v>
      </x:c>
      <x:c r="B1416" s="3" t="n">
        <x:v>31</x:v>
      </x:c>
      <x:c r="C1416" s="3" t="n">
        <x:v>34</x:v>
      </x:c>
      <x:c r="D1416" s="3" t="n">
        <x:v>6</x:v>
      </x:c>
      <x:c r="E1416" s="3" t="n">
        <x:v>6</x:v>
      </x:c>
      <x:c r="F1416" s="3" t="n">
        <x:v>1</x:v>
      </x:c>
    </x:row>
    <x:row r="1417" ht="21" customHeight="1">
      <x:c r="A1417" s="3" t="n">
        <x:v>42</x:v>
      </x:c>
      <x:c r="B1417" s="3" t="n">
        <x:v>32</x:v>
      </x:c>
      <x:c r="C1417" s="3" t="n">
        <x:v>35</x:v>
      </x:c>
      <x:c r="D1417" s="3" t="n">
        <x:v>6</x:v>
      </x:c>
      <x:c r="E1417" s="3" t="n">
        <x:v>6</x:v>
      </x:c>
      <x:c r="F1417" s="3" t="n">
        <x:v>1</x:v>
      </x:c>
    </x:row>
    <x:row r="1418" ht="21" customHeight="1">
      <x:c r="A1418" s="3" t="n">
        <x:v>42</x:v>
      </x:c>
      <x:c r="B1418" s="3" t="n">
        <x:v>33</x:v>
      </x:c>
      <x:c r="C1418" s="3" t="n">
        <x:v>36</x:v>
      </x:c>
      <x:c r="D1418" s="3" t="n">
        <x:v>6</x:v>
      </x:c>
      <x:c r="E1418" s="3" t="n">
        <x:v>6</x:v>
      </x:c>
      <x:c r="F1418" s="3" t="n">
        <x:v>1</x:v>
      </x:c>
    </x:row>
    <x:row r="1419" ht="21" customHeight="1">
      <x:c r="A1419" s="3" t="n">
        <x:v>43</x:v>
      </x:c>
      <x:c r="B1419" s="3" t="n">
        <x:v>0</x:v>
      </x:c>
      <x:c r="C1419" s="3" t="n">
        <x:v>3</x:v>
      </x:c>
      <x:c r="D1419" s="3" t="n">
        <x:v>1</x:v>
      </x:c>
      <x:c r="E1419" s="3" t="n">
        <x:v>1</x:v>
      </x:c>
      <x:c r="F1419" s="3" t="n">
        <x:v>1</x:v>
      </x:c>
    </x:row>
    <x:row r="1420" ht="21" customHeight="1">
      <x:c r="A1420" s="3" t="n">
        <x:v>43</x:v>
      </x:c>
      <x:c r="B1420" s="3" t="n">
        <x:v>1</x:v>
      </x:c>
      <x:c r="C1420" s="3" t="n">
        <x:v>4</x:v>
      </x:c>
      <x:c r="D1420" s="3" t="n">
        <x:v>1</x:v>
      </x:c>
      <x:c r="E1420" s="3" t="n">
        <x:v>1</x:v>
      </x:c>
      <x:c r="F1420" s="3" t="n">
        <x:v>1</x:v>
      </x:c>
    </x:row>
    <x:row r="1421" ht="21" customHeight="1">
      <x:c r="A1421" s="3" t="n">
        <x:v>43</x:v>
      </x:c>
      <x:c r="B1421" s="3" t="n">
        <x:v>2</x:v>
      </x:c>
      <x:c r="C1421" s="3" t="n">
        <x:v>5</x:v>
      </x:c>
      <x:c r="D1421" s="3" t="n">
        <x:v>1</x:v>
      </x:c>
      <x:c r="E1421" s="3" t="n">
        <x:v>1</x:v>
      </x:c>
      <x:c r="F1421" s="3" t="n">
        <x:v>1</x:v>
      </x:c>
    </x:row>
    <x:row r="1422" ht="21" customHeight="1">
      <x:c r="A1422" s="3" t="n">
        <x:v>43</x:v>
      </x:c>
      <x:c r="B1422" s="3" t="n">
        <x:v>3</x:v>
      </x:c>
      <x:c r="C1422" s="3" t="n">
        <x:v>6</x:v>
      </x:c>
      <x:c r="D1422" s="3" t="n">
        <x:v>1</x:v>
      </x:c>
      <x:c r="E1422" s="3" t="n">
        <x:v>1</x:v>
      </x:c>
      <x:c r="F1422" s="3" t="n">
        <x:v>1</x:v>
      </x:c>
    </x:row>
    <x:row r="1423" ht="21" customHeight="1">
      <x:c r="A1423" s="3" t="n">
        <x:v>43</x:v>
      </x:c>
      <x:c r="B1423" s="3" t="n">
        <x:v>4</x:v>
      </x:c>
      <x:c r="C1423" s="3" t="n">
        <x:v>7</x:v>
      </x:c>
      <x:c r="D1423" s="3" t="n">
        <x:v>1</x:v>
      </x:c>
      <x:c r="E1423" s="3" t="n">
        <x:v>2</x:v>
      </x:c>
      <x:c r="F1423" s="3" t="n">
        <x:v>2</x:v>
      </x:c>
    </x:row>
    <x:row r="1424" ht="21" customHeight="1">
      <x:c r="A1424" s="3" t="n">
        <x:v>43</x:v>
      </x:c>
      <x:c r="B1424" s="3" t="n">
        <x:v>5</x:v>
      </x:c>
      <x:c r="C1424" s="3" t="n">
        <x:v>8</x:v>
      </x:c>
      <x:c r="D1424" s="3" t="n">
        <x:v>1</x:v>
      </x:c>
      <x:c r="E1424" s="3" t="n">
        <x:v>2</x:v>
      </x:c>
      <x:c r="F1424" s="3" t="n">
        <x:v>2</x:v>
      </x:c>
    </x:row>
    <x:row r="1425" ht="21" customHeight="1">
      <x:c r="A1425" s="3" t="n">
        <x:v>43</x:v>
      </x:c>
      <x:c r="B1425" s="3" t="n">
        <x:v>6</x:v>
      </x:c>
      <x:c r="C1425" s="3" t="n">
        <x:v>9</x:v>
      </x:c>
      <x:c r="D1425" s="3" t="n">
        <x:v>2</x:v>
      </x:c>
      <x:c r="E1425" s="3" t="n">
        <x:v>2</x:v>
      </x:c>
      <x:c r="F1425" s="3" t="n">
        <x:v>1</x:v>
      </x:c>
    </x:row>
    <x:row r="1426" ht="21" customHeight="1">
      <x:c r="A1426" s="3" t="n">
        <x:v>43</x:v>
      </x:c>
      <x:c r="B1426" s="3" t="n">
        <x:v>7</x:v>
      </x:c>
      <x:c r="C1426" s="3" t="n">
        <x:v>10</x:v>
      </x:c>
      <x:c r="D1426" s="3" t="n">
        <x:v>2</x:v>
      </x:c>
      <x:c r="E1426" s="3" t="n">
        <x:v>2</x:v>
      </x:c>
      <x:c r="F1426" s="3" t="n">
        <x:v>1</x:v>
      </x:c>
    </x:row>
    <x:row r="1427" ht="21" customHeight="1">
      <x:c r="A1427" s="3" t="n">
        <x:v>43</x:v>
      </x:c>
      <x:c r="B1427" s="3" t="n">
        <x:v>8</x:v>
      </x:c>
      <x:c r="C1427" s="3" t="n">
        <x:v>11</x:v>
      </x:c>
      <x:c r="D1427" s="3" t="n">
        <x:v>2</x:v>
      </x:c>
      <x:c r="E1427" s="3" t="n">
        <x:v>2</x:v>
      </x:c>
      <x:c r="F1427" s="3" t="n">
        <x:v>1</x:v>
      </x:c>
    </x:row>
    <x:row r="1428" ht="21" customHeight="1">
      <x:c r="A1428" s="3" t="n">
        <x:v>43</x:v>
      </x:c>
      <x:c r="B1428" s="3" t="n">
        <x:v>9</x:v>
      </x:c>
      <x:c r="C1428" s="3" t="n">
        <x:v>12</x:v>
      </x:c>
      <x:c r="D1428" s="3" t="n">
        <x:v>2</x:v>
      </x:c>
      <x:c r="E1428" s="3" t="n">
        <x:v>2</x:v>
      </x:c>
      <x:c r="F1428" s="3" t="n">
        <x:v>1</x:v>
      </x:c>
    </x:row>
    <x:row r="1429" ht="21" customHeight="1">
      <x:c r="A1429" s="3" t="n">
        <x:v>43</x:v>
      </x:c>
      <x:c r="B1429" s="3" t="n">
        <x:v>10</x:v>
      </x:c>
      <x:c r="C1429" s="3" t="n">
        <x:v>13</x:v>
      </x:c>
      <x:c r="D1429" s="3" t="n">
        <x:v>2</x:v>
      </x:c>
      <x:c r="E1429" s="3" t="n">
        <x:v>3</x:v>
      </x:c>
      <x:c r="F1429" s="3" t="n">
        <x:v>2</x:v>
      </x:c>
    </x:row>
    <x:row r="1430" ht="21" customHeight="1">
      <x:c r="A1430" s="3" t="n">
        <x:v>43</x:v>
      </x:c>
      <x:c r="B1430" s="3" t="n">
        <x:v>11</x:v>
      </x:c>
      <x:c r="C1430" s="3" t="n">
        <x:v>14</x:v>
      </x:c>
      <x:c r="D1430" s="3" t="n">
        <x:v>2</x:v>
      </x:c>
      <x:c r="E1430" s="3" t="n">
        <x:v>3</x:v>
      </x:c>
      <x:c r="F1430" s="3" t="n">
        <x:v>2</x:v>
      </x:c>
    </x:row>
    <x:row r="1431" ht="21" customHeight="1">
      <x:c r="A1431" s="3" t="n">
        <x:v>43</x:v>
      </x:c>
      <x:c r="B1431" s="3" t="n">
        <x:v>12</x:v>
      </x:c>
      <x:c r="C1431" s="3" t="n">
        <x:v>15</x:v>
      </x:c>
      <x:c r="D1431" s="3" t="n">
        <x:v>3</x:v>
      </x:c>
      <x:c r="E1431" s="3" t="n">
        <x:v>3</x:v>
      </x:c>
      <x:c r="F1431" s="3" t="n">
        <x:v>1</x:v>
      </x:c>
    </x:row>
    <x:row r="1432" ht="21" customHeight="1">
      <x:c r="A1432" s="3" t="n">
        <x:v>43</x:v>
      </x:c>
      <x:c r="B1432" s="3" t="n">
        <x:v>13</x:v>
      </x:c>
      <x:c r="C1432" s="3" t="n">
        <x:v>16</x:v>
      </x:c>
      <x:c r="D1432" s="3" t="n">
        <x:v>3</x:v>
      </x:c>
      <x:c r="E1432" s="3" t="n">
        <x:v>3</x:v>
      </x:c>
      <x:c r="F1432" s="3" t="n">
        <x:v>1</x:v>
      </x:c>
    </x:row>
    <x:row r="1433" ht="21" customHeight="1">
      <x:c r="A1433" s="3" t="n">
        <x:v>43</x:v>
      </x:c>
      <x:c r="B1433" s="3" t="n">
        <x:v>14</x:v>
      </x:c>
      <x:c r="C1433" s="3" t="n">
        <x:v>17</x:v>
      </x:c>
      <x:c r="D1433" s="3" t="n">
        <x:v>3</x:v>
      </x:c>
      <x:c r="E1433" s="3" t="n">
        <x:v>3</x:v>
      </x:c>
      <x:c r="F1433" s="3" t="n">
        <x:v>1</x:v>
      </x:c>
    </x:row>
    <x:row r="1434" ht="21" customHeight="1">
      <x:c r="A1434" s="3" t="n">
        <x:v>43</x:v>
      </x:c>
      <x:c r="B1434" s="3" t="n">
        <x:v>15</x:v>
      </x:c>
      <x:c r="C1434" s="3" t="n">
        <x:v>18</x:v>
      </x:c>
      <x:c r="D1434" s="3" t="n">
        <x:v>3</x:v>
      </x:c>
      <x:c r="E1434" s="3" t="n">
        <x:v>3</x:v>
      </x:c>
      <x:c r="F1434" s="3" t="n">
        <x:v>1</x:v>
      </x:c>
    </x:row>
    <x:row r="1435" ht="21" customHeight="1">
      <x:c r="A1435" s="3" t="n">
        <x:v>43</x:v>
      </x:c>
      <x:c r="B1435" s="3" t="n">
        <x:v>16</x:v>
      </x:c>
      <x:c r="C1435" s="3" t="n">
        <x:v>19</x:v>
      </x:c>
      <x:c r="D1435" s="3" t="n">
        <x:v>3</x:v>
      </x:c>
      <x:c r="E1435" s="3" t="n">
        <x:v>4</x:v>
      </x:c>
      <x:c r="F1435" s="3" t="n">
        <x:v>2</x:v>
      </x:c>
    </x:row>
    <x:row r="1436" ht="21" customHeight="1">
      <x:c r="A1436" s="3" t="n">
        <x:v>43</x:v>
      </x:c>
      <x:c r="B1436" s="3" t="n">
        <x:v>17</x:v>
      </x:c>
      <x:c r="C1436" s="3" t="n">
        <x:v>20</x:v>
      </x:c>
      <x:c r="D1436" s="3" t="n">
        <x:v>3</x:v>
      </x:c>
      <x:c r="E1436" s="3" t="n">
        <x:v>4</x:v>
      </x:c>
      <x:c r="F1436" s="3" t="n">
        <x:v>2</x:v>
      </x:c>
    </x:row>
    <x:row r="1437" ht="21" customHeight="1">
      <x:c r="A1437" s="3" t="n">
        <x:v>43</x:v>
      </x:c>
      <x:c r="B1437" s="3" t="n">
        <x:v>18</x:v>
      </x:c>
      <x:c r="C1437" s="3" t="n">
        <x:v>21</x:v>
      </x:c>
      <x:c r="D1437" s="3" t="n">
        <x:v>4</x:v>
      </x:c>
      <x:c r="E1437" s="3" t="n">
        <x:v>4</x:v>
      </x:c>
      <x:c r="F1437" s="3" t="n">
        <x:v>1</x:v>
      </x:c>
    </x:row>
    <x:row r="1438" ht="21" customHeight="1">
      <x:c r="A1438" s="3" t="n">
        <x:v>43</x:v>
      </x:c>
      <x:c r="B1438" s="3" t="n">
        <x:v>19</x:v>
      </x:c>
      <x:c r="C1438" s="3" t="n">
        <x:v>22</x:v>
      </x:c>
      <x:c r="D1438" s="3" t="n">
        <x:v>4</x:v>
      </x:c>
      <x:c r="E1438" s="3" t="n">
        <x:v>4</x:v>
      </x:c>
      <x:c r="F1438" s="3" t="n">
        <x:v>1</x:v>
      </x:c>
    </x:row>
    <x:row r="1439" ht="21" customHeight="1">
      <x:c r="A1439" s="3" t="n">
        <x:v>43</x:v>
      </x:c>
      <x:c r="B1439" s="3" t="n">
        <x:v>20</x:v>
      </x:c>
      <x:c r="C1439" s="3" t="n">
        <x:v>23</x:v>
      </x:c>
      <x:c r="D1439" s="3" t="n">
        <x:v>4</x:v>
      </x:c>
      <x:c r="E1439" s="3" t="n">
        <x:v>4</x:v>
      </x:c>
      <x:c r="F1439" s="3" t="n">
        <x:v>1</x:v>
      </x:c>
    </x:row>
    <x:row r="1440" ht="21" customHeight="1">
      <x:c r="A1440" s="3" t="n">
        <x:v>43</x:v>
      </x:c>
      <x:c r="B1440" s="3" t="n">
        <x:v>21</x:v>
      </x:c>
      <x:c r="C1440" s="3" t="n">
        <x:v>24</x:v>
      </x:c>
      <x:c r="D1440" s="3" t="n">
        <x:v>4</x:v>
      </x:c>
      <x:c r="E1440" s="3" t="n">
        <x:v>4</x:v>
      </x:c>
      <x:c r="F1440" s="3" t="n">
        <x:v>1</x:v>
      </x:c>
    </x:row>
    <x:row r="1441" ht="21" customHeight="1">
      <x:c r="A1441" s="3" t="n">
        <x:v>43</x:v>
      </x:c>
      <x:c r="B1441" s="3" t="n">
        <x:v>22</x:v>
      </x:c>
      <x:c r="C1441" s="3" t="n">
        <x:v>25</x:v>
      </x:c>
      <x:c r="D1441" s="3" t="n">
        <x:v>4</x:v>
      </x:c>
      <x:c r="E1441" s="3" t="n">
        <x:v>5</x:v>
      </x:c>
      <x:c r="F1441" s="3" t="n">
        <x:v>2</x:v>
      </x:c>
    </x:row>
    <x:row r="1442" ht="21" customHeight="1">
      <x:c r="A1442" s="3" t="n">
        <x:v>43</x:v>
      </x:c>
      <x:c r="B1442" s="3" t="n">
        <x:v>23</x:v>
      </x:c>
      <x:c r="C1442" s="3" t="n">
        <x:v>26</x:v>
      </x:c>
      <x:c r="D1442" s="3" t="n">
        <x:v>4</x:v>
      </x:c>
      <x:c r="E1442" s="3" t="n">
        <x:v>5</x:v>
      </x:c>
      <x:c r="F1442" s="3" t="n">
        <x:v>2</x:v>
      </x:c>
    </x:row>
    <x:row r="1443" ht="21" customHeight="1">
      <x:c r="A1443" s="3" t="n">
        <x:v>43</x:v>
      </x:c>
      <x:c r="B1443" s="3" t="n">
        <x:v>24</x:v>
      </x:c>
      <x:c r="C1443" s="3" t="n">
        <x:v>27</x:v>
      </x:c>
      <x:c r="D1443" s="3" t="n">
        <x:v>5</x:v>
      </x:c>
      <x:c r="E1443" s="3" t="n">
        <x:v>5</x:v>
      </x:c>
      <x:c r="F1443" s="3" t="n">
        <x:v>1</x:v>
      </x:c>
    </x:row>
    <x:row r="1444" ht="21" customHeight="1">
      <x:c r="A1444" s="3" t="n">
        <x:v>43</x:v>
      </x:c>
      <x:c r="B1444" s="3" t="n">
        <x:v>25</x:v>
      </x:c>
      <x:c r="C1444" s="3" t="n">
        <x:v>28</x:v>
      </x:c>
      <x:c r="D1444" s="3" t="n">
        <x:v>5</x:v>
      </x:c>
      <x:c r="E1444" s="3" t="n">
        <x:v>5</x:v>
      </x:c>
      <x:c r="F1444" s="3" t="n">
        <x:v>1</x:v>
      </x:c>
    </x:row>
    <x:row r="1445" ht="21" customHeight="1">
      <x:c r="A1445" s="3" t="n">
        <x:v>43</x:v>
      </x:c>
      <x:c r="B1445" s="3" t="n">
        <x:v>26</x:v>
      </x:c>
      <x:c r="C1445" s="3" t="n">
        <x:v>29</x:v>
      </x:c>
      <x:c r="D1445" s="3" t="n">
        <x:v>5</x:v>
      </x:c>
      <x:c r="E1445" s="3" t="n">
        <x:v>5</x:v>
      </x:c>
      <x:c r="F1445" s="3" t="n">
        <x:v>1</x:v>
      </x:c>
    </x:row>
    <x:row r="1446" ht="21" customHeight="1">
      <x:c r="A1446" s="3" t="n">
        <x:v>43</x:v>
      </x:c>
      <x:c r="B1446" s="3" t="n">
        <x:v>27</x:v>
      </x:c>
      <x:c r="C1446" s="3" t="n">
        <x:v>30</x:v>
      </x:c>
      <x:c r="D1446" s="3" t="n">
        <x:v>5</x:v>
      </x:c>
      <x:c r="E1446" s="3" t="n">
        <x:v>5</x:v>
      </x:c>
      <x:c r="F1446" s="3" t="n">
        <x:v>1</x:v>
      </x:c>
    </x:row>
    <x:row r="1447" ht="21" customHeight="1">
      <x:c r="A1447" s="3" t="n">
        <x:v>43</x:v>
      </x:c>
      <x:c r="B1447" s="3" t="n">
        <x:v>28</x:v>
      </x:c>
      <x:c r="C1447" s="3" t="n">
        <x:v>31</x:v>
      </x:c>
      <x:c r="D1447" s="3" t="n">
        <x:v>5</x:v>
      </x:c>
      <x:c r="E1447" s="3" t="n">
        <x:v>6</x:v>
      </x:c>
      <x:c r="F1447" s="3" t="n">
        <x:v>2</x:v>
      </x:c>
    </x:row>
    <x:row r="1448" ht="21" customHeight="1">
      <x:c r="A1448" s="3" t="n">
        <x:v>43</x:v>
      </x:c>
      <x:c r="B1448" s="3" t="n">
        <x:v>29</x:v>
      </x:c>
      <x:c r="C1448" s="3" t="n">
        <x:v>32</x:v>
      </x:c>
      <x:c r="D1448" s="3" t="n">
        <x:v>5</x:v>
      </x:c>
      <x:c r="E1448" s="3" t="n">
        <x:v>6</x:v>
      </x:c>
      <x:c r="F1448" s="3" t="n">
        <x:v>2</x:v>
      </x:c>
    </x:row>
    <x:row r="1449" ht="21" customHeight="1">
      <x:c r="A1449" s="3" t="n">
        <x:v>43</x:v>
      </x:c>
      <x:c r="B1449" s="3" t="n">
        <x:v>30</x:v>
      </x:c>
      <x:c r="C1449" s="3" t="n">
        <x:v>33</x:v>
      </x:c>
      <x:c r="D1449" s="3" t="n">
        <x:v>6</x:v>
      </x:c>
      <x:c r="E1449" s="3" t="n">
        <x:v>6</x:v>
      </x:c>
      <x:c r="F1449" s="3" t="n">
        <x:v>1</x:v>
      </x:c>
    </x:row>
    <x:row r="1450" ht="21" customHeight="1">
      <x:c r="A1450" s="3" t="n">
        <x:v>43</x:v>
      </x:c>
      <x:c r="B1450" s="3" t="n">
        <x:v>31</x:v>
      </x:c>
      <x:c r="C1450" s="3" t="n">
        <x:v>34</x:v>
      </x:c>
      <x:c r="D1450" s="3" t="n">
        <x:v>6</x:v>
      </x:c>
      <x:c r="E1450" s="3" t="n">
        <x:v>6</x:v>
      </x:c>
      <x:c r="F1450" s="3" t="n">
        <x:v>1</x:v>
      </x:c>
    </x:row>
    <x:row r="1451" ht="21" customHeight="1">
      <x:c r="A1451" s="3" t="n">
        <x:v>43</x:v>
      </x:c>
      <x:c r="B1451" s="3" t="n">
        <x:v>32</x:v>
      </x:c>
      <x:c r="C1451" s="3" t="n">
        <x:v>35</x:v>
      </x:c>
      <x:c r="D1451" s="3" t="n">
        <x:v>6</x:v>
      </x:c>
      <x:c r="E1451" s="3" t="n">
        <x:v>6</x:v>
      </x:c>
      <x:c r="F1451" s="3" t="n">
        <x:v>1</x:v>
      </x:c>
    </x:row>
    <x:row r="1452" ht="21" customHeight="1">
      <x:c r="A1452" s="3" t="n">
        <x:v>43</x:v>
      </x:c>
      <x:c r="B1452" s="3" t="n">
        <x:v>33</x:v>
      </x:c>
      <x:c r="C1452" s="3" t="n">
        <x:v>36</x:v>
      </x:c>
      <x:c r="D1452" s="3" t="n">
        <x:v>6</x:v>
      </x:c>
      <x:c r="E1452" s="3" t="n">
        <x:v>6</x:v>
      </x:c>
      <x:c r="F1452" s="3" t="n">
        <x:v>1</x:v>
      </x:c>
    </x:row>
    <x:row r="1453" ht="21" customHeight="1">
      <x:c r="A1453" s="3" t="n">
        <x:v>44</x:v>
      </x:c>
      <x:c r="B1453" s="3" t="n">
        <x:v>0</x:v>
      </x:c>
      <x:c r="C1453" s="3" t="n">
        <x:v>5</x:v>
      </x:c>
      <x:c r="D1453" s="3" t="n">
        <x:v>1</x:v>
      </x:c>
      <x:c r="E1453" s="3" t="n">
        <x:v>1</x:v>
      </x:c>
      <x:c r="F1453" s="3" t="n">
        <x:v>1</x:v>
      </x:c>
    </x:row>
    <x:row r="1454" ht="21" customHeight="1">
      <x:c r="A1454" s="3" t="n">
        <x:v>44</x:v>
      </x:c>
      <x:c r="B1454" s="3" t="n">
        <x:v>1</x:v>
      </x:c>
      <x:c r="C1454" s="3" t="n">
        <x:v>6</x:v>
      </x:c>
      <x:c r="D1454" s="3" t="n">
        <x:v>1</x:v>
      </x:c>
      <x:c r="E1454" s="3" t="n">
        <x:v>1</x:v>
      </x:c>
      <x:c r="F1454" s="3" t="n">
        <x:v>1</x:v>
      </x:c>
    </x:row>
    <x:row r="1455" ht="21" customHeight="1">
      <x:c r="A1455" s="3" t="n">
        <x:v>44</x:v>
      </x:c>
      <x:c r="B1455" s="3" t="n">
        <x:v>2</x:v>
      </x:c>
      <x:c r="C1455" s="3" t="n">
        <x:v>7</x:v>
      </x:c>
      <x:c r="D1455" s="3" t="n">
        <x:v>1</x:v>
      </x:c>
      <x:c r="E1455" s="3" t="n">
        <x:v>2</x:v>
      </x:c>
      <x:c r="F1455" s="3" t="n">
        <x:v>2</x:v>
      </x:c>
    </x:row>
    <x:row r="1456" ht="21" customHeight="1">
      <x:c r="A1456" s="3" t="n">
        <x:v>44</x:v>
      </x:c>
      <x:c r="B1456" s="3" t="n">
        <x:v>3</x:v>
      </x:c>
      <x:c r="C1456" s="3" t="n">
        <x:v>8</x:v>
      </x:c>
      <x:c r="D1456" s="3" t="n">
        <x:v>1</x:v>
      </x:c>
      <x:c r="E1456" s="3" t="n">
        <x:v>2</x:v>
      </x:c>
      <x:c r="F1456" s="3" t="n">
        <x:v>2</x:v>
      </x:c>
    </x:row>
    <x:row r="1457" ht="21" customHeight="1">
      <x:c r="A1457" s="3" t="n">
        <x:v>44</x:v>
      </x:c>
      <x:c r="B1457" s="3" t="n">
        <x:v>4</x:v>
      </x:c>
      <x:c r="C1457" s="3" t="n">
        <x:v>9</x:v>
      </x:c>
      <x:c r="D1457" s="3" t="n">
        <x:v>1</x:v>
      </x:c>
      <x:c r="E1457" s="3" t="n">
        <x:v>2</x:v>
      </x:c>
      <x:c r="F1457" s="3" t="n">
        <x:v>2</x:v>
      </x:c>
    </x:row>
    <x:row r="1458" ht="21" customHeight="1">
      <x:c r="A1458" s="3" t="n">
        <x:v>44</x:v>
      </x:c>
      <x:c r="B1458" s="3" t="n">
        <x:v>5</x:v>
      </x:c>
      <x:c r="C1458" s="3" t="n">
        <x:v>10</x:v>
      </x:c>
      <x:c r="D1458" s="3" t="n">
        <x:v>1</x:v>
      </x:c>
      <x:c r="E1458" s="3" t="n">
        <x:v>2</x:v>
      </x:c>
      <x:c r="F1458" s="3" t="n">
        <x:v>2</x:v>
      </x:c>
    </x:row>
    <x:row r="1459" ht="21" customHeight="1">
      <x:c r="A1459" s="3" t="n">
        <x:v>44</x:v>
      </x:c>
      <x:c r="B1459" s="3" t="n">
        <x:v>6</x:v>
      </x:c>
      <x:c r="C1459" s="3" t="n">
        <x:v>11</x:v>
      </x:c>
      <x:c r="D1459" s="3" t="n">
        <x:v>2</x:v>
      </x:c>
      <x:c r="E1459" s="3" t="n">
        <x:v>2</x:v>
      </x:c>
      <x:c r="F1459" s="3" t="n">
        <x:v>1</x:v>
      </x:c>
    </x:row>
    <x:row r="1460" ht="21" customHeight="1">
      <x:c r="A1460" s="3" t="n">
        <x:v>44</x:v>
      </x:c>
      <x:c r="B1460" s="3" t="n">
        <x:v>7</x:v>
      </x:c>
      <x:c r="C1460" s="3" t="n">
        <x:v>12</x:v>
      </x:c>
      <x:c r="D1460" s="3" t="n">
        <x:v>2</x:v>
      </x:c>
      <x:c r="E1460" s="3" t="n">
        <x:v>2</x:v>
      </x:c>
      <x:c r="F1460" s="3" t="n">
        <x:v>1</x:v>
      </x:c>
    </x:row>
    <x:row r="1461" ht="21" customHeight="1">
      <x:c r="A1461" s="3" t="n">
        <x:v>44</x:v>
      </x:c>
      <x:c r="B1461" s="3" t="n">
        <x:v>8</x:v>
      </x:c>
      <x:c r="C1461" s="3" t="n">
        <x:v>13</x:v>
      </x:c>
      <x:c r="D1461" s="3" t="n">
        <x:v>2</x:v>
      </x:c>
      <x:c r="E1461" s="3" t="n">
        <x:v>3</x:v>
      </x:c>
      <x:c r="F1461" s="3" t="n">
        <x:v>2</x:v>
      </x:c>
    </x:row>
    <x:row r="1462" ht="21" customHeight="1">
      <x:c r="A1462" s="3" t="n">
        <x:v>44</x:v>
      </x:c>
      <x:c r="B1462" s="3" t="n">
        <x:v>9</x:v>
      </x:c>
      <x:c r="C1462" s="3" t="n">
        <x:v>14</x:v>
      </x:c>
      <x:c r="D1462" s="3" t="n">
        <x:v>2</x:v>
      </x:c>
      <x:c r="E1462" s="3" t="n">
        <x:v>3</x:v>
      </x:c>
      <x:c r="F1462" s="3" t="n">
        <x:v>2</x:v>
      </x:c>
    </x:row>
    <x:row r="1463" ht="21" customHeight="1">
      <x:c r="A1463" s="3" t="n">
        <x:v>44</x:v>
      </x:c>
      <x:c r="B1463" s="3" t="n">
        <x:v>10</x:v>
      </x:c>
      <x:c r="C1463" s="3" t="n">
        <x:v>15</x:v>
      </x:c>
      <x:c r="D1463" s="3" t="n">
        <x:v>2</x:v>
      </x:c>
      <x:c r="E1463" s="3" t="n">
        <x:v>3</x:v>
      </x:c>
      <x:c r="F1463" s="3" t="n">
        <x:v>2</x:v>
      </x:c>
    </x:row>
    <x:row r="1464" ht="21" customHeight="1">
      <x:c r="A1464" s="3" t="n">
        <x:v>44</x:v>
      </x:c>
      <x:c r="B1464" s="3" t="n">
        <x:v>11</x:v>
      </x:c>
      <x:c r="C1464" s="3" t="n">
        <x:v>16</x:v>
      </x:c>
      <x:c r="D1464" s="3" t="n">
        <x:v>2</x:v>
      </x:c>
      <x:c r="E1464" s="3" t="n">
        <x:v>3</x:v>
      </x:c>
      <x:c r="F1464" s="3" t="n">
        <x:v>2</x:v>
      </x:c>
    </x:row>
    <x:row r="1465" ht="21" customHeight="1">
      <x:c r="A1465" s="3" t="n">
        <x:v>44</x:v>
      </x:c>
      <x:c r="B1465" s="3" t="n">
        <x:v>12</x:v>
      </x:c>
      <x:c r="C1465" s="3" t="n">
        <x:v>17</x:v>
      </x:c>
      <x:c r="D1465" s="3" t="n">
        <x:v>3</x:v>
      </x:c>
      <x:c r="E1465" s="3" t="n">
        <x:v>3</x:v>
      </x:c>
      <x:c r="F1465" s="3" t="n">
        <x:v>1</x:v>
      </x:c>
    </x:row>
    <x:row r="1466" ht="21" customHeight="1">
      <x:c r="A1466" s="3" t="n">
        <x:v>44</x:v>
      </x:c>
      <x:c r="B1466" s="3" t="n">
        <x:v>13</x:v>
      </x:c>
      <x:c r="C1466" s="3" t="n">
        <x:v>18</x:v>
      </x:c>
      <x:c r="D1466" s="3" t="n">
        <x:v>3</x:v>
      </x:c>
      <x:c r="E1466" s="3" t="n">
        <x:v>3</x:v>
      </x:c>
      <x:c r="F1466" s="3" t="n">
        <x:v>1</x:v>
      </x:c>
    </x:row>
    <x:row r="1467" ht="21" customHeight="1">
      <x:c r="A1467" s="3" t="n">
        <x:v>44</x:v>
      </x:c>
      <x:c r="B1467" s="3" t="n">
        <x:v>14</x:v>
      </x:c>
      <x:c r="C1467" s="3" t="n">
        <x:v>19</x:v>
      </x:c>
      <x:c r="D1467" s="3" t="n">
        <x:v>3</x:v>
      </x:c>
      <x:c r="E1467" s="3" t="n">
        <x:v>4</x:v>
      </x:c>
      <x:c r="F1467" s="3" t="n">
        <x:v>2</x:v>
      </x:c>
    </x:row>
    <x:row r="1468" ht="21" customHeight="1">
      <x:c r="A1468" s="3" t="n">
        <x:v>44</x:v>
      </x:c>
      <x:c r="B1468" s="3" t="n">
        <x:v>15</x:v>
      </x:c>
      <x:c r="C1468" s="3" t="n">
        <x:v>20</x:v>
      </x:c>
      <x:c r="D1468" s="3" t="n">
        <x:v>3</x:v>
      </x:c>
      <x:c r="E1468" s="3" t="n">
        <x:v>4</x:v>
      </x:c>
      <x:c r="F1468" s="3" t="n">
        <x:v>2</x:v>
      </x:c>
    </x:row>
    <x:row r="1469" ht="21" customHeight="1">
      <x:c r="A1469" s="3" t="n">
        <x:v>44</x:v>
      </x:c>
      <x:c r="B1469" s="3" t="n">
        <x:v>16</x:v>
      </x:c>
      <x:c r="C1469" s="3" t="n">
        <x:v>21</x:v>
      </x:c>
      <x:c r="D1469" s="3" t="n">
        <x:v>3</x:v>
      </x:c>
      <x:c r="E1469" s="3" t="n">
        <x:v>4</x:v>
      </x:c>
      <x:c r="F1469" s="3" t="n">
        <x:v>2</x:v>
      </x:c>
    </x:row>
    <x:row r="1470" ht="21" customHeight="1">
      <x:c r="A1470" s="3" t="n">
        <x:v>44</x:v>
      </x:c>
      <x:c r="B1470" s="3" t="n">
        <x:v>17</x:v>
      </x:c>
      <x:c r="C1470" s="3" t="n">
        <x:v>22</x:v>
      </x:c>
      <x:c r="D1470" s="3" t="n">
        <x:v>3</x:v>
      </x:c>
      <x:c r="E1470" s="3" t="n">
        <x:v>4</x:v>
      </x:c>
      <x:c r="F1470" s="3" t="n">
        <x:v>2</x:v>
      </x:c>
    </x:row>
    <x:row r="1471" ht="21" customHeight="1">
      <x:c r="A1471" s="3" t="n">
        <x:v>44</x:v>
      </x:c>
      <x:c r="B1471" s="3" t="n">
        <x:v>18</x:v>
      </x:c>
      <x:c r="C1471" s="3" t="n">
        <x:v>23</x:v>
      </x:c>
      <x:c r="D1471" s="3" t="n">
        <x:v>4</x:v>
      </x:c>
      <x:c r="E1471" s="3" t="n">
        <x:v>4</x:v>
      </x:c>
      <x:c r="F1471" s="3" t="n">
        <x:v>1</x:v>
      </x:c>
    </x:row>
    <x:row r="1472" ht="21" customHeight="1">
      <x:c r="A1472" s="3" t="n">
        <x:v>44</x:v>
      </x:c>
      <x:c r="B1472" s="3" t="n">
        <x:v>19</x:v>
      </x:c>
      <x:c r="C1472" s="3" t="n">
        <x:v>24</x:v>
      </x:c>
      <x:c r="D1472" s="3" t="n">
        <x:v>4</x:v>
      </x:c>
      <x:c r="E1472" s="3" t="n">
        <x:v>4</x:v>
      </x:c>
      <x:c r="F1472" s="3" t="n">
        <x:v>1</x:v>
      </x:c>
    </x:row>
    <x:row r="1473" ht="21" customHeight="1">
      <x:c r="A1473" s="3" t="n">
        <x:v>44</x:v>
      </x:c>
      <x:c r="B1473" s="3" t="n">
        <x:v>20</x:v>
      </x:c>
      <x:c r="C1473" s="3" t="n">
        <x:v>25</x:v>
      </x:c>
      <x:c r="D1473" s="3" t="n">
        <x:v>4</x:v>
      </x:c>
      <x:c r="E1473" s="3" t="n">
        <x:v>5</x:v>
      </x:c>
      <x:c r="F1473" s="3" t="n">
        <x:v>2</x:v>
      </x:c>
    </x:row>
    <x:row r="1474" ht="21" customHeight="1">
      <x:c r="A1474" s="3" t="n">
        <x:v>44</x:v>
      </x:c>
      <x:c r="B1474" s="3" t="n">
        <x:v>21</x:v>
      </x:c>
      <x:c r="C1474" s="3" t="n">
        <x:v>26</x:v>
      </x:c>
      <x:c r="D1474" s="3" t="n">
        <x:v>4</x:v>
      </x:c>
      <x:c r="E1474" s="3" t="n">
        <x:v>5</x:v>
      </x:c>
      <x:c r="F1474" s="3" t="n">
        <x:v>2</x:v>
      </x:c>
    </x:row>
    <x:row r="1475" ht="21" customHeight="1">
      <x:c r="A1475" s="3" t="n">
        <x:v>44</x:v>
      </x:c>
      <x:c r="B1475" s="3" t="n">
        <x:v>22</x:v>
      </x:c>
      <x:c r="C1475" s="3" t="n">
        <x:v>27</x:v>
      </x:c>
      <x:c r="D1475" s="3" t="n">
        <x:v>4</x:v>
      </x:c>
      <x:c r="E1475" s="3" t="n">
        <x:v>5</x:v>
      </x:c>
      <x:c r="F1475" s="3" t="n">
        <x:v>2</x:v>
      </x:c>
    </x:row>
    <x:row r="1476" ht="21" customHeight="1">
      <x:c r="A1476" s="3" t="n">
        <x:v>44</x:v>
      </x:c>
      <x:c r="B1476" s="3" t="n">
        <x:v>23</x:v>
      </x:c>
      <x:c r="C1476" s="3" t="n">
        <x:v>28</x:v>
      </x:c>
      <x:c r="D1476" s="3" t="n">
        <x:v>4</x:v>
      </x:c>
      <x:c r="E1476" s="3" t="n">
        <x:v>5</x:v>
      </x:c>
      <x:c r="F1476" s="3" t="n">
        <x:v>2</x:v>
      </x:c>
    </x:row>
    <x:row r="1477" ht="21" customHeight="1">
      <x:c r="A1477" s="3" t="n">
        <x:v>44</x:v>
      </x:c>
      <x:c r="B1477" s="3" t="n">
        <x:v>24</x:v>
      </x:c>
      <x:c r="C1477" s="3" t="n">
        <x:v>29</x:v>
      </x:c>
      <x:c r="D1477" s="3" t="n">
        <x:v>5</x:v>
      </x:c>
      <x:c r="E1477" s="3" t="n">
        <x:v>5</x:v>
      </x:c>
      <x:c r="F1477" s="3" t="n">
        <x:v>1</x:v>
      </x:c>
    </x:row>
    <x:row r="1478" ht="21" customHeight="1">
      <x:c r="A1478" s="3" t="n">
        <x:v>44</x:v>
      </x:c>
      <x:c r="B1478" s="3" t="n">
        <x:v>25</x:v>
      </x:c>
      <x:c r="C1478" s="3" t="n">
        <x:v>30</x:v>
      </x:c>
      <x:c r="D1478" s="3" t="n">
        <x:v>5</x:v>
      </x:c>
      <x:c r="E1478" s="3" t="n">
        <x:v>5</x:v>
      </x:c>
      <x:c r="F1478" s="3" t="n">
        <x:v>1</x:v>
      </x:c>
    </x:row>
    <x:row r="1479" ht="21" customHeight="1">
      <x:c r="A1479" s="3" t="n">
        <x:v>44</x:v>
      </x:c>
      <x:c r="B1479" s="3" t="n">
        <x:v>26</x:v>
      </x:c>
      <x:c r="C1479" s="3" t="n">
        <x:v>31</x:v>
      </x:c>
      <x:c r="D1479" s="3" t="n">
        <x:v>5</x:v>
      </x:c>
      <x:c r="E1479" s="3" t="n">
        <x:v>6</x:v>
      </x:c>
      <x:c r="F1479" s="3" t="n">
        <x:v>2</x:v>
      </x:c>
    </x:row>
    <x:row r="1480" ht="21" customHeight="1">
      <x:c r="A1480" s="3" t="n">
        <x:v>44</x:v>
      </x:c>
      <x:c r="B1480" s="3" t="n">
        <x:v>27</x:v>
      </x:c>
      <x:c r="C1480" s="3" t="n">
        <x:v>32</x:v>
      </x:c>
      <x:c r="D1480" s="3" t="n">
        <x:v>5</x:v>
      </x:c>
      <x:c r="E1480" s="3" t="n">
        <x:v>6</x:v>
      </x:c>
      <x:c r="F1480" s="3" t="n">
        <x:v>2</x:v>
      </x:c>
    </x:row>
    <x:row r="1481" ht="21" customHeight="1">
      <x:c r="A1481" s="3" t="n">
        <x:v>44</x:v>
      </x:c>
      <x:c r="B1481" s="3" t="n">
        <x:v>28</x:v>
      </x:c>
      <x:c r="C1481" s="3" t="n">
        <x:v>33</x:v>
      </x:c>
      <x:c r="D1481" s="3" t="n">
        <x:v>5</x:v>
      </x:c>
      <x:c r="E1481" s="3" t="n">
        <x:v>6</x:v>
      </x:c>
      <x:c r="F1481" s="3" t="n">
        <x:v>2</x:v>
      </x:c>
    </x:row>
    <x:row r="1482" ht="21" customHeight="1">
      <x:c r="A1482" s="3" t="n">
        <x:v>44</x:v>
      </x:c>
      <x:c r="B1482" s="3" t="n">
        <x:v>29</x:v>
      </x:c>
      <x:c r="C1482" s="3" t="n">
        <x:v>34</x:v>
      </x:c>
      <x:c r="D1482" s="3" t="n">
        <x:v>5</x:v>
      </x:c>
      <x:c r="E1482" s="3" t="n">
        <x:v>6</x:v>
      </x:c>
      <x:c r="F1482" s="3" t="n">
        <x:v>2</x:v>
      </x:c>
    </x:row>
    <x:row r="1483" ht="21" customHeight="1">
      <x:c r="A1483" s="3" t="n">
        <x:v>44</x:v>
      </x:c>
      <x:c r="B1483" s="3" t="n">
        <x:v>30</x:v>
      </x:c>
      <x:c r="C1483" s="3" t="n">
        <x:v>35</x:v>
      </x:c>
      <x:c r="D1483" s="3" t="n">
        <x:v>6</x:v>
      </x:c>
      <x:c r="E1483" s="3" t="n">
        <x:v>6</x:v>
      </x:c>
      <x:c r="F1483" s="3" t="n">
        <x:v>1</x:v>
      </x:c>
    </x:row>
    <x:row r="1484" ht="21" customHeight="1">
      <x:c r="A1484" s="3" t="n">
        <x:v>44</x:v>
      </x:c>
      <x:c r="B1484" s="3" t="n">
        <x:v>31</x:v>
      </x:c>
      <x:c r="C1484" s="3" t="n">
        <x:v>36</x:v>
      </x:c>
      <x:c r="D1484" s="3" t="n">
        <x:v>6</x:v>
      </x:c>
      <x:c r="E1484" s="3" t="n">
        <x:v>6</x:v>
      </x:c>
      <x:c r="F1484" s="3" t="n">
        <x:v>1</x:v>
      </x:c>
    </x:row>
    <x:row r="1485" ht="21" customHeight="1">
      <x:c r="A1485" s="3" t="n">
        <x:v>45</x:v>
      </x:c>
      <x:c r="B1485" s="3" t="n">
        <x:v>0</x:v>
      </x:c>
      <x:c r="C1485" s="3" t="n">
        <x:v>3</x:v>
      </x:c>
      <x:c r="D1485" s="3" t="n">
        <x:v>1</x:v>
      </x:c>
      <x:c r="E1485" s="3" t="n">
        <x:v>1</x:v>
      </x:c>
      <x:c r="F1485" s="3" t="n">
        <x:v>1</x:v>
      </x:c>
    </x:row>
    <x:row r="1486" ht="21" customHeight="1">
      <x:c r="A1486" s="3" t="n">
        <x:v>45</x:v>
      </x:c>
      <x:c r="B1486" s="3" t="n">
        <x:v>1</x:v>
      </x:c>
      <x:c r="C1486" s="3" t="n">
        <x:v>4</x:v>
      </x:c>
      <x:c r="D1486" s="3" t="n">
        <x:v>1</x:v>
      </x:c>
      <x:c r="E1486" s="3" t="n">
        <x:v>1</x:v>
      </x:c>
      <x:c r="F1486" s="3" t="n">
        <x:v>1</x:v>
      </x:c>
    </x:row>
    <x:row r="1487" ht="21" customHeight="1">
      <x:c r="A1487" s="3" t="n">
        <x:v>45</x:v>
      </x:c>
      <x:c r="B1487" s="3" t="n">
        <x:v>2</x:v>
      </x:c>
      <x:c r="C1487" s="3" t="n">
        <x:v>5</x:v>
      </x:c>
      <x:c r="D1487" s="3" t="n">
        <x:v>1</x:v>
      </x:c>
      <x:c r="E1487" s="3" t="n">
        <x:v>1</x:v>
      </x:c>
      <x:c r="F1487" s="3" t="n">
        <x:v>1</x:v>
      </x:c>
    </x:row>
    <x:row r="1488" ht="21" customHeight="1">
      <x:c r="A1488" s="3" t="n">
        <x:v>45</x:v>
      </x:c>
      <x:c r="B1488" s="3" t="n">
        <x:v>3</x:v>
      </x:c>
      <x:c r="C1488" s="3" t="n">
        <x:v>6</x:v>
      </x:c>
      <x:c r="D1488" s="3" t="n">
        <x:v>1</x:v>
      </x:c>
      <x:c r="E1488" s="3" t="n">
        <x:v>1</x:v>
      </x:c>
      <x:c r="F1488" s="3" t="n">
        <x:v>1</x:v>
      </x:c>
    </x:row>
    <x:row r="1489" ht="21" customHeight="1">
      <x:c r="A1489" s="3" t="n">
        <x:v>45</x:v>
      </x:c>
      <x:c r="B1489" s="3" t="n">
        <x:v>4</x:v>
      </x:c>
      <x:c r="C1489" s="3" t="n">
        <x:v>7</x:v>
      </x:c>
      <x:c r="D1489" s="3" t="n">
        <x:v>1</x:v>
      </x:c>
      <x:c r="E1489" s="3" t="n">
        <x:v>2</x:v>
      </x:c>
      <x:c r="F1489" s="3" t="n">
        <x:v>2</x:v>
      </x:c>
    </x:row>
    <x:row r="1490" ht="21" customHeight="1">
      <x:c r="A1490" s="3" t="n">
        <x:v>45</x:v>
      </x:c>
      <x:c r="B1490" s="3" t="n">
        <x:v>5</x:v>
      </x:c>
      <x:c r="C1490" s="3" t="n">
        <x:v>8</x:v>
      </x:c>
      <x:c r="D1490" s="3" t="n">
        <x:v>1</x:v>
      </x:c>
      <x:c r="E1490" s="3" t="n">
        <x:v>2</x:v>
      </x:c>
      <x:c r="F1490" s="3" t="n">
        <x:v>2</x:v>
      </x:c>
    </x:row>
    <x:row r="1491" ht="21" customHeight="1">
      <x:c r="A1491" s="3" t="n">
        <x:v>45</x:v>
      </x:c>
      <x:c r="B1491" s="3" t="n">
        <x:v>6</x:v>
      </x:c>
      <x:c r="C1491" s="3" t="n">
        <x:v>9</x:v>
      </x:c>
      <x:c r="D1491" s="3" t="n">
        <x:v>2</x:v>
      </x:c>
      <x:c r="E1491" s="3" t="n">
        <x:v>2</x:v>
      </x:c>
      <x:c r="F1491" s="3" t="n">
        <x:v>1</x:v>
      </x:c>
    </x:row>
    <x:row r="1492" ht="21" customHeight="1">
      <x:c r="A1492" s="3" t="n">
        <x:v>45</x:v>
      </x:c>
      <x:c r="B1492" s="3" t="n">
        <x:v>7</x:v>
      </x:c>
      <x:c r="C1492" s="3" t="n">
        <x:v>10</x:v>
      </x:c>
      <x:c r="D1492" s="3" t="n">
        <x:v>2</x:v>
      </x:c>
      <x:c r="E1492" s="3" t="n">
        <x:v>2</x:v>
      </x:c>
      <x:c r="F1492" s="3" t="n">
        <x:v>1</x:v>
      </x:c>
    </x:row>
    <x:row r="1493" ht="21" customHeight="1">
      <x:c r="A1493" s="3" t="n">
        <x:v>45</x:v>
      </x:c>
      <x:c r="B1493" s="3" t="n">
        <x:v>8</x:v>
      </x:c>
      <x:c r="C1493" s="3" t="n">
        <x:v>11</x:v>
      </x:c>
      <x:c r="D1493" s="3" t="n">
        <x:v>2</x:v>
      </x:c>
      <x:c r="E1493" s="3" t="n">
        <x:v>2</x:v>
      </x:c>
      <x:c r="F1493" s="3" t="n">
        <x:v>1</x:v>
      </x:c>
    </x:row>
    <x:row r="1494" ht="21" customHeight="1">
      <x:c r="A1494" s="3" t="n">
        <x:v>45</x:v>
      </x:c>
      <x:c r="B1494" s="3" t="n">
        <x:v>9</x:v>
      </x:c>
      <x:c r="C1494" s="3" t="n">
        <x:v>12</x:v>
      </x:c>
      <x:c r="D1494" s="3" t="n">
        <x:v>2</x:v>
      </x:c>
      <x:c r="E1494" s="3" t="n">
        <x:v>2</x:v>
      </x:c>
      <x:c r="F1494" s="3" t="n">
        <x:v>1</x:v>
      </x:c>
    </x:row>
    <x:row r="1495" ht="21" customHeight="1">
      <x:c r="A1495" s="3" t="n">
        <x:v>45</x:v>
      </x:c>
      <x:c r="B1495" s="3" t="n">
        <x:v>10</x:v>
      </x:c>
      <x:c r="C1495" s="3" t="n">
        <x:v>13</x:v>
      </x:c>
      <x:c r="D1495" s="3" t="n">
        <x:v>2</x:v>
      </x:c>
      <x:c r="E1495" s="3" t="n">
        <x:v>3</x:v>
      </x:c>
      <x:c r="F1495" s="3" t="n">
        <x:v>2</x:v>
      </x:c>
    </x:row>
    <x:row r="1496" ht="21" customHeight="1">
      <x:c r="A1496" s="3" t="n">
        <x:v>45</x:v>
      </x:c>
      <x:c r="B1496" s="3" t="n">
        <x:v>11</x:v>
      </x:c>
      <x:c r="C1496" s="3" t="n">
        <x:v>14</x:v>
      </x:c>
      <x:c r="D1496" s="3" t="n">
        <x:v>2</x:v>
      </x:c>
      <x:c r="E1496" s="3" t="n">
        <x:v>3</x:v>
      </x:c>
      <x:c r="F1496" s="3" t="n">
        <x:v>2</x:v>
      </x:c>
    </x:row>
    <x:row r="1497" ht="21" customHeight="1">
      <x:c r="A1497" s="3" t="n">
        <x:v>45</x:v>
      </x:c>
      <x:c r="B1497" s="3" t="n">
        <x:v>12</x:v>
      </x:c>
      <x:c r="C1497" s="3" t="n">
        <x:v>15</x:v>
      </x:c>
      <x:c r="D1497" s="3" t="n">
        <x:v>3</x:v>
      </x:c>
      <x:c r="E1497" s="3" t="n">
        <x:v>3</x:v>
      </x:c>
      <x:c r="F1497" s="3" t="n">
        <x:v>1</x:v>
      </x:c>
    </x:row>
    <x:row r="1498" ht="21" customHeight="1">
      <x:c r="A1498" s="3" t="n">
        <x:v>45</x:v>
      </x:c>
      <x:c r="B1498" s="3" t="n">
        <x:v>13</x:v>
      </x:c>
      <x:c r="C1498" s="3" t="n">
        <x:v>16</x:v>
      </x:c>
      <x:c r="D1498" s="3" t="n">
        <x:v>3</x:v>
      </x:c>
      <x:c r="E1498" s="3" t="n">
        <x:v>3</x:v>
      </x:c>
      <x:c r="F1498" s="3" t="n">
        <x:v>1</x:v>
      </x:c>
    </x:row>
    <x:row r="1499" ht="21" customHeight="1">
      <x:c r="A1499" s="3" t="n">
        <x:v>45</x:v>
      </x:c>
      <x:c r="B1499" s="3" t="n">
        <x:v>14</x:v>
      </x:c>
      <x:c r="C1499" s="3" t="n">
        <x:v>17</x:v>
      </x:c>
      <x:c r="D1499" s="3" t="n">
        <x:v>3</x:v>
      </x:c>
      <x:c r="E1499" s="3" t="n">
        <x:v>3</x:v>
      </x:c>
      <x:c r="F1499" s="3" t="n">
        <x:v>1</x:v>
      </x:c>
    </x:row>
    <x:row r="1500" ht="21" customHeight="1">
      <x:c r="A1500" s="3" t="n">
        <x:v>45</x:v>
      </x:c>
      <x:c r="B1500" s="3" t="n">
        <x:v>15</x:v>
      </x:c>
      <x:c r="C1500" s="3" t="n">
        <x:v>18</x:v>
      </x:c>
      <x:c r="D1500" s="3" t="n">
        <x:v>3</x:v>
      </x:c>
      <x:c r="E1500" s="3" t="n">
        <x:v>3</x:v>
      </x:c>
      <x:c r="F1500" s="3" t="n">
        <x:v>1</x:v>
      </x:c>
    </x:row>
    <x:row r="1501" ht="21" customHeight="1">
      <x:c r="A1501" s="3" t="n">
        <x:v>45</x:v>
      </x:c>
      <x:c r="B1501" s="3" t="n">
        <x:v>16</x:v>
      </x:c>
      <x:c r="C1501" s="3" t="n">
        <x:v>19</x:v>
      </x:c>
      <x:c r="D1501" s="3" t="n">
        <x:v>3</x:v>
      </x:c>
      <x:c r="E1501" s="3" t="n">
        <x:v>4</x:v>
      </x:c>
      <x:c r="F1501" s="3" t="n">
        <x:v>2</x:v>
      </x:c>
    </x:row>
    <x:row r="1502" ht="21" customHeight="1">
      <x:c r="A1502" s="3" t="n">
        <x:v>45</x:v>
      </x:c>
      <x:c r="B1502" s="3" t="n">
        <x:v>17</x:v>
      </x:c>
      <x:c r="C1502" s="3" t="n">
        <x:v>20</x:v>
      </x:c>
      <x:c r="D1502" s="3" t="n">
        <x:v>3</x:v>
      </x:c>
      <x:c r="E1502" s="3" t="n">
        <x:v>4</x:v>
      </x:c>
      <x:c r="F1502" s="3" t="n">
        <x:v>2</x:v>
      </x:c>
    </x:row>
    <x:row r="1503" ht="21" customHeight="1">
      <x:c r="A1503" s="3" t="n">
        <x:v>45</x:v>
      </x:c>
      <x:c r="B1503" s="3" t="n">
        <x:v>18</x:v>
      </x:c>
      <x:c r="C1503" s="3" t="n">
        <x:v>21</x:v>
      </x:c>
      <x:c r="D1503" s="3" t="n">
        <x:v>4</x:v>
      </x:c>
      <x:c r="E1503" s="3" t="n">
        <x:v>4</x:v>
      </x:c>
      <x:c r="F1503" s="3" t="n">
        <x:v>1</x:v>
      </x:c>
    </x:row>
    <x:row r="1504" ht="21" customHeight="1">
      <x:c r="A1504" s="3" t="n">
        <x:v>45</x:v>
      </x:c>
      <x:c r="B1504" s="3" t="n">
        <x:v>19</x:v>
      </x:c>
      <x:c r="C1504" s="3" t="n">
        <x:v>22</x:v>
      </x:c>
      <x:c r="D1504" s="3" t="n">
        <x:v>4</x:v>
      </x:c>
      <x:c r="E1504" s="3" t="n">
        <x:v>4</x:v>
      </x:c>
      <x:c r="F1504" s="3" t="n">
        <x:v>1</x:v>
      </x:c>
    </x:row>
    <x:row r="1505" ht="21" customHeight="1">
      <x:c r="A1505" s="3" t="n">
        <x:v>45</x:v>
      </x:c>
      <x:c r="B1505" s="3" t="n">
        <x:v>20</x:v>
      </x:c>
      <x:c r="C1505" s="3" t="n">
        <x:v>23</x:v>
      </x:c>
      <x:c r="D1505" s="3" t="n">
        <x:v>4</x:v>
      </x:c>
      <x:c r="E1505" s="3" t="n">
        <x:v>4</x:v>
      </x:c>
      <x:c r="F1505" s="3" t="n">
        <x:v>1</x:v>
      </x:c>
    </x:row>
    <x:row r="1506" ht="21" customHeight="1">
      <x:c r="A1506" s="3" t="n">
        <x:v>45</x:v>
      </x:c>
      <x:c r="B1506" s="3" t="n">
        <x:v>21</x:v>
      </x:c>
      <x:c r="C1506" s="3" t="n">
        <x:v>24</x:v>
      </x:c>
      <x:c r="D1506" s="3" t="n">
        <x:v>4</x:v>
      </x:c>
      <x:c r="E1506" s="3" t="n">
        <x:v>4</x:v>
      </x:c>
      <x:c r="F1506" s="3" t="n">
        <x:v>1</x:v>
      </x:c>
    </x:row>
    <x:row r="1507" ht="21" customHeight="1">
      <x:c r="A1507" s="3" t="n">
        <x:v>45</x:v>
      </x:c>
      <x:c r="B1507" s="3" t="n">
        <x:v>22</x:v>
      </x:c>
      <x:c r="C1507" s="3" t="n">
        <x:v>25</x:v>
      </x:c>
      <x:c r="D1507" s="3" t="n">
        <x:v>4</x:v>
      </x:c>
      <x:c r="E1507" s="3" t="n">
        <x:v>5</x:v>
      </x:c>
      <x:c r="F1507" s="3" t="n">
        <x:v>2</x:v>
      </x:c>
    </x:row>
    <x:row r="1508" ht="21" customHeight="1">
      <x:c r="A1508" s="3" t="n">
        <x:v>45</x:v>
      </x:c>
      <x:c r="B1508" s="3" t="n">
        <x:v>23</x:v>
      </x:c>
      <x:c r="C1508" s="3" t="n">
        <x:v>26</x:v>
      </x:c>
      <x:c r="D1508" s="3" t="n">
        <x:v>4</x:v>
      </x:c>
      <x:c r="E1508" s="3" t="n">
        <x:v>5</x:v>
      </x:c>
      <x:c r="F1508" s="3" t="n">
        <x:v>2</x:v>
      </x:c>
    </x:row>
    <x:row r="1509" ht="21" customHeight="1">
      <x:c r="A1509" s="3" t="n">
        <x:v>45</x:v>
      </x:c>
      <x:c r="B1509" s="3" t="n">
        <x:v>24</x:v>
      </x:c>
      <x:c r="C1509" s="3" t="n">
        <x:v>27</x:v>
      </x:c>
      <x:c r="D1509" s="3" t="n">
        <x:v>5</x:v>
      </x:c>
      <x:c r="E1509" s="3" t="n">
        <x:v>5</x:v>
      </x:c>
      <x:c r="F1509" s="3" t="n">
        <x:v>1</x:v>
      </x:c>
    </x:row>
    <x:row r="1510" ht="21" customHeight="1">
      <x:c r="A1510" s="3" t="n">
        <x:v>45</x:v>
      </x:c>
      <x:c r="B1510" s="3" t="n">
        <x:v>25</x:v>
      </x:c>
      <x:c r="C1510" s="3" t="n">
        <x:v>28</x:v>
      </x:c>
      <x:c r="D1510" s="3" t="n">
        <x:v>5</x:v>
      </x:c>
      <x:c r="E1510" s="3" t="n">
        <x:v>5</x:v>
      </x:c>
      <x:c r="F1510" s="3" t="n">
        <x:v>1</x:v>
      </x:c>
    </x:row>
    <x:row r="1511" ht="21" customHeight="1">
      <x:c r="A1511" s="3" t="n">
        <x:v>45</x:v>
      </x:c>
      <x:c r="B1511" s="3" t="n">
        <x:v>26</x:v>
      </x:c>
      <x:c r="C1511" s="3" t="n">
        <x:v>29</x:v>
      </x:c>
      <x:c r="D1511" s="3" t="n">
        <x:v>5</x:v>
      </x:c>
      <x:c r="E1511" s="3" t="n">
        <x:v>5</x:v>
      </x:c>
      <x:c r="F1511" s="3" t="n">
        <x:v>1</x:v>
      </x:c>
    </x:row>
    <x:row r="1512" ht="21" customHeight="1">
      <x:c r="A1512" s="3" t="n">
        <x:v>45</x:v>
      </x:c>
      <x:c r="B1512" s="3" t="n">
        <x:v>27</x:v>
      </x:c>
      <x:c r="C1512" s="3" t="n">
        <x:v>30</x:v>
      </x:c>
      <x:c r="D1512" s="3" t="n">
        <x:v>5</x:v>
      </x:c>
      <x:c r="E1512" s="3" t="n">
        <x:v>5</x:v>
      </x:c>
      <x:c r="F1512" s="3" t="n">
        <x:v>1</x:v>
      </x:c>
    </x:row>
    <x:row r="1513" ht="21" customHeight="1">
      <x:c r="A1513" s="3" t="n">
        <x:v>45</x:v>
      </x:c>
      <x:c r="B1513" s="3" t="n">
        <x:v>28</x:v>
      </x:c>
      <x:c r="C1513" s="3" t="n">
        <x:v>31</x:v>
      </x:c>
      <x:c r="D1513" s="3" t="n">
        <x:v>5</x:v>
      </x:c>
      <x:c r="E1513" s="3" t="n">
        <x:v>6</x:v>
      </x:c>
      <x:c r="F1513" s="3" t="n">
        <x:v>2</x:v>
      </x:c>
    </x:row>
    <x:row r="1514" ht="21" customHeight="1">
      <x:c r="A1514" s="3" t="n">
        <x:v>45</x:v>
      </x:c>
      <x:c r="B1514" s="3" t="n">
        <x:v>29</x:v>
      </x:c>
      <x:c r="C1514" s="3" t="n">
        <x:v>32</x:v>
      </x:c>
      <x:c r="D1514" s="3" t="n">
        <x:v>5</x:v>
      </x:c>
      <x:c r="E1514" s="3" t="n">
        <x:v>6</x:v>
      </x:c>
      <x:c r="F1514" s="3" t="n">
        <x:v>2</x:v>
      </x:c>
    </x:row>
    <x:row r="1515" ht="21" customHeight="1">
      <x:c r="A1515" s="3" t="n">
        <x:v>45</x:v>
      </x:c>
      <x:c r="B1515" s="3" t="n">
        <x:v>30</x:v>
      </x:c>
      <x:c r="C1515" s="3" t="n">
        <x:v>33</x:v>
      </x:c>
      <x:c r="D1515" s="3" t="n">
        <x:v>6</x:v>
      </x:c>
      <x:c r="E1515" s="3" t="n">
        <x:v>6</x:v>
      </x:c>
      <x:c r="F1515" s="3" t="n">
        <x:v>1</x:v>
      </x:c>
    </x:row>
    <x:row r="1516" ht="21" customHeight="1">
      <x:c r="A1516" s="3" t="n">
        <x:v>45</x:v>
      </x:c>
      <x:c r="B1516" s="3" t="n">
        <x:v>31</x:v>
      </x:c>
      <x:c r="C1516" s="3" t="n">
        <x:v>34</x:v>
      </x:c>
      <x:c r="D1516" s="3" t="n">
        <x:v>6</x:v>
      </x:c>
      <x:c r="E1516" s="3" t="n">
        <x:v>6</x:v>
      </x:c>
      <x:c r="F1516" s="3" t="n">
        <x:v>1</x:v>
      </x:c>
    </x:row>
    <x:row r="1517" ht="21" customHeight="1">
      <x:c r="A1517" s="3" t="n">
        <x:v>45</x:v>
      </x:c>
      <x:c r="B1517" s="3" t="n">
        <x:v>32</x:v>
      </x:c>
      <x:c r="C1517" s="3" t="n">
        <x:v>35</x:v>
      </x:c>
      <x:c r="D1517" s="3" t="n">
        <x:v>6</x:v>
      </x:c>
      <x:c r="E1517" s="3" t="n">
        <x:v>6</x:v>
      </x:c>
      <x:c r="F1517" s="3" t="n">
        <x:v>1</x:v>
      </x:c>
    </x:row>
    <x:row r="1518" ht="21" customHeight="1">
      <x:c r="A1518" s="3" t="n">
        <x:v>45</x:v>
      </x:c>
      <x:c r="B1518" s="3" t="n">
        <x:v>33</x:v>
      </x:c>
      <x:c r="C1518" s="3" t="n">
        <x:v>36</x:v>
      </x:c>
      <x:c r="D1518" s="3" t="n">
        <x:v>6</x:v>
      </x:c>
      <x:c r="E1518" s="3" t="n">
        <x:v>6</x:v>
      </x:c>
      <x:c r="F1518" s="3" t="n">
        <x:v>1</x:v>
      </x:c>
    </x:row>
    <x:row r="1519" ht="21" customHeight="1">
      <x:c r="A1519" s="3" t="n">
        <x:v>46</x:v>
      </x:c>
      <x:c r="B1519" s="3" t="n">
        <x:v>0</x:v>
      </x:c>
      <x:c r="C1519" s="3" t="n">
        <x:v>5</x:v>
      </x:c>
      <x:c r="D1519" s="3" t="n">
        <x:v>1</x:v>
      </x:c>
      <x:c r="E1519" s="3" t="n">
        <x:v>1</x:v>
      </x:c>
      <x:c r="F1519" s="3" t="n">
        <x:v>1</x:v>
      </x:c>
    </x:row>
    <x:row r="1520" ht="21" customHeight="1">
      <x:c r="A1520" s="3" t="n">
        <x:v>46</x:v>
      </x:c>
      <x:c r="B1520" s="3" t="n">
        <x:v>1</x:v>
      </x:c>
      <x:c r="C1520" s="3" t="n">
        <x:v>6</x:v>
      </x:c>
      <x:c r="D1520" s="3" t="n">
        <x:v>1</x:v>
      </x:c>
      <x:c r="E1520" s="3" t="n">
        <x:v>1</x:v>
      </x:c>
      <x:c r="F1520" s="3" t="n">
        <x:v>1</x:v>
      </x:c>
    </x:row>
    <x:row r="1521" ht="21" customHeight="1">
      <x:c r="A1521" s="3" t="n">
        <x:v>46</x:v>
      </x:c>
      <x:c r="B1521" s="3" t="n">
        <x:v>2</x:v>
      </x:c>
      <x:c r="C1521" s="3" t="n">
        <x:v>7</x:v>
      </x:c>
      <x:c r="D1521" s="3" t="n">
        <x:v>1</x:v>
      </x:c>
      <x:c r="E1521" s="3" t="n">
        <x:v>2</x:v>
      </x:c>
      <x:c r="F1521" s="3" t="n">
        <x:v>2</x:v>
      </x:c>
    </x:row>
    <x:row r="1522" ht="21" customHeight="1">
      <x:c r="A1522" s="3" t="n">
        <x:v>46</x:v>
      </x:c>
      <x:c r="B1522" s="3" t="n">
        <x:v>3</x:v>
      </x:c>
      <x:c r="C1522" s="3" t="n">
        <x:v>8</x:v>
      </x:c>
      <x:c r="D1522" s="3" t="n">
        <x:v>1</x:v>
      </x:c>
      <x:c r="E1522" s="3" t="n">
        <x:v>2</x:v>
      </x:c>
      <x:c r="F1522" s="3" t="n">
        <x:v>2</x:v>
      </x:c>
    </x:row>
    <x:row r="1523" ht="21" customHeight="1">
      <x:c r="A1523" s="3" t="n">
        <x:v>46</x:v>
      </x:c>
      <x:c r="B1523" s="3" t="n">
        <x:v>4</x:v>
      </x:c>
      <x:c r="C1523" s="3" t="n">
        <x:v>9</x:v>
      </x:c>
      <x:c r="D1523" s="3" t="n">
        <x:v>1</x:v>
      </x:c>
      <x:c r="E1523" s="3" t="n">
        <x:v>2</x:v>
      </x:c>
      <x:c r="F1523" s="3" t="n">
        <x:v>2</x:v>
      </x:c>
    </x:row>
    <x:row r="1524" ht="21" customHeight="1">
      <x:c r="A1524" s="3" t="n">
        <x:v>46</x:v>
      </x:c>
      <x:c r="B1524" s="3" t="n">
        <x:v>5</x:v>
      </x:c>
      <x:c r="C1524" s="3" t="n">
        <x:v>10</x:v>
      </x:c>
      <x:c r="D1524" s="3" t="n">
        <x:v>1</x:v>
      </x:c>
      <x:c r="E1524" s="3" t="n">
        <x:v>2</x:v>
      </x:c>
      <x:c r="F1524" s="3" t="n">
        <x:v>2</x:v>
      </x:c>
    </x:row>
    <x:row r="1525" ht="21" customHeight="1">
      <x:c r="A1525" s="3" t="n">
        <x:v>46</x:v>
      </x:c>
      <x:c r="B1525" s="3" t="n">
        <x:v>6</x:v>
      </x:c>
      <x:c r="C1525" s="3" t="n">
        <x:v>11</x:v>
      </x:c>
      <x:c r="D1525" s="3" t="n">
        <x:v>2</x:v>
      </x:c>
      <x:c r="E1525" s="3" t="n">
        <x:v>2</x:v>
      </x:c>
      <x:c r="F1525" s="3" t="n">
        <x:v>1</x:v>
      </x:c>
    </x:row>
    <x:row r="1526" ht="21" customHeight="1">
      <x:c r="A1526" s="3" t="n">
        <x:v>46</x:v>
      </x:c>
      <x:c r="B1526" s="3" t="n">
        <x:v>7</x:v>
      </x:c>
      <x:c r="C1526" s="3" t="n">
        <x:v>12</x:v>
      </x:c>
      <x:c r="D1526" s="3" t="n">
        <x:v>2</x:v>
      </x:c>
      <x:c r="E1526" s="3" t="n">
        <x:v>2</x:v>
      </x:c>
      <x:c r="F1526" s="3" t="n">
        <x:v>1</x:v>
      </x:c>
    </x:row>
    <x:row r="1527" ht="21" customHeight="1">
      <x:c r="A1527" s="3" t="n">
        <x:v>46</x:v>
      </x:c>
      <x:c r="B1527" s="3" t="n">
        <x:v>8</x:v>
      </x:c>
      <x:c r="C1527" s="3" t="n">
        <x:v>13</x:v>
      </x:c>
      <x:c r="D1527" s="3" t="n">
        <x:v>2</x:v>
      </x:c>
      <x:c r="E1527" s="3" t="n">
        <x:v>3</x:v>
      </x:c>
      <x:c r="F1527" s="3" t="n">
        <x:v>2</x:v>
      </x:c>
    </x:row>
    <x:row r="1528" ht="21" customHeight="1">
      <x:c r="A1528" s="3" t="n">
        <x:v>46</x:v>
      </x:c>
      <x:c r="B1528" s="3" t="n">
        <x:v>9</x:v>
      </x:c>
      <x:c r="C1528" s="3" t="n">
        <x:v>14</x:v>
      </x:c>
      <x:c r="D1528" s="3" t="n">
        <x:v>2</x:v>
      </x:c>
      <x:c r="E1528" s="3" t="n">
        <x:v>3</x:v>
      </x:c>
      <x:c r="F1528" s="3" t="n">
        <x:v>2</x:v>
      </x:c>
    </x:row>
    <x:row r="1529" ht="21" customHeight="1">
      <x:c r="A1529" s="3" t="n">
        <x:v>46</x:v>
      </x:c>
      <x:c r="B1529" s="3" t="n">
        <x:v>10</x:v>
      </x:c>
      <x:c r="C1529" s="3" t="n">
        <x:v>15</x:v>
      </x:c>
      <x:c r="D1529" s="3" t="n">
        <x:v>2</x:v>
      </x:c>
      <x:c r="E1529" s="3" t="n">
        <x:v>3</x:v>
      </x:c>
      <x:c r="F1529" s="3" t="n">
        <x:v>2</x:v>
      </x:c>
    </x:row>
    <x:row r="1530" ht="21" customHeight="1">
      <x:c r="A1530" s="3" t="n">
        <x:v>46</x:v>
      </x:c>
      <x:c r="B1530" s="3" t="n">
        <x:v>11</x:v>
      </x:c>
      <x:c r="C1530" s="3" t="n">
        <x:v>16</x:v>
      </x:c>
      <x:c r="D1530" s="3" t="n">
        <x:v>2</x:v>
      </x:c>
      <x:c r="E1530" s="3" t="n">
        <x:v>3</x:v>
      </x:c>
      <x:c r="F1530" s="3" t="n">
        <x:v>2</x:v>
      </x:c>
    </x:row>
    <x:row r="1531" ht="21" customHeight="1">
      <x:c r="A1531" s="3" t="n">
        <x:v>46</x:v>
      </x:c>
      <x:c r="B1531" s="3" t="n">
        <x:v>12</x:v>
      </x:c>
      <x:c r="C1531" s="3" t="n">
        <x:v>17</x:v>
      </x:c>
      <x:c r="D1531" s="3" t="n">
        <x:v>3</x:v>
      </x:c>
      <x:c r="E1531" s="3" t="n">
        <x:v>3</x:v>
      </x:c>
      <x:c r="F1531" s="3" t="n">
        <x:v>1</x:v>
      </x:c>
    </x:row>
    <x:row r="1532" ht="21" customHeight="1">
      <x:c r="A1532" s="3" t="n">
        <x:v>46</x:v>
      </x:c>
      <x:c r="B1532" s="3" t="n">
        <x:v>13</x:v>
      </x:c>
      <x:c r="C1532" s="3" t="n">
        <x:v>18</x:v>
      </x:c>
      <x:c r="D1532" s="3" t="n">
        <x:v>3</x:v>
      </x:c>
      <x:c r="E1532" s="3" t="n">
        <x:v>3</x:v>
      </x:c>
      <x:c r="F1532" s="3" t="n">
        <x:v>1</x:v>
      </x:c>
    </x:row>
    <x:row r="1533" ht="21" customHeight="1">
      <x:c r="A1533" s="3" t="n">
        <x:v>46</x:v>
      </x:c>
      <x:c r="B1533" s="3" t="n">
        <x:v>14</x:v>
      </x:c>
      <x:c r="C1533" s="3" t="n">
        <x:v>19</x:v>
      </x:c>
      <x:c r="D1533" s="3" t="n">
        <x:v>3</x:v>
      </x:c>
      <x:c r="E1533" s="3" t="n">
        <x:v>4</x:v>
      </x:c>
      <x:c r="F1533" s="3" t="n">
        <x:v>2</x:v>
      </x:c>
    </x:row>
    <x:row r="1534" ht="21" customHeight="1">
      <x:c r="A1534" s="3" t="n">
        <x:v>46</x:v>
      </x:c>
      <x:c r="B1534" s="3" t="n">
        <x:v>15</x:v>
      </x:c>
      <x:c r="C1534" s="3" t="n">
        <x:v>20</x:v>
      </x:c>
      <x:c r="D1534" s="3" t="n">
        <x:v>3</x:v>
      </x:c>
      <x:c r="E1534" s="3" t="n">
        <x:v>4</x:v>
      </x:c>
      <x:c r="F1534" s="3" t="n">
        <x:v>2</x:v>
      </x:c>
    </x:row>
    <x:row r="1535" ht="21" customHeight="1">
      <x:c r="A1535" s="3" t="n">
        <x:v>46</x:v>
      </x:c>
      <x:c r="B1535" s="3" t="n">
        <x:v>16</x:v>
      </x:c>
      <x:c r="C1535" s="3" t="n">
        <x:v>21</x:v>
      </x:c>
      <x:c r="D1535" s="3" t="n">
        <x:v>3</x:v>
      </x:c>
      <x:c r="E1535" s="3" t="n">
        <x:v>4</x:v>
      </x:c>
      <x:c r="F1535" s="3" t="n">
        <x:v>2</x:v>
      </x:c>
    </x:row>
    <x:row r="1536" ht="21" customHeight="1">
      <x:c r="A1536" s="3" t="n">
        <x:v>46</x:v>
      </x:c>
      <x:c r="B1536" s="3" t="n">
        <x:v>17</x:v>
      </x:c>
      <x:c r="C1536" s="3" t="n">
        <x:v>22</x:v>
      </x:c>
      <x:c r="D1536" s="3" t="n">
        <x:v>3</x:v>
      </x:c>
      <x:c r="E1536" s="3" t="n">
        <x:v>4</x:v>
      </x:c>
      <x:c r="F1536" s="3" t="n">
        <x:v>2</x:v>
      </x:c>
    </x:row>
    <x:row r="1537" ht="21" customHeight="1">
      <x:c r="A1537" s="3" t="n">
        <x:v>46</x:v>
      </x:c>
      <x:c r="B1537" s="3" t="n">
        <x:v>18</x:v>
      </x:c>
      <x:c r="C1537" s="3" t="n">
        <x:v>23</x:v>
      </x:c>
      <x:c r="D1537" s="3" t="n">
        <x:v>4</x:v>
      </x:c>
      <x:c r="E1537" s="3" t="n">
        <x:v>4</x:v>
      </x:c>
      <x:c r="F1537" s="3" t="n">
        <x:v>1</x:v>
      </x:c>
    </x:row>
    <x:row r="1538" ht="21" customHeight="1">
      <x:c r="A1538" s="3" t="n">
        <x:v>46</x:v>
      </x:c>
      <x:c r="B1538" s="3" t="n">
        <x:v>19</x:v>
      </x:c>
      <x:c r="C1538" s="3" t="n">
        <x:v>24</x:v>
      </x:c>
      <x:c r="D1538" s="3" t="n">
        <x:v>4</x:v>
      </x:c>
      <x:c r="E1538" s="3" t="n">
        <x:v>4</x:v>
      </x:c>
      <x:c r="F1538" s="3" t="n">
        <x:v>1</x:v>
      </x:c>
    </x:row>
    <x:row r="1539" ht="21" customHeight="1">
      <x:c r="A1539" s="3" t="n">
        <x:v>46</x:v>
      </x:c>
      <x:c r="B1539" s="3" t="n">
        <x:v>20</x:v>
      </x:c>
      <x:c r="C1539" s="3" t="n">
        <x:v>25</x:v>
      </x:c>
      <x:c r="D1539" s="3" t="n">
        <x:v>4</x:v>
      </x:c>
      <x:c r="E1539" s="3" t="n">
        <x:v>5</x:v>
      </x:c>
      <x:c r="F1539" s="3" t="n">
        <x:v>2</x:v>
      </x:c>
    </x:row>
    <x:row r="1540" ht="21" customHeight="1">
      <x:c r="A1540" s="3" t="n">
        <x:v>46</x:v>
      </x:c>
      <x:c r="B1540" s="3" t="n">
        <x:v>21</x:v>
      </x:c>
      <x:c r="C1540" s="3" t="n">
        <x:v>26</x:v>
      </x:c>
      <x:c r="D1540" s="3" t="n">
        <x:v>4</x:v>
      </x:c>
      <x:c r="E1540" s="3" t="n">
        <x:v>5</x:v>
      </x:c>
      <x:c r="F1540" s="3" t="n">
        <x:v>2</x:v>
      </x:c>
    </x:row>
    <x:row r="1541" ht="21" customHeight="1">
      <x:c r="A1541" s="3" t="n">
        <x:v>46</x:v>
      </x:c>
      <x:c r="B1541" s="3" t="n">
        <x:v>22</x:v>
      </x:c>
      <x:c r="C1541" s="3" t="n">
        <x:v>27</x:v>
      </x:c>
      <x:c r="D1541" s="3" t="n">
        <x:v>4</x:v>
      </x:c>
      <x:c r="E1541" s="3" t="n">
        <x:v>5</x:v>
      </x:c>
      <x:c r="F1541" s="3" t="n">
        <x:v>2</x:v>
      </x:c>
    </x:row>
    <x:row r="1542" ht="21" customHeight="1">
      <x:c r="A1542" s="3" t="n">
        <x:v>46</x:v>
      </x:c>
      <x:c r="B1542" s="3" t="n">
        <x:v>23</x:v>
      </x:c>
      <x:c r="C1542" s="3" t="n">
        <x:v>28</x:v>
      </x:c>
      <x:c r="D1542" s="3" t="n">
        <x:v>4</x:v>
      </x:c>
      <x:c r="E1542" s="3" t="n">
        <x:v>5</x:v>
      </x:c>
      <x:c r="F1542" s="3" t="n">
        <x:v>2</x:v>
      </x:c>
    </x:row>
    <x:row r="1543" ht="21" customHeight="1">
      <x:c r="A1543" s="3" t="n">
        <x:v>46</x:v>
      </x:c>
      <x:c r="B1543" s="3" t="n">
        <x:v>24</x:v>
      </x:c>
      <x:c r="C1543" s="3" t="n">
        <x:v>29</x:v>
      </x:c>
      <x:c r="D1543" s="3" t="n">
        <x:v>5</x:v>
      </x:c>
      <x:c r="E1543" s="3" t="n">
        <x:v>5</x:v>
      </x:c>
      <x:c r="F1543" s="3" t="n">
        <x:v>1</x:v>
      </x:c>
    </x:row>
    <x:row r="1544" ht="21" customHeight="1">
      <x:c r="A1544" s="3" t="n">
        <x:v>46</x:v>
      </x:c>
      <x:c r="B1544" s="3" t="n">
        <x:v>25</x:v>
      </x:c>
      <x:c r="C1544" s="3" t="n">
        <x:v>30</x:v>
      </x:c>
      <x:c r="D1544" s="3" t="n">
        <x:v>5</x:v>
      </x:c>
      <x:c r="E1544" s="3" t="n">
        <x:v>5</x:v>
      </x:c>
      <x:c r="F1544" s="3" t="n">
        <x:v>1</x:v>
      </x:c>
    </x:row>
    <x:row r="1545" ht="21" customHeight="1">
      <x:c r="A1545" s="3" t="n">
        <x:v>46</x:v>
      </x:c>
      <x:c r="B1545" s="3" t="n">
        <x:v>26</x:v>
      </x:c>
      <x:c r="C1545" s="3" t="n">
        <x:v>31</x:v>
      </x:c>
      <x:c r="D1545" s="3" t="n">
        <x:v>5</x:v>
      </x:c>
      <x:c r="E1545" s="3" t="n">
        <x:v>6</x:v>
      </x:c>
      <x:c r="F1545" s="3" t="n">
        <x:v>2</x:v>
      </x:c>
    </x:row>
    <x:row r="1546" ht="21" customHeight="1">
      <x:c r="A1546" s="3" t="n">
        <x:v>46</x:v>
      </x:c>
      <x:c r="B1546" s="3" t="n">
        <x:v>27</x:v>
      </x:c>
      <x:c r="C1546" s="3" t="n">
        <x:v>32</x:v>
      </x:c>
      <x:c r="D1546" s="3" t="n">
        <x:v>5</x:v>
      </x:c>
      <x:c r="E1546" s="3" t="n">
        <x:v>6</x:v>
      </x:c>
      <x:c r="F1546" s="3" t="n">
        <x:v>2</x:v>
      </x:c>
    </x:row>
    <x:row r="1547" ht="21" customHeight="1">
      <x:c r="A1547" s="3" t="n">
        <x:v>46</x:v>
      </x:c>
      <x:c r="B1547" s="3" t="n">
        <x:v>28</x:v>
      </x:c>
      <x:c r="C1547" s="3" t="n">
        <x:v>33</x:v>
      </x:c>
      <x:c r="D1547" s="3" t="n">
        <x:v>5</x:v>
      </x:c>
      <x:c r="E1547" s="3" t="n">
        <x:v>6</x:v>
      </x:c>
      <x:c r="F1547" s="3" t="n">
        <x:v>2</x:v>
      </x:c>
    </x:row>
    <x:row r="1548" ht="21" customHeight="1">
      <x:c r="A1548" s="3" t="n">
        <x:v>46</x:v>
      </x:c>
      <x:c r="B1548" s="3" t="n">
        <x:v>29</x:v>
      </x:c>
      <x:c r="C1548" s="3" t="n">
        <x:v>34</x:v>
      </x:c>
      <x:c r="D1548" s="3" t="n">
        <x:v>5</x:v>
      </x:c>
      <x:c r="E1548" s="3" t="n">
        <x:v>6</x:v>
      </x:c>
      <x:c r="F1548" s="3" t="n">
        <x:v>2</x:v>
      </x:c>
    </x:row>
    <x:row r="1549" ht="21" customHeight="1">
      <x:c r="A1549" s="3" t="n">
        <x:v>46</x:v>
      </x:c>
      <x:c r="B1549" s="3" t="n">
        <x:v>30</x:v>
      </x:c>
      <x:c r="C1549" s="3" t="n">
        <x:v>35</x:v>
      </x:c>
      <x:c r="D1549" s="3" t="n">
        <x:v>6</x:v>
      </x:c>
      <x:c r="E1549" s="3" t="n">
        <x:v>6</x:v>
      </x:c>
      <x:c r="F1549" s="3" t="n">
        <x:v>1</x:v>
      </x:c>
    </x:row>
    <x:row r="1550" ht="21" customHeight="1">
      <x:c r="A1550" s="3" t="n">
        <x:v>46</x:v>
      </x:c>
      <x:c r="B1550" s="3" t="n">
        <x:v>31</x:v>
      </x:c>
      <x:c r="C1550" s="3" t="n">
        <x:v>36</x:v>
      </x:c>
      <x:c r="D1550" s="3" t="n">
        <x:v>6</x:v>
      </x:c>
      <x:c r="E1550" s="3" t="n">
        <x:v>6</x:v>
      </x:c>
      <x:c r="F1550" s="3" t="n">
        <x:v>1</x:v>
      </x:c>
    </x:row>
    <x:row r="1551" ht="21" customHeight="1">
      <x:c r="A1551" s="3" t="n">
        <x:v>47</x:v>
      </x:c>
      <x:c r="B1551" s="3" t="n">
        <x:v>0</x:v>
      </x:c>
      <x:c r="C1551" s="3" t="n">
        <x:v>2</x:v>
      </x:c>
      <x:c r="D1551" s="3" t="n">
        <x:v>1</x:v>
      </x:c>
      <x:c r="E1551" s="3" t="n">
        <x:v>1</x:v>
      </x:c>
      <x:c r="F1551" s="3" t="n">
        <x:v>1</x:v>
      </x:c>
    </x:row>
    <x:row r="1552" ht="21" customHeight="1">
      <x:c r="A1552" s="3" t="n">
        <x:v>47</x:v>
      </x:c>
      <x:c r="B1552" s="3" t="n">
        <x:v>1</x:v>
      </x:c>
      <x:c r="C1552" s="3" t="n">
        <x:v>3</x:v>
      </x:c>
      <x:c r="D1552" s="3" t="n">
        <x:v>1</x:v>
      </x:c>
      <x:c r="E1552" s="3" t="n">
        <x:v>1</x:v>
      </x:c>
      <x:c r="F1552" s="3" t="n">
        <x:v>1</x:v>
      </x:c>
    </x:row>
    <x:row r="1553" ht="21" customHeight="1">
      <x:c r="A1553" s="3" t="n">
        <x:v>47</x:v>
      </x:c>
      <x:c r="B1553" s="3" t="n">
        <x:v>2</x:v>
      </x:c>
      <x:c r="C1553" s="3" t="n">
        <x:v>4</x:v>
      </x:c>
      <x:c r="D1553" s="3" t="n">
        <x:v>1</x:v>
      </x:c>
      <x:c r="E1553" s="3" t="n">
        <x:v>1</x:v>
      </x:c>
      <x:c r="F1553" s="3" t="n">
        <x:v>1</x:v>
      </x:c>
    </x:row>
    <x:row r="1554" ht="21" customHeight="1">
      <x:c r="A1554" s="3" t="n">
        <x:v>47</x:v>
      </x:c>
      <x:c r="B1554" s="3" t="n">
        <x:v>3</x:v>
      </x:c>
      <x:c r="C1554" s="3" t="n">
        <x:v>5</x:v>
      </x:c>
      <x:c r="D1554" s="3" t="n">
        <x:v>1</x:v>
      </x:c>
      <x:c r="E1554" s="3" t="n">
        <x:v>1</x:v>
      </x:c>
      <x:c r="F1554" s="3" t="n">
        <x:v>1</x:v>
      </x:c>
    </x:row>
    <x:row r="1555" ht="21" customHeight="1">
      <x:c r="A1555" s="3" t="n">
        <x:v>47</x:v>
      </x:c>
      <x:c r="B1555" s="3" t="n">
        <x:v>4</x:v>
      </x:c>
      <x:c r="C1555" s="3" t="n">
        <x:v>6</x:v>
      </x:c>
      <x:c r="D1555" s="3" t="n">
        <x:v>1</x:v>
      </x:c>
      <x:c r="E1555" s="3" t="n">
        <x:v>1</x:v>
      </x:c>
      <x:c r="F1555" s="3" t="n">
        <x:v>1</x:v>
      </x:c>
    </x:row>
    <x:row r="1556" ht="21" customHeight="1">
      <x:c r="A1556" s="3" t="n">
        <x:v>47</x:v>
      </x:c>
      <x:c r="B1556" s="3" t="n">
        <x:v>5</x:v>
      </x:c>
      <x:c r="C1556" s="3" t="n">
        <x:v>7</x:v>
      </x:c>
      <x:c r="D1556" s="3" t="n">
        <x:v>1</x:v>
      </x:c>
      <x:c r="E1556" s="3" t="n">
        <x:v>2</x:v>
      </x:c>
      <x:c r="F1556" s="3" t="n">
        <x:v>2</x:v>
      </x:c>
    </x:row>
    <x:row r="1557" ht="21" customHeight="1">
      <x:c r="A1557" s="3" t="n">
        <x:v>47</x:v>
      </x:c>
      <x:c r="B1557" s="3" t="n">
        <x:v>6</x:v>
      </x:c>
      <x:c r="C1557" s="3" t="n">
        <x:v>8</x:v>
      </x:c>
      <x:c r="D1557" s="3" t="n">
        <x:v>2</x:v>
      </x:c>
      <x:c r="E1557" s="3" t="n">
        <x:v>2</x:v>
      </x:c>
      <x:c r="F1557" s="3" t="n">
        <x:v>1</x:v>
      </x:c>
    </x:row>
    <x:row r="1558" ht="21" customHeight="1">
      <x:c r="A1558" s="3" t="n">
        <x:v>47</x:v>
      </x:c>
      <x:c r="B1558" s="3" t="n">
        <x:v>7</x:v>
      </x:c>
      <x:c r="C1558" s="3" t="n">
        <x:v>9</x:v>
      </x:c>
      <x:c r="D1558" s="3" t="n">
        <x:v>2</x:v>
      </x:c>
      <x:c r="E1558" s="3" t="n">
        <x:v>2</x:v>
      </x:c>
      <x:c r="F1558" s="3" t="n">
        <x:v>1</x:v>
      </x:c>
    </x:row>
    <x:row r="1559" ht="21" customHeight="1">
      <x:c r="A1559" s="3" t="n">
        <x:v>47</x:v>
      </x:c>
      <x:c r="B1559" s="3" t="n">
        <x:v>8</x:v>
      </x:c>
      <x:c r="C1559" s="3" t="n">
        <x:v>10</x:v>
      </x:c>
      <x:c r="D1559" s="3" t="n">
        <x:v>2</x:v>
      </x:c>
      <x:c r="E1559" s="3" t="n">
        <x:v>2</x:v>
      </x:c>
      <x:c r="F1559" s="3" t="n">
        <x:v>1</x:v>
      </x:c>
    </x:row>
    <x:row r="1560" ht="21" customHeight="1">
      <x:c r="A1560" s="3" t="n">
        <x:v>47</x:v>
      </x:c>
      <x:c r="B1560" s="3" t="n">
        <x:v>9</x:v>
      </x:c>
      <x:c r="C1560" s="3" t="n">
        <x:v>11</x:v>
      </x:c>
      <x:c r="D1560" s="3" t="n">
        <x:v>2</x:v>
      </x:c>
      <x:c r="E1560" s="3" t="n">
        <x:v>2</x:v>
      </x:c>
      <x:c r="F1560" s="3" t="n">
        <x:v>1</x:v>
      </x:c>
    </x:row>
    <x:row r="1561" ht="21" customHeight="1">
      <x:c r="A1561" s="3" t="n">
        <x:v>47</x:v>
      </x:c>
      <x:c r="B1561" s="3" t="n">
        <x:v>10</x:v>
      </x:c>
      <x:c r="C1561" s="3" t="n">
        <x:v>12</x:v>
      </x:c>
      <x:c r="D1561" s="3" t="n">
        <x:v>2</x:v>
      </x:c>
      <x:c r="E1561" s="3" t="n">
        <x:v>2</x:v>
      </x:c>
      <x:c r="F1561" s="3" t="n">
        <x:v>1</x:v>
      </x:c>
    </x:row>
    <x:row r="1562" ht="21" customHeight="1">
      <x:c r="A1562" s="3" t="n">
        <x:v>47</x:v>
      </x:c>
      <x:c r="B1562" s="3" t="n">
        <x:v>11</x:v>
      </x:c>
      <x:c r="C1562" s="3" t="n">
        <x:v>13</x:v>
      </x:c>
      <x:c r="D1562" s="3" t="n">
        <x:v>2</x:v>
      </x:c>
      <x:c r="E1562" s="3" t="n">
        <x:v>3</x:v>
      </x:c>
      <x:c r="F1562" s="3" t="n">
        <x:v>2</x:v>
      </x:c>
    </x:row>
    <x:row r="1563" ht="21" customHeight="1">
      <x:c r="A1563" s="3" t="n">
        <x:v>47</x:v>
      </x:c>
      <x:c r="B1563" s="3" t="n">
        <x:v>12</x:v>
      </x:c>
      <x:c r="C1563" s="3" t="n">
        <x:v>14</x:v>
      </x:c>
      <x:c r="D1563" s="3" t="n">
        <x:v>3</x:v>
      </x:c>
      <x:c r="E1563" s="3" t="n">
        <x:v>3</x:v>
      </x:c>
      <x:c r="F1563" s="3" t="n">
        <x:v>1</x:v>
      </x:c>
    </x:row>
    <x:row r="1564" ht="21" customHeight="1">
      <x:c r="A1564" s="3" t="n">
        <x:v>47</x:v>
      </x:c>
      <x:c r="B1564" s="3" t="n">
        <x:v>13</x:v>
      </x:c>
      <x:c r="C1564" s="3" t="n">
        <x:v>15</x:v>
      </x:c>
      <x:c r="D1564" s="3" t="n">
        <x:v>3</x:v>
      </x:c>
      <x:c r="E1564" s="3" t="n">
        <x:v>3</x:v>
      </x:c>
      <x:c r="F1564" s="3" t="n">
        <x:v>1</x:v>
      </x:c>
    </x:row>
    <x:row r="1565" ht="21" customHeight="1">
      <x:c r="A1565" s="3" t="n">
        <x:v>47</x:v>
      </x:c>
      <x:c r="B1565" s="3" t="n">
        <x:v>14</x:v>
      </x:c>
      <x:c r="C1565" s="3" t="n">
        <x:v>16</x:v>
      </x:c>
      <x:c r="D1565" s="3" t="n">
        <x:v>3</x:v>
      </x:c>
      <x:c r="E1565" s="3" t="n">
        <x:v>3</x:v>
      </x:c>
      <x:c r="F1565" s="3" t="n">
        <x:v>1</x:v>
      </x:c>
    </x:row>
    <x:row r="1566" ht="21" customHeight="1">
      <x:c r="A1566" s="3" t="n">
        <x:v>47</x:v>
      </x:c>
      <x:c r="B1566" s="3" t="n">
        <x:v>15</x:v>
      </x:c>
      <x:c r="C1566" s="3" t="n">
        <x:v>17</x:v>
      </x:c>
      <x:c r="D1566" s="3" t="n">
        <x:v>3</x:v>
      </x:c>
      <x:c r="E1566" s="3" t="n">
        <x:v>3</x:v>
      </x:c>
      <x:c r="F1566" s="3" t="n">
        <x:v>1</x:v>
      </x:c>
    </x:row>
    <x:row r="1567" ht="21" customHeight="1">
      <x:c r="A1567" s="3" t="n">
        <x:v>47</x:v>
      </x:c>
      <x:c r="B1567" s="3" t="n">
        <x:v>16</x:v>
      </x:c>
      <x:c r="C1567" s="3" t="n">
        <x:v>18</x:v>
      </x:c>
      <x:c r="D1567" s="3" t="n">
        <x:v>3</x:v>
      </x:c>
      <x:c r="E1567" s="3" t="n">
        <x:v>3</x:v>
      </x:c>
      <x:c r="F1567" s="3" t="n">
        <x:v>1</x:v>
      </x:c>
    </x:row>
    <x:row r="1568" ht="21" customHeight="1">
      <x:c r="A1568" s="3" t="n">
        <x:v>47</x:v>
      </x:c>
      <x:c r="B1568" s="3" t="n">
        <x:v>17</x:v>
      </x:c>
      <x:c r="C1568" s="3" t="n">
        <x:v>19</x:v>
      </x:c>
      <x:c r="D1568" s="3" t="n">
        <x:v>3</x:v>
      </x:c>
      <x:c r="E1568" s="3" t="n">
        <x:v>4</x:v>
      </x:c>
      <x:c r="F1568" s="3" t="n">
        <x:v>2</x:v>
      </x:c>
    </x:row>
    <x:row r="1569" ht="21" customHeight="1">
      <x:c r="A1569" s="3" t="n">
        <x:v>47</x:v>
      </x:c>
      <x:c r="B1569" s="3" t="n">
        <x:v>18</x:v>
      </x:c>
      <x:c r="C1569" s="3" t="n">
        <x:v>20</x:v>
      </x:c>
      <x:c r="D1569" s="3" t="n">
        <x:v>4</x:v>
      </x:c>
      <x:c r="E1569" s="3" t="n">
        <x:v>4</x:v>
      </x:c>
      <x:c r="F1569" s="3" t="n">
        <x:v>1</x:v>
      </x:c>
    </x:row>
    <x:row r="1570" ht="21" customHeight="1">
      <x:c r="A1570" s="3" t="n">
        <x:v>47</x:v>
      </x:c>
      <x:c r="B1570" s="3" t="n">
        <x:v>19</x:v>
      </x:c>
      <x:c r="C1570" s="3" t="n">
        <x:v>21</x:v>
      </x:c>
      <x:c r="D1570" s="3" t="n">
        <x:v>4</x:v>
      </x:c>
      <x:c r="E1570" s="3" t="n">
        <x:v>4</x:v>
      </x:c>
      <x:c r="F1570" s="3" t="n">
        <x:v>1</x:v>
      </x:c>
    </x:row>
    <x:row r="1571" ht="21" customHeight="1">
      <x:c r="A1571" s="3" t="n">
        <x:v>47</x:v>
      </x:c>
      <x:c r="B1571" s="3" t="n">
        <x:v>20</x:v>
      </x:c>
      <x:c r="C1571" s="3" t="n">
        <x:v>22</x:v>
      </x:c>
      <x:c r="D1571" s="3" t="n">
        <x:v>4</x:v>
      </x:c>
      <x:c r="E1571" s="3" t="n">
        <x:v>4</x:v>
      </x:c>
      <x:c r="F1571" s="3" t="n">
        <x:v>1</x:v>
      </x:c>
    </x:row>
    <x:row r="1572" ht="21" customHeight="1">
      <x:c r="A1572" s="3" t="n">
        <x:v>47</x:v>
      </x:c>
      <x:c r="B1572" s="3" t="n">
        <x:v>21</x:v>
      </x:c>
      <x:c r="C1572" s="3" t="n">
        <x:v>23</x:v>
      </x:c>
      <x:c r="D1572" s="3" t="n">
        <x:v>4</x:v>
      </x:c>
      <x:c r="E1572" s="3" t="n">
        <x:v>4</x:v>
      </x:c>
      <x:c r="F1572" s="3" t="n">
        <x:v>1</x:v>
      </x:c>
    </x:row>
    <x:row r="1573" ht="21" customHeight="1">
      <x:c r="A1573" s="3" t="n">
        <x:v>47</x:v>
      </x:c>
      <x:c r="B1573" s="3" t="n">
        <x:v>22</x:v>
      </x:c>
      <x:c r="C1573" s="3" t="n">
        <x:v>24</x:v>
      </x:c>
      <x:c r="D1573" s="3" t="n">
        <x:v>4</x:v>
      </x:c>
      <x:c r="E1573" s="3" t="n">
        <x:v>4</x:v>
      </x:c>
      <x:c r="F1573" s="3" t="n">
        <x:v>1</x:v>
      </x:c>
    </x:row>
    <x:row r="1574" ht="21" customHeight="1">
      <x:c r="A1574" s="3" t="n">
        <x:v>47</x:v>
      </x:c>
      <x:c r="B1574" s="3" t="n">
        <x:v>23</x:v>
      </x:c>
      <x:c r="C1574" s="3" t="n">
        <x:v>25</x:v>
      </x:c>
      <x:c r="D1574" s="3" t="n">
        <x:v>4</x:v>
      </x:c>
      <x:c r="E1574" s="3" t="n">
        <x:v>5</x:v>
      </x:c>
      <x:c r="F1574" s="3" t="n">
        <x:v>2</x:v>
      </x:c>
    </x:row>
    <x:row r="1575" ht="21" customHeight="1">
      <x:c r="A1575" s="3" t="n">
        <x:v>47</x:v>
      </x:c>
      <x:c r="B1575" s="3" t="n">
        <x:v>24</x:v>
      </x:c>
      <x:c r="C1575" s="3" t="n">
        <x:v>26</x:v>
      </x:c>
      <x:c r="D1575" s="3" t="n">
        <x:v>5</x:v>
      </x:c>
      <x:c r="E1575" s="3" t="n">
        <x:v>5</x:v>
      </x:c>
      <x:c r="F1575" s="3" t="n">
        <x:v>1</x:v>
      </x:c>
    </x:row>
    <x:row r="1576" ht="21" customHeight="1">
      <x:c r="A1576" s="3" t="n">
        <x:v>47</x:v>
      </x:c>
      <x:c r="B1576" s="3" t="n">
        <x:v>25</x:v>
      </x:c>
      <x:c r="C1576" s="3" t="n">
        <x:v>27</x:v>
      </x:c>
      <x:c r="D1576" s="3" t="n">
        <x:v>5</x:v>
      </x:c>
      <x:c r="E1576" s="3" t="n">
        <x:v>5</x:v>
      </x:c>
      <x:c r="F1576" s="3" t="n">
        <x:v>1</x:v>
      </x:c>
    </x:row>
    <x:row r="1577" ht="21" customHeight="1">
      <x:c r="A1577" s="3" t="n">
        <x:v>47</x:v>
      </x:c>
      <x:c r="B1577" s="3" t="n">
        <x:v>26</x:v>
      </x:c>
      <x:c r="C1577" s="3" t="n">
        <x:v>28</x:v>
      </x:c>
      <x:c r="D1577" s="3" t="n">
        <x:v>5</x:v>
      </x:c>
      <x:c r="E1577" s="3" t="n">
        <x:v>5</x:v>
      </x:c>
      <x:c r="F1577" s="3" t="n">
        <x:v>1</x:v>
      </x:c>
    </x:row>
    <x:row r="1578" ht="21" customHeight="1">
      <x:c r="A1578" s="3" t="n">
        <x:v>47</x:v>
      </x:c>
      <x:c r="B1578" s="3" t="n">
        <x:v>27</x:v>
      </x:c>
      <x:c r="C1578" s="3" t="n">
        <x:v>29</x:v>
      </x:c>
      <x:c r="D1578" s="3" t="n">
        <x:v>5</x:v>
      </x:c>
      <x:c r="E1578" s="3" t="n">
        <x:v>5</x:v>
      </x:c>
      <x:c r="F1578" s="3" t="n">
        <x:v>1</x:v>
      </x:c>
    </x:row>
    <x:row r="1579" ht="21" customHeight="1">
      <x:c r="A1579" s="3" t="n">
        <x:v>47</x:v>
      </x:c>
      <x:c r="B1579" s="3" t="n">
        <x:v>28</x:v>
      </x:c>
      <x:c r="C1579" s="3" t="n">
        <x:v>30</x:v>
      </x:c>
      <x:c r="D1579" s="3" t="n">
        <x:v>5</x:v>
      </x:c>
      <x:c r="E1579" s="3" t="n">
        <x:v>5</x:v>
      </x:c>
      <x:c r="F1579" s="3" t="n">
        <x:v>1</x:v>
      </x:c>
    </x:row>
    <x:row r="1580" ht="21" customHeight="1">
      <x:c r="A1580" s="3" t="n">
        <x:v>47</x:v>
      </x:c>
      <x:c r="B1580" s="3" t="n">
        <x:v>29</x:v>
      </x:c>
      <x:c r="C1580" s="3" t="n">
        <x:v>31</x:v>
      </x:c>
      <x:c r="D1580" s="3" t="n">
        <x:v>5</x:v>
      </x:c>
      <x:c r="E1580" s="3" t="n">
        <x:v>6</x:v>
      </x:c>
      <x:c r="F1580" s="3" t="n">
        <x:v>2</x:v>
      </x:c>
    </x:row>
    <x:row r="1581" ht="21" customHeight="1">
      <x:c r="A1581" s="3" t="n">
        <x:v>47</x:v>
      </x:c>
      <x:c r="B1581" s="3" t="n">
        <x:v>30</x:v>
      </x:c>
      <x:c r="C1581" s="3" t="n">
        <x:v>32</x:v>
      </x:c>
      <x:c r="D1581" s="3" t="n">
        <x:v>6</x:v>
      </x:c>
      <x:c r="E1581" s="3" t="n">
        <x:v>6</x:v>
      </x:c>
      <x:c r="F1581" s="3" t="n">
        <x:v>1</x:v>
      </x:c>
    </x:row>
    <x:row r="1582" ht="21" customHeight="1">
      <x:c r="A1582" s="3" t="n">
        <x:v>47</x:v>
      </x:c>
      <x:c r="B1582" s="3" t="n">
        <x:v>31</x:v>
      </x:c>
      <x:c r="C1582" s="3" t="n">
        <x:v>33</x:v>
      </x:c>
      <x:c r="D1582" s="3" t="n">
        <x:v>6</x:v>
      </x:c>
      <x:c r="E1582" s="3" t="n">
        <x:v>6</x:v>
      </x:c>
      <x:c r="F1582" s="3" t="n">
        <x:v>1</x:v>
      </x:c>
    </x:row>
    <x:row r="1583" ht="21" customHeight="1">
      <x:c r="A1583" s="3" t="n">
        <x:v>47</x:v>
      </x:c>
      <x:c r="B1583" s="3" t="n">
        <x:v>32</x:v>
      </x:c>
      <x:c r="C1583" s="3" t="n">
        <x:v>34</x:v>
      </x:c>
      <x:c r="D1583" s="3" t="n">
        <x:v>6</x:v>
      </x:c>
      <x:c r="E1583" s="3" t="n">
        <x:v>6</x:v>
      </x:c>
      <x:c r="F1583" s="3" t="n">
        <x:v>1</x:v>
      </x:c>
    </x:row>
    <x:row r="1584" ht="21" customHeight="1">
      <x:c r="A1584" s="3" t="n">
        <x:v>47</x:v>
      </x:c>
      <x:c r="B1584" s="3" t="n">
        <x:v>33</x:v>
      </x:c>
      <x:c r="C1584" s="3" t="n">
        <x:v>35</x:v>
      </x:c>
      <x:c r="D1584" s="3" t="n">
        <x:v>6</x:v>
      </x:c>
      <x:c r="E1584" s="3" t="n">
        <x:v>6</x:v>
      </x:c>
      <x:c r="F1584" s="3" t="n">
        <x:v>1</x:v>
      </x:c>
    </x:row>
    <x:row r="1585" ht="21" customHeight="1">
      <x:c r="A1585" s="3" t="n">
        <x:v>47</x:v>
      </x:c>
      <x:c r="B1585" s="3" t="n">
        <x:v>34</x:v>
      </x:c>
      <x:c r="C1585" s="3" t="n">
        <x:v>36</x:v>
      </x:c>
      <x:c r="D1585" s="3" t="n">
        <x:v>6</x:v>
      </x:c>
      <x:c r="E1585" s="3" t="n">
        <x:v>6</x:v>
      </x:c>
      <x:c r="F1585" s="3" t="n">
        <x:v>1</x:v>
      </x:c>
    </x:row>
    <x:row r="1586" ht="21" customHeight="1">
      <x:c r="A1586" s="3" t="n">
        <x:v>48</x:v>
      </x:c>
      <x:c r="B1586" s="3" t="n">
        <x:v>0</x:v>
      </x:c>
      <x:c r="C1586" s="3" t="n">
        <x:v>3</x:v>
      </x:c>
      <x:c r="D1586" s="3" t="n">
        <x:v>1</x:v>
      </x:c>
      <x:c r="E1586" s="3" t="n">
        <x:v>1</x:v>
      </x:c>
      <x:c r="F1586" s="3" t="n">
        <x:v>1</x:v>
      </x:c>
    </x:row>
    <x:row r="1587" ht="21" customHeight="1">
      <x:c r="A1587" s="3" t="n">
        <x:v>48</x:v>
      </x:c>
      <x:c r="B1587" s="3" t="n">
        <x:v>1</x:v>
      </x:c>
      <x:c r="C1587" s="3" t="n">
        <x:v>4</x:v>
      </x:c>
      <x:c r="D1587" s="3" t="n">
        <x:v>1</x:v>
      </x:c>
      <x:c r="E1587" s="3" t="n">
        <x:v>1</x:v>
      </x:c>
      <x:c r="F1587" s="3" t="n">
        <x:v>1</x:v>
      </x:c>
    </x:row>
    <x:row r="1588" ht="21" customHeight="1">
      <x:c r="A1588" s="3" t="n">
        <x:v>48</x:v>
      </x:c>
      <x:c r="B1588" s="3" t="n">
        <x:v>2</x:v>
      </x:c>
      <x:c r="C1588" s="3" t="n">
        <x:v>5</x:v>
      </x:c>
      <x:c r="D1588" s="3" t="n">
        <x:v>1</x:v>
      </x:c>
      <x:c r="E1588" s="3" t="n">
        <x:v>1</x:v>
      </x:c>
      <x:c r="F1588" s="3" t="n">
        <x:v>1</x:v>
      </x:c>
    </x:row>
    <x:row r="1589" ht="21" customHeight="1">
      <x:c r="A1589" s="3" t="n">
        <x:v>48</x:v>
      </x:c>
      <x:c r="B1589" s="3" t="n">
        <x:v>3</x:v>
      </x:c>
      <x:c r="C1589" s="3" t="n">
        <x:v>6</x:v>
      </x:c>
      <x:c r="D1589" s="3" t="n">
        <x:v>1</x:v>
      </x:c>
      <x:c r="E1589" s="3" t="n">
        <x:v>1</x:v>
      </x:c>
      <x:c r="F1589" s="3" t="n">
        <x:v>1</x:v>
      </x:c>
    </x:row>
    <x:row r="1590" ht="21" customHeight="1">
      <x:c r="A1590" s="3" t="n">
        <x:v>48</x:v>
      </x:c>
      <x:c r="B1590" s="3" t="n">
        <x:v>4</x:v>
      </x:c>
      <x:c r="C1590" s="3" t="n">
        <x:v>7</x:v>
      </x:c>
      <x:c r="D1590" s="3" t="n">
        <x:v>1</x:v>
      </x:c>
      <x:c r="E1590" s="3" t="n">
        <x:v>2</x:v>
      </x:c>
      <x:c r="F1590" s="3" t="n">
        <x:v>2</x:v>
      </x:c>
    </x:row>
    <x:row r="1591" ht="21" customHeight="1">
      <x:c r="A1591" s="3" t="n">
        <x:v>48</x:v>
      </x:c>
      <x:c r="B1591" s="3" t="n">
        <x:v>5</x:v>
      </x:c>
      <x:c r="C1591" s="3" t="n">
        <x:v>8</x:v>
      </x:c>
      <x:c r="D1591" s="3" t="n">
        <x:v>1</x:v>
      </x:c>
      <x:c r="E1591" s="3" t="n">
        <x:v>2</x:v>
      </x:c>
      <x:c r="F1591" s="3" t="n">
        <x:v>2</x:v>
      </x:c>
    </x:row>
    <x:row r="1592" ht="21" customHeight="1">
      <x:c r="A1592" s="3" t="n">
        <x:v>48</x:v>
      </x:c>
      <x:c r="B1592" s="3" t="n">
        <x:v>6</x:v>
      </x:c>
      <x:c r="C1592" s="3" t="n">
        <x:v>9</x:v>
      </x:c>
      <x:c r="D1592" s="3" t="n">
        <x:v>2</x:v>
      </x:c>
      <x:c r="E1592" s="3" t="n">
        <x:v>2</x:v>
      </x:c>
      <x:c r="F1592" s="3" t="n">
        <x:v>1</x:v>
      </x:c>
    </x:row>
    <x:row r="1593" ht="21" customHeight="1">
      <x:c r="A1593" s="3" t="n">
        <x:v>48</x:v>
      </x:c>
      <x:c r="B1593" s="3" t="n">
        <x:v>7</x:v>
      </x:c>
      <x:c r="C1593" s="3" t="n">
        <x:v>10</x:v>
      </x:c>
      <x:c r="D1593" s="3" t="n">
        <x:v>2</x:v>
      </x:c>
      <x:c r="E1593" s="3" t="n">
        <x:v>2</x:v>
      </x:c>
      <x:c r="F1593" s="3" t="n">
        <x:v>1</x:v>
      </x:c>
    </x:row>
    <x:row r="1594" ht="21" customHeight="1">
      <x:c r="A1594" s="3" t="n">
        <x:v>48</x:v>
      </x:c>
      <x:c r="B1594" s="3" t="n">
        <x:v>8</x:v>
      </x:c>
      <x:c r="C1594" s="3" t="n">
        <x:v>11</x:v>
      </x:c>
      <x:c r="D1594" s="3" t="n">
        <x:v>2</x:v>
      </x:c>
      <x:c r="E1594" s="3" t="n">
        <x:v>2</x:v>
      </x:c>
      <x:c r="F1594" s="3" t="n">
        <x:v>1</x:v>
      </x:c>
    </x:row>
    <x:row r="1595" ht="21" customHeight="1">
      <x:c r="A1595" s="3" t="n">
        <x:v>48</x:v>
      </x:c>
      <x:c r="B1595" s="3" t="n">
        <x:v>9</x:v>
      </x:c>
      <x:c r="C1595" s="3" t="n">
        <x:v>12</x:v>
      </x:c>
      <x:c r="D1595" s="3" t="n">
        <x:v>2</x:v>
      </x:c>
      <x:c r="E1595" s="3" t="n">
        <x:v>2</x:v>
      </x:c>
      <x:c r="F1595" s="3" t="n">
        <x:v>1</x:v>
      </x:c>
    </x:row>
    <x:row r="1596" ht="21" customHeight="1">
      <x:c r="A1596" s="3" t="n">
        <x:v>48</x:v>
      </x:c>
      <x:c r="B1596" s="3" t="n">
        <x:v>10</x:v>
      </x:c>
      <x:c r="C1596" s="3" t="n">
        <x:v>13</x:v>
      </x:c>
      <x:c r="D1596" s="3" t="n">
        <x:v>2</x:v>
      </x:c>
      <x:c r="E1596" s="3" t="n">
        <x:v>3</x:v>
      </x:c>
      <x:c r="F1596" s="3" t="n">
        <x:v>2</x:v>
      </x:c>
    </x:row>
    <x:row r="1597" ht="21" customHeight="1">
      <x:c r="A1597" s="3" t="n">
        <x:v>48</x:v>
      </x:c>
      <x:c r="B1597" s="3" t="n">
        <x:v>11</x:v>
      </x:c>
      <x:c r="C1597" s="3" t="n">
        <x:v>14</x:v>
      </x:c>
      <x:c r="D1597" s="3" t="n">
        <x:v>2</x:v>
      </x:c>
      <x:c r="E1597" s="3" t="n">
        <x:v>3</x:v>
      </x:c>
      <x:c r="F1597" s="3" t="n">
        <x:v>2</x:v>
      </x:c>
    </x:row>
    <x:row r="1598" ht="21" customHeight="1">
      <x:c r="A1598" s="3" t="n">
        <x:v>48</x:v>
      </x:c>
      <x:c r="B1598" s="3" t="n">
        <x:v>12</x:v>
      </x:c>
      <x:c r="C1598" s="3" t="n">
        <x:v>15</x:v>
      </x:c>
      <x:c r="D1598" s="3" t="n">
        <x:v>3</x:v>
      </x:c>
      <x:c r="E1598" s="3" t="n">
        <x:v>3</x:v>
      </x:c>
      <x:c r="F1598" s="3" t="n">
        <x:v>1</x:v>
      </x:c>
    </x:row>
    <x:row r="1599" ht="21" customHeight="1">
      <x:c r="A1599" s="3" t="n">
        <x:v>48</x:v>
      </x:c>
      <x:c r="B1599" s="3" t="n">
        <x:v>13</x:v>
      </x:c>
      <x:c r="C1599" s="3" t="n">
        <x:v>16</x:v>
      </x:c>
      <x:c r="D1599" s="3" t="n">
        <x:v>3</x:v>
      </x:c>
      <x:c r="E1599" s="3" t="n">
        <x:v>3</x:v>
      </x:c>
      <x:c r="F1599" s="3" t="n">
        <x:v>1</x:v>
      </x:c>
    </x:row>
    <x:row r="1600" ht="21" customHeight="1">
      <x:c r="A1600" s="3" t="n">
        <x:v>48</x:v>
      </x:c>
      <x:c r="B1600" s="3" t="n">
        <x:v>14</x:v>
      </x:c>
      <x:c r="C1600" s="3" t="n">
        <x:v>17</x:v>
      </x:c>
      <x:c r="D1600" s="3" t="n">
        <x:v>3</x:v>
      </x:c>
      <x:c r="E1600" s="3" t="n">
        <x:v>3</x:v>
      </x:c>
      <x:c r="F1600" s="3" t="n">
        <x:v>1</x:v>
      </x:c>
    </x:row>
    <x:row r="1601" ht="21" customHeight="1">
      <x:c r="A1601" s="3" t="n">
        <x:v>48</x:v>
      </x:c>
      <x:c r="B1601" s="3" t="n">
        <x:v>15</x:v>
      </x:c>
      <x:c r="C1601" s="3" t="n">
        <x:v>18</x:v>
      </x:c>
      <x:c r="D1601" s="3" t="n">
        <x:v>3</x:v>
      </x:c>
      <x:c r="E1601" s="3" t="n">
        <x:v>3</x:v>
      </x:c>
      <x:c r="F1601" s="3" t="n">
        <x:v>1</x:v>
      </x:c>
    </x:row>
    <x:row r="1602" ht="21" customHeight="1">
      <x:c r="A1602" s="3" t="n">
        <x:v>48</x:v>
      </x:c>
      <x:c r="B1602" s="3" t="n">
        <x:v>16</x:v>
      </x:c>
      <x:c r="C1602" s="3" t="n">
        <x:v>19</x:v>
      </x:c>
      <x:c r="D1602" s="3" t="n">
        <x:v>3</x:v>
      </x:c>
      <x:c r="E1602" s="3" t="n">
        <x:v>4</x:v>
      </x:c>
      <x:c r="F1602" s="3" t="n">
        <x:v>2</x:v>
      </x:c>
    </x:row>
    <x:row r="1603" ht="21" customHeight="1">
      <x:c r="A1603" s="3" t="n">
        <x:v>48</x:v>
      </x:c>
      <x:c r="B1603" s="3" t="n">
        <x:v>17</x:v>
      </x:c>
      <x:c r="C1603" s="3" t="n">
        <x:v>20</x:v>
      </x:c>
      <x:c r="D1603" s="3" t="n">
        <x:v>3</x:v>
      </x:c>
      <x:c r="E1603" s="3" t="n">
        <x:v>4</x:v>
      </x:c>
      <x:c r="F1603" s="3" t="n">
        <x:v>2</x:v>
      </x:c>
    </x:row>
    <x:row r="1604" ht="21" customHeight="1">
      <x:c r="A1604" s="3" t="n">
        <x:v>48</x:v>
      </x:c>
      <x:c r="B1604" s="3" t="n">
        <x:v>18</x:v>
      </x:c>
      <x:c r="C1604" s="3" t="n">
        <x:v>21</x:v>
      </x:c>
      <x:c r="D1604" s="3" t="n">
        <x:v>4</x:v>
      </x:c>
      <x:c r="E1604" s="3" t="n">
        <x:v>4</x:v>
      </x:c>
      <x:c r="F1604" s="3" t="n">
        <x:v>1</x:v>
      </x:c>
    </x:row>
    <x:row r="1605" ht="21" customHeight="1">
      <x:c r="A1605" s="3" t="n">
        <x:v>48</x:v>
      </x:c>
      <x:c r="B1605" s="3" t="n">
        <x:v>19</x:v>
      </x:c>
      <x:c r="C1605" s="3" t="n">
        <x:v>22</x:v>
      </x:c>
      <x:c r="D1605" s="3" t="n">
        <x:v>4</x:v>
      </x:c>
      <x:c r="E1605" s="3" t="n">
        <x:v>4</x:v>
      </x:c>
      <x:c r="F1605" s="3" t="n">
        <x:v>1</x:v>
      </x:c>
    </x:row>
    <x:row r="1606" ht="21" customHeight="1">
      <x:c r="A1606" s="3" t="n">
        <x:v>48</x:v>
      </x:c>
      <x:c r="B1606" s="3" t="n">
        <x:v>20</x:v>
      </x:c>
      <x:c r="C1606" s="3" t="n">
        <x:v>23</x:v>
      </x:c>
      <x:c r="D1606" s="3" t="n">
        <x:v>4</x:v>
      </x:c>
      <x:c r="E1606" s="3" t="n">
        <x:v>4</x:v>
      </x:c>
      <x:c r="F1606" s="3" t="n">
        <x:v>1</x:v>
      </x:c>
    </x:row>
    <x:row r="1607" ht="21" customHeight="1">
      <x:c r="A1607" s="3" t="n">
        <x:v>48</x:v>
      </x:c>
      <x:c r="B1607" s="3" t="n">
        <x:v>21</x:v>
      </x:c>
      <x:c r="C1607" s="3" t="n">
        <x:v>24</x:v>
      </x:c>
      <x:c r="D1607" s="3" t="n">
        <x:v>4</x:v>
      </x:c>
      <x:c r="E1607" s="3" t="n">
        <x:v>4</x:v>
      </x:c>
      <x:c r="F1607" s="3" t="n">
        <x:v>1</x:v>
      </x:c>
    </x:row>
    <x:row r="1608" ht="21" customHeight="1">
      <x:c r="A1608" s="3" t="n">
        <x:v>48</x:v>
      </x:c>
      <x:c r="B1608" s="3" t="n">
        <x:v>22</x:v>
      </x:c>
      <x:c r="C1608" s="3" t="n">
        <x:v>25</x:v>
      </x:c>
      <x:c r="D1608" s="3" t="n">
        <x:v>4</x:v>
      </x:c>
      <x:c r="E1608" s="3" t="n">
        <x:v>5</x:v>
      </x:c>
      <x:c r="F1608" s="3" t="n">
        <x:v>2</x:v>
      </x:c>
    </x:row>
    <x:row r="1609" ht="21" customHeight="1">
      <x:c r="A1609" s="3" t="n">
        <x:v>48</x:v>
      </x:c>
      <x:c r="B1609" s="3" t="n">
        <x:v>23</x:v>
      </x:c>
      <x:c r="C1609" s="3" t="n">
        <x:v>26</x:v>
      </x:c>
      <x:c r="D1609" s="3" t="n">
        <x:v>4</x:v>
      </x:c>
      <x:c r="E1609" s="3" t="n">
        <x:v>5</x:v>
      </x:c>
      <x:c r="F1609" s="3" t="n">
        <x:v>2</x:v>
      </x:c>
    </x:row>
    <x:row r="1610" ht="21" customHeight="1">
      <x:c r="A1610" s="3" t="n">
        <x:v>48</x:v>
      </x:c>
      <x:c r="B1610" s="3" t="n">
        <x:v>24</x:v>
      </x:c>
      <x:c r="C1610" s="3" t="n">
        <x:v>27</x:v>
      </x:c>
      <x:c r="D1610" s="3" t="n">
        <x:v>5</x:v>
      </x:c>
      <x:c r="E1610" s="3" t="n">
        <x:v>5</x:v>
      </x:c>
      <x:c r="F1610" s="3" t="n">
        <x:v>1</x:v>
      </x:c>
    </x:row>
    <x:row r="1611" ht="21" customHeight="1">
      <x:c r="A1611" s="3" t="n">
        <x:v>48</x:v>
      </x:c>
      <x:c r="B1611" s="3" t="n">
        <x:v>25</x:v>
      </x:c>
      <x:c r="C1611" s="3" t="n">
        <x:v>28</x:v>
      </x:c>
      <x:c r="D1611" s="3" t="n">
        <x:v>5</x:v>
      </x:c>
      <x:c r="E1611" s="3" t="n">
        <x:v>5</x:v>
      </x:c>
      <x:c r="F1611" s="3" t="n">
        <x:v>1</x:v>
      </x:c>
    </x:row>
    <x:row r="1612" ht="21" customHeight="1">
      <x:c r="A1612" s="3" t="n">
        <x:v>48</x:v>
      </x:c>
      <x:c r="B1612" s="3" t="n">
        <x:v>26</x:v>
      </x:c>
      <x:c r="C1612" s="3" t="n">
        <x:v>29</x:v>
      </x:c>
      <x:c r="D1612" s="3" t="n">
        <x:v>5</x:v>
      </x:c>
      <x:c r="E1612" s="3" t="n">
        <x:v>5</x:v>
      </x:c>
      <x:c r="F1612" s="3" t="n">
        <x:v>1</x:v>
      </x:c>
    </x:row>
    <x:row r="1613" ht="21" customHeight="1">
      <x:c r="A1613" s="3" t="n">
        <x:v>48</x:v>
      </x:c>
      <x:c r="B1613" s="3" t="n">
        <x:v>27</x:v>
      </x:c>
      <x:c r="C1613" s="3" t="n">
        <x:v>30</x:v>
      </x:c>
      <x:c r="D1613" s="3" t="n">
        <x:v>5</x:v>
      </x:c>
      <x:c r="E1613" s="3" t="n">
        <x:v>5</x:v>
      </x:c>
      <x:c r="F1613" s="3" t="n">
        <x:v>1</x:v>
      </x:c>
    </x:row>
    <x:row r="1614" ht="21" customHeight="1">
      <x:c r="A1614" s="3" t="n">
        <x:v>48</x:v>
      </x:c>
      <x:c r="B1614" s="3" t="n">
        <x:v>28</x:v>
      </x:c>
      <x:c r="C1614" s="3" t="n">
        <x:v>31</x:v>
      </x:c>
      <x:c r="D1614" s="3" t="n">
        <x:v>5</x:v>
      </x:c>
      <x:c r="E1614" s="3" t="n">
        <x:v>6</x:v>
      </x:c>
      <x:c r="F1614" s="3" t="n">
        <x:v>2</x:v>
      </x:c>
    </x:row>
    <x:row r="1615" ht="21" customHeight="1">
      <x:c r="A1615" s="3" t="n">
        <x:v>48</x:v>
      </x:c>
      <x:c r="B1615" s="3" t="n">
        <x:v>29</x:v>
      </x:c>
      <x:c r="C1615" s="3" t="n">
        <x:v>32</x:v>
      </x:c>
      <x:c r="D1615" s="3" t="n">
        <x:v>5</x:v>
      </x:c>
      <x:c r="E1615" s="3" t="n">
        <x:v>6</x:v>
      </x:c>
      <x:c r="F1615" s="3" t="n">
        <x:v>2</x:v>
      </x:c>
    </x:row>
    <x:row r="1616" ht="21" customHeight="1">
      <x:c r="A1616" s="3" t="n">
        <x:v>48</x:v>
      </x:c>
      <x:c r="B1616" s="3" t="n">
        <x:v>30</x:v>
      </x:c>
      <x:c r="C1616" s="3" t="n">
        <x:v>33</x:v>
      </x:c>
      <x:c r="D1616" s="3" t="n">
        <x:v>6</x:v>
      </x:c>
      <x:c r="E1616" s="3" t="n">
        <x:v>6</x:v>
      </x:c>
      <x:c r="F1616" s="3" t="n">
        <x:v>1</x:v>
      </x:c>
    </x:row>
    <x:row r="1617" ht="21" customHeight="1">
      <x:c r="A1617" s="3" t="n">
        <x:v>48</x:v>
      </x:c>
      <x:c r="B1617" s="3" t="n">
        <x:v>31</x:v>
      </x:c>
      <x:c r="C1617" s="3" t="n">
        <x:v>34</x:v>
      </x:c>
      <x:c r="D1617" s="3" t="n">
        <x:v>6</x:v>
      </x:c>
      <x:c r="E1617" s="3" t="n">
        <x:v>6</x:v>
      </x:c>
      <x:c r="F1617" s="3" t="n">
        <x:v>1</x:v>
      </x:c>
    </x:row>
    <x:row r="1618" ht="21" customHeight="1">
      <x:c r="A1618" s="3" t="n">
        <x:v>48</x:v>
      </x:c>
      <x:c r="B1618" s="3" t="n">
        <x:v>32</x:v>
      </x:c>
      <x:c r="C1618" s="3" t="n">
        <x:v>35</x:v>
      </x:c>
      <x:c r="D1618" s="3" t="n">
        <x:v>6</x:v>
      </x:c>
      <x:c r="E1618" s="3" t="n">
        <x:v>6</x:v>
      </x:c>
      <x:c r="F1618" s="3" t="n">
        <x:v>1</x:v>
      </x:c>
    </x:row>
    <x:row r="1619" ht="21" customHeight="1">
      <x:c r="A1619" s="3" t="n">
        <x:v>48</x:v>
      </x:c>
      <x:c r="B1619" s="3" t="n">
        <x:v>33</x:v>
      </x:c>
      <x:c r="C1619" s="3" t="n">
        <x:v>36</x:v>
      </x:c>
      <x:c r="D1619" s="3" t="n">
        <x:v>6</x:v>
      </x:c>
      <x:c r="E1619" s="3" t="n">
        <x:v>6</x:v>
      </x:c>
      <x:c r="F1619" s="3" t="n">
        <x:v>1</x:v>
      </x:c>
    </x:row>
    <x:row r="1620" ht="21" customHeight="1">
      <x:c r="A1620" s="3" t="n">
        <x:v>49</x:v>
      </x:c>
      <x:c r="B1620" s="3" t="n">
        <x:v>0</x:v>
      </x:c>
      <x:c r="C1620" s="3" t="n">
        <x:v>3</x:v>
      </x:c>
      <x:c r="D1620" s="3" t="n">
        <x:v>1</x:v>
      </x:c>
      <x:c r="E1620" s="3" t="n">
        <x:v>1</x:v>
      </x:c>
      <x:c r="F1620" s="3" t="n">
        <x:v>1</x:v>
      </x:c>
    </x:row>
    <x:row r="1621" ht="21" customHeight="1">
      <x:c r="A1621" s="3" t="n">
        <x:v>49</x:v>
      </x:c>
      <x:c r="B1621" s="3" t="n">
        <x:v>1</x:v>
      </x:c>
      <x:c r="C1621" s="3" t="n">
        <x:v>4</x:v>
      </x:c>
      <x:c r="D1621" s="3" t="n">
        <x:v>1</x:v>
      </x:c>
      <x:c r="E1621" s="3" t="n">
        <x:v>1</x:v>
      </x:c>
      <x:c r="F1621" s="3" t="n">
        <x:v>1</x:v>
      </x:c>
    </x:row>
    <x:row r="1622" ht="21" customHeight="1">
      <x:c r="A1622" s="3" t="n">
        <x:v>49</x:v>
      </x:c>
      <x:c r="B1622" s="3" t="n">
        <x:v>2</x:v>
      </x:c>
      <x:c r="C1622" s="3" t="n">
        <x:v>5</x:v>
      </x:c>
      <x:c r="D1622" s="3" t="n">
        <x:v>1</x:v>
      </x:c>
      <x:c r="E1622" s="3" t="n">
        <x:v>1</x:v>
      </x:c>
      <x:c r="F1622" s="3" t="n">
        <x:v>1</x:v>
      </x:c>
    </x:row>
    <x:row r="1623" ht="21" customHeight="1">
      <x:c r="A1623" s="3" t="n">
        <x:v>49</x:v>
      </x:c>
      <x:c r="B1623" s="3" t="n">
        <x:v>3</x:v>
      </x:c>
      <x:c r="C1623" s="3" t="n">
        <x:v>6</x:v>
      </x:c>
      <x:c r="D1623" s="3" t="n">
        <x:v>1</x:v>
      </x:c>
      <x:c r="E1623" s="3" t="n">
        <x:v>1</x:v>
      </x:c>
      <x:c r="F1623" s="3" t="n">
        <x:v>1</x:v>
      </x:c>
    </x:row>
    <x:row r="1624" ht="21" customHeight="1">
      <x:c r="A1624" s="3" t="n">
        <x:v>49</x:v>
      </x:c>
      <x:c r="B1624" s="3" t="n">
        <x:v>4</x:v>
      </x:c>
      <x:c r="C1624" s="3" t="n">
        <x:v>7</x:v>
      </x:c>
      <x:c r="D1624" s="3" t="n">
        <x:v>1</x:v>
      </x:c>
      <x:c r="E1624" s="3" t="n">
        <x:v>2</x:v>
      </x:c>
      <x:c r="F1624" s="3" t="n">
        <x:v>2</x:v>
      </x:c>
    </x:row>
    <x:row r="1625" ht="21" customHeight="1">
      <x:c r="A1625" s="3" t="n">
        <x:v>49</x:v>
      </x:c>
      <x:c r="B1625" s="3" t="n">
        <x:v>5</x:v>
      </x:c>
      <x:c r="C1625" s="3" t="n">
        <x:v>8</x:v>
      </x:c>
      <x:c r="D1625" s="3" t="n">
        <x:v>1</x:v>
      </x:c>
      <x:c r="E1625" s="3" t="n">
        <x:v>2</x:v>
      </x:c>
      <x:c r="F1625" s="3" t="n">
        <x:v>2</x:v>
      </x:c>
    </x:row>
    <x:row r="1626" ht="21" customHeight="1">
      <x:c r="A1626" s="3" t="n">
        <x:v>49</x:v>
      </x:c>
      <x:c r="B1626" s="3" t="n">
        <x:v>6</x:v>
      </x:c>
      <x:c r="C1626" s="3" t="n">
        <x:v>9</x:v>
      </x:c>
      <x:c r="D1626" s="3" t="n">
        <x:v>2</x:v>
      </x:c>
      <x:c r="E1626" s="3" t="n">
        <x:v>2</x:v>
      </x:c>
      <x:c r="F1626" s="3" t="n">
        <x:v>1</x:v>
      </x:c>
    </x:row>
    <x:row r="1627" ht="21" customHeight="1">
      <x:c r="A1627" s="3" t="n">
        <x:v>49</x:v>
      </x:c>
      <x:c r="B1627" s="3" t="n">
        <x:v>7</x:v>
      </x:c>
      <x:c r="C1627" s="3" t="n">
        <x:v>10</x:v>
      </x:c>
      <x:c r="D1627" s="3" t="n">
        <x:v>2</x:v>
      </x:c>
      <x:c r="E1627" s="3" t="n">
        <x:v>2</x:v>
      </x:c>
      <x:c r="F1627" s="3" t="n">
        <x:v>1</x:v>
      </x:c>
    </x:row>
    <x:row r="1628" ht="21" customHeight="1">
      <x:c r="A1628" s="3" t="n">
        <x:v>49</x:v>
      </x:c>
      <x:c r="B1628" s="3" t="n">
        <x:v>8</x:v>
      </x:c>
      <x:c r="C1628" s="3" t="n">
        <x:v>11</x:v>
      </x:c>
      <x:c r="D1628" s="3" t="n">
        <x:v>2</x:v>
      </x:c>
      <x:c r="E1628" s="3" t="n">
        <x:v>2</x:v>
      </x:c>
      <x:c r="F1628" s="3" t="n">
        <x:v>1</x:v>
      </x:c>
    </x:row>
    <x:row r="1629" ht="21" customHeight="1">
      <x:c r="A1629" s="3" t="n">
        <x:v>49</x:v>
      </x:c>
      <x:c r="B1629" s="3" t="n">
        <x:v>9</x:v>
      </x:c>
      <x:c r="C1629" s="3" t="n">
        <x:v>12</x:v>
      </x:c>
      <x:c r="D1629" s="3" t="n">
        <x:v>2</x:v>
      </x:c>
      <x:c r="E1629" s="3" t="n">
        <x:v>2</x:v>
      </x:c>
      <x:c r="F1629" s="3" t="n">
        <x:v>1</x:v>
      </x:c>
    </x:row>
    <x:row r="1630" ht="21" customHeight="1">
      <x:c r="A1630" s="3" t="n">
        <x:v>49</x:v>
      </x:c>
      <x:c r="B1630" s="3" t="n">
        <x:v>10</x:v>
      </x:c>
      <x:c r="C1630" s="3" t="n">
        <x:v>13</x:v>
      </x:c>
      <x:c r="D1630" s="3" t="n">
        <x:v>2</x:v>
      </x:c>
      <x:c r="E1630" s="3" t="n">
        <x:v>3</x:v>
      </x:c>
      <x:c r="F1630" s="3" t="n">
        <x:v>2</x:v>
      </x:c>
    </x:row>
    <x:row r="1631" ht="21" customHeight="1">
      <x:c r="A1631" s="3" t="n">
        <x:v>49</x:v>
      </x:c>
      <x:c r="B1631" s="3" t="n">
        <x:v>11</x:v>
      </x:c>
      <x:c r="C1631" s="3" t="n">
        <x:v>14</x:v>
      </x:c>
      <x:c r="D1631" s="3" t="n">
        <x:v>2</x:v>
      </x:c>
      <x:c r="E1631" s="3" t="n">
        <x:v>3</x:v>
      </x:c>
      <x:c r="F1631" s="3" t="n">
        <x:v>2</x:v>
      </x:c>
    </x:row>
    <x:row r="1632" ht="21" customHeight="1">
      <x:c r="A1632" s="3" t="n">
        <x:v>49</x:v>
      </x:c>
      <x:c r="B1632" s="3" t="n">
        <x:v>12</x:v>
      </x:c>
      <x:c r="C1632" s="3" t="n">
        <x:v>15</x:v>
      </x:c>
      <x:c r="D1632" s="3" t="n">
        <x:v>3</x:v>
      </x:c>
      <x:c r="E1632" s="3" t="n">
        <x:v>3</x:v>
      </x:c>
      <x:c r="F1632" s="3" t="n">
        <x:v>1</x:v>
      </x:c>
    </x:row>
    <x:row r="1633" ht="21" customHeight="1">
      <x:c r="A1633" s="3" t="n">
        <x:v>49</x:v>
      </x:c>
      <x:c r="B1633" s="3" t="n">
        <x:v>13</x:v>
      </x:c>
      <x:c r="C1633" s="3" t="n">
        <x:v>16</x:v>
      </x:c>
      <x:c r="D1633" s="3" t="n">
        <x:v>3</x:v>
      </x:c>
      <x:c r="E1633" s="3" t="n">
        <x:v>3</x:v>
      </x:c>
      <x:c r="F1633" s="3" t="n">
        <x:v>1</x:v>
      </x:c>
    </x:row>
    <x:row r="1634" ht="21" customHeight="1">
      <x:c r="A1634" s="3" t="n">
        <x:v>49</x:v>
      </x:c>
      <x:c r="B1634" s="3" t="n">
        <x:v>14</x:v>
      </x:c>
      <x:c r="C1634" s="3" t="n">
        <x:v>17</x:v>
      </x:c>
      <x:c r="D1634" s="3" t="n">
        <x:v>3</x:v>
      </x:c>
      <x:c r="E1634" s="3" t="n">
        <x:v>3</x:v>
      </x:c>
      <x:c r="F1634" s="3" t="n">
        <x:v>1</x:v>
      </x:c>
    </x:row>
    <x:row r="1635" ht="21" customHeight="1">
      <x:c r="A1635" s="3" t="n">
        <x:v>49</x:v>
      </x:c>
      <x:c r="B1635" s="3" t="n">
        <x:v>15</x:v>
      </x:c>
      <x:c r="C1635" s="3" t="n">
        <x:v>18</x:v>
      </x:c>
      <x:c r="D1635" s="3" t="n">
        <x:v>3</x:v>
      </x:c>
      <x:c r="E1635" s="3" t="n">
        <x:v>3</x:v>
      </x:c>
      <x:c r="F1635" s="3" t="n">
        <x:v>1</x:v>
      </x:c>
    </x:row>
    <x:row r="1636" ht="21" customHeight="1">
      <x:c r="A1636" s="3" t="n">
        <x:v>49</x:v>
      </x:c>
      <x:c r="B1636" s="3" t="n">
        <x:v>16</x:v>
      </x:c>
      <x:c r="C1636" s="3" t="n">
        <x:v>19</x:v>
      </x:c>
      <x:c r="D1636" s="3" t="n">
        <x:v>3</x:v>
      </x:c>
      <x:c r="E1636" s="3" t="n">
        <x:v>4</x:v>
      </x:c>
      <x:c r="F1636" s="3" t="n">
        <x:v>2</x:v>
      </x:c>
    </x:row>
    <x:row r="1637" ht="21" customHeight="1">
      <x:c r="A1637" s="3" t="n">
        <x:v>49</x:v>
      </x:c>
      <x:c r="B1637" s="3" t="n">
        <x:v>17</x:v>
      </x:c>
      <x:c r="C1637" s="3" t="n">
        <x:v>20</x:v>
      </x:c>
      <x:c r="D1637" s="3" t="n">
        <x:v>3</x:v>
      </x:c>
      <x:c r="E1637" s="3" t="n">
        <x:v>4</x:v>
      </x:c>
      <x:c r="F1637" s="3" t="n">
        <x:v>2</x:v>
      </x:c>
    </x:row>
    <x:row r="1638" ht="21" customHeight="1">
      <x:c r="A1638" s="3" t="n">
        <x:v>49</x:v>
      </x:c>
      <x:c r="B1638" s="3" t="n">
        <x:v>18</x:v>
      </x:c>
      <x:c r="C1638" s="3" t="n">
        <x:v>21</x:v>
      </x:c>
      <x:c r="D1638" s="3" t="n">
        <x:v>4</x:v>
      </x:c>
      <x:c r="E1638" s="3" t="n">
        <x:v>4</x:v>
      </x:c>
      <x:c r="F1638" s="3" t="n">
        <x:v>1</x:v>
      </x:c>
    </x:row>
    <x:row r="1639" ht="21" customHeight="1">
      <x:c r="A1639" s="3" t="n">
        <x:v>49</x:v>
      </x:c>
      <x:c r="B1639" s="3" t="n">
        <x:v>19</x:v>
      </x:c>
      <x:c r="C1639" s="3" t="n">
        <x:v>22</x:v>
      </x:c>
      <x:c r="D1639" s="3" t="n">
        <x:v>4</x:v>
      </x:c>
      <x:c r="E1639" s="3" t="n">
        <x:v>4</x:v>
      </x:c>
      <x:c r="F1639" s="3" t="n">
        <x:v>1</x:v>
      </x:c>
    </x:row>
    <x:row r="1640" ht="21" customHeight="1">
      <x:c r="A1640" s="3" t="n">
        <x:v>49</x:v>
      </x:c>
      <x:c r="B1640" s="3" t="n">
        <x:v>20</x:v>
      </x:c>
      <x:c r="C1640" s="3" t="n">
        <x:v>23</x:v>
      </x:c>
      <x:c r="D1640" s="3" t="n">
        <x:v>4</x:v>
      </x:c>
      <x:c r="E1640" s="3" t="n">
        <x:v>4</x:v>
      </x:c>
      <x:c r="F1640" s="3" t="n">
        <x:v>1</x:v>
      </x:c>
    </x:row>
    <x:row r="1641" ht="21" customHeight="1">
      <x:c r="A1641" s="3" t="n">
        <x:v>49</x:v>
      </x:c>
      <x:c r="B1641" s="3" t="n">
        <x:v>21</x:v>
      </x:c>
      <x:c r="C1641" s="3" t="n">
        <x:v>24</x:v>
      </x:c>
      <x:c r="D1641" s="3" t="n">
        <x:v>4</x:v>
      </x:c>
      <x:c r="E1641" s="3" t="n">
        <x:v>4</x:v>
      </x:c>
      <x:c r="F1641" s="3" t="n">
        <x:v>1</x:v>
      </x:c>
    </x:row>
    <x:row r="1642" ht="21" customHeight="1">
      <x:c r="A1642" s="3" t="n">
        <x:v>49</x:v>
      </x:c>
      <x:c r="B1642" s="3" t="n">
        <x:v>22</x:v>
      </x:c>
      <x:c r="C1642" s="3" t="n">
        <x:v>25</x:v>
      </x:c>
      <x:c r="D1642" s="3" t="n">
        <x:v>4</x:v>
      </x:c>
      <x:c r="E1642" s="3" t="n">
        <x:v>5</x:v>
      </x:c>
      <x:c r="F1642" s="3" t="n">
        <x:v>2</x:v>
      </x:c>
    </x:row>
    <x:row r="1643" ht="21" customHeight="1">
      <x:c r="A1643" s="3" t="n">
        <x:v>49</x:v>
      </x:c>
      <x:c r="B1643" s="3" t="n">
        <x:v>23</x:v>
      </x:c>
      <x:c r="C1643" s="3" t="n">
        <x:v>26</x:v>
      </x:c>
      <x:c r="D1643" s="3" t="n">
        <x:v>4</x:v>
      </x:c>
      <x:c r="E1643" s="3" t="n">
        <x:v>5</x:v>
      </x:c>
      <x:c r="F1643" s="3" t="n">
        <x:v>2</x:v>
      </x:c>
    </x:row>
    <x:row r="1644" ht="21" customHeight="1">
      <x:c r="A1644" s="3" t="n">
        <x:v>49</x:v>
      </x:c>
      <x:c r="B1644" s="3" t="n">
        <x:v>24</x:v>
      </x:c>
      <x:c r="C1644" s="3" t="n">
        <x:v>27</x:v>
      </x:c>
      <x:c r="D1644" s="3" t="n">
        <x:v>5</x:v>
      </x:c>
      <x:c r="E1644" s="3" t="n">
        <x:v>5</x:v>
      </x:c>
      <x:c r="F1644" s="3" t="n">
        <x:v>1</x:v>
      </x:c>
    </x:row>
    <x:row r="1645" ht="21" customHeight="1">
      <x:c r="A1645" s="3" t="n">
        <x:v>49</x:v>
      </x:c>
      <x:c r="B1645" s="3" t="n">
        <x:v>25</x:v>
      </x:c>
      <x:c r="C1645" s="3" t="n">
        <x:v>28</x:v>
      </x:c>
      <x:c r="D1645" s="3" t="n">
        <x:v>5</x:v>
      </x:c>
      <x:c r="E1645" s="3" t="n">
        <x:v>5</x:v>
      </x:c>
      <x:c r="F1645" s="3" t="n">
        <x:v>1</x:v>
      </x:c>
    </x:row>
    <x:row r="1646" ht="21" customHeight="1">
      <x:c r="A1646" s="3" t="n">
        <x:v>49</x:v>
      </x:c>
      <x:c r="B1646" s="3" t="n">
        <x:v>26</x:v>
      </x:c>
      <x:c r="C1646" s="3" t="n">
        <x:v>29</x:v>
      </x:c>
      <x:c r="D1646" s="3" t="n">
        <x:v>5</x:v>
      </x:c>
      <x:c r="E1646" s="3" t="n">
        <x:v>5</x:v>
      </x:c>
      <x:c r="F1646" s="3" t="n">
        <x:v>1</x:v>
      </x:c>
    </x:row>
    <x:row r="1647" ht="21" customHeight="1">
      <x:c r="A1647" s="3" t="n">
        <x:v>49</x:v>
      </x:c>
      <x:c r="B1647" s="3" t="n">
        <x:v>27</x:v>
      </x:c>
      <x:c r="C1647" s="3" t="n">
        <x:v>30</x:v>
      </x:c>
      <x:c r="D1647" s="3" t="n">
        <x:v>5</x:v>
      </x:c>
      <x:c r="E1647" s="3" t="n">
        <x:v>5</x:v>
      </x:c>
      <x:c r="F1647" s="3" t="n">
        <x:v>1</x:v>
      </x:c>
    </x:row>
    <x:row r="1648" ht="21" customHeight="1">
      <x:c r="A1648" s="3" t="n">
        <x:v>49</x:v>
      </x:c>
      <x:c r="B1648" s="3" t="n">
        <x:v>28</x:v>
      </x:c>
      <x:c r="C1648" s="3" t="n">
        <x:v>31</x:v>
      </x:c>
      <x:c r="D1648" s="3" t="n">
        <x:v>5</x:v>
      </x:c>
      <x:c r="E1648" s="3" t="n">
        <x:v>6</x:v>
      </x:c>
      <x:c r="F1648" s="3" t="n">
        <x:v>2</x:v>
      </x:c>
    </x:row>
    <x:row r="1649" ht="21" customHeight="1">
      <x:c r="A1649" s="3" t="n">
        <x:v>49</x:v>
      </x:c>
      <x:c r="B1649" s="3" t="n">
        <x:v>29</x:v>
      </x:c>
      <x:c r="C1649" s="3" t="n">
        <x:v>32</x:v>
      </x:c>
      <x:c r="D1649" s="3" t="n">
        <x:v>5</x:v>
      </x:c>
      <x:c r="E1649" s="3" t="n">
        <x:v>6</x:v>
      </x:c>
      <x:c r="F1649" s="3" t="n">
        <x:v>2</x:v>
      </x:c>
    </x:row>
    <x:row r="1650" ht="21" customHeight="1">
      <x:c r="A1650" s="3" t="n">
        <x:v>49</x:v>
      </x:c>
      <x:c r="B1650" s="3" t="n">
        <x:v>30</x:v>
      </x:c>
      <x:c r="C1650" s="3" t="n">
        <x:v>33</x:v>
      </x:c>
      <x:c r="D1650" s="3" t="n">
        <x:v>6</x:v>
      </x:c>
      <x:c r="E1650" s="3" t="n">
        <x:v>6</x:v>
      </x:c>
      <x:c r="F1650" s="3" t="n">
        <x:v>1</x:v>
      </x:c>
    </x:row>
    <x:row r="1651" ht="21" customHeight="1">
      <x:c r="A1651" s="3" t="n">
        <x:v>49</x:v>
      </x:c>
      <x:c r="B1651" s="3" t="n">
        <x:v>31</x:v>
      </x:c>
      <x:c r="C1651" s="3" t="n">
        <x:v>34</x:v>
      </x:c>
      <x:c r="D1651" s="3" t="n">
        <x:v>6</x:v>
      </x:c>
      <x:c r="E1651" s="3" t="n">
        <x:v>6</x:v>
      </x:c>
      <x:c r="F1651" s="3" t="n">
        <x:v>1</x:v>
      </x:c>
    </x:row>
    <x:row r="1652" ht="21" customHeight="1">
      <x:c r="A1652" s="3" t="n">
        <x:v>49</x:v>
      </x:c>
      <x:c r="B1652" s="3" t="n">
        <x:v>32</x:v>
      </x:c>
      <x:c r="C1652" s="3" t="n">
        <x:v>35</x:v>
      </x:c>
      <x:c r="D1652" s="3" t="n">
        <x:v>6</x:v>
      </x:c>
      <x:c r="E1652" s="3" t="n">
        <x:v>6</x:v>
      </x:c>
      <x:c r="F1652" s="3" t="n">
        <x:v>1</x:v>
      </x:c>
    </x:row>
    <x:row r="1653" ht="21" customHeight="1">
      <x:c r="A1653" s="3" t="n">
        <x:v>49</x:v>
      </x:c>
      <x:c r="B1653" s="3" t="n">
        <x:v>33</x:v>
      </x:c>
      <x:c r="C1653" s="3" t="n">
        <x:v>36</x:v>
      </x:c>
      <x:c r="D1653" s="3" t="n">
        <x:v>6</x:v>
      </x:c>
      <x:c r="E1653" s="3" t="n">
        <x:v>6</x:v>
      </x:c>
      <x:c r="F1653" s="3" t="n">
        <x:v>1</x:v>
      </x:c>
    </x:row>
    <x:row r="1654" ht="21" customHeight="1">
      <x:c r="A1654" s="3" t="n">
        <x:v>50</x:v>
      </x:c>
      <x:c r="B1654" s="3" t="n">
        <x:v>0</x:v>
      </x:c>
      <x:c r="C1654" s="3" t="n">
        <x:v>3</x:v>
      </x:c>
      <x:c r="D1654" s="3" t="n">
        <x:v>1</x:v>
      </x:c>
      <x:c r="E1654" s="3" t="n">
        <x:v>1</x:v>
      </x:c>
      <x:c r="F1654" s="3" t="n">
        <x:v>1</x:v>
      </x:c>
    </x:row>
    <x:row r="1655" ht="21" customHeight="1">
      <x:c r="A1655" s="3" t="n">
        <x:v>50</x:v>
      </x:c>
      <x:c r="B1655" s="3" t="n">
        <x:v>1</x:v>
      </x:c>
      <x:c r="C1655" s="3" t="n">
        <x:v>4</x:v>
      </x:c>
      <x:c r="D1655" s="3" t="n">
        <x:v>1</x:v>
      </x:c>
      <x:c r="E1655" s="3" t="n">
        <x:v>1</x:v>
      </x:c>
      <x:c r="F1655" s="3" t="n">
        <x:v>1</x:v>
      </x:c>
    </x:row>
    <x:row r="1656" ht="21" customHeight="1">
      <x:c r="A1656" s="3" t="n">
        <x:v>50</x:v>
      </x:c>
      <x:c r="B1656" s="3" t="n">
        <x:v>2</x:v>
      </x:c>
      <x:c r="C1656" s="3" t="n">
        <x:v>5</x:v>
      </x:c>
      <x:c r="D1656" s="3" t="n">
        <x:v>1</x:v>
      </x:c>
      <x:c r="E1656" s="3" t="n">
        <x:v>1</x:v>
      </x:c>
      <x:c r="F1656" s="3" t="n">
        <x:v>1</x:v>
      </x:c>
    </x:row>
    <x:row r="1657" ht="21" customHeight="1">
      <x:c r="A1657" s="3" t="n">
        <x:v>50</x:v>
      </x:c>
      <x:c r="B1657" s="3" t="n">
        <x:v>3</x:v>
      </x:c>
      <x:c r="C1657" s="3" t="n">
        <x:v>6</x:v>
      </x:c>
      <x:c r="D1657" s="3" t="n">
        <x:v>1</x:v>
      </x:c>
      <x:c r="E1657" s="3" t="n">
        <x:v>1</x:v>
      </x:c>
      <x:c r="F1657" s="3" t="n">
        <x:v>1</x:v>
      </x:c>
    </x:row>
    <x:row r="1658" ht="21" customHeight="1">
      <x:c r="A1658" s="3" t="n">
        <x:v>50</x:v>
      </x:c>
      <x:c r="B1658" s="3" t="n">
        <x:v>4</x:v>
      </x:c>
      <x:c r="C1658" s="3" t="n">
        <x:v>7</x:v>
      </x:c>
      <x:c r="D1658" s="3" t="n">
        <x:v>1</x:v>
      </x:c>
      <x:c r="E1658" s="3" t="n">
        <x:v>2</x:v>
      </x:c>
      <x:c r="F1658" s="3" t="n">
        <x:v>2</x:v>
      </x:c>
    </x:row>
    <x:row r="1659" ht="21" customHeight="1">
      <x:c r="A1659" s="3" t="n">
        <x:v>50</x:v>
      </x:c>
      <x:c r="B1659" s="3" t="n">
        <x:v>5</x:v>
      </x:c>
      <x:c r="C1659" s="3" t="n">
        <x:v>8</x:v>
      </x:c>
      <x:c r="D1659" s="3" t="n">
        <x:v>1</x:v>
      </x:c>
      <x:c r="E1659" s="3" t="n">
        <x:v>2</x:v>
      </x:c>
      <x:c r="F1659" s="3" t="n">
        <x:v>2</x:v>
      </x:c>
    </x:row>
    <x:row r="1660" ht="21" customHeight="1">
      <x:c r="A1660" s="3" t="n">
        <x:v>50</x:v>
      </x:c>
      <x:c r="B1660" s="3" t="n">
        <x:v>6</x:v>
      </x:c>
      <x:c r="C1660" s="3" t="n">
        <x:v>9</x:v>
      </x:c>
      <x:c r="D1660" s="3" t="n">
        <x:v>2</x:v>
      </x:c>
      <x:c r="E1660" s="3" t="n">
        <x:v>2</x:v>
      </x:c>
      <x:c r="F1660" s="3" t="n">
        <x:v>1</x:v>
      </x:c>
    </x:row>
    <x:row r="1661" ht="21" customHeight="1">
      <x:c r="A1661" s="3" t="n">
        <x:v>50</x:v>
      </x:c>
      <x:c r="B1661" s="3" t="n">
        <x:v>7</x:v>
      </x:c>
      <x:c r="C1661" s="3" t="n">
        <x:v>10</x:v>
      </x:c>
      <x:c r="D1661" s="3" t="n">
        <x:v>2</x:v>
      </x:c>
      <x:c r="E1661" s="3" t="n">
        <x:v>2</x:v>
      </x:c>
      <x:c r="F1661" s="3" t="n">
        <x:v>1</x:v>
      </x:c>
    </x:row>
    <x:row r="1662" ht="21" customHeight="1">
      <x:c r="A1662" s="3" t="n">
        <x:v>50</x:v>
      </x:c>
      <x:c r="B1662" s="3" t="n">
        <x:v>8</x:v>
      </x:c>
      <x:c r="C1662" s="3" t="n">
        <x:v>11</x:v>
      </x:c>
      <x:c r="D1662" s="3" t="n">
        <x:v>2</x:v>
      </x:c>
      <x:c r="E1662" s="3" t="n">
        <x:v>2</x:v>
      </x:c>
      <x:c r="F1662" s="3" t="n">
        <x:v>1</x:v>
      </x:c>
    </x:row>
    <x:row r="1663" ht="21" customHeight="1">
      <x:c r="A1663" s="3" t="n">
        <x:v>50</x:v>
      </x:c>
      <x:c r="B1663" s="3" t="n">
        <x:v>9</x:v>
      </x:c>
      <x:c r="C1663" s="3" t="n">
        <x:v>12</x:v>
      </x:c>
      <x:c r="D1663" s="3" t="n">
        <x:v>2</x:v>
      </x:c>
      <x:c r="E1663" s="3" t="n">
        <x:v>2</x:v>
      </x:c>
      <x:c r="F1663" s="3" t="n">
        <x:v>1</x:v>
      </x:c>
    </x:row>
    <x:row r="1664" ht="21" customHeight="1">
      <x:c r="A1664" s="3" t="n">
        <x:v>50</x:v>
      </x:c>
      <x:c r="B1664" s="3" t="n">
        <x:v>10</x:v>
      </x:c>
      <x:c r="C1664" s="3" t="n">
        <x:v>13</x:v>
      </x:c>
      <x:c r="D1664" s="3" t="n">
        <x:v>2</x:v>
      </x:c>
      <x:c r="E1664" s="3" t="n">
        <x:v>3</x:v>
      </x:c>
      <x:c r="F1664" s="3" t="n">
        <x:v>2</x:v>
      </x:c>
    </x:row>
    <x:row r="1665" ht="21" customHeight="1">
      <x:c r="A1665" s="3" t="n">
        <x:v>50</x:v>
      </x:c>
      <x:c r="B1665" s="3" t="n">
        <x:v>11</x:v>
      </x:c>
      <x:c r="C1665" s="3" t="n">
        <x:v>14</x:v>
      </x:c>
      <x:c r="D1665" s="3" t="n">
        <x:v>2</x:v>
      </x:c>
      <x:c r="E1665" s="3" t="n">
        <x:v>3</x:v>
      </x:c>
      <x:c r="F1665" s="3" t="n">
        <x:v>2</x:v>
      </x:c>
    </x:row>
    <x:row r="1666" ht="21" customHeight="1">
      <x:c r="A1666" s="3" t="n">
        <x:v>50</x:v>
      </x:c>
      <x:c r="B1666" s="3" t="n">
        <x:v>12</x:v>
      </x:c>
      <x:c r="C1666" s="3" t="n">
        <x:v>15</x:v>
      </x:c>
      <x:c r="D1666" s="3" t="n">
        <x:v>3</x:v>
      </x:c>
      <x:c r="E1666" s="3" t="n">
        <x:v>3</x:v>
      </x:c>
      <x:c r="F1666" s="3" t="n">
        <x:v>1</x:v>
      </x:c>
    </x:row>
    <x:row r="1667" ht="21" customHeight="1">
      <x:c r="A1667" s="3" t="n">
        <x:v>50</x:v>
      </x:c>
      <x:c r="B1667" s="3" t="n">
        <x:v>13</x:v>
      </x:c>
      <x:c r="C1667" s="3" t="n">
        <x:v>16</x:v>
      </x:c>
      <x:c r="D1667" s="3" t="n">
        <x:v>3</x:v>
      </x:c>
      <x:c r="E1667" s="3" t="n">
        <x:v>3</x:v>
      </x:c>
      <x:c r="F1667" s="3" t="n">
        <x:v>1</x:v>
      </x:c>
    </x:row>
    <x:row r="1668" ht="21" customHeight="1">
      <x:c r="A1668" s="3" t="n">
        <x:v>50</x:v>
      </x:c>
      <x:c r="B1668" s="3" t="n">
        <x:v>14</x:v>
      </x:c>
      <x:c r="C1668" s="3" t="n">
        <x:v>17</x:v>
      </x:c>
      <x:c r="D1668" s="3" t="n">
        <x:v>3</x:v>
      </x:c>
      <x:c r="E1668" s="3" t="n">
        <x:v>3</x:v>
      </x:c>
      <x:c r="F1668" s="3" t="n">
        <x:v>1</x:v>
      </x:c>
    </x:row>
    <x:row r="1669" ht="21" customHeight="1">
      <x:c r="A1669" s="3" t="n">
        <x:v>50</x:v>
      </x:c>
      <x:c r="B1669" s="3" t="n">
        <x:v>15</x:v>
      </x:c>
      <x:c r="C1669" s="3" t="n">
        <x:v>18</x:v>
      </x:c>
      <x:c r="D1669" s="3" t="n">
        <x:v>3</x:v>
      </x:c>
      <x:c r="E1669" s="3" t="n">
        <x:v>3</x:v>
      </x:c>
      <x:c r="F1669" s="3" t="n">
        <x:v>1</x:v>
      </x:c>
    </x:row>
    <x:row r="1670" ht="21" customHeight="1">
      <x:c r="A1670" s="3" t="n">
        <x:v>50</x:v>
      </x:c>
      <x:c r="B1670" s="3" t="n">
        <x:v>16</x:v>
      </x:c>
      <x:c r="C1670" s="3" t="n">
        <x:v>19</x:v>
      </x:c>
      <x:c r="D1670" s="3" t="n">
        <x:v>3</x:v>
      </x:c>
      <x:c r="E1670" s="3" t="n">
        <x:v>4</x:v>
      </x:c>
      <x:c r="F1670" s="3" t="n">
        <x:v>2</x:v>
      </x:c>
    </x:row>
    <x:row r="1671" ht="21" customHeight="1">
      <x:c r="A1671" s="3" t="n">
        <x:v>50</x:v>
      </x:c>
      <x:c r="B1671" s="3" t="n">
        <x:v>17</x:v>
      </x:c>
      <x:c r="C1671" s="3" t="n">
        <x:v>20</x:v>
      </x:c>
      <x:c r="D1671" s="3" t="n">
        <x:v>3</x:v>
      </x:c>
      <x:c r="E1671" s="3" t="n">
        <x:v>4</x:v>
      </x:c>
      <x:c r="F1671" s="3" t="n">
        <x:v>2</x:v>
      </x:c>
    </x:row>
    <x:row r="1672" ht="21" customHeight="1">
      <x:c r="A1672" s="3" t="n">
        <x:v>50</x:v>
      </x:c>
      <x:c r="B1672" s="3" t="n">
        <x:v>18</x:v>
      </x:c>
      <x:c r="C1672" s="3" t="n">
        <x:v>21</x:v>
      </x:c>
      <x:c r="D1672" s="3" t="n">
        <x:v>4</x:v>
      </x:c>
      <x:c r="E1672" s="3" t="n">
        <x:v>4</x:v>
      </x:c>
      <x:c r="F1672" s="3" t="n">
        <x:v>1</x:v>
      </x:c>
    </x:row>
    <x:row r="1673" ht="21" customHeight="1">
      <x:c r="A1673" s="3" t="n">
        <x:v>50</x:v>
      </x:c>
      <x:c r="B1673" s="3" t="n">
        <x:v>19</x:v>
      </x:c>
      <x:c r="C1673" s="3" t="n">
        <x:v>22</x:v>
      </x:c>
      <x:c r="D1673" s="3" t="n">
        <x:v>4</x:v>
      </x:c>
      <x:c r="E1673" s="3" t="n">
        <x:v>4</x:v>
      </x:c>
      <x:c r="F1673" s="3" t="n">
        <x:v>1</x:v>
      </x:c>
    </x:row>
    <x:row r="1674" ht="21" customHeight="1">
      <x:c r="A1674" s="3" t="n">
        <x:v>50</x:v>
      </x:c>
      <x:c r="B1674" s="3" t="n">
        <x:v>20</x:v>
      </x:c>
      <x:c r="C1674" s="3" t="n">
        <x:v>23</x:v>
      </x:c>
      <x:c r="D1674" s="3" t="n">
        <x:v>4</x:v>
      </x:c>
      <x:c r="E1674" s="3" t="n">
        <x:v>4</x:v>
      </x:c>
      <x:c r="F1674" s="3" t="n">
        <x:v>1</x:v>
      </x:c>
    </x:row>
    <x:row r="1675" ht="21" customHeight="1">
      <x:c r="A1675" s="3" t="n">
        <x:v>50</x:v>
      </x:c>
      <x:c r="B1675" s="3" t="n">
        <x:v>21</x:v>
      </x:c>
      <x:c r="C1675" s="3" t="n">
        <x:v>24</x:v>
      </x:c>
      <x:c r="D1675" s="3" t="n">
        <x:v>4</x:v>
      </x:c>
      <x:c r="E1675" s="3" t="n">
        <x:v>4</x:v>
      </x:c>
      <x:c r="F1675" s="3" t="n">
        <x:v>1</x:v>
      </x:c>
    </x:row>
    <x:row r="1676" ht="21" customHeight="1">
      <x:c r="A1676" s="3" t="n">
        <x:v>50</x:v>
      </x:c>
      <x:c r="B1676" s="3" t="n">
        <x:v>22</x:v>
      </x:c>
      <x:c r="C1676" s="3" t="n">
        <x:v>25</x:v>
      </x:c>
      <x:c r="D1676" s="3" t="n">
        <x:v>4</x:v>
      </x:c>
      <x:c r="E1676" s="3" t="n">
        <x:v>5</x:v>
      </x:c>
      <x:c r="F1676" s="3" t="n">
        <x:v>2</x:v>
      </x:c>
    </x:row>
    <x:row r="1677" ht="21" customHeight="1">
      <x:c r="A1677" s="3" t="n">
        <x:v>50</x:v>
      </x:c>
      <x:c r="B1677" s="3" t="n">
        <x:v>23</x:v>
      </x:c>
      <x:c r="C1677" s="3" t="n">
        <x:v>26</x:v>
      </x:c>
      <x:c r="D1677" s="3" t="n">
        <x:v>4</x:v>
      </x:c>
      <x:c r="E1677" s="3" t="n">
        <x:v>5</x:v>
      </x:c>
      <x:c r="F1677" s="3" t="n">
        <x:v>2</x:v>
      </x:c>
    </x:row>
    <x:row r="1678" ht="21" customHeight="1">
      <x:c r="A1678" s="3" t="n">
        <x:v>50</x:v>
      </x:c>
      <x:c r="B1678" s="3" t="n">
        <x:v>24</x:v>
      </x:c>
      <x:c r="C1678" s="3" t="n">
        <x:v>27</x:v>
      </x:c>
      <x:c r="D1678" s="3" t="n">
        <x:v>5</x:v>
      </x:c>
      <x:c r="E1678" s="3" t="n">
        <x:v>5</x:v>
      </x:c>
      <x:c r="F1678" s="3" t="n">
        <x:v>1</x:v>
      </x:c>
    </x:row>
    <x:row r="1679" ht="21" customHeight="1">
      <x:c r="A1679" s="3" t="n">
        <x:v>50</x:v>
      </x:c>
      <x:c r="B1679" s="3" t="n">
        <x:v>25</x:v>
      </x:c>
      <x:c r="C1679" s="3" t="n">
        <x:v>28</x:v>
      </x:c>
      <x:c r="D1679" s="3" t="n">
        <x:v>5</x:v>
      </x:c>
      <x:c r="E1679" s="3" t="n">
        <x:v>5</x:v>
      </x:c>
      <x:c r="F1679" s="3" t="n">
        <x:v>1</x:v>
      </x:c>
    </x:row>
    <x:row r="1680" ht="21" customHeight="1">
      <x:c r="A1680" s="3" t="n">
        <x:v>50</x:v>
      </x:c>
      <x:c r="B1680" s="3" t="n">
        <x:v>26</x:v>
      </x:c>
      <x:c r="C1680" s="3" t="n">
        <x:v>29</x:v>
      </x:c>
      <x:c r="D1680" s="3" t="n">
        <x:v>5</x:v>
      </x:c>
      <x:c r="E1680" s="3" t="n">
        <x:v>5</x:v>
      </x:c>
      <x:c r="F1680" s="3" t="n">
        <x:v>1</x:v>
      </x:c>
    </x:row>
    <x:row r="1681" ht="21" customHeight="1">
      <x:c r="A1681" s="3" t="n">
        <x:v>50</x:v>
      </x:c>
      <x:c r="B1681" s="3" t="n">
        <x:v>27</x:v>
      </x:c>
      <x:c r="C1681" s="3" t="n">
        <x:v>30</x:v>
      </x:c>
      <x:c r="D1681" s="3" t="n">
        <x:v>5</x:v>
      </x:c>
      <x:c r="E1681" s="3" t="n">
        <x:v>5</x:v>
      </x:c>
      <x:c r="F1681" s="3" t="n">
        <x:v>1</x:v>
      </x:c>
    </x:row>
    <x:row r="1682" ht="21" customHeight="1">
      <x:c r="A1682" s="3" t="n">
        <x:v>50</x:v>
      </x:c>
      <x:c r="B1682" s="3" t="n">
        <x:v>28</x:v>
      </x:c>
      <x:c r="C1682" s="3" t="n">
        <x:v>31</x:v>
      </x:c>
      <x:c r="D1682" s="3" t="n">
        <x:v>5</x:v>
      </x:c>
      <x:c r="E1682" s="3" t="n">
        <x:v>6</x:v>
      </x:c>
      <x:c r="F1682" s="3" t="n">
        <x:v>2</x:v>
      </x:c>
    </x:row>
    <x:row r="1683" ht="21" customHeight="1">
      <x:c r="A1683" s="3" t="n">
        <x:v>50</x:v>
      </x:c>
      <x:c r="B1683" s="3" t="n">
        <x:v>29</x:v>
      </x:c>
      <x:c r="C1683" s="3" t="n">
        <x:v>32</x:v>
      </x:c>
      <x:c r="D1683" s="3" t="n">
        <x:v>5</x:v>
      </x:c>
      <x:c r="E1683" s="3" t="n">
        <x:v>6</x:v>
      </x:c>
      <x:c r="F1683" s="3" t="n">
        <x:v>2</x:v>
      </x:c>
    </x:row>
    <x:row r="1684" ht="21" customHeight="1">
      <x:c r="A1684" s="3" t="n">
        <x:v>50</x:v>
      </x:c>
      <x:c r="B1684" s="3" t="n">
        <x:v>30</x:v>
      </x:c>
      <x:c r="C1684" s="3" t="n">
        <x:v>33</x:v>
      </x:c>
      <x:c r="D1684" s="3" t="n">
        <x:v>6</x:v>
      </x:c>
      <x:c r="E1684" s="3" t="n">
        <x:v>6</x:v>
      </x:c>
      <x:c r="F1684" s="3" t="n">
        <x:v>1</x:v>
      </x:c>
    </x:row>
    <x:row r="1685" ht="21" customHeight="1">
      <x:c r="A1685" s="3" t="n">
        <x:v>50</x:v>
      </x:c>
      <x:c r="B1685" s="3" t="n">
        <x:v>31</x:v>
      </x:c>
      <x:c r="C1685" s="3" t="n">
        <x:v>34</x:v>
      </x:c>
      <x:c r="D1685" s="3" t="n">
        <x:v>6</x:v>
      </x:c>
      <x:c r="E1685" s="3" t="n">
        <x:v>6</x:v>
      </x:c>
      <x:c r="F1685" s="3" t="n">
        <x:v>1</x:v>
      </x:c>
    </x:row>
    <x:row r="1686" ht="21" customHeight="1">
      <x:c r="A1686" s="3" t="n">
        <x:v>50</x:v>
      </x:c>
      <x:c r="B1686" s="3" t="n">
        <x:v>32</x:v>
      </x:c>
      <x:c r="C1686" s="3" t="n">
        <x:v>35</x:v>
      </x:c>
      <x:c r="D1686" s="3" t="n">
        <x:v>6</x:v>
      </x:c>
      <x:c r="E1686" s="3" t="n">
        <x:v>6</x:v>
      </x:c>
      <x:c r="F1686" s="3" t="n">
        <x:v>1</x:v>
      </x:c>
    </x:row>
    <x:row r="1687" ht="21" customHeight="1">
      <x:c r="A1687" s="3" t="n">
        <x:v>50</x:v>
      </x:c>
      <x:c r="B1687" s="3" t="n">
        <x:v>33</x:v>
      </x:c>
      <x:c r="C1687" s="3" t="n">
        <x:v>36</x:v>
      </x:c>
      <x:c r="D1687" s="3" t="n">
        <x:v>6</x:v>
      </x:c>
      <x:c r="E1687" s="3" t="n">
        <x:v>6</x:v>
      </x:c>
      <x:c r="F1687" s="3" t="n">
        <x:v>1</x:v>
      </x:c>
    </x:row>
    <x:row r="1688" ht="21" customHeight="1">
      <x:c r="A1688" s="3" t="n">
        <x:v>51</x:v>
      </x:c>
      <x:c r="B1688" s="3" t="n">
        <x:v>0</x:v>
      </x:c>
      <x:c r="C1688" s="3" t="n">
        <x:v>5</x:v>
      </x:c>
      <x:c r="D1688" s="3" t="n">
        <x:v>1</x:v>
      </x:c>
      <x:c r="E1688" s="3" t="n">
        <x:v>1</x:v>
      </x:c>
      <x:c r="F1688" s="3" t="n">
        <x:v>1</x:v>
      </x:c>
    </x:row>
    <x:row r="1689" ht="21" customHeight="1">
      <x:c r="A1689" s="3" t="n">
        <x:v>51</x:v>
      </x:c>
      <x:c r="B1689" s="3" t="n">
        <x:v>1</x:v>
      </x:c>
      <x:c r="C1689" s="3" t="n">
        <x:v>6</x:v>
      </x:c>
      <x:c r="D1689" s="3" t="n">
        <x:v>1</x:v>
      </x:c>
      <x:c r="E1689" s="3" t="n">
        <x:v>1</x:v>
      </x:c>
      <x:c r="F1689" s="3" t="n">
        <x:v>1</x:v>
      </x:c>
    </x:row>
    <x:row r="1690" ht="21" customHeight="1">
      <x:c r="A1690" s="3" t="n">
        <x:v>51</x:v>
      </x:c>
      <x:c r="B1690" s="3" t="n">
        <x:v>2</x:v>
      </x:c>
      <x:c r="C1690" s="3" t="n">
        <x:v>7</x:v>
      </x:c>
      <x:c r="D1690" s="3" t="n">
        <x:v>1</x:v>
      </x:c>
      <x:c r="E1690" s="3" t="n">
        <x:v>2</x:v>
      </x:c>
      <x:c r="F1690" s="3" t="n">
        <x:v>2</x:v>
      </x:c>
    </x:row>
    <x:row r="1691" ht="21" customHeight="1">
      <x:c r="A1691" s="3" t="n">
        <x:v>51</x:v>
      </x:c>
      <x:c r="B1691" s="3" t="n">
        <x:v>3</x:v>
      </x:c>
      <x:c r="C1691" s="3" t="n">
        <x:v>8</x:v>
      </x:c>
      <x:c r="D1691" s="3" t="n">
        <x:v>1</x:v>
      </x:c>
      <x:c r="E1691" s="3" t="n">
        <x:v>2</x:v>
      </x:c>
      <x:c r="F1691" s="3" t="n">
        <x:v>2</x:v>
      </x:c>
    </x:row>
    <x:row r="1692" ht="21" customHeight="1">
      <x:c r="A1692" s="3" t="n">
        <x:v>51</x:v>
      </x:c>
      <x:c r="B1692" s="3" t="n">
        <x:v>4</x:v>
      </x:c>
      <x:c r="C1692" s="3" t="n">
        <x:v>9</x:v>
      </x:c>
      <x:c r="D1692" s="3" t="n">
        <x:v>1</x:v>
      </x:c>
      <x:c r="E1692" s="3" t="n">
        <x:v>2</x:v>
      </x:c>
      <x:c r="F1692" s="3" t="n">
        <x:v>2</x:v>
      </x:c>
    </x:row>
    <x:row r="1693" ht="21" customHeight="1">
      <x:c r="A1693" s="3" t="n">
        <x:v>51</x:v>
      </x:c>
      <x:c r="B1693" s="3" t="n">
        <x:v>5</x:v>
      </x:c>
      <x:c r="C1693" s="3" t="n">
        <x:v>10</x:v>
      </x:c>
      <x:c r="D1693" s="3" t="n">
        <x:v>1</x:v>
      </x:c>
      <x:c r="E1693" s="3" t="n">
        <x:v>2</x:v>
      </x:c>
      <x:c r="F1693" s="3" t="n">
        <x:v>2</x:v>
      </x:c>
    </x:row>
    <x:row r="1694" ht="21" customHeight="1">
      <x:c r="A1694" s="3" t="n">
        <x:v>51</x:v>
      </x:c>
      <x:c r="B1694" s="3" t="n">
        <x:v>6</x:v>
      </x:c>
      <x:c r="C1694" s="3" t="n">
        <x:v>11</x:v>
      </x:c>
      <x:c r="D1694" s="3" t="n">
        <x:v>2</x:v>
      </x:c>
      <x:c r="E1694" s="3" t="n">
        <x:v>2</x:v>
      </x:c>
      <x:c r="F1694" s="3" t="n">
        <x:v>1</x:v>
      </x:c>
    </x:row>
    <x:row r="1695" ht="21" customHeight="1">
      <x:c r="A1695" s="3" t="n">
        <x:v>51</x:v>
      </x:c>
      <x:c r="B1695" s="3" t="n">
        <x:v>7</x:v>
      </x:c>
      <x:c r="C1695" s="3" t="n">
        <x:v>12</x:v>
      </x:c>
      <x:c r="D1695" s="3" t="n">
        <x:v>2</x:v>
      </x:c>
      <x:c r="E1695" s="3" t="n">
        <x:v>2</x:v>
      </x:c>
      <x:c r="F1695" s="3" t="n">
        <x:v>1</x:v>
      </x:c>
    </x:row>
    <x:row r="1696" ht="21" customHeight="1">
      <x:c r="A1696" s="3" t="n">
        <x:v>51</x:v>
      </x:c>
      <x:c r="B1696" s="3" t="n">
        <x:v>8</x:v>
      </x:c>
      <x:c r="C1696" s="3" t="n">
        <x:v>13</x:v>
      </x:c>
      <x:c r="D1696" s="3" t="n">
        <x:v>2</x:v>
      </x:c>
      <x:c r="E1696" s="3" t="n">
        <x:v>3</x:v>
      </x:c>
      <x:c r="F1696" s="3" t="n">
        <x:v>2</x:v>
      </x:c>
    </x:row>
    <x:row r="1697" ht="21" customHeight="1">
      <x:c r="A1697" s="3" t="n">
        <x:v>51</x:v>
      </x:c>
      <x:c r="B1697" s="3" t="n">
        <x:v>9</x:v>
      </x:c>
      <x:c r="C1697" s="3" t="n">
        <x:v>14</x:v>
      </x:c>
      <x:c r="D1697" s="3" t="n">
        <x:v>2</x:v>
      </x:c>
      <x:c r="E1697" s="3" t="n">
        <x:v>3</x:v>
      </x:c>
      <x:c r="F1697" s="3" t="n">
        <x:v>2</x:v>
      </x:c>
    </x:row>
    <x:row r="1698" ht="21" customHeight="1">
      <x:c r="A1698" s="3" t="n">
        <x:v>51</x:v>
      </x:c>
      <x:c r="B1698" s="3" t="n">
        <x:v>10</x:v>
      </x:c>
      <x:c r="C1698" s="3" t="n">
        <x:v>15</x:v>
      </x:c>
      <x:c r="D1698" s="3" t="n">
        <x:v>2</x:v>
      </x:c>
      <x:c r="E1698" s="3" t="n">
        <x:v>3</x:v>
      </x:c>
      <x:c r="F1698" s="3" t="n">
        <x:v>2</x:v>
      </x:c>
    </x:row>
    <x:row r="1699" ht="21" customHeight="1">
      <x:c r="A1699" s="3" t="n">
        <x:v>51</x:v>
      </x:c>
      <x:c r="B1699" s="3" t="n">
        <x:v>11</x:v>
      </x:c>
      <x:c r="C1699" s="3" t="n">
        <x:v>16</x:v>
      </x:c>
      <x:c r="D1699" s="3" t="n">
        <x:v>2</x:v>
      </x:c>
      <x:c r="E1699" s="3" t="n">
        <x:v>3</x:v>
      </x:c>
      <x:c r="F1699" s="3" t="n">
        <x:v>2</x:v>
      </x:c>
    </x:row>
    <x:row r="1700" ht="21" customHeight="1">
      <x:c r="A1700" s="3" t="n">
        <x:v>51</x:v>
      </x:c>
      <x:c r="B1700" s="3" t="n">
        <x:v>12</x:v>
      </x:c>
      <x:c r="C1700" s="3" t="n">
        <x:v>17</x:v>
      </x:c>
      <x:c r="D1700" s="3" t="n">
        <x:v>3</x:v>
      </x:c>
      <x:c r="E1700" s="3" t="n">
        <x:v>3</x:v>
      </x:c>
      <x:c r="F1700" s="3" t="n">
        <x:v>1</x:v>
      </x:c>
    </x:row>
    <x:row r="1701" ht="21" customHeight="1">
      <x:c r="A1701" s="3" t="n">
        <x:v>51</x:v>
      </x:c>
      <x:c r="B1701" s="3" t="n">
        <x:v>13</x:v>
      </x:c>
      <x:c r="C1701" s="3" t="n">
        <x:v>18</x:v>
      </x:c>
      <x:c r="D1701" s="3" t="n">
        <x:v>3</x:v>
      </x:c>
      <x:c r="E1701" s="3" t="n">
        <x:v>3</x:v>
      </x:c>
      <x:c r="F1701" s="3" t="n">
        <x:v>1</x:v>
      </x:c>
    </x:row>
    <x:row r="1702" ht="21" customHeight="1">
      <x:c r="A1702" s="3" t="n">
        <x:v>51</x:v>
      </x:c>
      <x:c r="B1702" s="3" t="n">
        <x:v>14</x:v>
      </x:c>
      <x:c r="C1702" s="3" t="n">
        <x:v>19</x:v>
      </x:c>
      <x:c r="D1702" s="3" t="n">
        <x:v>3</x:v>
      </x:c>
      <x:c r="E1702" s="3" t="n">
        <x:v>4</x:v>
      </x:c>
      <x:c r="F1702" s="3" t="n">
        <x:v>2</x:v>
      </x:c>
    </x:row>
    <x:row r="1703" ht="21" customHeight="1">
      <x:c r="A1703" s="3" t="n">
        <x:v>51</x:v>
      </x:c>
      <x:c r="B1703" s="3" t="n">
        <x:v>15</x:v>
      </x:c>
      <x:c r="C1703" s="3" t="n">
        <x:v>20</x:v>
      </x:c>
      <x:c r="D1703" s="3" t="n">
        <x:v>3</x:v>
      </x:c>
      <x:c r="E1703" s="3" t="n">
        <x:v>4</x:v>
      </x:c>
      <x:c r="F1703" s="3" t="n">
        <x:v>2</x:v>
      </x:c>
    </x:row>
    <x:row r="1704" ht="21" customHeight="1">
      <x:c r="A1704" s="3" t="n">
        <x:v>51</x:v>
      </x:c>
      <x:c r="B1704" s="3" t="n">
        <x:v>16</x:v>
      </x:c>
      <x:c r="C1704" s="3" t="n">
        <x:v>21</x:v>
      </x:c>
      <x:c r="D1704" s="3" t="n">
        <x:v>3</x:v>
      </x:c>
      <x:c r="E1704" s="3" t="n">
        <x:v>4</x:v>
      </x:c>
      <x:c r="F1704" s="3" t="n">
        <x:v>2</x:v>
      </x:c>
    </x:row>
    <x:row r="1705" ht="21" customHeight="1">
      <x:c r="A1705" s="3" t="n">
        <x:v>51</x:v>
      </x:c>
      <x:c r="B1705" s="3" t="n">
        <x:v>17</x:v>
      </x:c>
      <x:c r="C1705" s="3" t="n">
        <x:v>22</x:v>
      </x:c>
      <x:c r="D1705" s="3" t="n">
        <x:v>3</x:v>
      </x:c>
      <x:c r="E1705" s="3" t="n">
        <x:v>4</x:v>
      </x:c>
      <x:c r="F1705" s="3" t="n">
        <x:v>2</x:v>
      </x:c>
    </x:row>
    <x:row r="1706" ht="21" customHeight="1">
      <x:c r="A1706" s="3" t="n">
        <x:v>51</x:v>
      </x:c>
      <x:c r="B1706" s="3" t="n">
        <x:v>18</x:v>
      </x:c>
      <x:c r="C1706" s="3" t="n">
        <x:v>23</x:v>
      </x:c>
      <x:c r="D1706" s="3" t="n">
        <x:v>4</x:v>
      </x:c>
      <x:c r="E1706" s="3" t="n">
        <x:v>4</x:v>
      </x:c>
      <x:c r="F1706" s="3" t="n">
        <x:v>1</x:v>
      </x:c>
    </x:row>
    <x:row r="1707" ht="21" customHeight="1">
      <x:c r="A1707" s="3" t="n">
        <x:v>51</x:v>
      </x:c>
      <x:c r="B1707" s="3" t="n">
        <x:v>19</x:v>
      </x:c>
      <x:c r="C1707" s="3" t="n">
        <x:v>24</x:v>
      </x:c>
      <x:c r="D1707" s="3" t="n">
        <x:v>4</x:v>
      </x:c>
      <x:c r="E1707" s="3" t="n">
        <x:v>4</x:v>
      </x:c>
      <x:c r="F1707" s="3" t="n">
        <x:v>1</x:v>
      </x:c>
    </x:row>
    <x:row r="1708" ht="21" customHeight="1">
      <x:c r="A1708" s="3" t="n">
        <x:v>51</x:v>
      </x:c>
      <x:c r="B1708" s="3" t="n">
        <x:v>20</x:v>
      </x:c>
      <x:c r="C1708" s="3" t="n">
        <x:v>25</x:v>
      </x:c>
      <x:c r="D1708" s="3" t="n">
        <x:v>4</x:v>
      </x:c>
      <x:c r="E1708" s="3" t="n">
        <x:v>5</x:v>
      </x:c>
      <x:c r="F1708" s="3" t="n">
        <x:v>2</x:v>
      </x:c>
    </x:row>
    <x:row r="1709" ht="21" customHeight="1">
      <x:c r="A1709" s="3" t="n">
        <x:v>51</x:v>
      </x:c>
      <x:c r="B1709" s="3" t="n">
        <x:v>21</x:v>
      </x:c>
      <x:c r="C1709" s="3" t="n">
        <x:v>26</x:v>
      </x:c>
      <x:c r="D1709" s="3" t="n">
        <x:v>4</x:v>
      </x:c>
      <x:c r="E1709" s="3" t="n">
        <x:v>5</x:v>
      </x:c>
      <x:c r="F1709" s="3" t="n">
        <x:v>2</x:v>
      </x:c>
    </x:row>
    <x:row r="1710" ht="21" customHeight="1">
      <x:c r="A1710" s="3" t="n">
        <x:v>51</x:v>
      </x:c>
      <x:c r="B1710" s="3" t="n">
        <x:v>22</x:v>
      </x:c>
      <x:c r="C1710" s="3" t="n">
        <x:v>27</x:v>
      </x:c>
      <x:c r="D1710" s="3" t="n">
        <x:v>4</x:v>
      </x:c>
      <x:c r="E1710" s="3" t="n">
        <x:v>5</x:v>
      </x:c>
      <x:c r="F1710" s="3" t="n">
        <x:v>2</x:v>
      </x:c>
    </x:row>
    <x:row r="1711" ht="21" customHeight="1">
      <x:c r="A1711" s="3" t="n">
        <x:v>51</x:v>
      </x:c>
      <x:c r="B1711" s="3" t="n">
        <x:v>23</x:v>
      </x:c>
      <x:c r="C1711" s="3" t="n">
        <x:v>28</x:v>
      </x:c>
      <x:c r="D1711" s="3" t="n">
        <x:v>4</x:v>
      </x:c>
      <x:c r="E1711" s="3" t="n">
        <x:v>5</x:v>
      </x:c>
      <x:c r="F1711" s="3" t="n">
        <x:v>2</x:v>
      </x:c>
    </x:row>
    <x:row r="1712" ht="21" customHeight="1">
      <x:c r="A1712" s="3" t="n">
        <x:v>51</x:v>
      </x:c>
      <x:c r="B1712" s="3" t="n">
        <x:v>24</x:v>
      </x:c>
      <x:c r="C1712" s="3" t="n">
        <x:v>29</x:v>
      </x:c>
      <x:c r="D1712" s="3" t="n">
        <x:v>5</x:v>
      </x:c>
      <x:c r="E1712" s="3" t="n">
        <x:v>5</x:v>
      </x:c>
      <x:c r="F1712" s="3" t="n">
        <x:v>1</x:v>
      </x:c>
    </x:row>
    <x:row r="1713" ht="21" customHeight="1">
      <x:c r="A1713" s="3" t="n">
        <x:v>51</x:v>
      </x:c>
      <x:c r="B1713" s="3" t="n">
        <x:v>25</x:v>
      </x:c>
      <x:c r="C1713" s="3" t="n">
        <x:v>30</x:v>
      </x:c>
      <x:c r="D1713" s="3" t="n">
        <x:v>5</x:v>
      </x:c>
      <x:c r="E1713" s="3" t="n">
        <x:v>5</x:v>
      </x:c>
      <x:c r="F1713" s="3" t="n">
        <x:v>1</x:v>
      </x:c>
    </x:row>
    <x:row r="1714" ht="21" customHeight="1">
      <x:c r="A1714" s="3" t="n">
        <x:v>51</x:v>
      </x:c>
      <x:c r="B1714" s="3" t="n">
        <x:v>26</x:v>
      </x:c>
      <x:c r="C1714" s="3" t="n">
        <x:v>31</x:v>
      </x:c>
      <x:c r="D1714" s="3" t="n">
        <x:v>5</x:v>
      </x:c>
      <x:c r="E1714" s="3" t="n">
        <x:v>6</x:v>
      </x:c>
      <x:c r="F1714" s="3" t="n">
        <x:v>2</x:v>
      </x:c>
    </x:row>
    <x:row r="1715" ht="21" customHeight="1">
      <x:c r="A1715" s="3" t="n">
        <x:v>51</x:v>
      </x:c>
      <x:c r="B1715" s="3" t="n">
        <x:v>27</x:v>
      </x:c>
      <x:c r="C1715" s="3" t="n">
        <x:v>32</x:v>
      </x:c>
      <x:c r="D1715" s="3" t="n">
        <x:v>5</x:v>
      </x:c>
      <x:c r="E1715" s="3" t="n">
        <x:v>6</x:v>
      </x:c>
      <x:c r="F1715" s="3" t="n">
        <x:v>2</x:v>
      </x:c>
    </x:row>
    <x:row r="1716" ht="21" customHeight="1">
      <x:c r="A1716" s="3" t="n">
        <x:v>51</x:v>
      </x:c>
      <x:c r="B1716" s="3" t="n">
        <x:v>28</x:v>
      </x:c>
      <x:c r="C1716" s="3" t="n">
        <x:v>33</x:v>
      </x:c>
      <x:c r="D1716" s="3" t="n">
        <x:v>5</x:v>
      </x:c>
      <x:c r="E1716" s="3" t="n">
        <x:v>6</x:v>
      </x:c>
      <x:c r="F1716" s="3" t="n">
        <x:v>2</x:v>
      </x:c>
    </x:row>
    <x:row r="1717" ht="21" customHeight="1">
      <x:c r="A1717" s="3" t="n">
        <x:v>51</x:v>
      </x:c>
      <x:c r="B1717" s="3" t="n">
        <x:v>29</x:v>
      </x:c>
      <x:c r="C1717" s="3" t="n">
        <x:v>34</x:v>
      </x:c>
      <x:c r="D1717" s="3" t="n">
        <x:v>5</x:v>
      </x:c>
      <x:c r="E1717" s="3" t="n">
        <x:v>6</x:v>
      </x:c>
      <x:c r="F1717" s="3" t="n">
        <x:v>2</x:v>
      </x:c>
    </x:row>
    <x:row r="1718" ht="21" customHeight="1">
      <x:c r="A1718" s="3" t="n">
        <x:v>51</x:v>
      </x:c>
      <x:c r="B1718" s="3" t="n">
        <x:v>30</x:v>
      </x:c>
      <x:c r="C1718" s="3" t="n">
        <x:v>35</x:v>
      </x:c>
      <x:c r="D1718" s="3" t="n">
        <x:v>6</x:v>
      </x:c>
      <x:c r="E1718" s="3" t="n">
        <x:v>6</x:v>
      </x:c>
      <x:c r="F1718" s="3" t="n">
        <x:v>1</x:v>
      </x:c>
    </x:row>
    <x:row r="1719" ht="21" customHeight="1">
      <x:c r="A1719" s="3" t="n">
        <x:v>51</x:v>
      </x:c>
      <x:c r="B1719" s="3" t="n">
        <x:v>31</x:v>
      </x:c>
      <x:c r="C1719" s="3" t="n">
        <x:v>36</x:v>
      </x:c>
      <x:c r="D1719" s="3" t="n">
        <x:v>6</x:v>
      </x:c>
      <x:c r="E1719" s="3" t="n">
        <x:v>6</x:v>
      </x:c>
      <x:c r="F1719" s="3" t="n">
        <x:v>1</x:v>
      </x:c>
    </x:row>
    <x:row r="1720" ht="21" customHeight="1">
      <x:c r="A1720" s="3" t="n">
        <x:v>52</x:v>
      </x:c>
      <x:c r="B1720" s="3" t="n">
        <x:v>0</x:v>
      </x:c>
      <x:c r="C1720" s="3" t="n">
        <x:v>5</x:v>
      </x:c>
      <x:c r="D1720" s="3" t="n">
        <x:v>1</x:v>
      </x:c>
      <x:c r="E1720" s="3" t="n">
        <x:v>1</x:v>
      </x:c>
      <x:c r="F1720" s="3" t="n">
        <x:v>1</x:v>
      </x:c>
    </x:row>
    <x:row r="1721" ht="21" customHeight="1">
      <x:c r="A1721" s="3" t="n">
        <x:v>52</x:v>
      </x:c>
      <x:c r="B1721" s="3" t="n">
        <x:v>1</x:v>
      </x:c>
      <x:c r="C1721" s="3" t="n">
        <x:v>6</x:v>
      </x:c>
      <x:c r="D1721" s="3" t="n">
        <x:v>1</x:v>
      </x:c>
      <x:c r="E1721" s="3" t="n">
        <x:v>1</x:v>
      </x:c>
      <x:c r="F1721" s="3" t="n">
        <x:v>1</x:v>
      </x:c>
    </x:row>
    <x:row r="1722" ht="21" customHeight="1">
      <x:c r="A1722" s="3" t="n">
        <x:v>52</x:v>
      </x:c>
      <x:c r="B1722" s="3" t="n">
        <x:v>2</x:v>
      </x:c>
      <x:c r="C1722" s="3" t="n">
        <x:v>7</x:v>
      </x:c>
      <x:c r="D1722" s="3" t="n">
        <x:v>1</x:v>
      </x:c>
      <x:c r="E1722" s="3" t="n">
        <x:v>2</x:v>
      </x:c>
      <x:c r="F1722" s="3" t="n">
        <x:v>2</x:v>
      </x:c>
    </x:row>
    <x:row r="1723" ht="21" customHeight="1">
      <x:c r="A1723" s="3" t="n">
        <x:v>52</x:v>
      </x:c>
      <x:c r="B1723" s="3" t="n">
        <x:v>3</x:v>
      </x:c>
      <x:c r="C1723" s="3" t="n">
        <x:v>8</x:v>
      </x:c>
      <x:c r="D1723" s="3" t="n">
        <x:v>1</x:v>
      </x:c>
      <x:c r="E1723" s="3" t="n">
        <x:v>2</x:v>
      </x:c>
      <x:c r="F1723" s="3" t="n">
        <x:v>2</x:v>
      </x:c>
    </x:row>
    <x:row r="1724" ht="21" customHeight="1">
      <x:c r="A1724" s="3" t="n">
        <x:v>52</x:v>
      </x:c>
      <x:c r="B1724" s="3" t="n">
        <x:v>4</x:v>
      </x:c>
      <x:c r="C1724" s="3" t="n">
        <x:v>9</x:v>
      </x:c>
      <x:c r="D1724" s="3" t="n">
        <x:v>1</x:v>
      </x:c>
      <x:c r="E1724" s="3" t="n">
        <x:v>2</x:v>
      </x:c>
      <x:c r="F1724" s="3" t="n">
        <x:v>2</x:v>
      </x:c>
    </x:row>
    <x:row r="1725" ht="21" customHeight="1">
      <x:c r="A1725" s="3" t="n">
        <x:v>52</x:v>
      </x:c>
      <x:c r="B1725" s="3" t="n">
        <x:v>5</x:v>
      </x:c>
      <x:c r="C1725" s="3" t="n">
        <x:v>10</x:v>
      </x:c>
      <x:c r="D1725" s="3" t="n">
        <x:v>1</x:v>
      </x:c>
      <x:c r="E1725" s="3" t="n">
        <x:v>2</x:v>
      </x:c>
      <x:c r="F1725" s="3" t="n">
        <x:v>2</x:v>
      </x:c>
    </x:row>
    <x:row r="1726" ht="21" customHeight="1">
      <x:c r="A1726" s="3" t="n">
        <x:v>52</x:v>
      </x:c>
      <x:c r="B1726" s="3" t="n">
        <x:v>6</x:v>
      </x:c>
      <x:c r="C1726" s="3" t="n">
        <x:v>11</x:v>
      </x:c>
      <x:c r="D1726" s="3" t="n">
        <x:v>2</x:v>
      </x:c>
      <x:c r="E1726" s="3" t="n">
        <x:v>2</x:v>
      </x:c>
      <x:c r="F1726" s="3" t="n">
        <x:v>1</x:v>
      </x:c>
    </x:row>
    <x:row r="1727" ht="21" customHeight="1">
      <x:c r="A1727" s="3" t="n">
        <x:v>52</x:v>
      </x:c>
      <x:c r="B1727" s="3" t="n">
        <x:v>7</x:v>
      </x:c>
      <x:c r="C1727" s="3" t="n">
        <x:v>12</x:v>
      </x:c>
      <x:c r="D1727" s="3" t="n">
        <x:v>2</x:v>
      </x:c>
      <x:c r="E1727" s="3" t="n">
        <x:v>2</x:v>
      </x:c>
      <x:c r="F1727" s="3" t="n">
        <x:v>1</x:v>
      </x:c>
    </x:row>
    <x:row r="1728" ht="21" customHeight="1">
      <x:c r="A1728" s="3" t="n">
        <x:v>52</x:v>
      </x:c>
      <x:c r="B1728" s="3" t="n">
        <x:v>8</x:v>
      </x:c>
      <x:c r="C1728" s="3" t="n">
        <x:v>13</x:v>
      </x:c>
      <x:c r="D1728" s="3" t="n">
        <x:v>2</x:v>
      </x:c>
      <x:c r="E1728" s="3" t="n">
        <x:v>3</x:v>
      </x:c>
      <x:c r="F1728" s="3" t="n">
        <x:v>2</x:v>
      </x:c>
    </x:row>
    <x:row r="1729" ht="21" customHeight="1">
      <x:c r="A1729" s="3" t="n">
        <x:v>52</x:v>
      </x:c>
      <x:c r="B1729" s="3" t="n">
        <x:v>9</x:v>
      </x:c>
      <x:c r="C1729" s="3" t="n">
        <x:v>14</x:v>
      </x:c>
      <x:c r="D1729" s="3" t="n">
        <x:v>2</x:v>
      </x:c>
      <x:c r="E1729" s="3" t="n">
        <x:v>3</x:v>
      </x:c>
      <x:c r="F1729" s="3" t="n">
        <x:v>2</x:v>
      </x:c>
    </x:row>
    <x:row r="1730" ht="21" customHeight="1">
      <x:c r="A1730" s="3" t="n">
        <x:v>52</x:v>
      </x:c>
      <x:c r="B1730" s="3" t="n">
        <x:v>10</x:v>
      </x:c>
      <x:c r="C1730" s="3" t="n">
        <x:v>15</x:v>
      </x:c>
      <x:c r="D1730" s="3" t="n">
        <x:v>2</x:v>
      </x:c>
      <x:c r="E1730" s="3" t="n">
        <x:v>3</x:v>
      </x:c>
      <x:c r="F1730" s="3" t="n">
        <x:v>2</x:v>
      </x:c>
    </x:row>
    <x:row r="1731" ht="21" customHeight="1">
      <x:c r="A1731" s="3" t="n">
        <x:v>52</x:v>
      </x:c>
      <x:c r="B1731" s="3" t="n">
        <x:v>11</x:v>
      </x:c>
      <x:c r="C1731" s="3" t="n">
        <x:v>16</x:v>
      </x:c>
      <x:c r="D1731" s="3" t="n">
        <x:v>2</x:v>
      </x:c>
      <x:c r="E1731" s="3" t="n">
        <x:v>3</x:v>
      </x:c>
      <x:c r="F1731" s="3" t="n">
        <x:v>2</x:v>
      </x:c>
    </x:row>
    <x:row r="1732" ht="21" customHeight="1">
      <x:c r="A1732" s="3" t="n">
        <x:v>52</x:v>
      </x:c>
      <x:c r="B1732" s="3" t="n">
        <x:v>12</x:v>
      </x:c>
      <x:c r="C1732" s="3" t="n">
        <x:v>17</x:v>
      </x:c>
      <x:c r="D1732" s="3" t="n">
        <x:v>3</x:v>
      </x:c>
      <x:c r="E1732" s="3" t="n">
        <x:v>3</x:v>
      </x:c>
      <x:c r="F1732" s="3" t="n">
        <x:v>1</x:v>
      </x:c>
    </x:row>
    <x:row r="1733" ht="21" customHeight="1">
      <x:c r="A1733" s="3" t="n">
        <x:v>52</x:v>
      </x:c>
      <x:c r="B1733" s="3" t="n">
        <x:v>13</x:v>
      </x:c>
      <x:c r="C1733" s="3" t="n">
        <x:v>18</x:v>
      </x:c>
      <x:c r="D1733" s="3" t="n">
        <x:v>3</x:v>
      </x:c>
      <x:c r="E1733" s="3" t="n">
        <x:v>3</x:v>
      </x:c>
      <x:c r="F1733" s="3" t="n">
        <x:v>1</x:v>
      </x:c>
    </x:row>
    <x:row r="1734" ht="21" customHeight="1">
      <x:c r="A1734" s="3" t="n">
        <x:v>52</x:v>
      </x:c>
      <x:c r="B1734" s="3" t="n">
        <x:v>14</x:v>
      </x:c>
      <x:c r="C1734" s="3" t="n">
        <x:v>19</x:v>
      </x:c>
      <x:c r="D1734" s="3" t="n">
        <x:v>3</x:v>
      </x:c>
      <x:c r="E1734" s="3" t="n">
        <x:v>4</x:v>
      </x:c>
      <x:c r="F1734" s="3" t="n">
        <x:v>2</x:v>
      </x:c>
    </x:row>
    <x:row r="1735" ht="21" customHeight="1">
      <x:c r="A1735" s="3" t="n">
        <x:v>52</x:v>
      </x:c>
      <x:c r="B1735" s="3" t="n">
        <x:v>15</x:v>
      </x:c>
      <x:c r="C1735" s="3" t="n">
        <x:v>20</x:v>
      </x:c>
      <x:c r="D1735" s="3" t="n">
        <x:v>3</x:v>
      </x:c>
      <x:c r="E1735" s="3" t="n">
        <x:v>4</x:v>
      </x:c>
      <x:c r="F1735" s="3" t="n">
        <x:v>2</x:v>
      </x:c>
    </x:row>
    <x:row r="1736" ht="21" customHeight="1">
      <x:c r="A1736" s="3" t="n">
        <x:v>52</x:v>
      </x:c>
      <x:c r="B1736" s="3" t="n">
        <x:v>16</x:v>
      </x:c>
      <x:c r="C1736" s="3" t="n">
        <x:v>21</x:v>
      </x:c>
      <x:c r="D1736" s="3" t="n">
        <x:v>3</x:v>
      </x:c>
      <x:c r="E1736" s="3" t="n">
        <x:v>4</x:v>
      </x:c>
      <x:c r="F1736" s="3" t="n">
        <x:v>2</x:v>
      </x:c>
    </x:row>
    <x:row r="1737" ht="21" customHeight="1">
      <x:c r="A1737" s="3" t="n">
        <x:v>52</x:v>
      </x:c>
      <x:c r="B1737" s="3" t="n">
        <x:v>17</x:v>
      </x:c>
      <x:c r="C1737" s="3" t="n">
        <x:v>22</x:v>
      </x:c>
      <x:c r="D1737" s="3" t="n">
        <x:v>3</x:v>
      </x:c>
      <x:c r="E1737" s="3" t="n">
        <x:v>4</x:v>
      </x:c>
      <x:c r="F1737" s="3" t="n">
        <x:v>2</x:v>
      </x:c>
    </x:row>
    <x:row r="1738" ht="21" customHeight="1">
      <x:c r="A1738" s="3" t="n">
        <x:v>52</x:v>
      </x:c>
      <x:c r="B1738" s="3" t="n">
        <x:v>18</x:v>
      </x:c>
      <x:c r="C1738" s="3" t="n">
        <x:v>23</x:v>
      </x:c>
      <x:c r="D1738" s="3" t="n">
        <x:v>4</x:v>
      </x:c>
      <x:c r="E1738" s="3" t="n">
        <x:v>4</x:v>
      </x:c>
      <x:c r="F1738" s="3" t="n">
        <x:v>1</x:v>
      </x:c>
    </x:row>
    <x:row r="1739" ht="21" customHeight="1">
      <x:c r="A1739" s="3" t="n">
        <x:v>52</x:v>
      </x:c>
      <x:c r="B1739" s="3" t="n">
        <x:v>19</x:v>
      </x:c>
      <x:c r="C1739" s="3" t="n">
        <x:v>24</x:v>
      </x:c>
      <x:c r="D1739" s="3" t="n">
        <x:v>4</x:v>
      </x:c>
      <x:c r="E1739" s="3" t="n">
        <x:v>4</x:v>
      </x:c>
      <x:c r="F1739" s="3" t="n">
        <x:v>1</x:v>
      </x:c>
    </x:row>
    <x:row r="1740" ht="21" customHeight="1">
      <x:c r="A1740" s="3" t="n">
        <x:v>52</x:v>
      </x:c>
      <x:c r="B1740" s="3" t="n">
        <x:v>20</x:v>
      </x:c>
      <x:c r="C1740" s="3" t="n">
        <x:v>25</x:v>
      </x:c>
      <x:c r="D1740" s="3" t="n">
        <x:v>4</x:v>
      </x:c>
      <x:c r="E1740" s="3" t="n">
        <x:v>5</x:v>
      </x:c>
      <x:c r="F1740" s="3" t="n">
        <x:v>2</x:v>
      </x:c>
    </x:row>
    <x:row r="1741" ht="21" customHeight="1">
      <x:c r="A1741" s="3" t="n">
        <x:v>52</x:v>
      </x:c>
      <x:c r="B1741" s="3" t="n">
        <x:v>21</x:v>
      </x:c>
      <x:c r="C1741" s="3" t="n">
        <x:v>26</x:v>
      </x:c>
      <x:c r="D1741" s="3" t="n">
        <x:v>4</x:v>
      </x:c>
      <x:c r="E1741" s="3" t="n">
        <x:v>5</x:v>
      </x:c>
      <x:c r="F1741" s="3" t="n">
        <x:v>2</x:v>
      </x:c>
    </x:row>
    <x:row r="1742" ht="21" customHeight="1">
      <x:c r="A1742" s="3" t="n">
        <x:v>52</x:v>
      </x:c>
      <x:c r="B1742" s="3" t="n">
        <x:v>22</x:v>
      </x:c>
      <x:c r="C1742" s="3" t="n">
        <x:v>27</x:v>
      </x:c>
      <x:c r="D1742" s="3" t="n">
        <x:v>4</x:v>
      </x:c>
      <x:c r="E1742" s="3" t="n">
        <x:v>5</x:v>
      </x:c>
      <x:c r="F1742" s="3" t="n">
        <x:v>2</x:v>
      </x:c>
    </x:row>
    <x:row r="1743" ht="21" customHeight="1">
      <x:c r="A1743" s="3" t="n">
        <x:v>52</x:v>
      </x:c>
      <x:c r="B1743" s="3" t="n">
        <x:v>23</x:v>
      </x:c>
      <x:c r="C1743" s="3" t="n">
        <x:v>28</x:v>
      </x:c>
      <x:c r="D1743" s="3" t="n">
        <x:v>4</x:v>
      </x:c>
      <x:c r="E1743" s="3" t="n">
        <x:v>5</x:v>
      </x:c>
      <x:c r="F1743" s="3" t="n">
        <x:v>2</x:v>
      </x:c>
    </x:row>
    <x:row r="1744" ht="21" customHeight="1">
      <x:c r="A1744" s="3" t="n">
        <x:v>52</x:v>
      </x:c>
      <x:c r="B1744" s="3" t="n">
        <x:v>24</x:v>
      </x:c>
      <x:c r="C1744" s="3" t="n">
        <x:v>29</x:v>
      </x:c>
      <x:c r="D1744" s="3" t="n">
        <x:v>5</x:v>
      </x:c>
      <x:c r="E1744" s="3" t="n">
        <x:v>5</x:v>
      </x:c>
      <x:c r="F1744" s="3" t="n">
        <x:v>1</x:v>
      </x:c>
    </x:row>
    <x:row r="1745" ht="21" customHeight="1">
      <x:c r="A1745" s="3" t="n">
        <x:v>52</x:v>
      </x:c>
      <x:c r="B1745" s="3" t="n">
        <x:v>25</x:v>
      </x:c>
      <x:c r="C1745" s="3" t="n">
        <x:v>30</x:v>
      </x:c>
      <x:c r="D1745" s="3" t="n">
        <x:v>5</x:v>
      </x:c>
      <x:c r="E1745" s="3" t="n">
        <x:v>5</x:v>
      </x:c>
      <x:c r="F1745" s="3" t="n">
        <x:v>1</x:v>
      </x:c>
    </x:row>
    <x:row r="1746" ht="21" customHeight="1">
      <x:c r="A1746" s="3" t="n">
        <x:v>52</x:v>
      </x:c>
      <x:c r="B1746" s="3" t="n">
        <x:v>26</x:v>
      </x:c>
      <x:c r="C1746" s="3" t="n">
        <x:v>31</x:v>
      </x:c>
      <x:c r="D1746" s="3" t="n">
        <x:v>5</x:v>
      </x:c>
      <x:c r="E1746" s="3" t="n">
        <x:v>6</x:v>
      </x:c>
      <x:c r="F1746" s="3" t="n">
        <x:v>2</x:v>
      </x:c>
    </x:row>
    <x:row r="1747" ht="21" customHeight="1">
      <x:c r="A1747" s="3" t="n">
        <x:v>52</x:v>
      </x:c>
      <x:c r="B1747" s="3" t="n">
        <x:v>27</x:v>
      </x:c>
      <x:c r="C1747" s="3" t="n">
        <x:v>32</x:v>
      </x:c>
      <x:c r="D1747" s="3" t="n">
        <x:v>5</x:v>
      </x:c>
      <x:c r="E1747" s="3" t="n">
        <x:v>6</x:v>
      </x:c>
      <x:c r="F1747" s="3" t="n">
        <x:v>2</x:v>
      </x:c>
    </x:row>
    <x:row r="1748" ht="21" customHeight="1">
      <x:c r="A1748" s="3" t="n">
        <x:v>52</x:v>
      </x:c>
      <x:c r="B1748" s="3" t="n">
        <x:v>28</x:v>
      </x:c>
      <x:c r="C1748" s="3" t="n">
        <x:v>33</x:v>
      </x:c>
      <x:c r="D1748" s="3" t="n">
        <x:v>5</x:v>
      </x:c>
      <x:c r="E1748" s="3" t="n">
        <x:v>6</x:v>
      </x:c>
      <x:c r="F1748" s="3" t="n">
        <x:v>2</x:v>
      </x:c>
    </x:row>
    <x:row r="1749" ht="21" customHeight="1">
      <x:c r="A1749" s="3" t="n">
        <x:v>52</x:v>
      </x:c>
      <x:c r="B1749" s="3" t="n">
        <x:v>29</x:v>
      </x:c>
      <x:c r="C1749" s="3" t="n">
        <x:v>34</x:v>
      </x:c>
      <x:c r="D1749" s="3" t="n">
        <x:v>5</x:v>
      </x:c>
      <x:c r="E1749" s="3" t="n">
        <x:v>6</x:v>
      </x:c>
      <x:c r="F1749" s="3" t="n">
        <x:v>2</x:v>
      </x:c>
    </x:row>
    <x:row r="1750" ht="21" customHeight="1">
      <x:c r="A1750" s="3" t="n">
        <x:v>52</x:v>
      </x:c>
      <x:c r="B1750" s="3" t="n">
        <x:v>30</x:v>
      </x:c>
      <x:c r="C1750" s="3" t="n">
        <x:v>35</x:v>
      </x:c>
      <x:c r="D1750" s="3" t="n">
        <x:v>6</x:v>
      </x:c>
      <x:c r="E1750" s="3" t="n">
        <x:v>6</x:v>
      </x:c>
      <x:c r="F1750" s="3" t="n">
        <x:v>1</x:v>
      </x:c>
    </x:row>
    <x:row r="1751" ht="21" customHeight="1">
      <x:c r="A1751" s="3" t="n">
        <x:v>52</x:v>
      </x:c>
      <x:c r="B1751" s="3" t="n">
        <x:v>31</x:v>
      </x:c>
      <x:c r="C1751" s="3" t="n">
        <x:v>36</x:v>
      </x:c>
      <x:c r="D1751" s="3" t="n">
        <x:v>6</x:v>
      </x:c>
      <x:c r="E1751" s="3" t="n">
        <x:v>6</x:v>
      </x:c>
      <x:c r="F1751" s="3" t="n">
        <x:v>1</x:v>
      </x:c>
    </x:row>
    <x:row r="1752" ht="21" customHeight="1">
      <x:c r="A1752" s="3" t="n">
        <x:v>53</x:v>
      </x:c>
      <x:c r="B1752" s="3" t="n">
        <x:v>0</x:v>
      </x:c>
      <x:c r="C1752" s="3" t="n">
        <x:v>3</x:v>
      </x:c>
      <x:c r="D1752" s="3" t="n">
        <x:v>1</x:v>
      </x:c>
      <x:c r="E1752" s="3" t="n">
        <x:v>1</x:v>
      </x:c>
      <x:c r="F1752" s="3" t="n">
        <x:v>1</x:v>
      </x:c>
    </x:row>
    <x:row r="1753" ht="21" customHeight="1">
      <x:c r="A1753" s="3" t="n">
        <x:v>53</x:v>
      </x:c>
      <x:c r="B1753" s="3" t="n">
        <x:v>1</x:v>
      </x:c>
      <x:c r="C1753" s="3" t="n">
        <x:v>4</x:v>
      </x:c>
      <x:c r="D1753" s="3" t="n">
        <x:v>1</x:v>
      </x:c>
      <x:c r="E1753" s="3" t="n">
        <x:v>1</x:v>
      </x:c>
      <x:c r="F1753" s="3" t="n">
        <x:v>1</x:v>
      </x:c>
    </x:row>
    <x:row r="1754" ht="21" customHeight="1">
      <x:c r="A1754" s="3" t="n">
        <x:v>53</x:v>
      </x:c>
      <x:c r="B1754" s="3" t="n">
        <x:v>2</x:v>
      </x:c>
      <x:c r="C1754" s="3" t="n">
        <x:v>5</x:v>
      </x:c>
      <x:c r="D1754" s="3" t="n">
        <x:v>1</x:v>
      </x:c>
      <x:c r="E1754" s="3" t="n">
        <x:v>1</x:v>
      </x:c>
      <x:c r="F1754" s="3" t="n">
        <x:v>1</x:v>
      </x:c>
    </x:row>
    <x:row r="1755" ht="21" customHeight="1">
      <x:c r="A1755" s="3" t="n">
        <x:v>53</x:v>
      </x:c>
      <x:c r="B1755" s="3" t="n">
        <x:v>3</x:v>
      </x:c>
      <x:c r="C1755" s="3" t="n">
        <x:v>6</x:v>
      </x:c>
      <x:c r="D1755" s="3" t="n">
        <x:v>1</x:v>
      </x:c>
      <x:c r="E1755" s="3" t="n">
        <x:v>1</x:v>
      </x:c>
      <x:c r="F1755" s="3" t="n">
        <x:v>1</x:v>
      </x:c>
    </x:row>
    <x:row r="1756" ht="21" customHeight="1">
      <x:c r="A1756" s="3" t="n">
        <x:v>53</x:v>
      </x:c>
      <x:c r="B1756" s="3" t="n">
        <x:v>4</x:v>
      </x:c>
      <x:c r="C1756" s="3" t="n">
        <x:v>7</x:v>
      </x:c>
      <x:c r="D1756" s="3" t="n">
        <x:v>1</x:v>
      </x:c>
      <x:c r="E1756" s="3" t="n">
        <x:v>2</x:v>
      </x:c>
      <x:c r="F1756" s="3" t="n">
        <x:v>2</x:v>
      </x:c>
    </x:row>
    <x:row r="1757" ht="21" customHeight="1">
      <x:c r="A1757" s="3" t="n">
        <x:v>53</x:v>
      </x:c>
      <x:c r="B1757" s="3" t="n">
        <x:v>5</x:v>
      </x:c>
      <x:c r="C1757" s="3" t="n">
        <x:v>8</x:v>
      </x:c>
      <x:c r="D1757" s="3" t="n">
        <x:v>1</x:v>
      </x:c>
      <x:c r="E1757" s="3" t="n">
        <x:v>2</x:v>
      </x:c>
      <x:c r="F1757" s="3" t="n">
        <x:v>2</x:v>
      </x:c>
    </x:row>
    <x:row r="1758" ht="21" customHeight="1">
      <x:c r="A1758" s="3" t="n">
        <x:v>53</x:v>
      </x:c>
      <x:c r="B1758" s="3" t="n">
        <x:v>6</x:v>
      </x:c>
      <x:c r="C1758" s="3" t="n">
        <x:v>9</x:v>
      </x:c>
      <x:c r="D1758" s="3" t="n">
        <x:v>2</x:v>
      </x:c>
      <x:c r="E1758" s="3" t="n">
        <x:v>2</x:v>
      </x:c>
      <x:c r="F1758" s="3" t="n">
        <x:v>1</x:v>
      </x:c>
    </x:row>
    <x:row r="1759" ht="21" customHeight="1">
      <x:c r="A1759" s="3" t="n">
        <x:v>53</x:v>
      </x:c>
      <x:c r="B1759" s="3" t="n">
        <x:v>7</x:v>
      </x:c>
      <x:c r="C1759" s="3" t="n">
        <x:v>10</x:v>
      </x:c>
      <x:c r="D1759" s="3" t="n">
        <x:v>2</x:v>
      </x:c>
      <x:c r="E1759" s="3" t="n">
        <x:v>2</x:v>
      </x:c>
      <x:c r="F1759" s="3" t="n">
        <x:v>1</x:v>
      </x:c>
    </x:row>
    <x:row r="1760" ht="21" customHeight="1">
      <x:c r="A1760" s="3" t="n">
        <x:v>53</x:v>
      </x:c>
      <x:c r="B1760" s="3" t="n">
        <x:v>8</x:v>
      </x:c>
      <x:c r="C1760" s="3" t="n">
        <x:v>11</x:v>
      </x:c>
      <x:c r="D1760" s="3" t="n">
        <x:v>2</x:v>
      </x:c>
      <x:c r="E1760" s="3" t="n">
        <x:v>2</x:v>
      </x:c>
      <x:c r="F1760" s="3" t="n">
        <x:v>1</x:v>
      </x:c>
    </x:row>
    <x:row r="1761" ht="21" customHeight="1">
      <x:c r="A1761" s="3" t="n">
        <x:v>53</x:v>
      </x:c>
      <x:c r="B1761" s="3" t="n">
        <x:v>9</x:v>
      </x:c>
      <x:c r="C1761" s="3" t="n">
        <x:v>12</x:v>
      </x:c>
      <x:c r="D1761" s="3" t="n">
        <x:v>2</x:v>
      </x:c>
      <x:c r="E1761" s="3" t="n">
        <x:v>2</x:v>
      </x:c>
      <x:c r="F1761" s="3" t="n">
        <x:v>1</x:v>
      </x:c>
    </x:row>
    <x:row r="1762" ht="21" customHeight="1">
      <x:c r="A1762" s="3" t="n">
        <x:v>53</x:v>
      </x:c>
      <x:c r="B1762" s="3" t="n">
        <x:v>10</x:v>
      </x:c>
      <x:c r="C1762" s="3" t="n">
        <x:v>13</x:v>
      </x:c>
      <x:c r="D1762" s="3" t="n">
        <x:v>2</x:v>
      </x:c>
      <x:c r="E1762" s="3" t="n">
        <x:v>3</x:v>
      </x:c>
      <x:c r="F1762" s="3" t="n">
        <x:v>2</x:v>
      </x:c>
    </x:row>
    <x:row r="1763" ht="21" customHeight="1">
      <x:c r="A1763" s="3" t="n">
        <x:v>53</x:v>
      </x:c>
      <x:c r="B1763" s="3" t="n">
        <x:v>11</x:v>
      </x:c>
      <x:c r="C1763" s="3" t="n">
        <x:v>14</x:v>
      </x:c>
      <x:c r="D1763" s="3" t="n">
        <x:v>2</x:v>
      </x:c>
      <x:c r="E1763" s="3" t="n">
        <x:v>3</x:v>
      </x:c>
      <x:c r="F1763" s="3" t="n">
        <x:v>2</x:v>
      </x:c>
    </x:row>
    <x:row r="1764" ht="21" customHeight="1">
      <x:c r="A1764" s="3" t="n">
        <x:v>53</x:v>
      </x:c>
      <x:c r="B1764" s="3" t="n">
        <x:v>12</x:v>
      </x:c>
      <x:c r="C1764" s="3" t="n">
        <x:v>15</x:v>
      </x:c>
      <x:c r="D1764" s="3" t="n">
        <x:v>3</x:v>
      </x:c>
      <x:c r="E1764" s="3" t="n">
        <x:v>3</x:v>
      </x:c>
      <x:c r="F1764" s="3" t="n">
        <x:v>1</x:v>
      </x:c>
    </x:row>
    <x:row r="1765" ht="21" customHeight="1">
      <x:c r="A1765" s="3" t="n">
        <x:v>53</x:v>
      </x:c>
      <x:c r="B1765" s="3" t="n">
        <x:v>13</x:v>
      </x:c>
      <x:c r="C1765" s="3" t="n">
        <x:v>16</x:v>
      </x:c>
      <x:c r="D1765" s="3" t="n">
        <x:v>3</x:v>
      </x:c>
      <x:c r="E1765" s="3" t="n">
        <x:v>3</x:v>
      </x:c>
      <x:c r="F1765" s="3" t="n">
        <x:v>1</x:v>
      </x:c>
    </x:row>
    <x:row r="1766" ht="21" customHeight="1">
      <x:c r="A1766" s="3" t="n">
        <x:v>53</x:v>
      </x:c>
      <x:c r="B1766" s="3" t="n">
        <x:v>14</x:v>
      </x:c>
      <x:c r="C1766" s="3" t="n">
        <x:v>17</x:v>
      </x:c>
      <x:c r="D1766" s="3" t="n">
        <x:v>3</x:v>
      </x:c>
      <x:c r="E1766" s="3" t="n">
        <x:v>3</x:v>
      </x:c>
      <x:c r="F1766" s="3" t="n">
        <x:v>1</x:v>
      </x:c>
    </x:row>
    <x:row r="1767" ht="21" customHeight="1">
      <x:c r="A1767" s="3" t="n">
        <x:v>53</x:v>
      </x:c>
      <x:c r="B1767" s="3" t="n">
        <x:v>15</x:v>
      </x:c>
      <x:c r="C1767" s="3" t="n">
        <x:v>18</x:v>
      </x:c>
      <x:c r="D1767" s="3" t="n">
        <x:v>3</x:v>
      </x:c>
      <x:c r="E1767" s="3" t="n">
        <x:v>3</x:v>
      </x:c>
      <x:c r="F1767" s="3" t="n">
        <x:v>1</x:v>
      </x:c>
    </x:row>
    <x:row r="1768" ht="21" customHeight="1">
      <x:c r="A1768" s="3" t="n">
        <x:v>53</x:v>
      </x:c>
      <x:c r="B1768" s="3" t="n">
        <x:v>16</x:v>
      </x:c>
      <x:c r="C1768" s="3" t="n">
        <x:v>19</x:v>
      </x:c>
      <x:c r="D1768" s="3" t="n">
        <x:v>3</x:v>
      </x:c>
      <x:c r="E1768" s="3" t="n">
        <x:v>4</x:v>
      </x:c>
      <x:c r="F1768" s="3" t="n">
        <x:v>2</x:v>
      </x:c>
    </x:row>
    <x:row r="1769" ht="21" customHeight="1">
      <x:c r="A1769" s="3" t="n">
        <x:v>53</x:v>
      </x:c>
      <x:c r="B1769" s="3" t="n">
        <x:v>17</x:v>
      </x:c>
      <x:c r="C1769" s="3" t="n">
        <x:v>20</x:v>
      </x:c>
      <x:c r="D1769" s="3" t="n">
        <x:v>3</x:v>
      </x:c>
      <x:c r="E1769" s="3" t="n">
        <x:v>4</x:v>
      </x:c>
      <x:c r="F1769" s="3" t="n">
        <x:v>2</x:v>
      </x:c>
    </x:row>
    <x:row r="1770" ht="21" customHeight="1">
      <x:c r="A1770" s="3" t="n">
        <x:v>53</x:v>
      </x:c>
      <x:c r="B1770" s="3" t="n">
        <x:v>18</x:v>
      </x:c>
      <x:c r="C1770" s="3" t="n">
        <x:v>21</x:v>
      </x:c>
      <x:c r="D1770" s="3" t="n">
        <x:v>4</x:v>
      </x:c>
      <x:c r="E1770" s="3" t="n">
        <x:v>4</x:v>
      </x:c>
      <x:c r="F1770" s="3" t="n">
        <x:v>1</x:v>
      </x:c>
    </x:row>
    <x:row r="1771" ht="21" customHeight="1">
      <x:c r="A1771" s="3" t="n">
        <x:v>53</x:v>
      </x:c>
      <x:c r="B1771" s="3" t="n">
        <x:v>19</x:v>
      </x:c>
      <x:c r="C1771" s="3" t="n">
        <x:v>22</x:v>
      </x:c>
      <x:c r="D1771" s="3" t="n">
        <x:v>4</x:v>
      </x:c>
      <x:c r="E1771" s="3" t="n">
        <x:v>4</x:v>
      </x:c>
      <x:c r="F1771" s="3" t="n">
        <x:v>1</x:v>
      </x:c>
    </x:row>
    <x:row r="1772" ht="21" customHeight="1">
      <x:c r="A1772" s="3" t="n">
        <x:v>53</x:v>
      </x:c>
      <x:c r="B1772" s="3" t="n">
        <x:v>20</x:v>
      </x:c>
      <x:c r="C1772" s="3" t="n">
        <x:v>23</x:v>
      </x:c>
      <x:c r="D1772" s="3" t="n">
        <x:v>4</x:v>
      </x:c>
      <x:c r="E1772" s="3" t="n">
        <x:v>4</x:v>
      </x:c>
      <x:c r="F1772" s="3" t="n">
        <x:v>1</x:v>
      </x:c>
    </x:row>
    <x:row r="1773" ht="21" customHeight="1">
      <x:c r="A1773" s="3" t="n">
        <x:v>53</x:v>
      </x:c>
      <x:c r="B1773" s="3" t="n">
        <x:v>21</x:v>
      </x:c>
      <x:c r="C1773" s="3" t="n">
        <x:v>24</x:v>
      </x:c>
      <x:c r="D1773" s="3" t="n">
        <x:v>4</x:v>
      </x:c>
      <x:c r="E1773" s="3" t="n">
        <x:v>4</x:v>
      </x:c>
      <x:c r="F1773" s="3" t="n">
        <x:v>1</x:v>
      </x:c>
    </x:row>
    <x:row r="1774" ht="21" customHeight="1">
      <x:c r="A1774" s="3" t="n">
        <x:v>53</x:v>
      </x:c>
      <x:c r="B1774" s="3" t="n">
        <x:v>22</x:v>
      </x:c>
      <x:c r="C1774" s="3" t="n">
        <x:v>25</x:v>
      </x:c>
      <x:c r="D1774" s="3" t="n">
        <x:v>4</x:v>
      </x:c>
      <x:c r="E1774" s="3" t="n">
        <x:v>5</x:v>
      </x:c>
      <x:c r="F1774" s="3" t="n">
        <x:v>2</x:v>
      </x:c>
    </x:row>
    <x:row r="1775" ht="21" customHeight="1">
      <x:c r="A1775" s="3" t="n">
        <x:v>53</x:v>
      </x:c>
      <x:c r="B1775" s="3" t="n">
        <x:v>23</x:v>
      </x:c>
      <x:c r="C1775" s="3" t="n">
        <x:v>26</x:v>
      </x:c>
      <x:c r="D1775" s="3" t="n">
        <x:v>4</x:v>
      </x:c>
      <x:c r="E1775" s="3" t="n">
        <x:v>5</x:v>
      </x:c>
      <x:c r="F1775" s="3" t="n">
        <x:v>2</x:v>
      </x:c>
    </x:row>
    <x:row r="1776" ht="21" customHeight="1">
      <x:c r="A1776" s="3" t="n">
        <x:v>53</x:v>
      </x:c>
      <x:c r="B1776" s="3" t="n">
        <x:v>24</x:v>
      </x:c>
      <x:c r="C1776" s="3" t="n">
        <x:v>27</x:v>
      </x:c>
      <x:c r="D1776" s="3" t="n">
        <x:v>5</x:v>
      </x:c>
      <x:c r="E1776" s="3" t="n">
        <x:v>5</x:v>
      </x:c>
      <x:c r="F1776" s="3" t="n">
        <x:v>1</x:v>
      </x:c>
    </x:row>
    <x:row r="1777" ht="21" customHeight="1">
      <x:c r="A1777" s="3" t="n">
        <x:v>53</x:v>
      </x:c>
      <x:c r="B1777" s="3" t="n">
        <x:v>25</x:v>
      </x:c>
      <x:c r="C1777" s="3" t="n">
        <x:v>28</x:v>
      </x:c>
      <x:c r="D1777" s="3" t="n">
        <x:v>5</x:v>
      </x:c>
      <x:c r="E1777" s="3" t="n">
        <x:v>5</x:v>
      </x:c>
      <x:c r="F1777" s="3" t="n">
        <x:v>1</x:v>
      </x:c>
    </x:row>
    <x:row r="1778" ht="21" customHeight="1">
      <x:c r="A1778" s="3" t="n">
        <x:v>53</x:v>
      </x:c>
      <x:c r="B1778" s="3" t="n">
        <x:v>26</x:v>
      </x:c>
      <x:c r="C1778" s="3" t="n">
        <x:v>29</x:v>
      </x:c>
      <x:c r="D1778" s="3" t="n">
        <x:v>5</x:v>
      </x:c>
      <x:c r="E1778" s="3" t="n">
        <x:v>5</x:v>
      </x:c>
      <x:c r="F1778" s="3" t="n">
        <x:v>1</x:v>
      </x:c>
    </x:row>
    <x:row r="1779" ht="21" customHeight="1">
      <x:c r="A1779" s="3" t="n">
        <x:v>53</x:v>
      </x:c>
      <x:c r="B1779" s="3" t="n">
        <x:v>27</x:v>
      </x:c>
      <x:c r="C1779" s="3" t="n">
        <x:v>30</x:v>
      </x:c>
      <x:c r="D1779" s="3" t="n">
        <x:v>5</x:v>
      </x:c>
      <x:c r="E1779" s="3" t="n">
        <x:v>5</x:v>
      </x:c>
      <x:c r="F1779" s="3" t="n">
        <x:v>1</x:v>
      </x:c>
    </x:row>
    <x:row r="1780" ht="21" customHeight="1">
      <x:c r="A1780" s="3" t="n">
        <x:v>53</x:v>
      </x:c>
      <x:c r="B1780" s="3" t="n">
        <x:v>28</x:v>
      </x:c>
      <x:c r="C1780" s="3" t="n">
        <x:v>31</x:v>
      </x:c>
      <x:c r="D1780" s="3" t="n">
        <x:v>5</x:v>
      </x:c>
      <x:c r="E1780" s="3" t="n">
        <x:v>6</x:v>
      </x:c>
      <x:c r="F1780" s="3" t="n">
        <x:v>2</x:v>
      </x:c>
    </x:row>
    <x:row r="1781" ht="21" customHeight="1">
      <x:c r="A1781" s="3" t="n">
        <x:v>53</x:v>
      </x:c>
      <x:c r="B1781" s="3" t="n">
        <x:v>29</x:v>
      </x:c>
      <x:c r="C1781" s="3" t="n">
        <x:v>32</x:v>
      </x:c>
      <x:c r="D1781" s="3" t="n">
        <x:v>5</x:v>
      </x:c>
      <x:c r="E1781" s="3" t="n">
        <x:v>6</x:v>
      </x:c>
      <x:c r="F1781" s="3" t="n">
        <x:v>2</x:v>
      </x:c>
    </x:row>
    <x:row r="1782" ht="21" customHeight="1">
      <x:c r="A1782" s="3" t="n">
        <x:v>53</x:v>
      </x:c>
      <x:c r="B1782" s="3" t="n">
        <x:v>30</x:v>
      </x:c>
      <x:c r="C1782" s="3" t="n">
        <x:v>33</x:v>
      </x:c>
      <x:c r="D1782" s="3" t="n">
        <x:v>6</x:v>
      </x:c>
      <x:c r="E1782" s="3" t="n">
        <x:v>6</x:v>
      </x:c>
      <x:c r="F1782" s="3" t="n">
        <x:v>1</x:v>
      </x:c>
    </x:row>
    <x:row r="1783" ht="21" customHeight="1">
      <x:c r="A1783" s="3" t="n">
        <x:v>53</x:v>
      </x:c>
      <x:c r="B1783" s="3" t="n">
        <x:v>31</x:v>
      </x:c>
      <x:c r="C1783" s="3" t="n">
        <x:v>34</x:v>
      </x:c>
      <x:c r="D1783" s="3" t="n">
        <x:v>6</x:v>
      </x:c>
      <x:c r="E1783" s="3" t="n">
        <x:v>6</x:v>
      </x:c>
      <x:c r="F1783" s="3" t="n">
        <x:v>1</x:v>
      </x:c>
    </x:row>
    <x:row r="1784" ht="21" customHeight="1">
      <x:c r="A1784" s="3" t="n">
        <x:v>53</x:v>
      </x:c>
      <x:c r="B1784" s="3" t="n">
        <x:v>32</x:v>
      </x:c>
      <x:c r="C1784" s="3" t="n">
        <x:v>35</x:v>
      </x:c>
      <x:c r="D1784" s="3" t="n">
        <x:v>6</x:v>
      </x:c>
      <x:c r="E1784" s="3" t="n">
        <x:v>6</x:v>
      </x:c>
      <x:c r="F1784" s="3" t="n">
        <x:v>1</x:v>
      </x:c>
    </x:row>
    <x:row r="1785" ht="21" customHeight="1">
      <x:c r="A1785" s="3" t="n">
        <x:v>53</x:v>
      </x:c>
      <x:c r="B1785" s="3" t="n">
        <x:v>33</x:v>
      </x:c>
      <x:c r="C1785" s="3" t="n">
        <x:v>36</x:v>
      </x:c>
      <x:c r="D1785" s="3" t="n">
        <x:v>6</x:v>
      </x:c>
      <x:c r="E1785" s="3" t="n">
        <x:v>6</x:v>
      </x:c>
      <x:c r="F1785" s="3" t="n">
        <x:v>1</x:v>
      </x:c>
    </x:row>
    <x:row r="1786" ht="21" customHeight="1">
      <x:c r="A1786" s="3" t="n">
        <x:v>54</x:v>
      </x:c>
      <x:c r="B1786" s="3" t="n">
        <x:v>0</x:v>
      </x:c>
      <x:c r="C1786" s="3" t="n">
        <x:v>2</x:v>
      </x:c>
      <x:c r="D1786" s="3" t="n">
        <x:v>1</x:v>
      </x:c>
      <x:c r="E1786" s="3" t="n">
        <x:v>1</x:v>
      </x:c>
      <x:c r="F1786" s="3" t="n">
        <x:v>1</x:v>
      </x:c>
    </x:row>
    <x:row r="1787" ht="21" customHeight="1">
      <x:c r="A1787" s="3" t="n">
        <x:v>54</x:v>
      </x:c>
      <x:c r="B1787" s="3" t="n">
        <x:v>1</x:v>
      </x:c>
      <x:c r="C1787" s="3" t="n">
        <x:v>3</x:v>
      </x:c>
      <x:c r="D1787" s="3" t="n">
        <x:v>1</x:v>
      </x:c>
      <x:c r="E1787" s="3" t="n">
        <x:v>1</x:v>
      </x:c>
      <x:c r="F1787" s="3" t="n">
        <x:v>1</x:v>
      </x:c>
    </x:row>
    <x:row r="1788" ht="21" customHeight="1">
      <x:c r="A1788" s="3" t="n">
        <x:v>54</x:v>
      </x:c>
      <x:c r="B1788" s="3" t="n">
        <x:v>2</x:v>
      </x:c>
      <x:c r="C1788" s="3" t="n">
        <x:v>4</x:v>
      </x:c>
      <x:c r="D1788" s="3" t="n">
        <x:v>1</x:v>
      </x:c>
      <x:c r="E1788" s="3" t="n">
        <x:v>1</x:v>
      </x:c>
      <x:c r="F1788" s="3" t="n">
        <x:v>1</x:v>
      </x:c>
    </x:row>
    <x:row r="1789" ht="21" customHeight="1">
      <x:c r="A1789" s="3" t="n">
        <x:v>54</x:v>
      </x:c>
      <x:c r="B1789" s="3" t="n">
        <x:v>3</x:v>
      </x:c>
      <x:c r="C1789" s="3" t="n">
        <x:v>5</x:v>
      </x:c>
      <x:c r="D1789" s="3" t="n">
        <x:v>1</x:v>
      </x:c>
      <x:c r="E1789" s="3" t="n">
        <x:v>1</x:v>
      </x:c>
      <x:c r="F1789" s="3" t="n">
        <x:v>1</x:v>
      </x:c>
    </x:row>
    <x:row r="1790" ht="21" customHeight="1">
      <x:c r="A1790" s="3" t="n">
        <x:v>54</x:v>
      </x:c>
      <x:c r="B1790" s="3" t="n">
        <x:v>4</x:v>
      </x:c>
      <x:c r="C1790" s="3" t="n">
        <x:v>6</x:v>
      </x:c>
      <x:c r="D1790" s="3" t="n">
        <x:v>1</x:v>
      </x:c>
      <x:c r="E1790" s="3" t="n">
        <x:v>1</x:v>
      </x:c>
      <x:c r="F1790" s="3" t="n">
        <x:v>1</x:v>
      </x:c>
    </x:row>
    <x:row r="1791" ht="21" customHeight="1">
      <x:c r="A1791" s="3" t="n">
        <x:v>54</x:v>
      </x:c>
      <x:c r="B1791" s="3" t="n">
        <x:v>5</x:v>
      </x:c>
      <x:c r="C1791" s="3" t="n">
        <x:v>7</x:v>
      </x:c>
      <x:c r="D1791" s="3" t="n">
        <x:v>1</x:v>
      </x:c>
      <x:c r="E1791" s="3" t="n">
        <x:v>2</x:v>
      </x:c>
      <x:c r="F1791" s="3" t="n">
        <x:v>2</x:v>
      </x:c>
    </x:row>
    <x:row r="1792" ht="21" customHeight="1">
      <x:c r="A1792" s="3" t="n">
        <x:v>54</x:v>
      </x:c>
      <x:c r="B1792" s="3" t="n">
        <x:v>6</x:v>
      </x:c>
      <x:c r="C1792" s="3" t="n">
        <x:v>8</x:v>
      </x:c>
      <x:c r="D1792" s="3" t="n">
        <x:v>2</x:v>
      </x:c>
      <x:c r="E1792" s="3" t="n">
        <x:v>2</x:v>
      </x:c>
      <x:c r="F1792" s="3" t="n">
        <x:v>1</x:v>
      </x:c>
    </x:row>
    <x:row r="1793" ht="21" customHeight="1">
      <x:c r="A1793" s="3" t="n">
        <x:v>54</x:v>
      </x:c>
      <x:c r="B1793" s="3" t="n">
        <x:v>7</x:v>
      </x:c>
      <x:c r="C1793" s="3" t="n">
        <x:v>9</x:v>
      </x:c>
      <x:c r="D1793" s="3" t="n">
        <x:v>2</x:v>
      </x:c>
      <x:c r="E1793" s="3" t="n">
        <x:v>2</x:v>
      </x:c>
      <x:c r="F1793" s="3" t="n">
        <x:v>1</x:v>
      </x:c>
    </x:row>
    <x:row r="1794" ht="21" customHeight="1">
      <x:c r="A1794" s="3" t="n">
        <x:v>54</x:v>
      </x:c>
      <x:c r="B1794" s="3" t="n">
        <x:v>8</x:v>
      </x:c>
      <x:c r="C1794" s="3" t="n">
        <x:v>10</x:v>
      </x:c>
      <x:c r="D1794" s="3" t="n">
        <x:v>2</x:v>
      </x:c>
      <x:c r="E1794" s="3" t="n">
        <x:v>2</x:v>
      </x:c>
      <x:c r="F1794" s="3" t="n">
        <x:v>1</x:v>
      </x:c>
    </x:row>
    <x:row r="1795" ht="21" customHeight="1">
      <x:c r="A1795" s="3" t="n">
        <x:v>54</x:v>
      </x:c>
      <x:c r="B1795" s="3" t="n">
        <x:v>9</x:v>
      </x:c>
      <x:c r="C1795" s="3" t="n">
        <x:v>11</x:v>
      </x:c>
      <x:c r="D1795" s="3" t="n">
        <x:v>2</x:v>
      </x:c>
      <x:c r="E1795" s="3" t="n">
        <x:v>2</x:v>
      </x:c>
      <x:c r="F1795" s="3" t="n">
        <x:v>1</x:v>
      </x:c>
    </x:row>
    <x:row r="1796" ht="21" customHeight="1">
      <x:c r="A1796" s="3" t="n">
        <x:v>54</x:v>
      </x:c>
      <x:c r="B1796" s="3" t="n">
        <x:v>10</x:v>
      </x:c>
      <x:c r="C1796" s="3" t="n">
        <x:v>12</x:v>
      </x:c>
      <x:c r="D1796" s="3" t="n">
        <x:v>2</x:v>
      </x:c>
      <x:c r="E1796" s="3" t="n">
        <x:v>2</x:v>
      </x:c>
      <x:c r="F1796" s="3" t="n">
        <x:v>1</x:v>
      </x:c>
    </x:row>
    <x:row r="1797" ht="21" customHeight="1">
      <x:c r="A1797" s="3" t="n">
        <x:v>54</x:v>
      </x:c>
      <x:c r="B1797" s="3" t="n">
        <x:v>11</x:v>
      </x:c>
      <x:c r="C1797" s="3" t="n">
        <x:v>13</x:v>
      </x:c>
      <x:c r="D1797" s="3" t="n">
        <x:v>2</x:v>
      </x:c>
      <x:c r="E1797" s="3" t="n">
        <x:v>3</x:v>
      </x:c>
      <x:c r="F1797" s="3" t="n">
        <x:v>2</x:v>
      </x:c>
    </x:row>
    <x:row r="1798" ht="21" customHeight="1">
      <x:c r="A1798" s="3" t="n">
        <x:v>54</x:v>
      </x:c>
      <x:c r="B1798" s="3" t="n">
        <x:v>12</x:v>
      </x:c>
      <x:c r="C1798" s="3" t="n">
        <x:v>14</x:v>
      </x:c>
      <x:c r="D1798" s="3" t="n">
        <x:v>3</x:v>
      </x:c>
      <x:c r="E1798" s="3" t="n">
        <x:v>3</x:v>
      </x:c>
      <x:c r="F1798" s="3" t="n">
        <x:v>1</x:v>
      </x:c>
    </x:row>
    <x:row r="1799" ht="21" customHeight="1">
      <x:c r="A1799" s="3" t="n">
        <x:v>54</x:v>
      </x:c>
      <x:c r="B1799" s="3" t="n">
        <x:v>13</x:v>
      </x:c>
      <x:c r="C1799" s="3" t="n">
        <x:v>15</x:v>
      </x:c>
      <x:c r="D1799" s="3" t="n">
        <x:v>3</x:v>
      </x:c>
      <x:c r="E1799" s="3" t="n">
        <x:v>3</x:v>
      </x:c>
      <x:c r="F1799" s="3" t="n">
        <x:v>1</x:v>
      </x:c>
    </x:row>
    <x:row r="1800" ht="21" customHeight="1">
      <x:c r="A1800" s="3" t="n">
        <x:v>54</x:v>
      </x:c>
      <x:c r="B1800" s="3" t="n">
        <x:v>14</x:v>
      </x:c>
      <x:c r="C1800" s="3" t="n">
        <x:v>16</x:v>
      </x:c>
      <x:c r="D1800" s="3" t="n">
        <x:v>3</x:v>
      </x:c>
      <x:c r="E1800" s="3" t="n">
        <x:v>3</x:v>
      </x:c>
      <x:c r="F1800" s="3" t="n">
        <x:v>1</x:v>
      </x:c>
    </x:row>
    <x:row r="1801" ht="21" customHeight="1">
      <x:c r="A1801" s="3" t="n">
        <x:v>54</x:v>
      </x:c>
      <x:c r="B1801" s="3" t="n">
        <x:v>15</x:v>
      </x:c>
      <x:c r="C1801" s="3" t="n">
        <x:v>17</x:v>
      </x:c>
      <x:c r="D1801" s="3" t="n">
        <x:v>3</x:v>
      </x:c>
      <x:c r="E1801" s="3" t="n">
        <x:v>3</x:v>
      </x:c>
      <x:c r="F1801" s="3" t="n">
        <x:v>1</x:v>
      </x:c>
    </x:row>
    <x:row r="1802" ht="21" customHeight="1">
      <x:c r="A1802" s="3" t="n">
        <x:v>54</x:v>
      </x:c>
      <x:c r="B1802" s="3" t="n">
        <x:v>16</x:v>
      </x:c>
      <x:c r="C1802" s="3" t="n">
        <x:v>18</x:v>
      </x:c>
      <x:c r="D1802" s="3" t="n">
        <x:v>3</x:v>
      </x:c>
      <x:c r="E1802" s="3" t="n">
        <x:v>3</x:v>
      </x:c>
      <x:c r="F1802" s="3" t="n">
        <x:v>1</x:v>
      </x:c>
    </x:row>
    <x:row r="1803" ht="21" customHeight="1">
      <x:c r="A1803" s="3" t="n">
        <x:v>54</x:v>
      </x:c>
      <x:c r="B1803" s="3" t="n">
        <x:v>17</x:v>
      </x:c>
      <x:c r="C1803" s="3" t="n">
        <x:v>19</x:v>
      </x:c>
      <x:c r="D1803" s="3" t="n">
        <x:v>3</x:v>
      </x:c>
      <x:c r="E1803" s="3" t="n">
        <x:v>4</x:v>
      </x:c>
      <x:c r="F1803" s="3" t="n">
        <x:v>2</x:v>
      </x:c>
    </x:row>
    <x:row r="1804" ht="21" customHeight="1">
      <x:c r="A1804" s="3" t="n">
        <x:v>54</x:v>
      </x:c>
      <x:c r="B1804" s="3" t="n">
        <x:v>18</x:v>
      </x:c>
      <x:c r="C1804" s="3" t="n">
        <x:v>20</x:v>
      </x:c>
      <x:c r="D1804" s="3" t="n">
        <x:v>4</x:v>
      </x:c>
      <x:c r="E1804" s="3" t="n">
        <x:v>4</x:v>
      </x:c>
      <x:c r="F1804" s="3" t="n">
        <x:v>1</x:v>
      </x:c>
    </x:row>
    <x:row r="1805" ht="21" customHeight="1">
      <x:c r="A1805" s="3" t="n">
        <x:v>54</x:v>
      </x:c>
      <x:c r="B1805" s="3" t="n">
        <x:v>19</x:v>
      </x:c>
      <x:c r="C1805" s="3" t="n">
        <x:v>21</x:v>
      </x:c>
      <x:c r="D1805" s="3" t="n">
        <x:v>4</x:v>
      </x:c>
      <x:c r="E1805" s="3" t="n">
        <x:v>4</x:v>
      </x:c>
      <x:c r="F1805" s="3" t="n">
        <x:v>1</x:v>
      </x:c>
    </x:row>
    <x:row r="1806" ht="21" customHeight="1">
      <x:c r="A1806" s="3" t="n">
        <x:v>54</x:v>
      </x:c>
      <x:c r="B1806" s="3" t="n">
        <x:v>20</x:v>
      </x:c>
      <x:c r="C1806" s="3" t="n">
        <x:v>22</x:v>
      </x:c>
      <x:c r="D1806" s="3" t="n">
        <x:v>4</x:v>
      </x:c>
      <x:c r="E1806" s="3" t="n">
        <x:v>4</x:v>
      </x:c>
      <x:c r="F1806" s="3" t="n">
        <x:v>1</x:v>
      </x:c>
    </x:row>
    <x:row r="1807" ht="21" customHeight="1">
      <x:c r="A1807" s="3" t="n">
        <x:v>54</x:v>
      </x:c>
      <x:c r="B1807" s="3" t="n">
        <x:v>21</x:v>
      </x:c>
      <x:c r="C1807" s="3" t="n">
        <x:v>23</x:v>
      </x:c>
      <x:c r="D1807" s="3" t="n">
        <x:v>4</x:v>
      </x:c>
      <x:c r="E1807" s="3" t="n">
        <x:v>4</x:v>
      </x:c>
      <x:c r="F1807" s="3" t="n">
        <x:v>1</x:v>
      </x:c>
    </x:row>
    <x:row r="1808" ht="21" customHeight="1">
      <x:c r="A1808" s="3" t="n">
        <x:v>54</x:v>
      </x:c>
      <x:c r="B1808" s="3" t="n">
        <x:v>22</x:v>
      </x:c>
      <x:c r="C1808" s="3" t="n">
        <x:v>24</x:v>
      </x:c>
      <x:c r="D1808" s="3" t="n">
        <x:v>4</x:v>
      </x:c>
      <x:c r="E1808" s="3" t="n">
        <x:v>4</x:v>
      </x:c>
      <x:c r="F1808" s="3" t="n">
        <x:v>1</x:v>
      </x:c>
    </x:row>
    <x:row r="1809" ht="21" customHeight="1">
      <x:c r="A1809" s="3" t="n">
        <x:v>54</x:v>
      </x:c>
      <x:c r="B1809" s="3" t="n">
        <x:v>23</x:v>
      </x:c>
      <x:c r="C1809" s="3" t="n">
        <x:v>25</x:v>
      </x:c>
      <x:c r="D1809" s="3" t="n">
        <x:v>4</x:v>
      </x:c>
      <x:c r="E1809" s="3" t="n">
        <x:v>5</x:v>
      </x:c>
      <x:c r="F1809" s="3" t="n">
        <x:v>2</x:v>
      </x:c>
    </x:row>
    <x:row r="1810" ht="21" customHeight="1">
      <x:c r="A1810" s="3" t="n">
        <x:v>54</x:v>
      </x:c>
      <x:c r="B1810" s="3" t="n">
        <x:v>24</x:v>
      </x:c>
      <x:c r="C1810" s="3" t="n">
        <x:v>26</x:v>
      </x:c>
      <x:c r="D1810" s="3" t="n">
        <x:v>5</x:v>
      </x:c>
      <x:c r="E1810" s="3" t="n">
        <x:v>5</x:v>
      </x:c>
      <x:c r="F1810" s="3" t="n">
        <x:v>1</x:v>
      </x:c>
    </x:row>
    <x:row r="1811" ht="21" customHeight="1">
      <x:c r="A1811" s="3" t="n">
        <x:v>54</x:v>
      </x:c>
      <x:c r="B1811" s="3" t="n">
        <x:v>25</x:v>
      </x:c>
      <x:c r="C1811" s="3" t="n">
        <x:v>27</x:v>
      </x:c>
      <x:c r="D1811" s="3" t="n">
        <x:v>5</x:v>
      </x:c>
      <x:c r="E1811" s="3" t="n">
        <x:v>5</x:v>
      </x:c>
      <x:c r="F1811" s="3" t="n">
        <x:v>1</x:v>
      </x:c>
    </x:row>
    <x:row r="1812" ht="21" customHeight="1">
      <x:c r="A1812" s="3" t="n">
        <x:v>54</x:v>
      </x:c>
      <x:c r="B1812" s="3" t="n">
        <x:v>26</x:v>
      </x:c>
      <x:c r="C1812" s="3" t="n">
        <x:v>28</x:v>
      </x:c>
      <x:c r="D1812" s="3" t="n">
        <x:v>5</x:v>
      </x:c>
      <x:c r="E1812" s="3" t="n">
        <x:v>5</x:v>
      </x:c>
      <x:c r="F1812" s="3" t="n">
        <x:v>1</x:v>
      </x:c>
    </x:row>
    <x:row r="1813" ht="21" customHeight="1">
      <x:c r="A1813" s="3" t="n">
        <x:v>54</x:v>
      </x:c>
      <x:c r="B1813" s="3" t="n">
        <x:v>27</x:v>
      </x:c>
      <x:c r="C1813" s="3" t="n">
        <x:v>29</x:v>
      </x:c>
      <x:c r="D1813" s="3" t="n">
        <x:v>5</x:v>
      </x:c>
      <x:c r="E1813" s="3" t="n">
        <x:v>5</x:v>
      </x:c>
      <x:c r="F1813" s="3" t="n">
        <x:v>1</x:v>
      </x:c>
    </x:row>
    <x:row r="1814" ht="21" customHeight="1">
      <x:c r="A1814" s="3" t="n">
        <x:v>54</x:v>
      </x:c>
      <x:c r="B1814" s="3" t="n">
        <x:v>28</x:v>
      </x:c>
      <x:c r="C1814" s="3" t="n">
        <x:v>30</x:v>
      </x:c>
      <x:c r="D1814" s="3" t="n">
        <x:v>5</x:v>
      </x:c>
      <x:c r="E1814" s="3" t="n">
        <x:v>5</x:v>
      </x:c>
      <x:c r="F1814" s="3" t="n">
        <x:v>1</x:v>
      </x:c>
    </x:row>
    <x:row r="1815" ht="21" customHeight="1">
      <x:c r="A1815" s="3" t="n">
        <x:v>54</x:v>
      </x:c>
      <x:c r="B1815" s="3" t="n">
        <x:v>29</x:v>
      </x:c>
      <x:c r="C1815" s="3" t="n">
        <x:v>31</x:v>
      </x:c>
      <x:c r="D1815" s="3" t="n">
        <x:v>5</x:v>
      </x:c>
      <x:c r="E1815" s="3" t="n">
        <x:v>6</x:v>
      </x:c>
      <x:c r="F1815" s="3" t="n">
        <x:v>2</x:v>
      </x:c>
    </x:row>
    <x:row r="1816" ht="21" customHeight="1">
      <x:c r="A1816" s="3" t="n">
        <x:v>54</x:v>
      </x:c>
      <x:c r="B1816" s="3" t="n">
        <x:v>30</x:v>
      </x:c>
      <x:c r="C1816" s="3" t="n">
        <x:v>32</x:v>
      </x:c>
      <x:c r="D1816" s="3" t="n">
        <x:v>6</x:v>
      </x:c>
      <x:c r="E1816" s="3" t="n">
        <x:v>6</x:v>
      </x:c>
      <x:c r="F1816" s="3" t="n">
        <x:v>1</x:v>
      </x:c>
    </x:row>
    <x:row r="1817" ht="21" customHeight="1">
      <x:c r="A1817" s="3" t="n">
        <x:v>54</x:v>
      </x:c>
      <x:c r="B1817" s="3" t="n">
        <x:v>31</x:v>
      </x:c>
      <x:c r="C1817" s="3" t="n">
        <x:v>33</x:v>
      </x:c>
      <x:c r="D1817" s="3" t="n">
        <x:v>6</x:v>
      </x:c>
      <x:c r="E1817" s="3" t="n">
        <x:v>6</x:v>
      </x:c>
      <x:c r="F1817" s="3" t="n">
        <x:v>1</x:v>
      </x:c>
    </x:row>
    <x:row r="1818" ht="21" customHeight="1">
      <x:c r="A1818" s="3" t="n">
        <x:v>54</x:v>
      </x:c>
      <x:c r="B1818" s="3" t="n">
        <x:v>32</x:v>
      </x:c>
      <x:c r="C1818" s="3" t="n">
        <x:v>34</x:v>
      </x:c>
      <x:c r="D1818" s="3" t="n">
        <x:v>6</x:v>
      </x:c>
      <x:c r="E1818" s="3" t="n">
        <x:v>6</x:v>
      </x:c>
      <x:c r="F1818" s="3" t="n">
        <x:v>1</x:v>
      </x:c>
    </x:row>
    <x:row r="1819" ht="21" customHeight="1">
      <x:c r="A1819" s="3" t="n">
        <x:v>54</x:v>
      </x:c>
      <x:c r="B1819" s="3" t="n">
        <x:v>33</x:v>
      </x:c>
      <x:c r="C1819" s="3" t="n">
        <x:v>35</x:v>
      </x:c>
      <x:c r="D1819" s="3" t="n">
        <x:v>6</x:v>
      </x:c>
      <x:c r="E1819" s="3" t="n">
        <x:v>6</x:v>
      </x:c>
      <x:c r="F1819" s="3" t="n">
        <x:v>1</x:v>
      </x:c>
    </x:row>
    <x:row r="1820" ht="21" customHeight="1">
      <x:c r="A1820" s="3" t="n">
        <x:v>54</x:v>
      </x:c>
      <x:c r="B1820" s="3" t="n">
        <x:v>34</x:v>
      </x:c>
      <x:c r="C1820" s="3" t="n">
        <x:v>36</x:v>
      </x:c>
      <x:c r="D1820" s="3" t="n">
        <x:v>6</x:v>
      </x:c>
      <x:c r="E1820" s="3" t="n">
        <x:v>6</x:v>
      </x:c>
      <x:c r="F1820" s="3" t="n">
        <x:v>1</x:v>
      </x:c>
    </x:row>
    <x:row r="1821" ht="21" customHeight="1">
      <x:c r="A1821" s="3" t="n">
        <x:v>55</x:v>
      </x:c>
      <x:c r="B1821" s="3" t="n">
        <x:v>0</x:v>
      </x:c>
      <x:c r="C1821" s="3" t="n">
        <x:v>2</x:v>
      </x:c>
      <x:c r="D1821" s="3" t="n">
        <x:v>1</x:v>
      </x:c>
      <x:c r="E1821" s="3" t="n">
        <x:v>1</x:v>
      </x:c>
      <x:c r="F1821" s="3" t="n">
        <x:v>1</x:v>
      </x:c>
    </x:row>
    <x:row r="1822" ht="21" customHeight="1">
      <x:c r="A1822" s="3" t="n">
        <x:v>55</x:v>
      </x:c>
      <x:c r="B1822" s="3" t="n">
        <x:v>1</x:v>
      </x:c>
      <x:c r="C1822" s="3" t="n">
        <x:v>3</x:v>
      </x:c>
      <x:c r="D1822" s="3" t="n">
        <x:v>1</x:v>
      </x:c>
      <x:c r="E1822" s="3" t="n">
        <x:v>1</x:v>
      </x:c>
      <x:c r="F1822" s="3" t="n">
        <x:v>1</x:v>
      </x:c>
    </x:row>
    <x:row r="1823" ht="21" customHeight="1">
      <x:c r="A1823" s="3" t="n">
        <x:v>55</x:v>
      </x:c>
      <x:c r="B1823" s="3" t="n">
        <x:v>2</x:v>
      </x:c>
      <x:c r="C1823" s="3" t="n">
        <x:v>4</x:v>
      </x:c>
      <x:c r="D1823" s="3" t="n">
        <x:v>1</x:v>
      </x:c>
      <x:c r="E1823" s="3" t="n">
        <x:v>1</x:v>
      </x:c>
      <x:c r="F1823" s="3" t="n">
        <x:v>1</x:v>
      </x:c>
    </x:row>
    <x:row r="1824" ht="21" customHeight="1">
      <x:c r="A1824" s="3" t="n">
        <x:v>55</x:v>
      </x:c>
      <x:c r="B1824" s="3" t="n">
        <x:v>3</x:v>
      </x:c>
      <x:c r="C1824" s="3" t="n">
        <x:v>5</x:v>
      </x:c>
      <x:c r="D1824" s="3" t="n">
        <x:v>1</x:v>
      </x:c>
      <x:c r="E1824" s="3" t="n">
        <x:v>1</x:v>
      </x:c>
      <x:c r="F1824" s="3" t="n">
        <x:v>1</x:v>
      </x:c>
    </x:row>
    <x:row r="1825" ht="21" customHeight="1">
      <x:c r="A1825" s="3" t="n">
        <x:v>55</x:v>
      </x:c>
      <x:c r="B1825" s="3" t="n">
        <x:v>4</x:v>
      </x:c>
      <x:c r="C1825" s="3" t="n">
        <x:v>6</x:v>
      </x:c>
      <x:c r="D1825" s="3" t="n">
        <x:v>1</x:v>
      </x:c>
      <x:c r="E1825" s="3" t="n">
        <x:v>1</x:v>
      </x:c>
      <x:c r="F1825" s="3" t="n">
        <x:v>1</x:v>
      </x:c>
    </x:row>
    <x:row r="1826" ht="21" customHeight="1">
      <x:c r="A1826" s="3" t="n">
        <x:v>55</x:v>
      </x:c>
      <x:c r="B1826" s="3" t="n">
        <x:v>5</x:v>
      </x:c>
      <x:c r="C1826" s="3" t="n">
        <x:v>7</x:v>
      </x:c>
      <x:c r="D1826" s="3" t="n">
        <x:v>1</x:v>
      </x:c>
      <x:c r="E1826" s="3" t="n">
        <x:v>2</x:v>
      </x:c>
      <x:c r="F1826" s="3" t="n">
        <x:v>2</x:v>
      </x:c>
    </x:row>
    <x:row r="1827" ht="21" customHeight="1">
      <x:c r="A1827" s="3" t="n">
        <x:v>55</x:v>
      </x:c>
      <x:c r="B1827" s="3" t="n">
        <x:v>6</x:v>
      </x:c>
      <x:c r="C1827" s="3" t="n">
        <x:v>8</x:v>
      </x:c>
      <x:c r="D1827" s="3" t="n">
        <x:v>2</x:v>
      </x:c>
      <x:c r="E1827" s="3" t="n">
        <x:v>2</x:v>
      </x:c>
      <x:c r="F1827" s="3" t="n">
        <x:v>1</x:v>
      </x:c>
    </x:row>
    <x:row r="1828" ht="21" customHeight="1">
      <x:c r="A1828" s="3" t="n">
        <x:v>55</x:v>
      </x:c>
      <x:c r="B1828" s="3" t="n">
        <x:v>7</x:v>
      </x:c>
      <x:c r="C1828" s="3" t="n">
        <x:v>9</x:v>
      </x:c>
      <x:c r="D1828" s="3" t="n">
        <x:v>2</x:v>
      </x:c>
      <x:c r="E1828" s="3" t="n">
        <x:v>2</x:v>
      </x:c>
      <x:c r="F1828" s="3" t="n">
        <x:v>1</x:v>
      </x:c>
    </x:row>
    <x:row r="1829" ht="21" customHeight="1">
      <x:c r="A1829" s="3" t="n">
        <x:v>55</x:v>
      </x:c>
      <x:c r="B1829" s="3" t="n">
        <x:v>8</x:v>
      </x:c>
      <x:c r="C1829" s="3" t="n">
        <x:v>10</x:v>
      </x:c>
      <x:c r="D1829" s="3" t="n">
        <x:v>2</x:v>
      </x:c>
      <x:c r="E1829" s="3" t="n">
        <x:v>2</x:v>
      </x:c>
      <x:c r="F1829" s="3" t="n">
        <x:v>1</x:v>
      </x:c>
    </x:row>
    <x:row r="1830" ht="21" customHeight="1">
      <x:c r="A1830" s="3" t="n">
        <x:v>55</x:v>
      </x:c>
      <x:c r="B1830" s="3" t="n">
        <x:v>9</x:v>
      </x:c>
      <x:c r="C1830" s="3" t="n">
        <x:v>11</x:v>
      </x:c>
      <x:c r="D1830" s="3" t="n">
        <x:v>2</x:v>
      </x:c>
      <x:c r="E1830" s="3" t="n">
        <x:v>2</x:v>
      </x:c>
      <x:c r="F1830" s="3" t="n">
        <x:v>1</x:v>
      </x:c>
    </x:row>
    <x:row r="1831" ht="21" customHeight="1">
      <x:c r="A1831" s="3" t="n">
        <x:v>55</x:v>
      </x:c>
      <x:c r="B1831" s="3" t="n">
        <x:v>10</x:v>
      </x:c>
      <x:c r="C1831" s="3" t="n">
        <x:v>12</x:v>
      </x:c>
      <x:c r="D1831" s="3" t="n">
        <x:v>2</x:v>
      </x:c>
      <x:c r="E1831" s="3" t="n">
        <x:v>2</x:v>
      </x:c>
      <x:c r="F1831" s="3" t="n">
        <x:v>1</x:v>
      </x:c>
    </x:row>
    <x:row r="1832" ht="21" customHeight="1">
      <x:c r="A1832" s="3" t="n">
        <x:v>55</x:v>
      </x:c>
      <x:c r="B1832" s="3" t="n">
        <x:v>11</x:v>
      </x:c>
      <x:c r="C1832" s="3" t="n">
        <x:v>13</x:v>
      </x:c>
      <x:c r="D1832" s="3" t="n">
        <x:v>2</x:v>
      </x:c>
      <x:c r="E1832" s="3" t="n">
        <x:v>3</x:v>
      </x:c>
      <x:c r="F1832" s="3" t="n">
        <x:v>2</x:v>
      </x:c>
    </x:row>
    <x:row r="1833" ht="21" customHeight="1">
      <x:c r="A1833" s="3" t="n">
        <x:v>55</x:v>
      </x:c>
      <x:c r="B1833" s="3" t="n">
        <x:v>12</x:v>
      </x:c>
      <x:c r="C1833" s="3" t="n">
        <x:v>14</x:v>
      </x:c>
      <x:c r="D1833" s="3" t="n">
        <x:v>3</x:v>
      </x:c>
      <x:c r="E1833" s="3" t="n">
        <x:v>3</x:v>
      </x:c>
      <x:c r="F1833" s="3" t="n">
        <x:v>1</x:v>
      </x:c>
    </x:row>
    <x:row r="1834" ht="21" customHeight="1">
      <x:c r="A1834" s="3" t="n">
        <x:v>55</x:v>
      </x:c>
      <x:c r="B1834" s="3" t="n">
        <x:v>13</x:v>
      </x:c>
      <x:c r="C1834" s="3" t="n">
        <x:v>15</x:v>
      </x:c>
      <x:c r="D1834" s="3" t="n">
        <x:v>3</x:v>
      </x:c>
      <x:c r="E1834" s="3" t="n">
        <x:v>3</x:v>
      </x:c>
      <x:c r="F1834" s="3" t="n">
        <x:v>1</x:v>
      </x:c>
    </x:row>
    <x:row r="1835" ht="21" customHeight="1">
      <x:c r="A1835" s="3" t="n">
        <x:v>55</x:v>
      </x:c>
      <x:c r="B1835" s="3" t="n">
        <x:v>14</x:v>
      </x:c>
      <x:c r="C1835" s="3" t="n">
        <x:v>16</x:v>
      </x:c>
      <x:c r="D1835" s="3" t="n">
        <x:v>3</x:v>
      </x:c>
      <x:c r="E1835" s="3" t="n">
        <x:v>3</x:v>
      </x:c>
      <x:c r="F1835" s="3" t="n">
        <x:v>1</x:v>
      </x:c>
    </x:row>
    <x:row r="1836" ht="21" customHeight="1">
      <x:c r="A1836" s="3" t="n">
        <x:v>55</x:v>
      </x:c>
      <x:c r="B1836" s="3" t="n">
        <x:v>15</x:v>
      </x:c>
      <x:c r="C1836" s="3" t="n">
        <x:v>17</x:v>
      </x:c>
      <x:c r="D1836" s="3" t="n">
        <x:v>3</x:v>
      </x:c>
      <x:c r="E1836" s="3" t="n">
        <x:v>3</x:v>
      </x:c>
      <x:c r="F1836" s="3" t="n">
        <x:v>1</x:v>
      </x:c>
    </x:row>
    <x:row r="1837" ht="21" customHeight="1">
      <x:c r="A1837" s="3" t="n">
        <x:v>55</x:v>
      </x:c>
      <x:c r="B1837" s="3" t="n">
        <x:v>16</x:v>
      </x:c>
      <x:c r="C1837" s="3" t="n">
        <x:v>18</x:v>
      </x:c>
      <x:c r="D1837" s="3" t="n">
        <x:v>3</x:v>
      </x:c>
      <x:c r="E1837" s="3" t="n">
        <x:v>3</x:v>
      </x:c>
      <x:c r="F1837" s="3" t="n">
        <x:v>1</x:v>
      </x:c>
    </x:row>
    <x:row r="1838" ht="21" customHeight="1">
      <x:c r="A1838" s="3" t="n">
        <x:v>55</x:v>
      </x:c>
      <x:c r="B1838" s="3" t="n">
        <x:v>17</x:v>
      </x:c>
      <x:c r="C1838" s="3" t="n">
        <x:v>19</x:v>
      </x:c>
      <x:c r="D1838" s="3" t="n">
        <x:v>3</x:v>
      </x:c>
      <x:c r="E1838" s="3" t="n">
        <x:v>4</x:v>
      </x:c>
      <x:c r="F1838" s="3" t="n">
        <x:v>2</x:v>
      </x:c>
    </x:row>
    <x:row r="1839" ht="21" customHeight="1">
      <x:c r="A1839" s="3" t="n">
        <x:v>55</x:v>
      </x:c>
      <x:c r="B1839" s="3" t="n">
        <x:v>18</x:v>
      </x:c>
      <x:c r="C1839" s="3" t="n">
        <x:v>20</x:v>
      </x:c>
      <x:c r="D1839" s="3" t="n">
        <x:v>4</x:v>
      </x:c>
      <x:c r="E1839" s="3" t="n">
        <x:v>4</x:v>
      </x:c>
      <x:c r="F1839" s="3" t="n">
        <x:v>1</x:v>
      </x:c>
    </x:row>
    <x:row r="1840" ht="21" customHeight="1">
      <x:c r="A1840" s="3" t="n">
        <x:v>55</x:v>
      </x:c>
      <x:c r="B1840" s="3" t="n">
        <x:v>19</x:v>
      </x:c>
      <x:c r="C1840" s="3" t="n">
        <x:v>21</x:v>
      </x:c>
      <x:c r="D1840" s="3" t="n">
        <x:v>4</x:v>
      </x:c>
      <x:c r="E1840" s="3" t="n">
        <x:v>4</x:v>
      </x:c>
      <x:c r="F1840" s="3" t="n">
        <x:v>1</x:v>
      </x:c>
    </x:row>
    <x:row r="1841" ht="21" customHeight="1">
      <x:c r="A1841" s="3" t="n">
        <x:v>55</x:v>
      </x:c>
      <x:c r="B1841" s="3" t="n">
        <x:v>20</x:v>
      </x:c>
      <x:c r="C1841" s="3" t="n">
        <x:v>22</x:v>
      </x:c>
      <x:c r="D1841" s="3" t="n">
        <x:v>4</x:v>
      </x:c>
      <x:c r="E1841" s="3" t="n">
        <x:v>4</x:v>
      </x:c>
      <x:c r="F1841" s="3" t="n">
        <x:v>1</x:v>
      </x:c>
    </x:row>
    <x:row r="1842" ht="21" customHeight="1">
      <x:c r="A1842" s="3" t="n">
        <x:v>55</x:v>
      </x:c>
      <x:c r="B1842" s="3" t="n">
        <x:v>21</x:v>
      </x:c>
      <x:c r="C1842" s="3" t="n">
        <x:v>23</x:v>
      </x:c>
      <x:c r="D1842" s="3" t="n">
        <x:v>4</x:v>
      </x:c>
      <x:c r="E1842" s="3" t="n">
        <x:v>4</x:v>
      </x:c>
      <x:c r="F1842" s="3" t="n">
        <x:v>1</x:v>
      </x:c>
    </x:row>
    <x:row r="1843" ht="21" customHeight="1">
      <x:c r="A1843" s="3" t="n">
        <x:v>55</x:v>
      </x:c>
      <x:c r="B1843" s="3" t="n">
        <x:v>22</x:v>
      </x:c>
      <x:c r="C1843" s="3" t="n">
        <x:v>24</x:v>
      </x:c>
      <x:c r="D1843" s="3" t="n">
        <x:v>4</x:v>
      </x:c>
      <x:c r="E1843" s="3" t="n">
        <x:v>4</x:v>
      </x:c>
      <x:c r="F1843" s="3" t="n">
        <x:v>1</x:v>
      </x:c>
    </x:row>
    <x:row r="1844" ht="21" customHeight="1">
      <x:c r="A1844" s="3" t="n">
        <x:v>55</x:v>
      </x:c>
      <x:c r="B1844" s="3" t="n">
        <x:v>23</x:v>
      </x:c>
      <x:c r="C1844" s="3" t="n">
        <x:v>25</x:v>
      </x:c>
      <x:c r="D1844" s="3" t="n">
        <x:v>4</x:v>
      </x:c>
      <x:c r="E1844" s="3" t="n">
        <x:v>5</x:v>
      </x:c>
      <x:c r="F1844" s="3" t="n">
        <x:v>2</x:v>
      </x:c>
    </x:row>
    <x:row r="1845" ht="21" customHeight="1">
      <x:c r="A1845" s="3" t="n">
        <x:v>55</x:v>
      </x:c>
      <x:c r="B1845" s="3" t="n">
        <x:v>24</x:v>
      </x:c>
      <x:c r="C1845" s="3" t="n">
        <x:v>26</x:v>
      </x:c>
      <x:c r="D1845" s="3" t="n">
        <x:v>5</x:v>
      </x:c>
      <x:c r="E1845" s="3" t="n">
        <x:v>5</x:v>
      </x:c>
      <x:c r="F1845" s="3" t="n">
        <x:v>1</x:v>
      </x:c>
    </x:row>
    <x:row r="1846" ht="21" customHeight="1">
      <x:c r="A1846" s="3" t="n">
        <x:v>55</x:v>
      </x:c>
      <x:c r="B1846" s="3" t="n">
        <x:v>25</x:v>
      </x:c>
      <x:c r="C1846" s="3" t="n">
        <x:v>27</x:v>
      </x:c>
      <x:c r="D1846" s="3" t="n">
        <x:v>5</x:v>
      </x:c>
      <x:c r="E1846" s="3" t="n">
        <x:v>5</x:v>
      </x:c>
      <x:c r="F1846" s="3" t="n">
        <x:v>1</x:v>
      </x:c>
    </x:row>
    <x:row r="1847" ht="21" customHeight="1">
      <x:c r="A1847" s="3" t="n">
        <x:v>55</x:v>
      </x:c>
      <x:c r="B1847" s="3" t="n">
        <x:v>26</x:v>
      </x:c>
      <x:c r="C1847" s="3" t="n">
        <x:v>28</x:v>
      </x:c>
      <x:c r="D1847" s="3" t="n">
        <x:v>5</x:v>
      </x:c>
      <x:c r="E1847" s="3" t="n">
        <x:v>5</x:v>
      </x:c>
      <x:c r="F1847" s="3" t="n">
        <x:v>1</x:v>
      </x:c>
    </x:row>
    <x:row r="1848" ht="21" customHeight="1">
      <x:c r="A1848" s="3" t="n">
        <x:v>55</x:v>
      </x:c>
      <x:c r="B1848" s="3" t="n">
        <x:v>27</x:v>
      </x:c>
      <x:c r="C1848" s="3" t="n">
        <x:v>29</x:v>
      </x:c>
      <x:c r="D1848" s="3" t="n">
        <x:v>5</x:v>
      </x:c>
      <x:c r="E1848" s="3" t="n">
        <x:v>5</x:v>
      </x:c>
      <x:c r="F1848" s="3" t="n">
        <x:v>1</x:v>
      </x:c>
    </x:row>
    <x:row r="1849" ht="21" customHeight="1">
      <x:c r="A1849" s="3" t="n">
        <x:v>55</x:v>
      </x:c>
      <x:c r="B1849" s="3" t="n">
        <x:v>28</x:v>
      </x:c>
      <x:c r="C1849" s="3" t="n">
        <x:v>30</x:v>
      </x:c>
      <x:c r="D1849" s="3" t="n">
        <x:v>5</x:v>
      </x:c>
      <x:c r="E1849" s="3" t="n">
        <x:v>5</x:v>
      </x:c>
      <x:c r="F1849" s="3" t="n">
        <x:v>1</x:v>
      </x:c>
    </x:row>
    <x:row r="1850" ht="21" customHeight="1">
      <x:c r="A1850" s="3" t="n">
        <x:v>55</x:v>
      </x:c>
      <x:c r="B1850" s="3" t="n">
        <x:v>29</x:v>
      </x:c>
      <x:c r="C1850" s="3" t="n">
        <x:v>31</x:v>
      </x:c>
      <x:c r="D1850" s="3" t="n">
        <x:v>5</x:v>
      </x:c>
      <x:c r="E1850" s="3" t="n">
        <x:v>6</x:v>
      </x:c>
      <x:c r="F1850" s="3" t="n">
        <x:v>2</x:v>
      </x:c>
    </x:row>
    <x:row r="1851" ht="21" customHeight="1">
      <x:c r="A1851" s="3" t="n">
        <x:v>55</x:v>
      </x:c>
      <x:c r="B1851" s="3" t="n">
        <x:v>30</x:v>
      </x:c>
      <x:c r="C1851" s="3" t="n">
        <x:v>32</x:v>
      </x:c>
      <x:c r="D1851" s="3" t="n">
        <x:v>6</x:v>
      </x:c>
      <x:c r="E1851" s="3" t="n">
        <x:v>6</x:v>
      </x:c>
      <x:c r="F1851" s="3" t="n">
        <x:v>1</x:v>
      </x:c>
    </x:row>
    <x:row r="1852" ht="21" customHeight="1">
      <x:c r="A1852" s="3" t="n">
        <x:v>55</x:v>
      </x:c>
      <x:c r="B1852" s="3" t="n">
        <x:v>31</x:v>
      </x:c>
      <x:c r="C1852" s="3" t="n">
        <x:v>33</x:v>
      </x:c>
      <x:c r="D1852" s="3" t="n">
        <x:v>6</x:v>
      </x:c>
      <x:c r="E1852" s="3" t="n">
        <x:v>6</x:v>
      </x:c>
      <x:c r="F1852" s="3" t="n">
        <x:v>1</x:v>
      </x:c>
    </x:row>
    <x:row r="1853" ht="21" customHeight="1">
      <x:c r="A1853" s="3" t="n">
        <x:v>55</x:v>
      </x:c>
      <x:c r="B1853" s="3" t="n">
        <x:v>32</x:v>
      </x:c>
      <x:c r="C1853" s="3" t="n">
        <x:v>34</x:v>
      </x:c>
      <x:c r="D1853" s="3" t="n">
        <x:v>6</x:v>
      </x:c>
      <x:c r="E1853" s="3" t="n">
        <x:v>6</x:v>
      </x:c>
      <x:c r="F1853" s="3" t="n">
        <x:v>1</x:v>
      </x:c>
    </x:row>
    <x:row r="1854" ht="21" customHeight="1">
      <x:c r="A1854" s="3" t="n">
        <x:v>55</x:v>
      </x:c>
      <x:c r="B1854" s="3" t="n">
        <x:v>33</x:v>
      </x:c>
      <x:c r="C1854" s="3" t="n">
        <x:v>35</x:v>
      </x:c>
      <x:c r="D1854" s="3" t="n">
        <x:v>6</x:v>
      </x:c>
      <x:c r="E1854" s="3" t="n">
        <x:v>6</x:v>
      </x:c>
      <x:c r="F1854" s="3" t="n">
        <x:v>1</x:v>
      </x:c>
    </x:row>
    <x:row r="1855" ht="21" customHeight="1">
      <x:c r="A1855" s="3" t="n">
        <x:v>55</x:v>
      </x:c>
      <x:c r="B1855" s="3" t="n">
        <x:v>34</x:v>
      </x:c>
      <x:c r="C1855" s="3" t="n">
        <x:v>36</x:v>
      </x:c>
      <x:c r="D1855" s="3" t="n">
        <x:v>6</x:v>
      </x:c>
      <x:c r="E1855" s="3" t="n">
        <x:v>6</x:v>
      </x:c>
      <x:c r="F1855" s="3" t="n">
        <x:v>1</x:v>
      </x:c>
    </x:row>
    <x:row r="1856" ht="21" customHeight="1">
      <x:c r="A1856" s="3" t="n">
        <x:v>56</x:v>
      </x:c>
      <x:c r="B1856" s="3" t="n">
        <x:v>0</x:v>
      </x:c>
      <x:c r="C1856" s="3" t="n">
        <x:v>3</x:v>
      </x:c>
      <x:c r="D1856" s="3" t="n">
        <x:v>1</x:v>
      </x:c>
      <x:c r="E1856" s="3" t="n">
        <x:v>1</x:v>
      </x:c>
      <x:c r="F1856" s="3" t="n">
        <x:v>1</x:v>
      </x:c>
    </x:row>
    <x:row r="1857" ht="21" customHeight="1">
      <x:c r="A1857" s="3" t="n">
        <x:v>56</x:v>
      </x:c>
      <x:c r="B1857" s="3" t="n">
        <x:v>1</x:v>
      </x:c>
      <x:c r="C1857" s="3" t="n">
        <x:v>4</x:v>
      </x:c>
      <x:c r="D1857" s="3" t="n">
        <x:v>1</x:v>
      </x:c>
      <x:c r="E1857" s="3" t="n">
        <x:v>1</x:v>
      </x:c>
      <x:c r="F1857" s="3" t="n">
        <x:v>1</x:v>
      </x:c>
    </x:row>
    <x:row r="1858" ht="21" customHeight="1">
      <x:c r="A1858" s="3" t="n">
        <x:v>56</x:v>
      </x:c>
      <x:c r="B1858" s="3" t="n">
        <x:v>2</x:v>
      </x:c>
      <x:c r="C1858" s="3" t="n">
        <x:v>5</x:v>
      </x:c>
      <x:c r="D1858" s="3" t="n">
        <x:v>1</x:v>
      </x:c>
      <x:c r="E1858" s="3" t="n">
        <x:v>1</x:v>
      </x:c>
      <x:c r="F1858" s="3" t="n">
        <x:v>1</x:v>
      </x:c>
    </x:row>
    <x:row r="1859" ht="21" customHeight="1">
      <x:c r="A1859" s="3" t="n">
        <x:v>56</x:v>
      </x:c>
      <x:c r="B1859" s="3" t="n">
        <x:v>3</x:v>
      </x:c>
      <x:c r="C1859" s="3" t="n">
        <x:v>6</x:v>
      </x:c>
      <x:c r="D1859" s="3" t="n">
        <x:v>1</x:v>
      </x:c>
      <x:c r="E1859" s="3" t="n">
        <x:v>1</x:v>
      </x:c>
      <x:c r="F1859" s="3" t="n">
        <x:v>1</x:v>
      </x:c>
    </x:row>
    <x:row r="1860" ht="21" customHeight="1">
      <x:c r="A1860" s="3" t="n">
        <x:v>56</x:v>
      </x:c>
      <x:c r="B1860" s="3" t="n">
        <x:v>4</x:v>
      </x:c>
      <x:c r="C1860" s="3" t="n">
        <x:v>7</x:v>
      </x:c>
      <x:c r="D1860" s="3" t="n">
        <x:v>1</x:v>
      </x:c>
      <x:c r="E1860" s="3" t="n">
        <x:v>2</x:v>
      </x:c>
      <x:c r="F1860" s="3" t="n">
        <x:v>2</x:v>
      </x:c>
    </x:row>
    <x:row r="1861" ht="21" customHeight="1">
      <x:c r="A1861" s="3" t="n">
        <x:v>56</x:v>
      </x:c>
      <x:c r="B1861" s="3" t="n">
        <x:v>5</x:v>
      </x:c>
      <x:c r="C1861" s="3" t="n">
        <x:v>8</x:v>
      </x:c>
      <x:c r="D1861" s="3" t="n">
        <x:v>1</x:v>
      </x:c>
      <x:c r="E1861" s="3" t="n">
        <x:v>2</x:v>
      </x:c>
      <x:c r="F1861" s="3" t="n">
        <x:v>2</x:v>
      </x:c>
    </x:row>
    <x:row r="1862" ht="21" customHeight="1">
      <x:c r="A1862" s="3" t="n">
        <x:v>56</x:v>
      </x:c>
      <x:c r="B1862" s="3" t="n">
        <x:v>6</x:v>
      </x:c>
      <x:c r="C1862" s="3" t="n">
        <x:v>9</x:v>
      </x:c>
      <x:c r="D1862" s="3" t="n">
        <x:v>2</x:v>
      </x:c>
      <x:c r="E1862" s="3" t="n">
        <x:v>2</x:v>
      </x:c>
      <x:c r="F1862" s="3" t="n">
        <x:v>1</x:v>
      </x:c>
    </x:row>
    <x:row r="1863" ht="21" customHeight="1">
      <x:c r="A1863" s="3" t="n">
        <x:v>56</x:v>
      </x:c>
      <x:c r="B1863" s="3" t="n">
        <x:v>7</x:v>
      </x:c>
      <x:c r="C1863" s="3" t="n">
        <x:v>10</x:v>
      </x:c>
      <x:c r="D1863" s="3" t="n">
        <x:v>2</x:v>
      </x:c>
      <x:c r="E1863" s="3" t="n">
        <x:v>2</x:v>
      </x:c>
      <x:c r="F1863" s="3" t="n">
        <x:v>1</x:v>
      </x:c>
    </x:row>
    <x:row r="1864" ht="21" customHeight="1">
      <x:c r="A1864" s="3" t="n">
        <x:v>56</x:v>
      </x:c>
      <x:c r="B1864" s="3" t="n">
        <x:v>8</x:v>
      </x:c>
      <x:c r="C1864" s="3" t="n">
        <x:v>11</x:v>
      </x:c>
      <x:c r="D1864" s="3" t="n">
        <x:v>2</x:v>
      </x:c>
      <x:c r="E1864" s="3" t="n">
        <x:v>2</x:v>
      </x:c>
      <x:c r="F1864" s="3" t="n">
        <x:v>1</x:v>
      </x:c>
    </x:row>
    <x:row r="1865" ht="21" customHeight="1">
      <x:c r="A1865" s="3" t="n">
        <x:v>56</x:v>
      </x:c>
      <x:c r="B1865" s="3" t="n">
        <x:v>9</x:v>
      </x:c>
      <x:c r="C1865" s="3" t="n">
        <x:v>12</x:v>
      </x:c>
      <x:c r="D1865" s="3" t="n">
        <x:v>2</x:v>
      </x:c>
      <x:c r="E1865" s="3" t="n">
        <x:v>2</x:v>
      </x:c>
      <x:c r="F1865" s="3" t="n">
        <x:v>1</x:v>
      </x:c>
    </x:row>
    <x:row r="1866" ht="21" customHeight="1">
      <x:c r="A1866" s="3" t="n">
        <x:v>56</x:v>
      </x:c>
      <x:c r="B1866" s="3" t="n">
        <x:v>10</x:v>
      </x:c>
      <x:c r="C1866" s="3" t="n">
        <x:v>13</x:v>
      </x:c>
      <x:c r="D1866" s="3" t="n">
        <x:v>2</x:v>
      </x:c>
      <x:c r="E1866" s="3" t="n">
        <x:v>3</x:v>
      </x:c>
      <x:c r="F1866" s="3" t="n">
        <x:v>2</x:v>
      </x:c>
    </x:row>
    <x:row r="1867" ht="21" customHeight="1">
      <x:c r="A1867" s="3" t="n">
        <x:v>56</x:v>
      </x:c>
      <x:c r="B1867" s="3" t="n">
        <x:v>11</x:v>
      </x:c>
      <x:c r="C1867" s="3" t="n">
        <x:v>14</x:v>
      </x:c>
      <x:c r="D1867" s="3" t="n">
        <x:v>2</x:v>
      </x:c>
      <x:c r="E1867" s="3" t="n">
        <x:v>3</x:v>
      </x:c>
      <x:c r="F1867" s="3" t="n">
        <x:v>2</x:v>
      </x:c>
    </x:row>
    <x:row r="1868" ht="21" customHeight="1">
      <x:c r="A1868" s="3" t="n">
        <x:v>56</x:v>
      </x:c>
      <x:c r="B1868" s="3" t="n">
        <x:v>12</x:v>
      </x:c>
      <x:c r="C1868" s="3" t="n">
        <x:v>15</x:v>
      </x:c>
      <x:c r="D1868" s="3" t="n">
        <x:v>3</x:v>
      </x:c>
      <x:c r="E1868" s="3" t="n">
        <x:v>3</x:v>
      </x:c>
      <x:c r="F1868" s="3" t="n">
        <x:v>1</x:v>
      </x:c>
    </x:row>
    <x:row r="1869" ht="21" customHeight="1">
      <x:c r="A1869" s="3" t="n">
        <x:v>56</x:v>
      </x:c>
      <x:c r="B1869" s="3" t="n">
        <x:v>13</x:v>
      </x:c>
      <x:c r="C1869" s="3" t="n">
        <x:v>16</x:v>
      </x:c>
      <x:c r="D1869" s="3" t="n">
        <x:v>3</x:v>
      </x:c>
      <x:c r="E1869" s="3" t="n">
        <x:v>3</x:v>
      </x:c>
      <x:c r="F1869" s="3" t="n">
        <x:v>1</x:v>
      </x:c>
    </x:row>
    <x:row r="1870" ht="21" customHeight="1">
      <x:c r="A1870" s="3" t="n">
        <x:v>56</x:v>
      </x:c>
      <x:c r="B1870" s="3" t="n">
        <x:v>14</x:v>
      </x:c>
      <x:c r="C1870" s="3" t="n">
        <x:v>17</x:v>
      </x:c>
      <x:c r="D1870" s="3" t="n">
        <x:v>3</x:v>
      </x:c>
      <x:c r="E1870" s="3" t="n">
        <x:v>3</x:v>
      </x:c>
      <x:c r="F1870" s="3" t="n">
        <x:v>1</x:v>
      </x:c>
    </x:row>
    <x:row r="1871" ht="21" customHeight="1">
      <x:c r="A1871" s="3" t="n">
        <x:v>56</x:v>
      </x:c>
      <x:c r="B1871" s="3" t="n">
        <x:v>15</x:v>
      </x:c>
      <x:c r="C1871" s="3" t="n">
        <x:v>18</x:v>
      </x:c>
      <x:c r="D1871" s="3" t="n">
        <x:v>3</x:v>
      </x:c>
      <x:c r="E1871" s="3" t="n">
        <x:v>3</x:v>
      </x:c>
      <x:c r="F1871" s="3" t="n">
        <x:v>1</x:v>
      </x:c>
    </x:row>
    <x:row r="1872" ht="21" customHeight="1">
      <x:c r="A1872" s="3" t="n">
        <x:v>56</x:v>
      </x:c>
      <x:c r="B1872" s="3" t="n">
        <x:v>16</x:v>
      </x:c>
      <x:c r="C1872" s="3" t="n">
        <x:v>19</x:v>
      </x:c>
      <x:c r="D1872" s="3" t="n">
        <x:v>3</x:v>
      </x:c>
      <x:c r="E1872" s="3" t="n">
        <x:v>4</x:v>
      </x:c>
      <x:c r="F1872" s="3" t="n">
        <x:v>2</x:v>
      </x:c>
    </x:row>
    <x:row r="1873" ht="21" customHeight="1">
      <x:c r="A1873" s="3" t="n">
        <x:v>56</x:v>
      </x:c>
      <x:c r="B1873" s="3" t="n">
        <x:v>17</x:v>
      </x:c>
      <x:c r="C1873" s="3" t="n">
        <x:v>20</x:v>
      </x:c>
      <x:c r="D1873" s="3" t="n">
        <x:v>3</x:v>
      </x:c>
      <x:c r="E1873" s="3" t="n">
        <x:v>4</x:v>
      </x:c>
      <x:c r="F1873" s="3" t="n">
        <x:v>2</x:v>
      </x:c>
    </x:row>
    <x:row r="1874" ht="21" customHeight="1">
      <x:c r="A1874" s="3" t="n">
        <x:v>56</x:v>
      </x:c>
      <x:c r="B1874" s="3" t="n">
        <x:v>18</x:v>
      </x:c>
      <x:c r="C1874" s="3" t="n">
        <x:v>21</x:v>
      </x:c>
      <x:c r="D1874" s="3" t="n">
        <x:v>4</x:v>
      </x:c>
      <x:c r="E1874" s="3" t="n">
        <x:v>4</x:v>
      </x:c>
      <x:c r="F1874" s="3" t="n">
        <x:v>1</x:v>
      </x:c>
    </x:row>
    <x:row r="1875" ht="21" customHeight="1">
      <x:c r="A1875" s="3" t="n">
        <x:v>56</x:v>
      </x:c>
      <x:c r="B1875" s="3" t="n">
        <x:v>19</x:v>
      </x:c>
      <x:c r="C1875" s="3" t="n">
        <x:v>22</x:v>
      </x:c>
      <x:c r="D1875" s="3" t="n">
        <x:v>4</x:v>
      </x:c>
      <x:c r="E1875" s="3" t="n">
        <x:v>4</x:v>
      </x:c>
      <x:c r="F1875" s="3" t="n">
        <x:v>1</x:v>
      </x:c>
    </x:row>
    <x:row r="1876" ht="21" customHeight="1">
      <x:c r="A1876" s="3" t="n">
        <x:v>56</x:v>
      </x:c>
      <x:c r="B1876" s="3" t="n">
        <x:v>20</x:v>
      </x:c>
      <x:c r="C1876" s="3" t="n">
        <x:v>23</x:v>
      </x:c>
      <x:c r="D1876" s="3" t="n">
        <x:v>4</x:v>
      </x:c>
      <x:c r="E1876" s="3" t="n">
        <x:v>4</x:v>
      </x:c>
      <x:c r="F1876" s="3" t="n">
        <x:v>1</x:v>
      </x:c>
    </x:row>
    <x:row r="1877" ht="21" customHeight="1">
      <x:c r="A1877" s="3" t="n">
        <x:v>56</x:v>
      </x:c>
      <x:c r="B1877" s="3" t="n">
        <x:v>21</x:v>
      </x:c>
      <x:c r="C1877" s="3" t="n">
        <x:v>24</x:v>
      </x:c>
      <x:c r="D1877" s="3" t="n">
        <x:v>4</x:v>
      </x:c>
      <x:c r="E1877" s="3" t="n">
        <x:v>4</x:v>
      </x:c>
      <x:c r="F1877" s="3" t="n">
        <x:v>1</x:v>
      </x:c>
    </x:row>
    <x:row r="1878" ht="21" customHeight="1">
      <x:c r="A1878" s="3" t="n">
        <x:v>56</x:v>
      </x:c>
      <x:c r="B1878" s="3" t="n">
        <x:v>22</x:v>
      </x:c>
      <x:c r="C1878" s="3" t="n">
        <x:v>25</x:v>
      </x:c>
      <x:c r="D1878" s="3" t="n">
        <x:v>4</x:v>
      </x:c>
      <x:c r="E1878" s="3" t="n">
        <x:v>5</x:v>
      </x:c>
      <x:c r="F1878" s="3" t="n">
        <x:v>2</x:v>
      </x:c>
    </x:row>
    <x:row r="1879" ht="21" customHeight="1">
      <x:c r="A1879" s="3" t="n">
        <x:v>56</x:v>
      </x:c>
      <x:c r="B1879" s="3" t="n">
        <x:v>23</x:v>
      </x:c>
      <x:c r="C1879" s="3" t="n">
        <x:v>26</x:v>
      </x:c>
      <x:c r="D1879" s="3" t="n">
        <x:v>4</x:v>
      </x:c>
      <x:c r="E1879" s="3" t="n">
        <x:v>5</x:v>
      </x:c>
      <x:c r="F1879" s="3" t="n">
        <x:v>2</x:v>
      </x:c>
    </x:row>
    <x:row r="1880" ht="21" customHeight="1">
      <x:c r="A1880" s="3" t="n">
        <x:v>56</x:v>
      </x:c>
      <x:c r="B1880" s="3" t="n">
        <x:v>24</x:v>
      </x:c>
      <x:c r="C1880" s="3" t="n">
        <x:v>27</x:v>
      </x:c>
      <x:c r="D1880" s="3" t="n">
        <x:v>5</x:v>
      </x:c>
      <x:c r="E1880" s="3" t="n">
        <x:v>5</x:v>
      </x:c>
      <x:c r="F1880" s="3" t="n">
        <x:v>1</x:v>
      </x:c>
    </x:row>
    <x:row r="1881" ht="21" customHeight="1">
      <x:c r="A1881" s="3" t="n">
        <x:v>56</x:v>
      </x:c>
      <x:c r="B1881" s="3" t="n">
        <x:v>25</x:v>
      </x:c>
      <x:c r="C1881" s="3" t="n">
        <x:v>28</x:v>
      </x:c>
      <x:c r="D1881" s="3" t="n">
        <x:v>5</x:v>
      </x:c>
      <x:c r="E1881" s="3" t="n">
        <x:v>5</x:v>
      </x:c>
      <x:c r="F1881" s="3" t="n">
        <x:v>1</x:v>
      </x:c>
    </x:row>
    <x:row r="1882" ht="21" customHeight="1">
      <x:c r="A1882" s="3" t="n">
        <x:v>56</x:v>
      </x:c>
      <x:c r="B1882" s="3" t="n">
        <x:v>26</x:v>
      </x:c>
      <x:c r="C1882" s="3" t="n">
        <x:v>29</x:v>
      </x:c>
      <x:c r="D1882" s="3" t="n">
        <x:v>5</x:v>
      </x:c>
      <x:c r="E1882" s="3" t="n">
        <x:v>5</x:v>
      </x:c>
      <x:c r="F1882" s="3" t="n">
        <x:v>1</x:v>
      </x:c>
    </x:row>
    <x:row r="1883" ht="21" customHeight="1">
      <x:c r="A1883" s="3" t="n">
        <x:v>56</x:v>
      </x:c>
      <x:c r="B1883" s="3" t="n">
        <x:v>27</x:v>
      </x:c>
      <x:c r="C1883" s="3" t="n">
        <x:v>30</x:v>
      </x:c>
      <x:c r="D1883" s="3" t="n">
        <x:v>5</x:v>
      </x:c>
      <x:c r="E1883" s="3" t="n">
        <x:v>5</x:v>
      </x:c>
      <x:c r="F1883" s="3" t="n">
        <x:v>1</x:v>
      </x:c>
    </x:row>
    <x:row r="1884" ht="21" customHeight="1">
      <x:c r="A1884" s="3" t="n">
        <x:v>56</x:v>
      </x:c>
      <x:c r="B1884" s="3" t="n">
        <x:v>28</x:v>
      </x:c>
      <x:c r="C1884" s="3" t="n">
        <x:v>31</x:v>
      </x:c>
      <x:c r="D1884" s="3" t="n">
        <x:v>5</x:v>
      </x:c>
      <x:c r="E1884" s="3" t="n">
        <x:v>6</x:v>
      </x:c>
      <x:c r="F1884" s="3" t="n">
        <x:v>2</x:v>
      </x:c>
    </x:row>
    <x:row r="1885" ht="21" customHeight="1">
      <x:c r="A1885" s="3" t="n">
        <x:v>56</x:v>
      </x:c>
      <x:c r="B1885" s="3" t="n">
        <x:v>29</x:v>
      </x:c>
      <x:c r="C1885" s="3" t="n">
        <x:v>32</x:v>
      </x:c>
      <x:c r="D1885" s="3" t="n">
        <x:v>5</x:v>
      </x:c>
      <x:c r="E1885" s="3" t="n">
        <x:v>6</x:v>
      </x:c>
      <x:c r="F1885" s="3" t="n">
        <x:v>2</x:v>
      </x:c>
    </x:row>
    <x:row r="1886" ht="21" customHeight="1">
      <x:c r="A1886" s="3" t="n">
        <x:v>56</x:v>
      </x:c>
      <x:c r="B1886" s="3" t="n">
        <x:v>30</x:v>
      </x:c>
      <x:c r="C1886" s="3" t="n">
        <x:v>33</x:v>
      </x:c>
      <x:c r="D1886" s="3" t="n">
        <x:v>6</x:v>
      </x:c>
      <x:c r="E1886" s="3" t="n">
        <x:v>6</x:v>
      </x:c>
      <x:c r="F1886" s="3" t="n">
        <x:v>1</x:v>
      </x:c>
    </x:row>
    <x:row r="1887" ht="21" customHeight="1">
      <x:c r="A1887" s="3" t="n">
        <x:v>56</x:v>
      </x:c>
      <x:c r="B1887" s="3" t="n">
        <x:v>31</x:v>
      </x:c>
      <x:c r="C1887" s="3" t="n">
        <x:v>34</x:v>
      </x:c>
      <x:c r="D1887" s="3" t="n">
        <x:v>6</x:v>
      </x:c>
      <x:c r="E1887" s="3" t="n">
        <x:v>6</x:v>
      </x:c>
      <x:c r="F1887" s="3" t="n">
        <x:v>1</x:v>
      </x:c>
    </x:row>
    <x:row r="1888" ht="21" customHeight="1">
      <x:c r="A1888" s="3" t="n">
        <x:v>56</x:v>
      </x:c>
      <x:c r="B1888" s="3" t="n">
        <x:v>32</x:v>
      </x:c>
      <x:c r="C1888" s="3" t="n">
        <x:v>35</x:v>
      </x:c>
      <x:c r="D1888" s="3" t="n">
        <x:v>6</x:v>
      </x:c>
      <x:c r="E1888" s="3" t="n">
        <x:v>6</x:v>
      </x:c>
      <x:c r="F1888" s="3" t="n">
        <x:v>1</x:v>
      </x:c>
    </x:row>
    <x:row r="1889" ht="21" customHeight="1">
      <x:c r="A1889" s="3" t="n">
        <x:v>56</x:v>
      </x:c>
      <x:c r="B1889" s="3" t="n">
        <x:v>33</x:v>
      </x:c>
      <x:c r="C1889" s="3" t="n">
        <x:v>36</x:v>
      </x:c>
      <x:c r="D1889" s="3" t="n">
        <x:v>6</x:v>
      </x:c>
      <x:c r="E1889" s="3" t="n">
        <x:v>6</x:v>
      </x:c>
      <x:c r="F1889" s="3" t="n">
        <x:v>1</x:v>
      </x:c>
    </x:row>
    <x:row r="1890" ht="21" customHeight="1">
      <x:c r="A1890" s="3" t="n">
        <x:v>57</x:v>
      </x:c>
      <x:c r="B1890" s="3" t="n">
        <x:v>0</x:v>
      </x:c>
      <x:c r="C1890" s="3" t="n">
        <x:v>5</x:v>
      </x:c>
      <x:c r="D1890" s="3" t="n">
        <x:v>1</x:v>
      </x:c>
      <x:c r="E1890" s="3" t="n">
        <x:v>1</x:v>
      </x:c>
      <x:c r="F1890" s="3" t="n">
        <x:v>1</x:v>
      </x:c>
    </x:row>
    <x:row r="1891" ht="21" customHeight="1">
      <x:c r="A1891" s="3" t="n">
        <x:v>57</x:v>
      </x:c>
      <x:c r="B1891" s="3" t="n">
        <x:v>1</x:v>
      </x:c>
      <x:c r="C1891" s="3" t="n">
        <x:v>6</x:v>
      </x:c>
      <x:c r="D1891" s="3" t="n">
        <x:v>1</x:v>
      </x:c>
      <x:c r="E1891" s="3" t="n">
        <x:v>1</x:v>
      </x:c>
      <x:c r="F1891" s="3" t="n">
        <x:v>1</x:v>
      </x:c>
    </x:row>
    <x:row r="1892" ht="21" customHeight="1">
      <x:c r="A1892" s="3" t="n">
        <x:v>57</x:v>
      </x:c>
      <x:c r="B1892" s="3" t="n">
        <x:v>2</x:v>
      </x:c>
      <x:c r="C1892" s="3" t="n">
        <x:v>7</x:v>
      </x:c>
      <x:c r="D1892" s="3" t="n">
        <x:v>1</x:v>
      </x:c>
      <x:c r="E1892" s="3" t="n">
        <x:v>2</x:v>
      </x:c>
      <x:c r="F1892" s="3" t="n">
        <x:v>2</x:v>
      </x:c>
    </x:row>
    <x:row r="1893" ht="21" customHeight="1">
      <x:c r="A1893" s="3" t="n">
        <x:v>57</x:v>
      </x:c>
      <x:c r="B1893" s="3" t="n">
        <x:v>3</x:v>
      </x:c>
      <x:c r="C1893" s="3" t="n">
        <x:v>8</x:v>
      </x:c>
      <x:c r="D1893" s="3" t="n">
        <x:v>1</x:v>
      </x:c>
      <x:c r="E1893" s="3" t="n">
        <x:v>2</x:v>
      </x:c>
      <x:c r="F1893" s="3" t="n">
        <x:v>2</x:v>
      </x:c>
    </x:row>
    <x:row r="1894" ht="21" customHeight="1">
      <x:c r="A1894" s="3" t="n">
        <x:v>57</x:v>
      </x:c>
      <x:c r="B1894" s="3" t="n">
        <x:v>4</x:v>
      </x:c>
      <x:c r="C1894" s="3" t="n">
        <x:v>9</x:v>
      </x:c>
      <x:c r="D1894" s="3" t="n">
        <x:v>1</x:v>
      </x:c>
      <x:c r="E1894" s="3" t="n">
        <x:v>2</x:v>
      </x:c>
      <x:c r="F1894" s="3" t="n">
        <x:v>2</x:v>
      </x:c>
    </x:row>
    <x:row r="1895" ht="21" customHeight="1">
      <x:c r="A1895" s="3" t="n">
        <x:v>57</x:v>
      </x:c>
      <x:c r="B1895" s="3" t="n">
        <x:v>5</x:v>
      </x:c>
      <x:c r="C1895" s="3" t="n">
        <x:v>10</x:v>
      </x:c>
      <x:c r="D1895" s="3" t="n">
        <x:v>1</x:v>
      </x:c>
      <x:c r="E1895" s="3" t="n">
        <x:v>2</x:v>
      </x:c>
      <x:c r="F1895" s="3" t="n">
        <x:v>2</x:v>
      </x:c>
    </x:row>
    <x:row r="1896" ht="21" customHeight="1">
      <x:c r="A1896" s="3" t="n">
        <x:v>57</x:v>
      </x:c>
      <x:c r="B1896" s="3" t="n">
        <x:v>6</x:v>
      </x:c>
      <x:c r="C1896" s="3" t="n">
        <x:v>11</x:v>
      </x:c>
      <x:c r="D1896" s="3" t="n">
        <x:v>2</x:v>
      </x:c>
      <x:c r="E1896" s="3" t="n">
        <x:v>2</x:v>
      </x:c>
      <x:c r="F1896" s="3" t="n">
        <x:v>1</x:v>
      </x:c>
    </x:row>
    <x:row r="1897" ht="21" customHeight="1">
      <x:c r="A1897" s="3" t="n">
        <x:v>57</x:v>
      </x:c>
      <x:c r="B1897" s="3" t="n">
        <x:v>7</x:v>
      </x:c>
      <x:c r="C1897" s="3" t="n">
        <x:v>12</x:v>
      </x:c>
      <x:c r="D1897" s="3" t="n">
        <x:v>2</x:v>
      </x:c>
      <x:c r="E1897" s="3" t="n">
        <x:v>2</x:v>
      </x:c>
      <x:c r="F1897" s="3" t="n">
        <x:v>1</x:v>
      </x:c>
    </x:row>
    <x:row r="1898" ht="21" customHeight="1">
      <x:c r="A1898" s="3" t="n">
        <x:v>57</x:v>
      </x:c>
      <x:c r="B1898" s="3" t="n">
        <x:v>8</x:v>
      </x:c>
      <x:c r="C1898" s="3" t="n">
        <x:v>13</x:v>
      </x:c>
      <x:c r="D1898" s="3" t="n">
        <x:v>2</x:v>
      </x:c>
      <x:c r="E1898" s="3" t="n">
        <x:v>3</x:v>
      </x:c>
      <x:c r="F1898" s="3" t="n">
        <x:v>2</x:v>
      </x:c>
    </x:row>
    <x:row r="1899" ht="21" customHeight="1">
      <x:c r="A1899" s="3" t="n">
        <x:v>57</x:v>
      </x:c>
      <x:c r="B1899" s="3" t="n">
        <x:v>9</x:v>
      </x:c>
      <x:c r="C1899" s="3" t="n">
        <x:v>14</x:v>
      </x:c>
      <x:c r="D1899" s="3" t="n">
        <x:v>2</x:v>
      </x:c>
      <x:c r="E1899" s="3" t="n">
        <x:v>3</x:v>
      </x:c>
      <x:c r="F1899" s="3" t="n">
        <x:v>2</x:v>
      </x:c>
    </x:row>
    <x:row r="1900" ht="21" customHeight="1">
      <x:c r="A1900" s="3" t="n">
        <x:v>57</x:v>
      </x:c>
      <x:c r="B1900" s="3" t="n">
        <x:v>10</x:v>
      </x:c>
      <x:c r="C1900" s="3" t="n">
        <x:v>15</x:v>
      </x:c>
      <x:c r="D1900" s="3" t="n">
        <x:v>2</x:v>
      </x:c>
      <x:c r="E1900" s="3" t="n">
        <x:v>3</x:v>
      </x:c>
      <x:c r="F1900" s="3" t="n">
        <x:v>2</x:v>
      </x:c>
    </x:row>
    <x:row r="1901" ht="21" customHeight="1">
      <x:c r="A1901" s="3" t="n">
        <x:v>57</x:v>
      </x:c>
      <x:c r="B1901" s="3" t="n">
        <x:v>11</x:v>
      </x:c>
      <x:c r="C1901" s="3" t="n">
        <x:v>16</x:v>
      </x:c>
      <x:c r="D1901" s="3" t="n">
        <x:v>2</x:v>
      </x:c>
      <x:c r="E1901" s="3" t="n">
        <x:v>3</x:v>
      </x:c>
      <x:c r="F1901" s="3" t="n">
        <x:v>2</x:v>
      </x:c>
    </x:row>
    <x:row r="1902" ht="21" customHeight="1">
      <x:c r="A1902" s="3" t="n">
        <x:v>57</x:v>
      </x:c>
      <x:c r="B1902" s="3" t="n">
        <x:v>12</x:v>
      </x:c>
      <x:c r="C1902" s="3" t="n">
        <x:v>17</x:v>
      </x:c>
      <x:c r="D1902" s="3" t="n">
        <x:v>3</x:v>
      </x:c>
      <x:c r="E1902" s="3" t="n">
        <x:v>3</x:v>
      </x:c>
      <x:c r="F1902" s="3" t="n">
        <x:v>1</x:v>
      </x:c>
    </x:row>
    <x:row r="1903" ht="21" customHeight="1">
      <x:c r="A1903" s="3" t="n">
        <x:v>57</x:v>
      </x:c>
      <x:c r="B1903" s="3" t="n">
        <x:v>13</x:v>
      </x:c>
      <x:c r="C1903" s="3" t="n">
        <x:v>18</x:v>
      </x:c>
      <x:c r="D1903" s="3" t="n">
        <x:v>3</x:v>
      </x:c>
      <x:c r="E1903" s="3" t="n">
        <x:v>3</x:v>
      </x:c>
      <x:c r="F1903" s="3" t="n">
        <x:v>1</x:v>
      </x:c>
    </x:row>
    <x:row r="1904" ht="21" customHeight="1">
      <x:c r="A1904" s="3" t="n">
        <x:v>57</x:v>
      </x:c>
      <x:c r="B1904" s="3" t="n">
        <x:v>14</x:v>
      </x:c>
      <x:c r="C1904" s="3" t="n">
        <x:v>19</x:v>
      </x:c>
      <x:c r="D1904" s="3" t="n">
        <x:v>3</x:v>
      </x:c>
      <x:c r="E1904" s="3" t="n">
        <x:v>4</x:v>
      </x:c>
      <x:c r="F1904" s="3" t="n">
        <x:v>2</x:v>
      </x:c>
    </x:row>
    <x:row r="1905" ht="21" customHeight="1">
      <x:c r="A1905" s="3" t="n">
        <x:v>57</x:v>
      </x:c>
      <x:c r="B1905" s="3" t="n">
        <x:v>15</x:v>
      </x:c>
      <x:c r="C1905" s="3" t="n">
        <x:v>20</x:v>
      </x:c>
      <x:c r="D1905" s="3" t="n">
        <x:v>3</x:v>
      </x:c>
      <x:c r="E1905" s="3" t="n">
        <x:v>4</x:v>
      </x:c>
      <x:c r="F1905" s="3" t="n">
        <x:v>2</x:v>
      </x:c>
    </x:row>
    <x:row r="1906" ht="21" customHeight="1">
      <x:c r="A1906" s="3" t="n">
        <x:v>57</x:v>
      </x:c>
      <x:c r="B1906" s="3" t="n">
        <x:v>16</x:v>
      </x:c>
      <x:c r="C1906" s="3" t="n">
        <x:v>21</x:v>
      </x:c>
      <x:c r="D1906" s="3" t="n">
        <x:v>3</x:v>
      </x:c>
      <x:c r="E1906" s="3" t="n">
        <x:v>4</x:v>
      </x:c>
      <x:c r="F1906" s="3" t="n">
        <x:v>2</x:v>
      </x:c>
    </x:row>
    <x:row r="1907" ht="21" customHeight="1">
      <x:c r="A1907" s="3" t="n">
        <x:v>57</x:v>
      </x:c>
      <x:c r="B1907" s="3" t="n">
        <x:v>17</x:v>
      </x:c>
      <x:c r="C1907" s="3" t="n">
        <x:v>22</x:v>
      </x:c>
      <x:c r="D1907" s="3" t="n">
        <x:v>3</x:v>
      </x:c>
      <x:c r="E1907" s="3" t="n">
        <x:v>4</x:v>
      </x:c>
      <x:c r="F1907" s="3" t="n">
        <x:v>2</x:v>
      </x:c>
    </x:row>
    <x:row r="1908" ht="21" customHeight="1">
      <x:c r="A1908" s="3" t="n">
        <x:v>57</x:v>
      </x:c>
      <x:c r="B1908" s="3" t="n">
        <x:v>18</x:v>
      </x:c>
      <x:c r="C1908" s="3" t="n">
        <x:v>23</x:v>
      </x:c>
      <x:c r="D1908" s="3" t="n">
        <x:v>4</x:v>
      </x:c>
      <x:c r="E1908" s="3" t="n">
        <x:v>4</x:v>
      </x:c>
      <x:c r="F1908" s="3" t="n">
        <x:v>1</x:v>
      </x:c>
    </x:row>
    <x:row r="1909" ht="21" customHeight="1">
      <x:c r="A1909" s="3" t="n">
        <x:v>57</x:v>
      </x:c>
      <x:c r="B1909" s="3" t="n">
        <x:v>19</x:v>
      </x:c>
      <x:c r="C1909" s="3" t="n">
        <x:v>24</x:v>
      </x:c>
      <x:c r="D1909" s="3" t="n">
        <x:v>4</x:v>
      </x:c>
      <x:c r="E1909" s="3" t="n">
        <x:v>4</x:v>
      </x:c>
      <x:c r="F1909" s="3" t="n">
        <x:v>1</x:v>
      </x:c>
    </x:row>
    <x:row r="1910" ht="21" customHeight="1">
      <x:c r="A1910" s="3" t="n">
        <x:v>57</x:v>
      </x:c>
      <x:c r="B1910" s="3" t="n">
        <x:v>20</x:v>
      </x:c>
      <x:c r="C1910" s="3" t="n">
        <x:v>25</x:v>
      </x:c>
      <x:c r="D1910" s="3" t="n">
        <x:v>4</x:v>
      </x:c>
      <x:c r="E1910" s="3" t="n">
        <x:v>5</x:v>
      </x:c>
      <x:c r="F1910" s="3" t="n">
        <x:v>2</x:v>
      </x:c>
    </x:row>
    <x:row r="1911" ht="21" customHeight="1">
      <x:c r="A1911" s="3" t="n">
        <x:v>57</x:v>
      </x:c>
      <x:c r="B1911" s="3" t="n">
        <x:v>21</x:v>
      </x:c>
      <x:c r="C1911" s="3" t="n">
        <x:v>26</x:v>
      </x:c>
      <x:c r="D1911" s="3" t="n">
        <x:v>4</x:v>
      </x:c>
      <x:c r="E1911" s="3" t="n">
        <x:v>5</x:v>
      </x:c>
      <x:c r="F1911" s="3" t="n">
        <x:v>2</x:v>
      </x:c>
    </x:row>
    <x:row r="1912" ht="21" customHeight="1">
      <x:c r="A1912" s="3" t="n">
        <x:v>57</x:v>
      </x:c>
      <x:c r="B1912" s="3" t="n">
        <x:v>22</x:v>
      </x:c>
      <x:c r="C1912" s="3" t="n">
        <x:v>27</x:v>
      </x:c>
      <x:c r="D1912" s="3" t="n">
        <x:v>4</x:v>
      </x:c>
      <x:c r="E1912" s="3" t="n">
        <x:v>5</x:v>
      </x:c>
      <x:c r="F1912" s="3" t="n">
        <x:v>2</x:v>
      </x:c>
    </x:row>
    <x:row r="1913" ht="21" customHeight="1">
      <x:c r="A1913" s="3" t="n">
        <x:v>57</x:v>
      </x:c>
      <x:c r="B1913" s="3" t="n">
        <x:v>23</x:v>
      </x:c>
      <x:c r="C1913" s="3" t="n">
        <x:v>28</x:v>
      </x:c>
      <x:c r="D1913" s="3" t="n">
        <x:v>4</x:v>
      </x:c>
      <x:c r="E1913" s="3" t="n">
        <x:v>5</x:v>
      </x:c>
      <x:c r="F1913" s="3" t="n">
        <x:v>2</x:v>
      </x:c>
    </x:row>
    <x:row r="1914" ht="21" customHeight="1">
      <x:c r="A1914" s="3" t="n">
        <x:v>57</x:v>
      </x:c>
      <x:c r="B1914" s="3" t="n">
        <x:v>24</x:v>
      </x:c>
      <x:c r="C1914" s="3" t="n">
        <x:v>29</x:v>
      </x:c>
      <x:c r="D1914" s="3" t="n">
        <x:v>5</x:v>
      </x:c>
      <x:c r="E1914" s="3" t="n">
        <x:v>5</x:v>
      </x:c>
      <x:c r="F1914" s="3" t="n">
        <x:v>1</x:v>
      </x:c>
    </x:row>
    <x:row r="1915" ht="21" customHeight="1">
      <x:c r="A1915" s="3" t="n">
        <x:v>57</x:v>
      </x:c>
      <x:c r="B1915" s="3" t="n">
        <x:v>25</x:v>
      </x:c>
      <x:c r="C1915" s="3" t="n">
        <x:v>30</x:v>
      </x:c>
      <x:c r="D1915" s="3" t="n">
        <x:v>5</x:v>
      </x:c>
      <x:c r="E1915" s="3" t="n">
        <x:v>5</x:v>
      </x:c>
      <x:c r="F1915" s="3" t="n">
        <x:v>1</x:v>
      </x:c>
    </x:row>
    <x:row r="1916" ht="21" customHeight="1">
      <x:c r="A1916" s="3" t="n">
        <x:v>57</x:v>
      </x:c>
      <x:c r="B1916" s="3" t="n">
        <x:v>26</x:v>
      </x:c>
      <x:c r="C1916" s="3" t="n">
        <x:v>31</x:v>
      </x:c>
      <x:c r="D1916" s="3" t="n">
        <x:v>5</x:v>
      </x:c>
      <x:c r="E1916" s="3" t="n">
        <x:v>6</x:v>
      </x:c>
      <x:c r="F1916" s="3" t="n">
        <x:v>2</x:v>
      </x:c>
    </x:row>
    <x:row r="1917" ht="21" customHeight="1">
      <x:c r="A1917" s="3" t="n">
        <x:v>57</x:v>
      </x:c>
      <x:c r="B1917" s="3" t="n">
        <x:v>27</x:v>
      </x:c>
      <x:c r="C1917" s="3" t="n">
        <x:v>32</x:v>
      </x:c>
      <x:c r="D1917" s="3" t="n">
        <x:v>5</x:v>
      </x:c>
      <x:c r="E1917" s="3" t="n">
        <x:v>6</x:v>
      </x:c>
      <x:c r="F1917" s="3" t="n">
        <x:v>2</x:v>
      </x:c>
    </x:row>
    <x:row r="1918" ht="21" customHeight="1">
      <x:c r="A1918" s="3" t="n">
        <x:v>57</x:v>
      </x:c>
      <x:c r="B1918" s="3" t="n">
        <x:v>28</x:v>
      </x:c>
      <x:c r="C1918" s="3" t="n">
        <x:v>33</x:v>
      </x:c>
      <x:c r="D1918" s="3" t="n">
        <x:v>5</x:v>
      </x:c>
      <x:c r="E1918" s="3" t="n">
        <x:v>6</x:v>
      </x:c>
      <x:c r="F1918" s="3" t="n">
        <x:v>2</x:v>
      </x:c>
    </x:row>
    <x:row r="1919" ht="21" customHeight="1">
      <x:c r="A1919" s="3" t="n">
        <x:v>57</x:v>
      </x:c>
      <x:c r="B1919" s="3" t="n">
        <x:v>29</x:v>
      </x:c>
      <x:c r="C1919" s="3" t="n">
        <x:v>34</x:v>
      </x:c>
      <x:c r="D1919" s="3" t="n">
        <x:v>5</x:v>
      </x:c>
      <x:c r="E1919" s="3" t="n">
        <x:v>6</x:v>
      </x:c>
      <x:c r="F1919" s="3" t="n">
        <x:v>2</x:v>
      </x:c>
    </x:row>
    <x:row r="1920" ht="21" customHeight="1">
      <x:c r="A1920" s="3" t="n">
        <x:v>57</x:v>
      </x:c>
      <x:c r="B1920" s="3" t="n">
        <x:v>30</x:v>
      </x:c>
      <x:c r="C1920" s="3" t="n">
        <x:v>35</x:v>
      </x:c>
      <x:c r="D1920" s="3" t="n">
        <x:v>6</x:v>
      </x:c>
      <x:c r="E1920" s="3" t="n">
        <x:v>6</x:v>
      </x:c>
      <x:c r="F1920" s="3" t="n">
        <x:v>1</x:v>
      </x:c>
    </x:row>
    <x:row r="1921" ht="21" customHeight="1">
      <x:c r="A1921" s="3" t="n">
        <x:v>57</x:v>
      </x:c>
      <x:c r="B1921" s="3" t="n">
        <x:v>31</x:v>
      </x:c>
      <x:c r="C1921" s="3" t="n">
        <x:v>36</x:v>
      </x:c>
      <x:c r="D1921" s="3" t="n">
        <x:v>6</x:v>
      </x:c>
      <x:c r="E1921" s="3" t="n">
        <x:v>6</x:v>
      </x:c>
      <x:c r="F1921" s="3" t="n">
        <x:v>1</x:v>
      </x:c>
    </x:row>
    <x:row r="1922" ht="21" customHeight="1">
      <x:c r="A1922" s="3" t="n">
        <x:v>58</x:v>
      </x:c>
      <x:c r="B1922" s="3" t="n">
        <x:v>0</x:v>
      </x:c>
      <x:c r="C1922" s="3" t="n">
        <x:v>3</x:v>
      </x:c>
      <x:c r="D1922" s="3" t="n">
        <x:v>1</x:v>
      </x:c>
      <x:c r="E1922" s="3" t="n">
        <x:v>1</x:v>
      </x:c>
      <x:c r="F1922" s="3" t="n">
        <x:v>1</x:v>
      </x:c>
    </x:row>
    <x:row r="1923" ht="21" customHeight="1">
      <x:c r="A1923" s="3" t="n">
        <x:v>58</x:v>
      </x:c>
      <x:c r="B1923" s="3" t="n">
        <x:v>1</x:v>
      </x:c>
      <x:c r="C1923" s="3" t="n">
        <x:v>4</x:v>
      </x:c>
      <x:c r="D1923" s="3" t="n">
        <x:v>1</x:v>
      </x:c>
      <x:c r="E1923" s="3" t="n">
        <x:v>1</x:v>
      </x:c>
      <x:c r="F1923" s="3" t="n">
        <x:v>1</x:v>
      </x:c>
    </x:row>
    <x:row r="1924" ht="21" customHeight="1">
      <x:c r="A1924" s="3" t="n">
        <x:v>58</x:v>
      </x:c>
      <x:c r="B1924" s="3" t="n">
        <x:v>2</x:v>
      </x:c>
      <x:c r="C1924" s="3" t="n">
        <x:v>5</x:v>
      </x:c>
      <x:c r="D1924" s="3" t="n">
        <x:v>1</x:v>
      </x:c>
      <x:c r="E1924" s="3" t="n">
        <x:v>1</x:v>
      </x:c>
      <x:c r="F1924" s="3" t="n">
        <x:v>1</x:v>
      </x:c>
    </x:row>
    <x:row r="1925" ht="21" customHeight="1">
      <x:c r="A1925" s="3" t="n">
        <x:v>58</x:v>
      </x:c>
      <x:c r="B1925" s="3" t="n">
        <x:v>3</x:v>
      </x:c>
      <x:c r="C1925" s="3" t="n">
        <x:v>6</x:v>
      </x:c>
      <x:c r="D1925" s="3" t="n">
        <x:v>1</x:v>
      </x:c>
      <x:c r="E1925" s="3" t="n">
        <x:v>1</x:v>
      </x:c>
      <x:c r="F1925" s="3" t="n">
        <x:v>1</x:v>
      </x:c>
    </x:row>
    <x:row r="1926" ht="21" customHeight="1">
      <x:c r="A1926" s="3" t="n">
        <x:v>58</x:v>
      </x:c>
      <x:c r="B1926" s="3" t="n">
        <x:v>4</x:v>
      </x:c>
      <x:c r="C1926" s="3" t="n">
        <x:v>7</x:v>
      </x:c>
      <x:c r="D1926" s="3" t="n">
        <x:v>1</x:v>
      </x:c>
      <x:c r="E1926" s="3" t="n">
        <x:v>2</x:v>
      </x:c>
      <x:c r="F1926" s="3" t="n">
        <x:v>2</x:v>
      </x:c>
    </x:row>
    <x:row r="1927" ht="21" customHeight="1">
      <x:c r="A1927" s="3" t="n">
        <x:v>58</x:v>
      </x:c>
      <x:c r="B1927" s="3" t="n">
        <x:v>5</x:v>
      </x:c>
      <x:c r="C1927" s="3" t="n">
        <x:v>8</x:v>
      </x:c>
      <x:c r="D1927" s="3" t="n">
        <x:v>1</x:v>
      </x:c>
      <x:c r="E1927" s="3" t="n">
        <x:v>2</x:v>
      </x:c>
      <x:c r="F1927" s="3" t="n">
        <x:v>2</x:v>
      </x:c>
    </x:row>
    <x:row r="1928" ht="21" customHeight="1">
      <x:c r="A1928" s="3" t="n">
        <x:v>58</x:v>
      </x:c>
      <x:c r="B1928" s="3" t="n">
        <x:v>6</x:v>
      </x:c>
      <x:c r="C1928" s="3" t="n">
        <x:v>9</x:v>
      </x:c>
      <x:c r="D1928" s="3" t="n">
        <x:v>2</x:v>
      </x:c>
      <x:c r="E1928" s="3" t="n">
        <x:v>2</x:v>
      </x:c>
      <x:c r="F1928" s="3" t="n">
        <x:v>1</x:v>
      </x:c>
    </x:row>
    <x:row r="1929" ht="21" customHeight="1">
      <x:c r="A1929" s="3" t="n">
        <x:v>58</x:v>
      </x:c>
      <x:c r="B1929" s="3" t="n">
        <x:v>7</x:v>
      </x:c>
      <x:c r="C1929" s="3" t="n">
        <x:v>10</x:v>
      </x:c>
      <x:c r="D1929" s="3" t="n">
        <x:v>2</x:v>
      </x:c>
      <x:c r="E1929" s="3" t="n">
        <x:v>2</x:v>
      </x:c>
      <x:c r="F1929" s="3" t="n">
        <x:v>1</x:v>
      </x:c>
    </x:row>
    <x:row r="1930" ht="21" customHeight="1">
      <x:c r="A1930" s="3" t="n">
        <x:v>58</x:v>
      </x:c>
      <x:c r="B1930" s="3" t="n">
        <x:v>8</x:v>
      </x:c>
      <x:c r="C1930" s="3" t="n">
        <x:v>11</x:v>
      </x:c>
      <x:c r="D1930" s="3" t="n">
        <x:v>2</x:v>
      </x:c>
      <x:c r="E1930" s="3" t="n">
        <x:v>2</x:v>
      </x:c>
      <x:c r="F1930" s="3" t="n">
        <x:v>1</x:v>
      </x:c>
    </x:row>
    <x:row r="1931" ht="21" customHeight="1">
      <x:c r="A1931" s="3" t="n">
        <x:v>58</x:v>
      </x:c>
      <x:c r="B1931" s="3" t="n">
        <x:v>9</x:v>
      </x:c>
      <x:c r="C1931" s="3" t="n">
        <x:v>12</x:v>
      </x:c>
      <x:c r="D1931" s="3" t="n">
        <x:v>2</x:v>
      </x:c>
      <x:c r="E1931" s="3" t="n">
        <x:v>2</x:v>
      </x:c>
      <x:c r="F1931" s="3" t="n">
        <x:v>1</x:v>
      </x:c>
    </x:row>
    <x:row r="1932" ht="21" customHeight="1">
      <x:c r="A1932" s="3" t="n">
        <x:v>58</x:v>
      </x:c>
      <x:c r="B1932" s="3" t="n">
        <x:v>10</x:v>
      </x:c>
      <x:c r="C1932" s="3" t="n">
        <x:v>13</x:v>
      </x:c>
      <x:c r="D1932" s="3" t="n">
        <x:v>2</x:v>
      </x:c>
      <x:c r="E1932" s="3" t="n">
        <x:v>3</x:v>
      </x:c>
      <x:c r="F1932" s="3" t="n">
        <x:v>2</x:v>
      </x:c>
    </x:row>
    <x:row r="1933" ht="21" customHeight="1">
      <x:c r="A1933" s="3" t="n">
        <x:v>58</x:v>
      </x:c>
      <x:c r="B1933" s="3" t="n">
        <x:v>11</x:v>
      </x:c>
      <x:c r="C1933" s="3" t="n">
        <x:v>14</x:v>
      </x:c>
      <x:c r="D1933" s="3" t="n">
        <x:v>2</x:v>
      </x:c>
      <x:c r="E1933" s="3" t="n">
        <x:v>3</x:v>
      </x:c>
      <x:c r="F1933" s="3" t="n">
        <x:v>2</x:v>
      </x:c>
    </x:row>
    <x:row r="1934" ht="21" customHeight="1">
      <x:c r="A1934" s="3" t="n">
        <x:v>58</x:v>
      </x:c>
      <x:c r="B1934" s="3" t="n">
        <x:v>12</x:v>
      </x:c>
      <x:c r="C1934" s="3" t="n">
        <x:v>15</x:v>
      </x:c>
      <x:c r="D1934" s="3" t="n">
        <x:v>3</x:v>
      </x:c>
      <x:c r="E1934" s="3" t="n">
        <x:v>3</x:v>
      </x:c>
      <x:c r="F1934" s="3" t="n">
        <x:v>1</x:v>
      </x:c>
    </x:row>
    <x:row r="1935" ht="21" customHeight="1">
      <x:c r="A1935" s="3" t="n">
        <x:v>58</x:v>
      </x:c>
      <x:c r="B1935" s="3" t="n">
        <x:v>13</x:v>
      </x:c>
      <x:c r="C1935" s="3" t="n">
        <x:v>16</x:v>
      </x:c>
      <x:c r="D1935" s="3" t="n">
        <x:v>3</x:v>
      </x:c>
      <x:c r="E1935" s="3" t="n">
        <x:v>3</x:v>
      </x:c>
      <x:c r="F1935" s="3" t="n">
        <x:v>1</x:v>
      </x:c>
    </x:row>
    <x:row r="1936" ht="21" customHeight="1">
      <x:c r="A1936" s="3" t="n">
        <x:v>58</x:v>
      </x:c>
      <x:c r="B1936" s="3" t="n">
        <x:v>14</x:v>
      </x:c>
      <x:c r="C1936" s="3" t="n">
        <x:v>17</x:v>
      </x:c>
      <x:c r="D1936" s="3" t="n">
        <x:v>3</x:v>
      </x:c>
      <x:c r="E1936" s="3" t="n">
        <x:v>3</x:v>
      </x:c>
      <x:c r="F1936" s="3" t="n">
        <x:v>1</x:v>
      </x:c>
    </x:row>
    <x:row r="1937" ht="21" customHeight="1">
      <x:c r="A1937" s="3" t="n">
        <x:v>58</x:v>
      </x:c>
      <x:c r="B1937" s="3" t="n">
        <x:v>15</x:v>
      </x:c>
      <x:c r="C1937" s="3" t="n">
        <x:v>18</x:v>
      </x:c>
      <x:c r="D1937" s="3" t="n">
        <x:v>3</x:v>
      </x:c>
      <x:c r="E1937" s="3" t="n">
        <x:v>3</x:v>
      </x:c>
      <x:c r="F1937" s="3" t="n">
        <x:v>1</x:v>
      </x:c>
    </x:row>
    <x:row r="1938" ht="21" customHeight="1">
      <x:c r="A1938" s="3" t="n">
        <x:v>58</x:v>
      </x:c>
      <x:c r="B1938" s="3" t="n">
        <x:v>16</x:v>
      </x:c>
      <x:c r="C1938" s="3" t="n">
        <x:v>19</x:v>
      </x:c>
      <x:c r="D1938" s="3" t="n">
        <x:v>3</x:v>
      </x:c>
      <x:c r="E1938" s="3" t="n">
        <x:v>4</x:v>
      </x:c>
      <x:c r="F1938" s="3" t="n">
        <x:v>2</x:v>
      </x:c>
    </x:row>
    <x:row r="1939" ht="21" customHeight="1">
      <x:c r="A1939" s="3" t="n">
        <x:v>58</x:v>
      </x:c>
      <x:c r="B1939" s="3" t="n">
        <x:v>17</x:v>
      </x:c>
      <x:c r="C1939" s="3" t="n">
        <x:v>20</x:v>
      </x:c>
      <x:c r="D1939" s="3" t="n">
        <x:v>3</x:v>
      </x:c>
      <x:c r="E1939" s="3" t="n">
        <x:v>4</x:v>
      </x:c>
      <x:c r="F1939" s="3" t="n">
        <x:v>2</x:v>
      </x:c>
    </x:row>
    <x:row r="1940" ht="21" customHeight="1">
      <x:c r="A1940" s="3" t="n">
        <x:v>58</x:v>
      </x:c>
      <x:c r="B1940" s="3" t="n">
        <x:v>18</x:v>
      </x:c>
      <x:c r="C1940" s="3" t="n">
        <x:v>21</x:v>
      </x:c>
      <x:c r="D1940" s="3" t="n">
        <x:v>4</x:v>
      </x:c>
      <x:c r="E1940" s="3" t="n">
        <x:v>4</x:v>
      </x:c>
      <x:c r="F1940" s="3" t="n">
        <x:v>1</x:v>
      </x:c>
    </x:row>
    <x:row r="1941" ht="21" customHeight="1">
      <x:c r="A1941" s="3" t="n">
        <x:v>58</x:v>
      </x:c>
      <x:c r="B1941" s="3" t="n">
        <x:v>19</x:v>
      </x:c>
      <x:c r="C1941" s="3" t="n">
        <x:v>22</x:v>
      </x:c>
      <x:c r="D1941" s="3" t="n">
        <x:v>4</x:v>
      </x:c>
      <x:c r="E1941" s="3" t="n">
        <x:v>4</x:v>
      </x:c>
      <x:c r="F1941" s="3" t="n">
        <x:v>1</x:v>
      </x:c>
    </x:row>
    <x:row r="1942" ht="21" customHeight="1">
      <x:c r="A1942" s="3" t="n">
        <x:v>58</x:v>
      </x:c>
      <x:c r="B1942" s="3" t="n">
        <x:v>20</x:v>
      </x:c>
      <x:c r="C1942" s="3" t="n">
        <x:v>23</x:v>
      </x:c>
      <x:c r="D1942" s="3" t="n">
        <x:v>4</x:v>
      </x:c>
      <x:c r="E1942" s="3" t="n">
        <x:v>4</x:v>
      </x:c>
      <x:c r="F1942" s="3" t="n">
        <x:v>1</x:v>
      </x:c>
    </x:row>
    <x:row r="1943" ht="21" customHeight="1">
      <x:c r="A1943" s="3" t="n">
        <x:v>58</x:v>
      </x:c>
      <x:c r="B1943" s="3" t="n">
        <x:v>21</x:v>
      </x:c>
      <x:c r="C1943" s="3" t="n">
        <x:v>24</x:v>
      </x:c>
      <x:c r="D1943" s="3" t="n">
        <x:v>4</x:v>
      </x:c>
      <x:c r="E1943" s="3" t="n">
        <x:v>4</x:v>
      </x:c>
      <x:c r="F1943" s="3" t="n">
        <x:v>1</x:v>
      </x:c>
    </x:row>
    <x:row r="1944" ht="21" customHeight="1">
      <x:c r="A1944" s="3" t="n">
        <x:v>58</x:v>
      </x:c>
      <x:c r="B1944" s="3" t="n">
        <x:v>22</x:v>
      </x:c>
      <x:c r="C1944" s="3" t="n">
        <x:v>25</x:v>
      </x:c>
      <x:c r="D1944" s="3" t="n">
        <x:v>4</x:v>
      </x:c>
      <x:c r="E1944" s="3" t="n">
        <x:v>5</x:v>
      </x:c>
      <x:c r="F1944" s="3" t="n">
        <x:v>2</x:v>
      </x:c>
    </x:row>
    <x:row r="1945" ht="21" customHeight="1">
      <x:c r="A1945" s="3" t="n">
        <x:v>58</x:v>
      </x:c>
      <x:c r="B1945" s="3" t="n">
        <x:v>23</x:v>
      </x:c>
      <x:c r="C1945" s="3" t="n">
        <x:v>26</x:v>
      </x:c>
      <x:c r="D1945" s="3" t="n">
        <x:v>4</x:v>
      </x:c>
      <x:c r="E1945" s="3" t="n">
        <x:v>5</x:v>
      </x:c>
      <x:c r="F1945" s="3" t="n">
        <x:v>2</x:v>
      </x:c>
    </x:row>
    <x:row r="1946" ht="21" customHeight="1">
      <x:c r="A1946" s="3" t="n">
        <x:v>58</x:v>
      </x:c>
      <x:c r="B1946" s="3" t="n">
        <x:v>24</x:v>
      </x:c>
      <x:c r="C1946" s="3" t="n">
        <x:v>27</x:v>
      </x:c>
      <x:c r="D1946" s="3" t="n">
        <x:v>5</x:v>
      </x:c>
      <x:c r="E1946" s="3" t="n">
        <x:v>5</x:v>
      </x:c>
      <x:c r="F1946" s="3" t="n">
        <x:v>1</x:v>
      </x:c>
    </x:row>
    <x:row r="1947" ht="21" customHeight="1">
      <x:c r="A1947" s="3" t="n">
        <x:v>58</x:v>
      </x:c>
      <x:c r="B1947" s="3" t="n">
        <x:v>25</x:v>
      </x:c>
      <x:c r="C1947" s="3" t="n">
        <x:v>28</x:v>
      </x:c>
      <x:c r="D1947" s="3" t="n">
        <x:v>5</x:v>
      </x:c>
      <x:c r="E1947" s="3" t="n">
        <x:v>5</x:v>
      </x:c>
      <x:c r="F1947" s="3" t="n">
        <x:v>1</x:v>
      </x:c>
    </x:row>
    <x:row r="1948" ht="21" customHeight="1">
      <x:c r="A1948" s="3" t="n">
        <x:v>58</x:v>
      </x:c>
      <x:c r="B1948" s="3" t="n">
        <x:v>26</x:v>
      </x:c>
      <x:c r="C1948" s="3" t="n">
        <x:v>29</x:v>
      </x:c>
      <x:c r="D1948" s="3" t="n">
        <x:v>5</x:v>
      </x:c>
      <x:c r="E1948" s="3" t="n">
        <x:v>5</x:v>
      </x:c>
      <x:c r="F1948" s="3" t="n">
        <x:v>1</x:v>
      </x:c>
    </x:row>
    <x:row r="1949" ht="21" customHeight="1">
      <x:c r="A1949" s="3" t="n">
        <x:v>58</x:v>
      </x:c>
      <x:c r="B1949" s="3" t="n">
        <x:v>27</x:v>
      </x:c>
      <x:c r="C1949" s="3" t="n">
        <x:v>30</x:v>
      </x:c>
      <x:c r="D1949" s="3" t="n">
        <x:v>5</x:v>
      </x:c>
      <x:c r="E1949" s="3" t="n">
        <x:v>5</x:v>
      </x:c>
      <x:c r="F1949" s="3" t="n">
        <x:v>1</x:v>
      </x:c>
    </x:row>
    <x:row r="1950" ht="21" customHeight="1">
      <x:c r="A1950" s="3" t="n">
        <x:v>58</x:v>
      </x:c>
      <x:c r="B1950" s="3" t="n">
        <x:v>28</x:v>
      </x:c>
      <x:c r="C1950" s="3" t="n">
        <x:v>31</x:v>
      </x:c>
      <x:c r="D1950" s="3" t="n">
        <x:v>5</x:v>
      </x:c>
      <x:c r="E1950" s="3" t="n">
        <x:v>6</x:v>
      </x:c>
      <x:c r="F1950" s="3" t="n">
        <x:v>2</x:v>
      </x:c>
    </x:row>
    <x:row r="1951" ht="21" customHeight="1">
      <x:c r="A1951" s="3" t="n">
        <x:v>58</x:v>
      </x:c>
      <x:c r="B1951" s="3" t="n">
        <x:v>29</x:v>
      </x:c>
      <x:c r="C1951" s="3" t="n">
        <x:v>32</x:v>
      </x:c>
      <x:c r="D1951" s="3" t="n">
        <x:v>5</x:v>
      </x:c>
      <x:c r="E1951" s="3" t="n">
        <x:v>6</x:v>
      </x:c>
      <x:c r="F1951" s="3" t="n">
        <x:v>2</x:v>
      </x:c>
    </x:row>
    <x:row r="1952" ht="21" customHeight="1">
      <x:c r="A1952" s="3" t="n">
        <x:v>58</x:v>
      </x:c>
      <x:c r="B1952" s="3" t="n">
        <x:v>30</x:v>
      </x:c>
      <x:c r="C1952" s="3" t="n">
        <x:v>33</x:v>
      </x:c>
      <x:c r="D1952" s="3" t="n">
        <x:v>6</x:v>
      </x:c>
      <x:c r="E1952" s="3" t="n">
        <x:v>6</x:v>
      </x:c>
      <x:c r="F1952" s="3" t="n">
        <x:v>1</x:v>
      </x:c>
    </x:row>
    <x:row r="1953" ht="21" customHeight="1">
      <x:c r="A1953" s="3" t="n">
        <x:v>58</x:v>
      </x:c>
      <x:c r="B1953" s="3" t="n">
        <x:v>31</x:v>
      </x:c>
      <x:c r="C1953" s="3" t="n">
        <x:v>34</x:v>
      </x:c>
      <x:c r="D1953" s="3" t="n">
        <x:v>6</x:v>
      </x:c>
      <x:c r="E1953" s="3" t="n">
        <x:v>6</x:v>
      </x:c>
      <x:c r="F1953" s="3" t="n">
        <x:v>1</x:v>
      </x:c>
    </x:row>
    <x:row r="1954" ht="21" customHeight="1">
      <x:c r="A1954" s="3" t="n">
        <x:v>58</x:v>
      </x:c>
      <x:c r="B1954" s="3" t="n">
        <x:v>32</x:v>
      </x:c>
      <x:c r="C1954" s="3" t="n">
        <x:v>35</x:v>
      </x:c>
      <x:c r="D1954" s="3" t="n">
        <x:v>6</x:v>
      </x:c>
      <x:c r="E1954" s="3" t="n">
        <x:v>6</x:v>
      </x:c>
      <x:c r="F1954" s="3" t="n">
        <x:v>1</x:v>
      </x:c>
    </x:row>
    <x:row r="1955" ht="21" customHeight="1">
      <x:c r="A1955" s="3" t="n">
        <x:v>58</x:v>
      </x:c>
      <x:c r="B1955" s="3" t="n">
        <x:v>33</x:v>
      </x:c>
      <x:c r="C1955" s="3" t="n">
        <x:v>36</x:v>
      </x:c>
      <x:c r="D1955" s="3" t="n">
        <x:v>6</x:v>
      </x:c>
      <x:c r="E1955" s="3" t="n">
        <x:v>6</x:v>
      </x:c>
      <x:c r="F1955" s="3" t="n">
        <x:v>1</x:v>
      </x:c>
    </x:row>
    <x:row r="1956" ht="21" customHeight="1">
      <x:c r="A1956" s="3" t="n">
        <x:v>59</x:v>
      </x:c>
      <x:c r="B1956" s="3" t="n">
        <x:v>0</x:v>
      </x:c>
      <x:c r="C1956" s="3" t="n">
        <x:v>5</x:v>
      </x:c>
      <x:c r="D1956" s="3" t="n">
        <x:v>1</x:v>
      </x:c>
      <x:c r="E1956" s="3" t="n">
        <x:v>1</x:v>
      </x:c>
      <x:c r="F1956" s="3" t="n">
        <x:v>1</x:v>
      </x:c>
    </x:row>
    <x:row r="1957" ht="21" customHeight="1">
      <x:c r="A1957" s="3" t="n">
        <x:v>59</x:v>
      </x:c>
      <x:c r="B1957" s="3" t="n">
        <x:v>1</x:v>
      </x:c>
      <x:c r="C1957" s="3" t="n">
        <x:v>6</x:v>
      </x:c>
      <x:c r="D1957" s="3" t="n">
        <x:v>1</x:v>
      </x:c>
      <x:c r="E1957" s="3" t="n">
        <x:v>1</x:v>
      </x:c>
      <x:c r="F1957" s="3" t="n">
        <x:v>1</x:v>
      </x:c>
    </x:row>
    <x:row r="1958" ht="21" customHeight="1">
      <x:c r="A1958" s="3" t="n">
        <x:v>59</x:v>
      </x:c>
      <x:c r="B1958" s="3" t="n">
        <x:v>2</x:v>
      </x:c>
      <x:c r="C1958" s="3" t="n">
        <x:v>7</x:v>
      </x:c>
      <x:c r="D1958" s="3" t="n">
        <x:v>1</x:v>
      </x:c>
      <x:c r="E1958" s="3" t="n">
        <x:v>2</x:v>
      </x:c>
      <x:c r="F1958" s="3" t="n">
        <x:v>2</x:v>
      </x:c>
    </x:row>
    <x:row r="1959" ht="21" customHeight="1">
      <x:c r="A1959" s="3" t="n">
        <x:v>59</x:v>
      </x:c>
      <x:c r="B1959" s="3" t="n">
        <x:v>3</x:v>
      </x:c>
      <x:c r="C1959" s="3" t="n">
        <x:v>8</x:v>
      </x:c>
      <x:c r="D1959" s="3" t="n">
        <x:v>1</x:v>
      </x:c>
      <x:c r="E1959" s="3" t="n">
        <x:v>2</x:v>
      </x:c>
      <x:c r="F1959" s="3" t="n">
        <x:v>2</x:v>
      </x:c>
    </x:row>
    <x:row r="1960" ht="21" customHeight="1">
      <x:c r="A1960" s="3" t="n">
        <x:v>59</x:v>
      </x:c>
      <x:c r="B1960" s="3" t="n">
        <x:v>4</x:v>
      </x:c>
      <x:c r="C1960" s="3" t="n">
        <x:v>9</x:v>
      </x:c>
      <x:c r="D1960" s="3" t="n">
        <x:v>1</x:v>
      </x:c>
      <x:c r="E1960" s="3" t="n">
        <x:v>2</x:v>
      </x:c>
      <x:c r="F1960" s="3" t="n">
        <x:v>2</x:v>
      </x:c>
    </x:row>
    <x:row r="1961" ht="21" customHeight="1">
      <x:c r="A1961" s="3" t="n">
        <x:v>59</x:v>
      </x:c>
      <x:c r="B1961" s="3" t="n">
        <x:v>5</x:v>
      </x:c>
      <x:c r="C1961" s="3" t="n">
        <x:v>10</x:v>
      </x:c>
      <x:c r="D1961" s="3" t="n">
        <x:v>1</x:v>
      </x:c>
      <x:c r="E1961" s="3" t="n">
        <x:v>2</x:v>
      </x:c>
      <x:c r="F1961" s="3" t="n">
        <x:v>2</x:v>
      </x:c>
    </x:row>
    <x:row r="1962" ht="21" customHeight="1">
      <x:c r="A1962" s="3" t="n">
        <x:v>59</x:v>
      </x:c>
      <x:c r="B1962" s="3" t="n">
        <x:v>6</x:v>
      </x:c>
      <x:c r="C1962" s="3" t="n">
        <x:v>11</x:v>
      </x:c>
      <x:c r="D1962" s="3" t="n">
        <x:v>2</x:v>
      </x:c>
      <x:c r="E1962" s="3" t="n">
        <x:v>2</x:v>
      </x:c>
      <x:c r="F1962" s="3" t="n">
        <x:v>1</x:v>
      </x:c>
    </x:row>
    <x:row r="1963" ht="21" customHeight="1">
      <x:c r="A1963" s="3" t="n">
        <x:v>59</x:v>
      </x:c>
      <x:c r="B1963" s="3" t="n">
        <x:v>7</x:v>
      </x:c>
      <x:c r="C1963" s="3" t="n">
        <x:v>12</x:v>
      </x:c>
      <x:c r="D1963" s="3" t="n">
        <x:v>2</x:v>
      </x:c>
      <x:c r="E1963" s="3" t="n">
        <x:v>2</x:v>
      </x:c>
      <x:c r="F1963" s="3" t="n">
        <x:v>1</x:v>
      </x:c>
    </x:row>
    <x:row r="1964" ht="21" customHeight="1">
      <x:c r="A1964" s="3" t="n">
        <x:v>59</x:v>
      </x:c>
      <x:c r="B1964" s="3" t="n">
        <x:v>8</x:v>
      </x:c>
      <x:c r="C1964" s="3" t="n">
        <x:v>13</x:v>
      </x:c>
      <x:c r="D1964" s="3" t="n">
        <x:v>2</x:v>
      </x:c>
      <x:c r="E1964" s="3" t="n">
        <x:v>3</x:v>
      </x:c>
      <x:c r="F1964" s="3" t="n">
        <x:v>2</x:v>
      </x:c>
    </x:row>
    <x:row r="1965" ht="21" customHeight="1">
      <x:c r="A1965" s="3" t="n">
        <x:v>59</x:v>
      </x:c>
      <x:c r="B1965" s="3" t="n">
        <x:v>9</x:v>
      </x:c>
      <x:c r="C1965" s="3" t="n">
        <x:v>14</x:v>
      </x:c>
      <x:c r="D1965" s="3" t="n">
        <x:v>2</x:v>
      </x:c>
      <x:c r="E1965" s="3" t="n">
        <x:v>3</x:v>
      </x:c>
      <x:c r="F1965" s="3" t="n">
        <x:v>2</x:v>
      </x:c>
    </x:row>
    <x:row r="1966" ht="21" customHeight="1">
      <x:c r="A1966" s="3" t="n">
        <x:v>59</x:v>
      </x:c>
      <x:c r="B1966" s="3" t="n">
        <x:v>10</x:v>
      </x:c>
      <x:c r="C1966" s="3" t="n">
        <x:v>15</x:v>
      </x:c>
      <x:c r="D1966" s="3" t="n">
        <x:v>2</x:v>
      </x:c>
      <x:c r="E1966" s="3" t="n">
        <x:v>3</x:v>
      </x:c>
      <x:c r="F1966" s="3" t="n">
        <x:v>2</x:v>
      </x:c>
    </x:row>
    <x:row r="1967" ht="21" customHeight="1">
      <x:c r="A1967" s="3" t="n">
        <x:v>59</x:v>
      </x:c>
      <x:c r="B1967" s="3" t="n">
        <x:v>11</x:v>
      </x:c>
      <x:c r="C1967" s="3" t="n">
        <x:v>16</x:v>
      </x:c>
      <x:c r="D1967" s="3" t="n">
        <x:v>2</x:v>
      </x:c>
      <x:c r="E1967" s="3" t="n">
        <x:v>3</x:v>
      </x:c>
      <x:c r="F1967" s="3" t="n">
        <x:v>2</x:v>
      </x:c>
    </x:row>
    <x:row r="1968" ht="21" customHeight="1">
      <x:c r="A1968" s="3" t="n">
        <x:v>59</x:v>
      </x:c>
      <x:c r="B1968" s="3" t="n">
        <x:v>12</x:v>
      </x:c>
      <x:c r="C1968" s="3" t="n">
        <x:v>17</x:v>
      </x:c>
      <x:c r="D1968" s="3" t="n">
        <x:v>3</x:v>
      </x:c>
      <x:c r="E1968" s="3" t="n">
        <x:v>3</x:v>
      </x:c>
      <x:c r="F1968" s="3" t="n">
        <x:v>1</x:v>
      </x:c>
    </x:row>
    <x:row r="1969" ht="21" customHeight="1">
      <x:c r="A1969" s="3" t="n">
        <x:v>59</x:v>
      </x:c>
      <x:c r="B1969" s="3" t="n">
        <x:v>13</x:v>
      </x:c>
      <x:c r="C1969" s="3" t="n">
        <x:v>18</x:v>
      </x:c>
      <x:c r="D1969" s="3" t="n">
        <x:v>3</x:v>
      </x:c>
      <x:c r="E1969" s="3" t="n">
        <x:v>3</x:v>
      </x:c>
      <x:c r="F1969" s="3" t="n">
        <x:v>1</x:v>
      </x:c>
    </x:row>
    <x:row r="1970" ht="21" customHeight="1">
      <x:c r="A1970" s="3" t="n">
        <x:v>59</x:v>
      </x:c>
      <x:c r="B1970" s="3" t="n">
        <x:v>14</x:v>
      </x:c>
      <x:c r="C1970" s="3" t="n">
        <x:v>19</x:v>
      </x:c>
      <x:c r="D1970" s="3" t="n">
        <x:v>3</x:v>
      </x:c>
      <x:c r="E1970" s="3" t="n">
        <x:v>4</x:v>
      </x:c>
      <x:c r="F1970" s="3" t="n">
        <x:v>2</x:v>
      </x:c>
    </x:row>
    <x:row r="1971" ht="21" customHeight="1">
      <x:c r="A1971" s="3" t="n">
        <x:v>59</x:v>
      </x:c>
      <x:c r="B1971" s="3" t="n">
        <x:v>15</x:v>
      </x:c>
      <x:c r="C1971" s="3" t="n">
        <x:v>20</x:v>
      </x:c>
      <x:c r="D1971" s="3" t="n">
        <x:v>3</x:v>
      </x:c>
      <x:c r="E1971" s="3" t="n">
        <x:v>4</x:v>
      </x:c>
      <x:c r="F1971" s="3" t="n">
        <x:v>2</x:v>
      </x:c>
    </x:row>
    <x:row r="1972" ht="21" customHeight="1">
      <x:c r="A1972" s="3" t="n">
        <x:v>59</x:v>
      </x:c>
      <x:c r="B1972" s="3" t="n">
        <x:v>16</x:v>
      </x:c>
      <x:c r="C1972" s="3" t="n">
        <x:v>21</x:v>
      </x:c>
      <x:c r="D1972" s="3" t="n">
        <x:v>3</x:v>
      </x:c>
      <x:c r="E1972" s="3" t="n">
        <x:v>4</x:v>
      </x:c>
      <x:c r="F1972" s="3" t="n">
        <x:v>2</x:v>
      </x:c>
    </x:row>
    <x:row r="1973" ht="21" customHeight="1">
      <x:c r="A1973" s="3" t="n">
        <x:v>59</x:v>
      </x:c>
      <x:c r="B1973" s="3" t="n">
        <x:v>17</x:v>
      </x:c>
      <x:c r="C1973" s="3" t="n">
        <x:v>22</x:v>
      </x:c>
      <x:c r="D1973" s="3" t="n">
        <x:v>3</x:v>
      </x:c>
      <x:c r="E1973" s="3" t="n">
        <x:v>4</x:v>
      </x:c>
      <x:c r="F1973" s="3" t="n">
        <x:v>2</x:v>
      </x:c>
    </x:row>
    <x:row r="1974" ht="21" customHeight="1">
      <x:c r="A1974" s="3" t="n">
        <x:v>59</x:v>
      </x:c>
      <x:c r="B1974" s="3" t="n">
        <x:v>18</x:v>
      </x:c>
      <x:c r="C1974" s="3" t="n">
        <x:v>23</x:v>
      </x:c>
      <x:c r="D1974" s="3" t="n">
        <x:v>4</x:v>
      </x:c>
      <x:c r="E1974" s="3" t="n">
        <x:v>4</x:v>
      </x:c>
      <x:c r="F1974" s="3" t="n">
        <x:v>1</x:v>
      </x:c>
    </x:row>
    <x:row r="1975" ht="21" customHeight="1">
      <x:c r="A1975" s="3" t="n">
        <x:v>59</x:v>
      </x:c>
      <x:c r="B1975" s="3" t="n">
        <x:v>19</x:v>
      </x:c>
      <x:c r="C1975" s="3" t="n">
        <x:v>24</x:v>
      </x:c>
      <x:c r="D1975" s="3" t="n">
        <x:v>4</x:v>
      </x:c>
      <x:c r="E1975" s="3" t="n">
        <x:v>4</x:v>
      </x:c>
      <x:c r="F1975" s="3" t="n">
        <x:v>1</x:v>
      </x:c>
    </x:row>
    <x:row r="1976" ht="21" customHeight="1">
      <x:c r="A1976" s="3" t="n">
        <x:v>59</x:v>
      </x:c>
      <x:c r="B1976" s="3" t="n">
        <x:v>20</x:v>
      </x:c>
      <x:c r="C1976" s="3" t="n">
        <x:v>25</x:v>
      </x:c>
      <x:c r="D1976" s="3" t="n">
        <x:v>4</x:v>
      </x:c>
      <x:c r="E1976" s="3" t="n">
        <x:v>5</x:v>
      </x:c>
      <x:c r="F1976" s="3" t="n">
        <x:v>2</x:v>
      </x:c>
    </x:row>
    <x:row r="1977" ht="21" customHeight="1">
      <x:c r="A1977" s="3" t="n">
        <x:v>59</x:v>
      </x:c>
      <x:c r="B1977" s="3" t="n">
        <x:v>21</x:v>
      </x:c>
      <x:c r="C1977" s="3" t="n">
        <x:v>26</x:v>
      </x:c>
      <x:c r="D1977" s="3" t="n">
        <x:v>4</x:v>
      </x:c>
      <x:c r="E1977" s="3" t="n">
        <x:v>5</x:v>
      </x:c>
      <x:c r="F1977" s="3" t="n">
        <x:v>2</x:v>
      </x:c>
    </x:row>
    <x:row r="1978" ht="21" customHeight="1">
      <x:c r="A1978" s="3" t="n">
        <x:v>59</x:v>
      </x:c>
      <x:c r="B1978" s="3" t="n">
        <x:v>22</x:v>
      </x:c>
      <x:c r="C1978" s="3" t="n">
        <x:v>27</x:v>
      </x:c>
      <x:c r="D1978" s="3" t="n">
        <x:v>4</x:v>
      </x:c>
      <x:c r="E1978" s="3" t="n">
        <x:v>5</x:v>
      </x:c>
      <x:c r="F1978" s="3" t="n">
        <x:v>2</x:v>
      </x:c>
    </x:row>
    <x:row r="1979" ht="21" customHeight="1">
      <x:c r="A1979" s="3" t="n">
        <x:v>59</x:v>
      </x:c>
      <x:c r="B1979" s="3" t="n">
        <x:v>23</x:v>
      </x:c>
      <x:c r="C1979" s="3" t="n">
        <x:v>28</x:v>
      </x:c>
      <x:c r="D1979" s="3" t="n">
        <x:v>4</x:v>
      </x:c>
      <x:c r="E1979" s="3" t="n">
        <x:v>5</x:v>
      </x:c>
      <x:c r="F1979" s="3" t="n">
        <x:v>2</x:v>
      </x:c>
    </x:row>
    <x:row r="1980" ht="21" customHeight="1">
      <x:c r="A1980" s="3" t="n">
        <x:v>59</x:v>
      </x:c>
      <x:c r="B1980" s="3" t="n">
        <x:v>24</x:v>
      </x:c>
      <x:c r="C1980" s="3" t="n">
        <x:v>29</x:v>
      </x:c>
      <x:c r="D1980" s="3" t="n">
        <x:v>5</x:v>
      </x:c>
      <x:c r="E1980" s="3" t="n">
        <x:v>5</x:v>
      </x:c>
      <x:c r="F1980" s="3" t="n">
        <x:v>1</x:v>
      </x:c>
    </x:row>
    <x:row r="1981" ht="21" customHeight="1">
      <x:c r="A1981" s="3" t="n">
        <x:v>59</x:v>
      </x:c>
      <x:c r="B1981" s="3" t="n">
        <x:v>25</x:v>
      </x:c>
      <x:c r="C1981" s="3" t="n">
        <x:v>30</x:v>
      </x:c>
      <x:c r="D1981" s="3" t="n">
        <x:v>5</x:v>
      </x:c>
      <x:c r="E1981" s="3" t="n">
        <x:v>5</x:v>
      </x:c>
      <x:c r="F1981" s="3" t="n">
        <x:v>1</x:v>
      </x:c>
    </x:row>
    <x:row r="1982" ht="21" customHeight="1">
      <x:c r="A1982" s="3" t="n">
        <x:v>59</x:v>
      </x:c>
      <x:c r="B1982" s="3" t="n">
        <x:v>26</x:v>
      </x:c>
      <x:c r="C1982" s="3" t="n">
        <x:v>31</x:v>
      </x:c>
      <x:c r="D1982" s="3" t="n">
        <x:v>5</x:v>
      </x:c>
      <x:c r="E1982" s="3" t="n">
        <x:v>6</x:v>
      </x:c>
      <x:c r="F1982" s="3" t="n">
        <x:v>2</x:v>
      </x:c>
    </x:row>
    <x:row r="1983" ht="21" customHeight="1">
      <x:c r="A1983" s="3" t="n">
        <x:v>59</x:v>
      </x:c>
      <x:c r="B1983" s="3" t="n">
        <x:v>27</x:v>
      </x:c>
      <x:c r="C1983" s="3" t="n">
        <x:v>32</x:v>
      </x:c>
      <x:c r="D1983" s="3" t="n">
        <x:v>5</x:v>
      </x:c>
      <x:c r="E1983" s="3" t="n">
        <x:v>6</x:v>
      </x:c>
      <x:c r="F1983" s="3" t="n">
        <x:v>2</x:v>
      </x:c>
    </x:row>
    <x:row r="1984" ht="21" customHeight="1">
      <x:c r="A1984" s="3" t="n">
        <x:v>59</x:v>
      </x:c>
      <x:c r="B1984" s="3" t="n">
        <x:v>28</x:v>
      </x:c>
      <x:c r="C1984" s="3" t="n">
        <x:v>33</x:v>
      </x:c>
      <x:c r="D1984" s="3" t="n">
        <x:v>5</x:v>
      </x:c>
      <x:c r="E1984" s="3" t="n">
        <x:v>6</x:v>
      </x:c>
      <x:c r="F1984" s="3" t="n">
        <x:v>2</x:v>
      </x:c>
    </x:row>
    <x:row r="1985" ht="21" customHeight="1">
      <x:c r="A1985" s="3" t="n">
        <x:v>59</x:v>
      </x:c>
      <x:c r="B1985" s="3" t="n">
        <x:v>29</x:v>
      </x:c>
      <x:c r="C1985" s="3" t="n">
        <x:v>34</x:v>
      </x:c>
      <x:c r="D1985" s="3" t="n">
        <x:v>5</x:v>
      </x:c>
      <x:c r="E1985" s="3" t="n">
        <x:v>6</x:v>
      </x:c>
      <x:c r="F1985" s="3" t="n">
        <x:v>2</x:v>
      </x:c>
    </x:row>
    <x:row r="1986" ht="21" customHeight="1">
      <x:c r="A1986" s="3" t="n">
        <x:v>59</x:v>
      </x:c>
      <x:c r="B1986" s="3" t="n">
        <x:v>30</x:v>
      </x:c>
      <x:c r="C1986" s="3" t="n">
        <x:v>35</x:v>
      </x:c>
      <x:c r="D1986" s="3" t="n">
        <x:v>6</x:v>
      </x:c>
      <x:c r="E1986" s="3" t="n">
        <x:v>6</x:v>
      </x:c>
      <x:c r="F1986" s="3" t="n">
        <x:v>1</x:v>
      </x:c>
    </x:row>
    <x:row r="1987" ht="21" customHeight="1">
      <x:c r="A1987" s="3" t="n">
        <x:v>59</x:v>
      </x:c>
      <x:c r="B1987" s="3" t="n">
        <x:v>31</x:v>
      </x:c>
      <x:c r="C1987" s="3" t="n">
        <x:v>36</x:v>
      </x:c>
      <x:c r="D1987" s="3" t="n">
        <x:v>6</x:v>
      </x:c>
      <x:c r="E1987" s="3" t="n">
        <x:v>6</x:v>
      </x:c>
      <x:c r="F1987" s="3" t="n">
        <x:v>1</x:v>
      </x:c>
    </x:row>
    <x:row r="1988" ht="21" customHeight="1">
      <x:c r="A1988" s="3" t="n">
        <x:v>60</x:v>
      </x:c>
      <x:c r="B1988" s="3" t="n">
        <x:v>0</x:v>
      </x:c>
      <x:c r="C1988" s="3" t="n">
        <x:v>3</x:v>
      </x:c>
      <x:c r="D1988" s="3" t="n">
        <x:v>1</x:v>
      </x:c>
      <x:c r="E1988" s="3" t="n">
        <x:v>1</x:v>
      </x:c>
      <x:c r="F1988" s="3" t="n">
        <x:v>1</x:v>
      </x:c>
    </x:row>
    <x:row r="1989" ht="21" customHeight="1">
      <x:c r="A1989" s="3" t="n">
        <x:v>60</x:v>
      </x:c>
      <x:c r="B1989" s="3" t="n">
        <x:v>1</x:v>
      </x:c>
      <x:c r="C1989" s="3" t="n">
        <x:v>4</x:v>
      </x:c>
      <x:c r="D1989" s="3" t="n">
        <x:v>1</x:v>
      </x:c>
      <x:c r="E1989" s="3" t="n">
        <x:v>1</x:v>
      </x:c>
      <x:c r="F1989" s="3" t="n">
        <x:v>1</x:v>
      </x:c>
    </x:row>
    <x:row r="1990" ht="21" customHeight="1">
      <x:c r="A1990" s="3" t="n">
        <x:v>60</x:v>
      </x:c>
      <x:c r="B1990" s="3" t="n">
        <x:v>2</x:v>
      </x:c>
      <x:c r="C1990" s="3" t="n">
        <x:v>5</x:v>
      </x:c>
      <x:c r="D1990" s="3" t="n">
        <x:v>1</x:v>
      </x:c>
      <x:c r="E1990" s="3" t="n">
        <x:v>1</x:v>
      </x:c>
      <x:c r="F1990" s="3" t="n">
        <x:v>1</x:v>
      </x:c>
    </x:row>
    <x:row r="1991" ht="21" customHeight="1">
      <x:c r="A1991" s="3" t="n">
        <x:v>60</x:v>
      </x:c>
      <x:c r="B1991" s="3" t="n">
        <x:v>3</x:v>
      </x:c>
      <x:c r="C1991" s="3" t="n">
        <x:v>6</x:v>
      </x:c>
      <x:c r="D1991" s="3" t="n">
        <x:v>1</x:v>
      </x:c>
      <x:c r="E1991" s="3" t="n">
        <x:v>1</x:v>
      </x:c>
      <x:c r="F1991" s="3" t="n">
        <x:v>1</x:v>
      </x:c>
    </x:row>
    <x:row r="1992" ht="21" customHeight="1">
      <x:c r="A1992" s="3" t="n">
        <x:v>60</x:v>
      </x:c>
      <x:c r="B1992" s="3" t="n">
        <x:v>4</x:v>
      </x:c>
      <x:c r="C1992" s="3" t="n">
        <x:v>7</x:v>
      </x:c>
      <x:c r="D1992" s="3" t="n">
        <x:v>1</x:v>
      </x:c>
      <x:c r="E1992" s="3" t="n">
        <x:v>2</x:v>
      </x:c>
      <x:c r="F1992" s="3" t="n">
        <x:v>2</x:v>
      </x:c>
    </x:row>
    <x:row r="1993" ht="21" customHeight="1">
      <x:c r="A1993" s="3" t="n">
        <x:v>60</x:v>
      </x:c>
      <x:c r="B1993" s="3" t="n">
        <x:v>5</x:v>
      </x:c>
      <x:c r="C1993" s="3" t="n">
        <x:v>8</x:v>
      </x:c>
      <x:c r="D1993" s="3" t="n">
        <x:v>1</x:v>
      </x:c>
      <x:c r="E1993" s="3" t="n">
        <x:v>2</x:v>
      </x:c>
      <x:c r="F1993" s="3" t="n">
        <x:v>2</x:v>
      </x:c>
    </x:row>
    <x:row r="1994" ht="21" customHeight="1">
      <x:c r="A1994" s="3" t="n">
        <x:v>60</x:v>
      </x:c>
      <x:c r="B1994" s="3" t="n">
        <x:v>6</x:v>
      </x:c>
      <x:c r="C1994" s="3" t="n">
        <x:v>9</x:v>
      </x:c>
      <x:c r="D1994" s="3" t="n">
        <x:v>2</x:v>
      </x:c>
      <x:c r="E1994" s="3" t="n">
        <x:v>2</x:v>
      </x:c>
      <x:c r="F1994" s="3" t="n">
        <x:v>1</x:v>
      </x:c>
    </x:row>
    <x:row r="1995" ht="21" customHeight="1">
      <x:c r="A1995" s="3" t="n">
        <x:v>60</x:v>
      </x:c>
      <x:c r="B1995" s="3" t="n">
        <x:v>7</x:v>
      </x:c>
      <x:c r="C1995" s="3" t="n">
        <x:v>10</x:v>
      </x:c>
      <x:c r="D1995" s="3" t="n">
        <x:v>2</x:v>
      </x:c>
      <x:c r="E1995" s="3" t="n">
        <x:v>2</x:v>
      </x:c>
      <x:c r="F1995" s="3" t="n">
        <x:v>1</x:v>
      </x:c>
    </x:row>
    <x:row r="1996" ht="21" customHeight="1">
      <x:c r="A1996" s="3" t="n">
        <x:v>60</x:v>
      </x:c>
      <x:c r="B1996" s="3" t="n">
        <x:v>8</x:v>
      </x:c>
      <x:c r="C1996" s="3" t="n">
        <x:v>11</x:v>
      </x:c>
      <x:c r="D1996" s="3" t="n">
        <x:v>2</x:v>
      </x:c>
      <x:c r="E1996" s="3" t="n">
        <x:v>2</x:v>
      </x:c>
      <x:c r="F1996" s="3" t="n">
        <x:v>1</x:v>
      </x:c>
    </x:row>
    <x:row r="1997" ht="21" customHeight="1">
      <x:c r="A1997" s="3" t="n">
        <x:v>60</x:v>
      </x:c>
      <x:c r="B1997" s="3" t="n">
        <x:v>9</x:v>
      </x:c>
      <x:c r="C1997" s="3" t="n">
        <x:v>12</x:v>
      </x:c>
      <x:c r="D1997" s="3" t="n">
        <x:v>2</x:v>
      </x:c>
      <x:c r="E1997" s="3" t="n">
        <x:v>2</x:v>
      </x:c>
      <x:c r="F1997" s="3" t="n">
        <x:v>1</x:v>
      </x:c>
    </x:row>
    <x:row r="1998" ht="21" customHeight="1">
      <x:c r="A1998" s="3" t="n">
        <x:v>60</x:v>
      </x:c>
      <x:c r="B1998" s="3" t="n">
        <x:v>10</x:v>
      </x:c>
      <x:c r="C1998" s="3" t="n">
        <x:v>13</x:v>
      </x:c>
      <x:c r="D1998" s="3" t="n">
        <x:v>2</x:v>
      </x:c>
      <x:c r="E1998" s="3" t="n">
        <x:v>3</x:v>
      </x:c>
      <x:c r="F1998" s="3" t="n">
        <x:v>2</x:v>
      </x:c>
    </x:row>
    <x:row r="1999" ht="21" customHeight="1">
      <x:c r="A1999" s="3" t="n">
        <x:v>60</x:v>
      </x:c>
      <x:c r="B1999" s="3" t="n">
        <x:v>11</x:v>
      </x:c>
      <x:c r="C1999" s="3" t="n">
        <x:v>14</x:v>
      </x:c>
      <x:c r="D1999" s="3" t="n">
        <x:v>2</x:v>
      </x:c>
      <x:c r="E1999" s="3" t="n">
        <x:v>3</x:v>
      </x:c>
      <x:c r="F1999" s="3" t="n">
        <x:v>2</x:v>
      </x:c>
    </x:row>
    <x:row r="2000" ht="21" customHeight="1">
      <x:c r="A2000" s="3" t="n">
        <x:v>60</x:v>
      </x:c>
      <x:c r="B2000" s="3" t="n">
        <x:v>12</x:v>
      </x:c>
      <x:c r="C2000" s="3" t="n">
        <x:v>15</x:v>
      </x:c>
      <x:c r="D2000" s="3" t="n">
        <x:v>3</x:v>
      </x:c>
      <x:c r="E2000" s="3" t="n">
        <x:v>3</x:v>
      </x:c>
      <x:c r="F2000" s="3" t="n">
        <x:v>1</x:v>
      </x:c>
    </x:row>
    <x:row r="2001" ht="21" customHeight="1">
      <x:c r="A2001" s="3" t="n">
        <x:v>60</x:v>
      </x:c>
      <x:c r="B2001" s="3" t="n">
        <x:v>13</x:v>
      </x:c>
      <x:c r="C2001" s="3" t="n">
        <x:v>16</x:v>
      </x:c>
      <x:c r="D2001" s="3" t="n">
        <x:v>3</x:v>
      </x:c>
      <x:c r="E2001" s="3" t="n">
        <x:v>3</x:v>
      </x:c>
      <x:c r="F2001" s="3" t="n">
        <x:v>1</x:v>
      </x:c>
    </x:row>
    <x:row r="2002" ht="21" customHeight="1">
      <x:c r="A2002" s="3" t="n">
        <x:v>60</x:v>
      </x:c>
      <x:c r="B2002" s="3" t="n">
        <x:v>14</x:v>
      </x:c>
      <x:c r="C2002" s="3" t="n">
        <x:v>17</x:v>
      </x:c>
      <x:c r="D2002" s="3" t="n">
        <x:v>3</x:v>
      </x:c>
      <x:c r="E2002" s="3" t="n">
        <x:v>3</x:v>
      </x:c>
      <x:c r="F2002" s="3" t="n">
        <x:v>1</x:v>
      </x:c>
    </x:row>
    <x:row r="2003" ht="21" customHeight="1">
      <x:c r="A2003" s="3" t="n">
        <x:v>60</x:v>
      </x:c>
      <x:c r="B2003" s="3" t="n">
        <x:v>15</x:v>
      </x:c>
      <x:c r="C2003" s="3" t="n">
        <x:v>18</x:v>
      </x:c>
      <x:c r="D2003" s="3" t="n">
        <x:v>3</x:v>
      </x:c>
      <x:c r="E2003" s="3" t="n">
        <x:v>3</x:v>
      </x:c>
      <x:c r="F2003" s="3" t="n">
        <x:v>1</x:v>
      </x:c>
    </x:row>
    <x:row r="2004" ht="21" customHeight="1">
      <x:c r="A2004" s="3" t="n">
        <x:v>60</x:v>
      </x:c>
      <x:c r="B2004" s="3" t="n">
        <x:v>16</x:v>
      </x:c>
      <x:c r="C2004" s="3" t="n">
        <x:v>19</x:v>
      </x:c>
      <x:c r="D2004" s="3" t="n">
        <x:v>3</x:v>
      </x:c>
      <x:c r="E2004" s="3" t="n">
        <x:v>4</x:v>
      </x:c>
      <x:c r="F2004" s="3" t="n">
        <x:v>2</x:v>
      </x:c>
    </x:row>
    <x:row r="2005" ht="21" customHeight="1">
      <x:c r="A2005" s="3" t="n">
        <x:v>60</x:v>
      </x:c>
      <x:c r="B2005" s="3" t="n">
        <x:v>17</x:v>
      </x:c>
      <x:c r="C2005" s="3" t="n">
        <x:v>20</x:v>
      </x:c>
      <x:c r="D2005" s="3" t="n">
        <x:v>3</x:v>
      </x:c>
      <x:c r="E2005" s="3" t="n">
        <x:v>4</x:v>
      </x:c>
      <x:c r="F2005" s="3" t="n">
        <x:v>2</x:v>
      </x:c>
    </x:row>
    <x:row r="2006" ht="21" customHeight="1">
      <x:c r="A2006" s="3" t="n">
        <x:v>60</x:v>
      </x:c>
      <x:c r="B2006" s="3" t="n">
        <x:v>18</x:v>
      </x:c>
      <x:c r="C2006" s="3" t="n">
        <x:v>21</x:v>
      </x:c>
      <x:c r="D2006" s="3" t="n">
        <x:v>4</x:v>
      </x:c>
      <x:c r="E2006" s="3" t="n">
        <x:v>4</x:v>
      </x:c>
      <x:c r="F2006" s="3" t="n">
        <x:v>1</x:v>
      </x:c>
    </x:row>
    <x:row r="2007" ht="21" customHeight="1">
      <x:c r="A2007" s="3" t="n">
        <x:v>60</x:v>
      </x:c>
      <x:c r="B2007" s="3" t="n">
        <x:v>19</x:v>
      </x:c>
      <x:c r="C2007" s="3" t="n">
        <x:v>22</x:v>
      </x:c>
      <x:c r="D2007" s="3" t="n">
        <x:v>4</x:v>
      </x:c>
      <x:c r="E2007" s="3" t="n">
        <x:v>4</x:v>
      </x:c>
      <x:c r="F2007" s="3" t="n">
        <x:v>1</x:v>
      </x:c>
    </x:row>
    <x:row r="2008" ht="21" customHeight="1">
      <x:c r="A2008" s="3" t="n">
        <x:v>60</x:v>
      </x:c>
      <x:c r="B2008" s="3" t="n">
        <x:v>20</x:v>
      </x:c>
      <x:c r="C2008" s="3" t="n">
        <x:v>23</x:v>
      </x:c>
      <x:c r="D2008" s="3" t="n">
        <x:v>4</x:v>
      </x:c>
      <x:c r="E2008" s="3" t="n">
        <x:v>4</x:v>
      </x:c>
      <x:c r="F2008" s="3" t="n">
        <x:v>1</x:v>
      </x:c>
    </x:row>
    <x:row r="2009" ht="21" customHeight="1">
      <x:c r="A2009" s="3" t="n">
        <x:v>60</x:v>
      </x:c>
      <x:c r="B2009" s="3" t="n">
        <x:v>21</x:v>
      </x:c>
      <x:c r="C2009" s="3" t="n">
        <x:v>24</x:v>
      </x:c>
      <x:c r="D2009" s="3" t="n">
        <x:v>4</x:v>
      </x:c>
      <x:c r="E2009" s="3" t="n">
        <x:v>4</x:v>
      </x:c>
      <x:c r="F2009" s="3" t="n">
        <x:v>1</x:v>
      </x:c>
    </x:row>
    <x:row r="2010" ht="21" customHeight="1">
      <x:c r="A2010" s="3" t="n">
        <x:v>60</x:v>
      </x:c>
      <x:c r="B2010" s="3" t="n">
        <x:v>22</x:v>
      </x:c>
      <x:c r="C2010" s="3" t="n">
        <x:v>25</x:v>
      </x:c>
      <x:c r="D2010" s="3" t="n">
        <x:v>4</x:v>
      </x:c>
      <x:c r="E2010" s="3" t="n">
        <x:v>5</x:v>
      </x:c>
      <x:c r="F2010" s="3" t="n">
        <x:v>2</x:v>
      </x:c>
    </x:row>
    <x:row r="2011" ht="21" customHeight="1">
      <x:c r="A2011" s="3" t="n">
        <x:v>60</x:v>
      </x:c>
      <x:c r="B2011" s="3" t="n">
        <x:v>23</x:v>
      </x:c>
      <x:c r="C2011" s="3" t="n">
        <x:v>26</x:v>
      </x:c>
      <x:c r="D2011" s="3" t="n">
        <x:v>4</x:v>
      </x:c>
      <x:c r="E2011" s="3" t="n">
        <x:v>5</x:v>
      </x:c>
      <x:c r="F2011" s="3" t="n">
        <x:v>2</x:v>
      </x:c>
    </x:row>
    <x:row r="2012" ht="21" customHeight="1">
      <x:c r="A2012" s="3" t="n">
        <x:v>60</x:v>
      </x:c>
      <x:c r="B2012" s="3" t="n">
        <x:v>24</x:v>
      </x:c>
      <x:c r="C2012" s="3" t="n">
        <x:v>27</x:v>
      </x:c>
      <x:c r="D2012" s="3" t="n">
        <x:v>5</x:v>
      </x:c>
      <x:c r="E2012" s="3" t="n">
        <x:v>5</x:v>
      </x:c>
      <x:c r="F2012" s="3" t="n">
        <x:v>1</x:v>
      </x:c>
    </x:row>
    <x:row r="2013" ht="21" customHeight="1">
      <x:c r="A2013" s="3" t="n">
        <x:v>60</x:v>
      </x:c>
      <x:c r="B2013" s="3" t="n">
        <x:v>25</x:v>
      </x:c>
      <x:c r="C2013" s="3" t="n">
        <x:v>28</x:v>
      </x:c>
      <x:c r="D2013" s="3" t="n">
        <x:v>5</x:v>
      </x:c>
      <x:c r="E2013" s="3" t="n">
        <x:v>5</x:v>
      </x:c>
      <x:c r="F2013" s="3" t="n">
        <x:v>1</x:v>
      </x:c>
    </x:row>
    <x:row r="2014" ht="21" customHeight="1">
      <x:c r="A2014" s="3" t="n">
        <x:v>60</x:v>
      </x:c>
      <x:c r="B2014" s="3" t="n">
        <x:v>26</x:v>
      </x:c>
      <x:c r="C2014" s="3" t="n">
        <x:v>29</x:v>
      </x:c>
      <x:c r="D2014" s="3" t="n">
        <x:v>5</x:v>
      </x:c>
      <x:c r="E2014" s="3" t="n">
        <x:v>5</x:v>
      </x:c>
      <x:c r="F2014" s="3" t="n">
        <x:v>1</x:v>
      </x:c>
    </x:row>
    <x:row r="2015" ht="21" customHeight="1">
      <x:c r="A2015" s="3" t="n">
        <x:v>60</x:v>
      </x:c>
      <x:c r="B2015" s="3" t="n">
        <x:v>27</x:v>
      </x:c>
      <x:c r="C2015" s="3" t="n">
        <x:v>30</x:v>
      </x:c>
      <x:c r="D2015" s="3" t="n">
        <x:v>5</x:v>
      </x:c>
      <x:c r="E2015" s="3" t="n">
        <x:v>5</x:v>
      </x:c>
      <x:c r="F2015" s="3" t="n">
        <x:v>1</x:v>
      </x:c>
    </x:row>
    <x:row r="2016" ht="21" customHeight="1">
      <x:c r="A2016" s="3" t="n">
        <x:v>60</x:v>
      </x:c>
      <x:c r="B2016" s="3" t="n">
        <x:v>28</x:v>
      </x:c>
      <x:c r="C2016" s="3" t="n">
        <x:v>31</x:v>
      </x:c>
      <x:c r="D2016" s="3" t="n">
        <x:v>5</x:v>
      </x:c>
      <x:c r="E2016" s="3" t="n">
        <x:v>6</x:v>
      </x:c>
      <x:c r="F2016" s="3" t="n">
        <x:v>2</x:v>
      </x:c>
    </x:row>
    <x:row r="2017" ht="21" customHeight="1">
      <x:c r="A2017" s="3" t="n">
        <x:v>60</x:v>
      </x:c>
      <x:c r="B2017" s="3" t="n">
        <x:v>29</x:v>
      </x:c>
      <x:c r="C2017" s="3" t="n">
        <x:v>32</x:v>
      </x:c>
      <x:c r="D2017" s="3" t="n">
        <x:v>5</x:v>
      </x:c>
      <x:c r="E2017" s="3" t="n">
        <x:v>6</x:v>
      </x:c>
      <x:c r="F2017" s="3" t="n">
        <x:v>2</x:v>
      </x:c>
    </x:row>
    <x:row r="2018" ht="21" customHeight="1">
      <x:c r="A2018" s="3" t="n">
        <x:v>60</x:v>
      </x:c>
      <x:c r="B2018" s="3" t="n">
        <x:v>30</x:v>
      </x:c>
      <x:c r="C2018" s="3" t="n">
        <x:v>33</x:v>
      </x:c>
      <x:c r="D2018" s="3" t="n">
        <x:v>6</x:v>
      </x:c>
      <x:c r="E2018" s="3" t="n">
        <x:v>6</x:v>
      </x:c>
      <x:c r="F2018" s="3" t="n">
        <x:v>1</x:v>
      </x:c>
    </x:row>
    <x:row r="2019" ht="21" customHeight="1">
      <x:c r="A2019" s="3" t="n">
        <x:v>60</x:v>
      </x:c>
      <x:c r="B2019" s="3" t="n">
        <x:v>31</x:v>
      </x:c>
      <x:c r="C2019" s="3" t="n">
        <x:v>34</x:v>
      </x:c>
      <x:c r="D2019" s="3" t="n">
        <x:v>6</x:v>
      </x:c>
      <x:c r="E2019" s="3" t="n">
        <x:v>6</x:v>
      </x:c>
      <x:c r="F2019" s="3" t="n">
        <x:v>1</x:v>
      </x:c>
    </x:row>
    <x:row r="2020" ht="21" customHeight="1">
      <x:c r="A2020" s="3" t="n">
        <x:v>60</x:v>
      </x:c>
      <x:c r="B2020" s="3" t="n">
        <x:v>32</x:v>
      </x:c>
      <x:c r="C2020" s="3" t="n">
        <x:v>35</x:v>
      </x:c>
      <x:c r="D2020" s="3" t="n">
        <x:v>6</x:v>
      </x:c>
      <x:c r="E2020" s="3" t="n">
        <x:v>6</x:v>
      </x:c>
      <x:c r="F2020" s="3" t="n">
        <x:v>1</x:v>
      </x:c>
    </x:row>
    <x:row r="2021" ht="21" customHeight="1">
      <x:c r="A2021" s="3" t="n">
        <x:v>60</x:v>
      </x:c>
      <x:c r="B2021" s="3" t="n">
        <x:v>33</x:v>
      </x:c>
      <x:c r="C2021" s="3" t="n">
        <x:v>36</x:v>
      </x:c>
      <x:c r="D2021" s="3" t="n">
        <x:v>6</x:v>
      </x:c>
      <x:c r="E2021" s="3" t="n">
        <x:v>6</x:v>
      </x:c>
      <x:c r="F202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003e33aca8b4b9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315.52500000000003</x:v>
      </x:c>
      <x:c r="J2" s="9" t="n">
        <x:f>'Physical_Arcs'!L2*H2</x:f>
        <x:v>3152.625</x:v>
      </x:c>
      <x:c r="K2" s="9" t="n">
        <x:f>'Physical_Arcs'!M2*H2</x:f>
        <x:v>1576.575</x:v>
      </x:c>
      <x:c r="L2" s="9" t="n">
        <x:f>'Physical_Arcs'!U2</x:f>
        <x:v>2</x:v>
      </x:c>
      <x:c r="M2" s="9" t="n">
        <x:f>L2*'Parameters'!$C$6</x:f>
        <x:v>2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10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129.675</x:v>
      </x:c>
      <x:c r="J3" s="9" t="n">
        <x:f>'Physical_Arcs'!L3*H3</x:f>
        <x:v>1292.55</x:v>
      </x:c>
      <x:c r="K3" s="9" t="n">
        <x:f>'Physical_Arcs'!M3*H3</x:f>
        <x:v>646.275</x:v>
      </x:c>
      <x:c r="L3" s="9" t="n">
        <x:f>'Physical_Arcs'!U3</x:f>
        <x:v>1.224719</x:v>
      </x:c>
      <x:c r="M3" s="9" t="n">
        <x:f>L3*'Parameters'!$C$6</x:f>
        <x:v>1.224719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8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198.975</x:v>
      </x:c>
      <x:c r="J4" s="9" t="n">
        <x:f>'Physical_Arcs'!L4*H4</x:f>
        <x:v>1986.075</x:v>
      </x:c>
      <x:c r="K4" s="9" t="n">
        <x:f>'Physical_Arcs'!M4*H4</x:f>
        <x:v>993.3000000000001</x:v>
      </x:c>
      <x:c r="L4" s="9" t="n">
        <x:f>'Physical_Arcs'!U4</x:f>
        <x:v>1.073034</x:v>
      </x:c>
      <x:c r="M4" s="9" t="n">
        <x:f>L4*'Parameters'!$C$6</x:f>
        <x:v>1.073034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7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195.82500000000002</x:v>
      </x:c>
      <x:c r="J5" s="9" t="n">
        <x:f>'Physical_Arcs'!L5*H5</x:f>
        <x:v>1954.575</x:v>
      </x:c>
      <x:c r="K5" s="9" t="n">
        <x:f>'Physical_Arcs'!M5*H5</x:f>
        <x:v>977.5500000000001</x:v>
      </x:c>
      <x:c r="L5" s="9" t="n">
        <x:f>'Physical_Arcs'!U5</x:f>
        <x:v>0.617978</x:v>
      </x:c>
      <x:c r="M5" s="9" t="n">
        <x:f>L5*'Parameters'!$C$6</x:f>
        <x:v>0.617978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4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129.675</x:v>
      </x:c>
      <x:c r="J6" s="9" t="n">
        <x:f>'Physical_Arcs'!L6*H6</x:f>
        <x:v>1292.55</x:v>
      </x:c>
      <x:c r="K6" s="9" t="n">
        <x:f>'Physical_Arcs'!M6*H6</x:f>
        <x:v>646.275</x:v>
      </x:c>
      <x:c r="L6" s="9" t="n">
        <x:f>'Physical_Arcs'!U6</x:f>
        <x:v>0.533708</x:v>
      </x:c>
      <x:c r="M6" s="9" t="n">
        <x:f>L6*'Parameters'!$C$6</x:f>
        <x:v>0.533708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1</x:v>
      </x:c>
      <x:c r="D7" s="3" t="n">
        <x:v>9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217.875</x:v>
      </x:c>
      <x:c r="J7" s="9" t="n">
        <x:f>'Physical_Arcs'!L7*H7</x:f>
        <x:v>2175.6</x:v>
      </x:c>
      <x:c r="K7" s="9" t="n">
        <x:f>'Physical_Arcs'!M7*H7</x:f>
        <x:v>1087.8</x:v>
      </x:c>
      <x:c r="L7" s="9" t="n">
        <x:f>'Physical_Arcs'!U7</x:f>
        <x:v>1.544944</x:v>
      </x:c>
      <x:c r="M7" s="9" t="n">
        <x:f>L7*'Parameters'!$C$6</x:f>
        <x:v>1.544944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1</x:v>
      </x:c>
      <x:c r="D8" s="3" t="n">
        <x:v>5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221.025</x:v>
      </x:c>
      <x:c r="J8" s="9" t="n">
        <x:f>'Physical_Arcs'!L8*H8</x:f>
        <x:v>2207.1</x:v>
      </x:c>
      <x:c r="K8" s="9" t="n">
        <x:f>'Physical_Arcs'!M8*H8</x:f>
        <x:v>1103.55</x:v>
      </x:c>
      <x:c r="L8" s="9" t="n">
        <x:f>'Physical_Arcs'!U8</x:f>
        <x:v>1.275281</x:v>
      </x:c>
      <x:c r="M8" s="9" t="n">
        <x:f>L8*'Parameters'!$C$6</x:f>
        <x:v>1.275281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1</x:v>
      </x:c>
      <x:c r="D9" s="3" t="n">
        <x:v>3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271.425</x:v>
      </x:c>
      <x:c r="J9" s="9" t="n">
        <x:f>'Physical_Arcs'!L9*H9</x:f>
        <x:v>2711.1</x:v>
      </x:c>
      <x:c r="K9" s="9" t="n">
        <x:f>'Physical_Arcs'!M9*H9</x:f>
        <x:v>1355.55</x:v>
      </x:c>
      <x:c r="L9" s="9" t="n">
        <x:f>'Physical_Arcs'!U9</x:f>
        <x:v>1.410112</x:v>
      </x:c>
      <x:c r="M9" s="9" t="n">
        <x:f>L9*'Parameters'!$C$6</x:f>
        <x:v>1.410112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1</x:v>
      </x:c>
      <x:c r="D10" s="3" t="n">
        <x:v>6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41.475</x:v>
      </x:c>
      <x:c r="J10" s="9" t="n">
        <x:f>'Physical_Arcs'!L10*H10</x:f>
        <x:v>410.02500000000003</x:v>
      </x:c>
      <x:c r="K10" s="9" t="n">
        <x:f>'Physical_Arcs'!M10*H10</x:f>
        <x:v>205.275</x:v>
      </x:c>
      <x:c r="L10" s="9" t="n">
        <x:f>'Physical_Arcs'!U10</x:f>
        <x:v>1.342697</x:v>
      </x:c>
      <x:c r="M10" s="9" t="n">
        <x:f>L10*'Parameters'!$C$6</x:f>
        <x:v>1.342697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2</x:v>
      </x:c>
      <x:c r="D11" s="3" t="n">
        <x:v>3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315.52500000000003</x:v>
      </x:c>
      <x:c r="J11" s="9" t="n">
        <x:f>'Physical_Arcs'!L11*H11</x:f>
        <x:v>3152.625</x:v>
      </x:c>
      <x:c r="K11" s="9" t="n">
        <x:f>'Physical_Arcs'!M11*H11</x:f>
        <x:v>1576.575</x:v>
      </x:c>
      <x:c r="L11" s="9" t="n">
        <x:f>'Physical_Arcs'!U11</x:f>
        <x:v>2</x:v>
      </x:c>
      <x:c r="M11" s="9" t="n">
        <x:f>L11*'Parameters'!$C$6</x:f>
        <x:v>2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2</x:v>
      </x:c>
      <x:c r="D12" s="3" t="n">
        <x:v>4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233.625</x:v>
      </x:c>
      <x:c r="J12" s="9" t="n">
        <x:f>'Physical_Arcs'!L12*H12</x:f>
        <x:v>2333.1</x:v>
      </x:c>
      <x:c r="K12" s="9" t="n">
        <x:f>'Physical_Arcs'!M12*H12</x:f>
        <x:v>1166.55</x:v>
      </x:c>
      <x:c r="L12" s="9" t="n">
        <x:f>'Physical_Arcs'!U12</x:f>
        <x:v>0.533708</x:v>
      </x:c>
      <x:c r="M12" s="9" t="n">
        <x:f>L12*'Parameters'!$C$6</x:f>
        <x:v>0.533708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2</x:v>
      </x:c>
      <x:c r="D13" s="3" t="n">
        <x:v>7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180.07500000000002</x:v>
      </x:c>
      <x:c r="J13" s="9" t="n">
        <x:f>'Physical_Arcs'!L13*H13</x:f>
        <x:v>1797.075</x:v>
      </x:c>
      <x:c r="K13" s="9" t="n">
        <x:f>'Physical_Arcs'!M13*H13</x:f>
        <x:v>898.8000000000001</x:v>
      </x:c>
      <x:c r="L13" s="9" t="n">
        <x:f>'Physical_Arcs'!U13</x:f>
        <x:v>1.865169</x:v>
      </x:c>
      <x:c r="M13" s="9" t="n">
        <x:f>L13*'Parameters'!$C$6</x:f>
        <x:v>1.865169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2</x:v>
      </x:c>
      <x:c r="D14" s="3" t="n">
        <x:v>9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95.025</x:v>
      </x:c>
      <x:c r="J14" s="9" t="n">
        <x:f>'Physical_Arcs'!L14*H14</x:f>
        <x:v>946.0500000000001</x:v>
      </x:c>
      <x:c r="K14" s="9" t="n">
        <x:f>'Physical_Arcs'!M14*H14</x:f>
        <x:v>473.02500000000003</x:v>
      </x:c>
      <x:c r="L14" s="9" t="n">
        <x:f>'Physical_Arcs'!U14</x:f>
        <x:v>0.533708</x:v>
      </x:c>
      <x:c r="M14" s="9" t="n">
        <x:f>L14*'Parameters'!$C$6</x:f>
        <x:v>0.533708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2</x:v>
      </x:c>
      <x:c r="D15" s="3" t="n">
        <x:v>8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192.675</x:v>
      </x:c>
      <x:c r="J15" s="9" t="n">
        <x:f>'Physical_Arcs'!L15*H15</x:f>
        <x:v>1923.075</x:v>
      </x:c>
      <x:c r="K15" s="9" t="n">
        <x:f>'Physical_Arcs'!M15*H15</x:f>
        <x:v>961.8000000000001</x:v>
      </x:c>
      <x:c r="L15" s="9" t="n">
        <x:f>'Physical_Arcs'!U15</x:f>
        <x:v>1.882022</x:v>
      </x:c>
      <x:c r="M15" s="9" t="n">
        <x:f>L15*'Parameters'!$C$6</x:f>
        <x:v>1.882022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2</x:v>
      </x:c>
      <x:c r="D16" s="3" t="n">
        <x:v>10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271.425</x:v>
      </x:c>
      <x:c r="J16" s="9" t="n">
        <x:f>'Physical_Arcs'!L16*H16</x:f>
        <x:v>2711.1</x:v>
      </x:c>
      <x:c r="K16" s="9" t="n">
        <x:f>'Physical_Arcs'!M16*H16</x:f>
        <x:v>1355.55</x:v>
      </x:c>
      <x:c r="L16" s="9" t="n">
        <x:f>'Physical_Arcs'!U16</x:f>
        <x:v>1.426966</x:v>
      </x:c>
      <x:c r="M16" s="9" t="n">
        <x:f>L16*'Parameters'!$C$6</x:f>
        <x:v>1.426966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3</x:v>
      </x:c>
      <x:c r="D17" s="3" t="n">
        <x:v>4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315.52500000000003</x:v>
      </x:c>
      <x:c r="J17" s="9" t="n">
        <x:f>'Physical_Arcs'!L17*H17</x:f>
        <x:v>3152.625</x:v>
      </x:c>
      <x:c r="K17" s="9" t="n">
        <x:f>'Physical_Arcs'!M17*H17</x:f>
        <x:v>1576.575</x:v>
      </x:c>
      <x:c r="L17" s="9" t="n">
        <x:f>'Physical_Arcs'!U17</x:f>
        <x:v>2</x:v>
      </x:c>
      <x:c r="M17" s="9" t="n">
        <x:f>L17*'Parameters'!$C$6</x:f>
        <x:v>2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3</x:v>
      </x:c>
      <x:c r="D18" s="3" t="n">
        <x:v>2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293.475</x:v>
      </x:c>
      <x:c r="J18" s="9" t="n">
        <x:f>'Physical_Arcs'!L18*H18</x:f>
        <x:v>2932.125</x:v>
      </x:c>
      <x:c r="K18" s="9" t="n">
        <x:f>'Physical_Arcs'!M18*H18</x:f>
        <x:v>1466.325</x:v>
      </x:c>
      <x:c r="L18" s="9" t="n">
        <x:f>'Physical_Arcs'!U18</x:f>
        <x:v>0.769663</x:v>
      </x:c>
      <x:c r="M18" s="9" t="n">
        <x:f>L18*'Parameters'!$C$6</x:f>
        <x:v>0.769663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3</x:v>
      </x:c>
      <x:c r="D19" s="3" t="n">
        <x:v>1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76.125</x:v>
      </x:c>
      <x:c r="J19" s="9" t="n">
        <x:f>'Physical_Arcs'!L19*H19</x:f>
        <x:v>757.0500000000001</x:v>
      </x:c>
      <x:c r="K19" s="9" t="n">
        <x:f>'Physical_Arcs'!M19*H19</x:f>
        <x:v>378.52500000000003</x:v>
      </x:c>
      <x:c r="L19" s="9" t="n">
        <x:f>'Physical_Arcs'!U19</x:f>
        <x:v>1.595506</x:v>
      </x:c>
      <x:c r="M19" s="9" t="n">
        <x:f>L19*'Parameters'!$C$6</x:f>
        <x:v>1.595506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3</x:v>
      </x:c>
      <x:c r="D20" s="3" t="n">
        <x:v>7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126.525</x:v>
      </x:c>
      <x:c r="J20" s="9" t="n">
        <x:f>'Physical_Arcs'!L20*H20</x:f>
        <x:v>1261.05</x:v>
      </x:c>
      <x:c r="K20" s="9" t="n">
        <x:f>'Physical_Arcs'!M20*H20</x:f>
        <x:v>630.525</x:v>
      </x:c>
      <x:c r="L20" s="9" t="n">
        <x:f>'Physical_Arcs'!U20</x:f>
        <x:v>0.5</x:v>
      </x:c>
      <x:c r="M20" s="9" t="n">
        <x:f>L20*'Parameters'!$C$6</x:f>
        <x:v>0.5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3</x:v>
      </x:c>
      <x:c r="D21" s="3" t="n">
        <x:v>10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274.575</x:v>
      </x:c>
      <x:c r="J21" s="9" t="n">
        <x:f>'Physical_Arcs'!L21*H21</x:f>
        <x:v>2743.125</x:v>
      </x:c>
      <x:c r="K21" s="9" t="n">
        <x:f>'Physical_Arcs'!M21*H21</x:f>
        <x:v>1371.825</x:v>
      </x:c>
      <x:c r="L21" s="9" t="n">
        <x:f>'Physical_Arcs'!U21</x:f>
        <x:v>0.735955</x:v>
      </x:c>
      <x:c r="M21" s="9" t="n">
        <x:f>L21*'Parameters'!$C$6</x:f>
        <x:v>0.735955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9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38.325</x:v>
      </x:c>
      <x:c r="J22" s="9" t="n">
        <x:f>'Physical_Arcs'!L22*H22</x:f>
        <x:v>378.52500000000003</x:v>
      </x:c>
      <x:c r="K22" s="9" t="n">
        <x:f>'Physical_Arcs'!M22*H22</x:f>
        <x:v>189.525</x:v>
      </x:c>
      <x:c r="L22" s="9" t="n">
        <x:f>'Physical_Arcs'!U22</x:f>
        <x:v>0.837079</x:v>
      </x:c>
      <x:c r="M22" s="9" t="n">
        <x:f>L22*'Parameters'!$C$6</x:f>
        <x:v>0.837079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4</x:v>
      </x:c>
      <x:c r="D23" s="3" t="n">
        <x:v>5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315.52500000000003</x:v>
      </x:c>
      <x:c r="J23" s="9" t="n">
        <x:f>'Physical_Arcs'!L23*H23</x:f>
        <x:v>3152.625</x:v>
      </x:c>
      <x:c r="K23" s="9" t="n">
        <x:f>'Physical_Arcs'!M23*H23</x:f>
        <x:v>1576.575</x:v>
      </x:c>
      <x:c r="L23" s="9" t="n">
        <x:f>'Physical_Arcs'!U23</x:f>
        <x:v>2</x:v>
      </x:c>
      <x:c r="M23" s="9" t="n">
        <x:f>L23*'Parameters'!$C$6</x:f>
        <x:v>2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4</x:v>
      </x:c>
      <x:c r="D24" s="3" t="n">
        <x:v>3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57.225</x:v>
      </x:c>
      <x:c r="J24" s="9" t="n">
        <x:f>'Physical_Arcs'!L24*H24</x:f>
        <x:v>567.525</x:v>
      </x:c>
      <x:c r="K24" s="9" t="n">
        <x:f>'Physical_Arcs'!M24*H24</x:f>
        <x:v>284.02500000000003</x:v>
      </x:c>
      <x:c r="L24" s="9" t="n">
        <x:f>'Physical_Arcs'!U24</x:f>
        <x:v>1.91573</x:v>
      </x:c>
      <x:c r="M24" s="9" t="n">
        <x:f>L24*'Parameters'!$C$6</x:f>
        <x:v>1.91573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4</x:v>
      </x:c>
      <x:c r="D25" s="3" t="n">
        <x:v>10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170.625</x:v>
      </x:c>
      <x:c r="J25" s="9" t="n">
        <x:f>'Physical_Arcs'!L25*H25</x:f>
        <x:v>1702.575</x:v>
      </x:c>
      <x:c r="K25" s="9" t="n">
        <x:f>'Physical_Arcs'!M25*H25</x:f>
        <x:v>851.5500000000001</x:v>
      </x:c>
      <x:c r="L25" s="9" t="n">
        <x:f>'Physical_Arcs'!U25</x:f>
        <x:v>1.157303</x:v>
      </x:c>
      <x:c r="M25" s="9" t="n">
        <x:f>L25*'Parameters'!$C$6</x:f>
        <x:v>1.157303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4</x:v>
      </x:c>
      <x:c r="D26" s="3" t="n">
        <x:v>8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154.875</x:v>
      </x:c>
      <x:c r="J26" s="9" t="n">
        <x:f>'Physical_Arcs'!L26*H26</x:f>
        <x:v>1545.075</x:v>
      </x:c>
      <x:c r="K26" s="9" t="n">
        <x:f>'Physical_Arcs'!M26*H26</x:f>
        <x:v>772.8000000000001</x:v>
      </x:c>
      <x:c r="L26" s="9" t="n">
        <x:f>'Physical_Arcs'!U26</x:f>
        <x:v>0.516854</x:v>
      </x:c>
      <x:c r="M26" s="9" t="n">
        <x:f>L26*'Parameters'!$C$6</x:f>
        <x:v>0.516854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4</x:v>
      </x:c>
      <x:c r="D27" s="3" t="n">
        <x:v>7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284.02500000000003</x:v>
      </x:c>
      <x:c r="J27" s="9" t="n">
        <x:f>'Physical_Arcs'!L27*H27</x:f>
        <x:v>2837.625</x:v>
      </x:c>
      <x:c r="K27" s="9" t="n">
        <x:f>'Physical_Arcs'!M27*H27</x:f>
        <x:v>1419.075</x:v>
      </x:c>
      <x:c r="L27" s="9" t="n">
        <x:f>'Physical_Arcs'!U27</x:f>
        <x:v>0.567416</x:v>
      </x:c>
      <x:c r="M27" s="9" t="n">
        <x:f>L27*'Parameters'!$C$6</x:f>
        <x:v>0.567416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4</x:v>
      </x:c>
      <x:c r="D28" s="3" t="n">
        <x:v>2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227.32500000000002</x:v>
      </x:c>
      <x:c r="J28" s="9" t="n">
        <x:f>'Physical_Arcs'!L28*H28</x:f>
        <x:v>2270.1</x:v>
      </x:c>
      <x:c r="K28" s="9" t="n">
        <x:f>'Physical_Arcs'!M28*H28</x:f>
        <x:v>1135.05</x:v>
      </x:c>
      <x:c r="L28" s="9" t="n">
        <x:f>'Physical_Arcs'!U28</x:f>
        <x:v>0.651685</x:v>
      </x:c>
      <x:c r="M28" s="9" t="n">
        <x:f>L28*'Parameters'!$C$6</x:f>
        <x:v>0.651685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4</x:v>
      </x:c>
      <x:c r="D29" s="3" t="n">
        <x:v>6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252.525</x:v>
      </x:c>
      <x:c r="J29" s="9" t="n">
        <x:f>'Physical_Arcs'!L29*H29</x:f>
        <x:v>2522.1</x:v>
      </x:c>
      <x:c r="K29" s="9" t="n">
        <x:f>'Physical_Arcs'!M29*H29</x:f>
        <x:v>1261.05</x:v>
      </x:c>
      <x:c r="L29" s="9" t="n">
        <x:f>'Physical_Arcs'!U29</x:f>
        <x:v>0.702247</x:v>
      </x:c>
      <x:c r="M29" s="9" t="n">
        <x:f>L29*'Parameters'!$C$6</x:f>
        <x:v>0.702247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5</x:v>
      </x:c>
      <x:c r="D30" s="3" t="n">
        <x:v>6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315.52500000000003</x:v>
      </x:c>
      <x:c r="J30" s="9" t="n">
        <x:f>'Physical_Arcs'!L30*H30</x:f>
        <x:v>3152.625</x:v>
      </x:c>
      <x:c r="K30" s="9" t="n">
        <x:f>'Physical_Arcs'!M30*H30</x:f>
        <x:v>1576.575</x:v>
      </x:c>
      <x:c r="L30" s="9" t="n">
        <x:f>'Physical_Arcs'!U30</x:f>
        <x:v>2</x:v>
      </x:c>
      <x:c r="M30" s="9" t="n">
        <x:f>L30*'Parameters'!$C$6</x:f>
        <x:v>2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5</x:v>
      </x:c>
      <x:c r="D31" s="3" t="n">
        <x:v>2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66.675</x:v>
      </x:c>
      <x:c r="J31" s="9" t="n">
        <x:f>'Physical_Arcs'!L31*H31</x:f>
        <x:v>662.025</x:v>
      </x:c>
      <x:c r="K31" s="9" t="n">
        <x:f>'Physical_Arcs'!M31*H31</x:f>
        <x:v>331.27500000000003</x:v>
      </x:c>
      <x:c r="L31" s="9" t="n">
        <x:f>'Physical_Arcs'!U31</x:f>
        <x:v>0.88764</x:v>
      </x:c>
      <x:c r="M31" s="9" t="n">
        <x:f>L31*'Parameters'!$C$6</x:f>
        <x:v>0.88764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5</x:v>
      </x:c>
      <x:c r="D32" s="3" t="n">
        <x:v>8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284.02500000000003</x:v>
      </x:c>
      <x:c r="J32" s="9" t="n">
        <x:f>'Physical_Arcs'!L32*H32</x:f>
        <x:v>2837.625</x:v>
      </x:c>
      <x:c r="K32" s="9" t="n">
        <x:f>'Physical_Arcs'!M32*H32</x:f>
        <x:v>1419.075</x:v>
      </x:c>
      <x:c r="L32" s="9" t="n">
        <x:f>'Physical_Arcs'!U32</x:f>
        <x:v>1.52809</x:v>
      </x:c>
      <x:c r="M32" s="9" t="n">
        <x:f>L32*'Parameters'!$C$6</x:f>
        <x:v>1.52809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5</x:v>
      </x:c>
      <x:c r="D33" s="3" t="n">
        <x:v>3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277.725</x:v>
      </x:c>
      <x:c r="J33" s="9" t="n">
        <x:f>'Physical_Arcs'!L33*H33</x:f>
        <x:v>2774.625</x:v>
      </x:c>
      <x:c r="K33" s="9" t="n">
        <x:f>'Physical_Arcs'!M33*H33</x:f>
        <x:v>1387.575</x:v>
      </x:c>
      <x:c r="L33" s="9" t="n">
        <x:f>'Physical_Arcs'!U33</x:f>
        <x:v>1.308989</x:v>
      </x:c>
      <x:c r="M33" s="9" t="n">
        <x:f>L33*'Parameters'!$C$6</x:f>
        <x:v>1.308989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5</x:v>
      </x:c>
      <x:c r="D34" s="3" t="n">
        <x:v>10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306.075</x:v>
      </x:c>
      <x:c r="J34" s="9" t="n">
        <x:f>'Physical_Arcs'!L34*H34</x:f>
        <x:v>3058.125</x:v>
      </x:c>
      <x:c r="K34" s="9" t="n">
        <x:f>'Physical_Arcs'!M34*H34</x:f>
        <x:v>1529.325</x:v>
      </x:c>
      <x:c r="L34" s="9" t="n">
        <x:f>'Physical_Arcs'!U34</x:f>
        <x:v>0.853933</x:v>
      </x:c>
      <x:c r="M34" s="9" t="n">
        <x:f>L34*'Parameters'!$C$6</x:f>
        <x:v>0.853933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6</x:v>
      </x:c>
      <x:c r="D35" s="3" t="n">
        <x:v>7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315.52500000000003</x:v>
      </x:c>
      <x:c r="J35" s="9" t="n">
        <x:f>'Physical_Arcs'!L35*H35</x:f>
        <x:v>3152.625</x:v>
      </x:c>
      <x:c r="K35" s="9" t="n">
        <x:f>'Physical_Arcs'!M35*H35</x:f>
        <x:v>1576.575</x:v>
      </x:c>
      <x:c r="L35" s="9" t="n">
        <x:f>'Physical_Arcs'!U35</x:f>
        <x:v>2</x:v>
      </x:c>
      <x:c r="M35" s="9" t="n">
        <x:f>L35*'Parameters'!$C$6</x:f>
        <x:v>2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6</x:v>
      </x:c>
      <x:c r="D36" s="3" t="n">
        <x:v>10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161.175</x:v>
      </x:c>
      <x:c r="J36" s="9" t="n">
        <x:f>'Physical_Arcs'!L36*H36</x:f>
        <x:v>1608.075</x:v>
      </x:c>
      <x:c r="K36" s="9" t="n">
        <x:f>'Physical_Arcs'!M36*H36</x:f>
        <x:v>804.3000000000001</x:v>
      </x:c>
      <x:c r="L36" s="9" t="n">
        <x:f>'Physical_Arcs'!U36</x:f>
        <x:v>1.005618</x:v>
      </x:c>
      <x:c r="M36" s="9" t="n">
        <x:f>L36*'Parameters'!$C$6</x:f>
        <x:v>1.005618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6</x:v>
      </x:c>
      <x:c r="D37" s="3" t="n">
        <x:v>8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208.425</x:v>
      </x:c>
      <x:c r="J37" s="9" t="n">
        <x:f>'Physical_Arcs'!L37*H37</x:f>
        <x:v>2081.1</x:v>
      </x:c>
      <x:c r="K37" s="9" t="n">
        <x:f>'Physical_Arcs'!M37*H37</x:f>
        <x:v>1040.55</x:v>
      </x:c>
      <x:c r="L37" s="9" t="n">
        <x:f>'Physical_Arcs'!U37</x:f>
        <x:v>1.544944</x:v>
      </x:c>
      <x:c r="M37" s="9" t="n">
        <x:f>L37*'Parameters'!$C$6</x:f>
        <x:v>1.544944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6</x:v>
      </x:c>
      <x:c r="D38" s="3" t="n">
        <x:v>1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47.775</x:v>
      </x:c>
      <x:c r="J38" s="9" t="n">
        <x:f>'Physical_Arcs'!L38*H38</x:f>
        <x:v>473.02500000000003</x:v>
      </x:c>
      <x:c r="K38" s="9" t="n">
        <x:f>'Physical_Arcs'!M38*H38</x:f>
        <x:v>236.775</x:v>
      </x:c>
      <x:c r="L38" s="9" t="n">
        <x:f>'Physical_Arcs'!U38</x:f>
        <x:v>0.870787</x:v>
      </x:c>
      <x:c r="M38" s="9" t="n">
        <x:f>L38*'Parameters'!$C$6</x:f>
        <x:v>0.870787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6</x:v>
      </x:c>
      <x:c r="D39" s="3" t="n">
        <x:v>3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91.875</x:v>
      </x:c>
      <x:c r="J39" s="9" t="n">
        <x:f>'Physical_Arcs'!L39*H39</x:f>
        <x:v>914.5500000000001</x:v>
      </x:c>
      <x:c r="K39" s="9" t="n">
        <x:f>'Physical_Arcs'!M39*H39</x:f>
        <x:v>457.27500000000003</x:v>
      </x:c>
      <x:c r="L39" s="9" t="n">
        <x:f>'Physical_Arcs'!U39</x:f>
        <x:v>0.921348</x:v>
      </x:c>
      <x:c r="M39" s="9" t="n">
        <x:f>L39*'Parameters'!$C$6</x:f>
        <x:v>0.921348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7</x:v>
      </x:c>
      <x:c r="D40" s="3" t="n">
        <x:v>8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315.52500000000003</x:v>
      </x:c>
      <x:c r="J40" s="9" t="n">
        <x:f>'Physical_Arcs'!L40*H40</x:f>
        <x:v>3152.625</x:v>
      </x:c>
      <x:c r="K40" s="9" t="n">
        <x:f>'Physical_Arcs'!M40*H40</x:f>
        <x:v>1576.575</x:v>
      </x:c>
      <x:c r="L40" s="9" t="n">
        <x:f>'Physical_Arcs'!U40</x:f>
        <x:v>2</x:v>
      </x:c>
      <x:c r="M40" s="9" t="n">
        <x:f>L40*'Parameters'!$C$6</x:f>
        <x:v>2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7</x:v>
      </x:c>
      <x:c r="D41" s="3" t="n">
        <x:v>1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151.725</x:v>
      </x:c>
      <x:c r="J41" s="9" t="n">
        <x:f>'Physical_Arcs'!L41*H41</x:f>
        <x:v>1513.575</x:v>
      </x:c>
      <x:c r="K41" s="9" t="n">
        <x:f>'Physical_Arcs'!M41*H41</x:f>
        <x:v>757.0500000000001</x:v>
      </x:c>
      <x:c r="L41" s="9" t="n">
        <x:f>'Physical_Arcs'!U41</x:f>
        <x:v>1.932584</x:v>
      </x:c>
      <x:c r="M41" s="9" t="n">
        <x:f>L41*'Parameters'!$C$6</x:f>
        <x:v>1.932584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7</x:v>
      </x:c>
      <x:c r="D42" s="3" t="n">
        <x:v>9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302.925</x:v>
      </x:c>
      <x:c r="J42" s="9" t="n">
        <x:f>'Physical_Arcs'!L42*H42</x:f>
        <x:v>3026.625</x:v>
      </x:c>
      <x:c r="K42" s="9" t="n">
        <x:f>'Physical_Arcs'!M42*H42</x:f>
        <x:v>1513.575</x:v>
      </x:c>
      <x:c r="L42" s="9" t="n">
        <x:f>'Physical_Arcs'!U42</x:f>
        <x:v>0.685393</x:v>
      </x:c>
      <x:c r="M42" s="9" t="n">
        <x:f>L42*'Parameters'!$C$6</x:f>
        <x:v>0.685393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7</x:v>
      </x:c>
      <x:c r="D43" s="3" t="n">
        <x:v>2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47.775</x:v>
      </x:c>
      <x:c r="J43" s="9" t="n">
        <x:f>'Physical_Arcs'!L43*H43</x:f>
        <x:v>473.02500000000003</x:v>
      </x:c>
      <x:c r="K43" s="9" t="n">
        <x:f>'Physical_Arcs'!M43*H43</x:f>
        <x:v>236.775</x:v>
      </x:c>
      <x:c r="L43" s="9" t="n">
        <x:f>'Physical_Arcs'!U43</x:f>
        <x:v>1.308989</x:v>
      </x:c>
      <x:c r="M43" s="9" t="n">
        <x:f>L43*'Parameters'!$C$6</x:f>
        <x:v>1.308989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7</x:v>
      </x:c>
      <x:c r="D44" s="3" t="n">
        <x:v>3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189.525</x:v>
      </x:c>
      <x:c r="J44" s="9" t="n">
        <x:f>'Physical_Arcs'!L44*H44</x:f>
        <x:v>1891.575</x:v>
      </x:c>
      <x:c r="K44" s="9" t="n">
        <x:f>'Physical_Arcs'!M44*H44</x:f>
        <x:v>946.0500000000001</x:v>
      </x:c>
      <x:c r="L44" s="9" t="n">
        <x:f>'Physical_Arcs'!U44</x:f>
        <x:v>0.955056</x:v>
      </x:c>
      <x:c r="M44" s="9" t="n">
        <x:f>L44*'Parameters'!$C$6</x:f>
        <x:v>0.955056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8</x:v>
      </x:c>
      <x:c r="D45" s="3" t="n">
        <x:v>9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315.52500000000003</x:v>
      </x:c>
      <x:c r="J45" s="9" t="n">
        <x:f>'Physical_Arcs'!L45*H45</x:f>
        <x:v>3152.625</x:v>
      </x:c>
      <x:c r="K45" s="9" t="n">
        <x:f>'Physical_Arcs'!M45*H45</x:f>
        <x:v>1576.575</x:v>
      </x:c>
      <x:c r="L45" s="9" t="n">
        <x:f>'Physical_Arcs'!U45</x:f>
        <x:v>2</x:v>
      </x:c>
      <x:c r="M45" s="9" t="n">
        <x:f>L45*'Parameters'!$C$6</x:f>
        <x:v>2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8</x:v>
      </x:c>
      <x:c r="D46" s="3" t="n">
        <x:v>3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180.07500000000002</x:v>
      </x:c>
      <x:c r="J46" s="9" t="n">
        <x:f>'Physical_Arcs'!L46*H46</x:f>
        <x:v>1797.075</x:v>
      </x:c>
      <x:c r="K46" s="9" t="n">
        <x:f>'Physical_Arcs'!M46*H46</x:f>
        <x:v>898.8000000000001</x:v>
      </x:c>
      <x:c r="L46" s="9" t="n">
        <x:f>'Physical_Arcs'!U46</x:f>
        <x:v>1.005618</x:v>
      </x:c>
      <x:c r="M46" s="9" t="n">
        <x:f>L46*'Parameters'!$C$6</x:f>
        <x:v>1.005618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8</x:v>
      </x:c>
      <x:c r="D47" s="3" t="n">
        <x:v>7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189.525</x:v>
      </x:c>
      <x:c r="J47" s="9" t="n">
        <x:f>'Physical_Arcs'!L47*H47</x:f>
        <x:v>1891.575</x:v>
      </x:c>
      <x:c r="K47" s="9" t="n">
        <x:f>'Physical_Arcs'!M47*H47</x:f>
        <x:v>946.0500000000001</x:v>
      </x:c>
      <x:c r="L47" s="9" t="n">
        <x:f>'Physical_Arcs'!U47</x:f>
        <x:v>1.629213</x:v>
      </x:c>
      <x:c r="M47" s="9" t="n">
        <x:f>L47*'Parameters'!$C$6</x:f>
        <x:v>1.629213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8</x:v>
      </x:c>
      <x:c r="D48" s="3" t="n">
        <x:v>2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135.975</x:v>
      </x:c>
      <x:c r="J48" s="9" t="n">
        <x:f>'Physical_Arcs'!L48*H48</x:f>
        <x:v>1355.55</x:v>
      </x:c>
      <x:c r="K48" s="9" t="n">
        <x:f>'Physical_Arcs'!M48*H48</x:f>
        <x:v>677.775</x:v>
      </x:c>
      <x:c r="L48" s="9" t="n">
        <x:f>'Physical_Arcs'!U48</x:f>
        <x:v>0.820225</x:v>
      </x:c>
      <x:c r="M48" s="9" t="n">
        <x:f>L48*'Parameters'!$C$6</x:f>
        <x:v>0.820225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8</x:v>
      </x:c>
      <x:c r="D49" s="3" t="n">
        <x:v>6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180.07500000000002</x:v>
      </x:c>
      <x:c r="J49" s="9" t="n">
        <x:f>'Physical_Arcs'!L49*H49</x:f>
        <x:v>1797.075</x:v>
      </x:c>
      <x:c r="K49" s="9" t="n">
        <x:f>'Physical_Arcs'!M49*H49</x:f>
        <x:v>898.8000000000001</x:v>
      </x:c>
      <x:c r="L49" s="9" t="n">
        <x:f>'Physical_Arcs'!U49</x:f>
        <x:v>1.022472</x:v>
      </x:c>
      <x:c r="M49" s="9" t="n">
        <x:f>L49*'Parameters'!$C$6</x:f>
        <x:v>1.022472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8</x:v>
      </x:c>
      <x:c r="D50" s="3" t="n">
        <x:v>4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120.22500000000001</x:v>
      </x:c>
      <x:c r="J50" s="9" t="n">
        <x:f>'Physical_Arcs'!L50*H50</x:f>
        <x:v>1198.05</x:v>
      </x:c>
      <x:c r="K50" s="9" t="n">
        <x:f>'Physical_Arcs'!M50*H50</x:f>
        <x:v>599.025</x:v>
      </x:c>
      <x:c r="L50" s="9" t="n">
        <x:f>'Physical_Arcs'!U50</x:f>
        <x:v>1.376404</x:v>
      </x:c>
      <x:c r="M50" s="9" t="n">
        <x:f>L50*'Parameters'!$C$6</x:f>
        <x:v>1.376404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8</x:v>
      </x:c>
      <x:c r="D51" s="3" t="n">
        <x:v>5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151.725</x:v>
      </x:c>
      <x:c r="J51" s="9" t="n">
        <x:f>'Physical_Arcs'!L51*H51</x:f>
        <x:v>1513.575</x:v>
      </x:c>
      <x:c r="K51" s="9" t="n">
        <x:f>'Physical_Arcs'!M51*H51</x:f>
        <x:v>757.0500000000001</x:v>
      </x:c>
      <x:c r="L51" s="9" t="n">
        <x:f>'Physical_Arcs'!U51</x:f>
        <x:v>1.224719</x:v>
      </x:c>
      <x:c r="M51" s="9" t="n">
        <x:f>L51*'Parameters'!$C$6</x:f>
        <x:v>1.224719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8</x:v>
      </x:c>
      <x:c r="D52" s="3" t="n">
        <x:v>1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129.675</x:v>
      </x:c>
      <x:c r="J52" s="9" t="n">
        <x:f>'Physical_Arcs'!L52*H52</x:f>
        <x:v>1292.55</x:v>
      </x:c>
      <x:c r="K52" s="9" t="n">
        <x:f>'Physical_Arcs'!M52*H52</x:f>
        <x:v>646.275</x:v>
      </x:c>
      <x:c r="L52" s="9" t="n">
        <x:f>'Physical_Arcs'!U52</x:f>
        <x:v>1.949438</x:v>
      </x:c>
      <x:c r="M52" s="9" t="n">
        <x:f>L52*'Parameters'!$C$6</x:f>
        <x:v>1.949438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9</x:v>
      </x:c>
      <x:c r="D53" s="3" t="n">
        <x:v>10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315.52500000000003</x:v>
      </x:c>
      <x:c r="J53" s="9" t="n">
        <x:f>'Physical_Arcs'!L53*H53</x:f>
        <x:v>3152.625</x:v>
      </x:c>
      <x:c r="K53" s="9" t="n">
        <x:f>'Physical_Arcs'!M53*H53</x:f>
        <x:v>1576.575</x:v>
      </x:c>
      <x:c r="L53" s="9" t="n">
        <x:f>'Physical_Arcs'!U53</x:f>
        <x:v>2</x:v>
      </x:c>
      <x:c r="M53" s="9" t="n">
        <x:f>L53*'Parameters'!$C$6</x:f>
        <x:v>2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9</x:v>
      </x:c>
      <x:c r="D54" s="3" t="n">
        <x:v>6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158.025</x:v>
      </x:c>
      <x:c r="J54" s="9" t="n">
        <x:f>'Physical_Arcs'!L54*H54</x:f>
        <x:v>1576.575</x:v>
      </x:c>
      <x:c r="K54" s="9" t="n">
        <x:f>'Physical_Arcs'!M54*H54</x:f>
        <x:v>788.5500000000001</x:v>
      </x:c>
      <x:c r="L54" s="9" t="n">
        <x:f>'Physical_Arcs'!U54</x:f>
        <x:v>1.157303</x:v>
      </x:c>
      <x:c r="M54" s="9" t="n">
        <x:f>L54*'Parameters'!$C$6</x:f>
        <x:v>1.157303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9</x:v>
      </x:c>
      <x:c r="D55" s="3" t="n">
        <x:v>2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258.825</x:v>
      </x:c>
      <x:c r="J55" s="9" t="n">
        <x:f>'Physical_Arcs'!L55*H55</x:f>
        <x:v>2585.1</x:v>
      </x:c>
      <x:c r="K55" s="9" t="n">
        <x:f>'Physical_Arcs'!M55*H55</x:f>
        <x:v>1292.55</x:v>
      </x:c>
      <x:c r="L55" s="9" t="n">
        <x:f>'Physical_Arcs'!U55</x:f>
        <x:v>0.904494</x:v>
      </x:c>
      <x:c r="M55" s="9" t="n">
        <x:f>L55*'Parameters'!$C$6</x:f>
        <x:v>0.904494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9</x:v>
      </x:c>
      <x:c r="D56" s="3" t="n">
        <x:v>7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113.92500000000001</x:v>
      </x:c>
      <x:c r="J56" s="9" t="n">
        <x:f>'Physical_Arcs'!L56*H56</x:f>
        <x:v>1135.05</x:v>
      </x:c>
      <x:c r="K56" s="9" t="n">
        <x:f>'Physical_Arcs'!M56*H56</x:f>
        <x:v>567.525</x:v>
      </x:c>
      <x:c r="L56" s="9" t="n">
        <x:f>'Physical_Arcs'!U56</x:f>
        <x:v>0.88764</x:v>
      </x:c>
      <x:c r="M56" s="9" t="n">
        <x:f>L56*'Parameters'!$C$6</x:f>
        <x:v>0.88764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9</x:v>
      </x:c>
      <x:c r="D57" s="3" t="n">
        <x:v>3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214.72500000000002</x:v>
      </x:c>
      <x:c r="J57" s="9" t="n">
        <x:f>'Physical_Arcs'!L57*H57</x:f>
        <x:v>2144.1</x:v>
      </x:c>
      <x:c r="K57" s="9" t="n">
        <x:f>'Physical_Arcs'!M57*H57</x:f>
        <x:v>1072.05</x:v>
      </x:c>
      <x:c r="L57" s="9" t="n">
        <x:f>'Physical_Arcs'!U57</x:f>
        <x:v>1.106742</x:v>
      </x:c>
      <x:c r="M57" s="9" t="n">
        <x:f>L57*'Parameters'!$C$6</x:f>
        <x:v>1.106742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10</x:v>
      </x:c>
      <x:c r="D58" s="3" t="n">
        <x:v>1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315.52500000000003</x:v>
      </x:c>
      <x:c r="J58" s="9" t="n">
        <x:f>'Physical_Arcs'!L58*H58</x:f>
        <x:v>3152.625</x:v>
      </x:c>
      <x:c r="K58" s="9" t="n">
        <x:f>'Physical_Arcs'!M58*H58</x:f>
        <x:v>1576.575</x:v>
      </x:c>
      <x:c r="L58" s="9" t="n">
        <x:f>'Physical_Arcs'!U58</x:f>
        <x:v>2</x:v>
      </x:c>
      <x:c r="M58" s="9" t="n">
        <x:f>L58*'Parameters'!$C$6</x:f>
        <x:v>2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10</x:v>
      </x:c>
      <x:c r="D59" s="3" t="n">
        <x:v>6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198.975</x:v>
      </x:c>
      <x:c r="J59" s="9" t="n">
        <x:f>'Physical_Arcs'!L59*H59</x:f>
        <x:v>1986.075</x:v>
      </x:c>
      <x:c r="K59" s="9" t="n">
        <x:f>'Physical_Arcs'!M59*H59</x:f>
        <x:v>993.3000000000001</x:v>
      </x:c>
      <x:c r="L59" s="9" t="n">
        <x:f>'Physical_Arcs'!U59</x:f>
        <x:v>1.123596</x:v>
      </x:c>
      <x:c r="M59" s="9" t="n">
        <x:f>L59*'Parameters'!$C$6</x:f>
        <x:v>1.123596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10</x:v>
      </x:c>
      <x:c r="D60" s="3" t="n">
        <x:v>4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284.02500000000003</x:v>
      </x:c>
      <x:c r="J60" s="9" t="n">
        <x:f>'Physical_Arcs'!L60*H60</x:f>
        <x:v>2837.625</x:v>
      </x:c>
      <x:c r="K60" s="9" t="n">
        <x:f>'Physical_Arcs'!M60*H60</x:f>
        <x:v>1419.075</x:v>
      </x:c>
      <x:c r="L60" s="9" t="n">
        <x:f>'Physical_Arcs'!U60</x:f>
        <x:v>1.949438</x:v>
      </x:c>
      <x:c r="M60" s="9" t="n">
        <x:f>L60*'Parameters'!$C$6</x:f>
        <x:v>1.949438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10</x:v>
      </x:c>
      <x:c r="D61" s="3" t="n">
        <x:v>9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104.47500000000001</x:v>
      </x:c>
      <x:c r="J61" s="9" t="n">
        <x:f>'Physical_Arcs'!L61*H61</x:f>
        <x:v>1040.55</x:v>
      </x:c>
      <x:c r="K61" s="9" t="n">
        <x:f>'Physical_Arcs'!M61*H61</x:f>
        <x:v>520.275</x:v>
      </x:c>
      <x:c r="L61" s="9" t="n">
        <x:f>'Physical_Arcs'!U61</x:f>
        <x:v>1.494382</x:v>
      </x:c>
      <x:c r="M61" s="9" t="n">
        <x:f>L61*'Parameters'!$C$6</x:f>
        <x:v>1.494382</x:v>
      </x:c>
      <x:c r="N61" s="3" t="n">
        <x:v>1</x:v>
      </x:c>
    </x:row>
    <x:row r="62" ht="21" customHeight="1">
      <x:c r="A62" s="3" t="n">
        <x:v>61</x:v>
      </x:c>
      <x:c r="B62" s="3" t="n">
        <x:v>1</x:v>
      </x:c>
      <x:c r="C62" s="3" t="n">
        <x:v>1</x:v>
      </x:c>
      <x:c r="D62" s="3" t="n">
        <x:v>2</x:v>
      </x:c>
      <x:c r="E62" s="3" t="n">
        <x:v>2</x:v>
      </x:c>
      <x:c r="F62" s="3" t="str">
        <x:v>01:00</x:v>
      </x:c>
      <x:c r="G62" s="3" t="str">
        <x:v>02:00</x:v>
      </x:c>
      <x:c r="H62" s="9" t="n">
        <x:v>0.525</x:v>
      </x:c>
      <x:c r="I62" s="9" t="n">
        <x:f>'Physical_Arcs'!K2*H62</x:f>
        <x:v>315.52500000000003</x:v>
      </x:c>
      <x:c r="J62" s="9" t="n">
        <x:f>'Physical_Arcs'!L2*H62</x:f>
        <x:v>3152.625</x:v>
      </x:c>
      <x:c r="K62" s="9" t="n">
        <x:f>'Physical_Arcs'!M2*H62</x:f>
        <x:v>1576.575</x:v>
      </x:c>
      <x:c r="L62" s="9" t="n">
        <x:f>'Physical_Arcs'!U2</x:f>
        <x:v>2</x:v>
      </x:c>
      <x:c r="M62" s="9" t="n">
        <x:f>L62*'Parameters'!$C$6</x:f>
        <x:v>2</x:v>
      </x:c>
      <x:c r="N62" s="3" t="n">
        <x:v>1</x:v>
      </x:c>
    </x:row>
    <x:row r="63" ht="21" customHeight="1">
      <x:c r="A63" s="3" t="n">
        <x:v>62</x:v>
      </x:c>
      <x:c r="B63" s="3" t="n">
        <x:v>2</x:v>
      </x:c>
      <x:c r="C63" s="3" t="n">
        <x:v>1</x:v>
      </x:c>
      <x:c r="D63" s="3" t="n">
        <x:v>10</x:v>
      </x:c>
      <x:c r="E63" s="3" t="n">
        <x:v>2</x:v>
      </x:c>
      <x:c r="F63" s="3" t="str">
        <x:v>01:00</x:v>
      </x:c>
      <x:c r="G63" s="3" t="str">
        <x:v>02:00</x:v>
      </x:c>
      <x:c r="H63" s="9" t="n">
        <x:v>0.525</x:v>
      </x:c>
      <x:c r="I63" s="9" t="n">
        <x:f>'Physical_Arcs'!K3*H63</x:f>
        <x:v>129.675</x:v>
      </x:c>
      <x:c r="J63" s="9" t="n">
        <x:f>'Physical_Arcs'!L3*H63</x:f>
        <x:v>1292.55</x:v>
      </x:c>
      <x:c r="K63" s="9" t="n">
        <x:f>'Physical_Arcs'!M3*H63</x:f>
        <x:v>646.275</x:v>
      </x:c>
      <x:c r="L63" s="9" t="n">
        <x:f>'Physical_Arcs'!U3</x:f>
        <x:v>1.224719</x:v>
      </x:c>
      <x:c r="M63" s="9" t="n">
        <x:f>L63*'Parameters'!$C$6</x:f>
        <x:v>1.224719</x:v>
      </x:c>
      <x:c r="N63" s="3" t="n">
        <x:v>1</x:v>
      </x:c>
    </x:row>
    <x:row r="64" ht="21" customHeight="1">
      <x:c r="A64" s="3" t="n">
        <x:v>63</x:v>
      </x:c>
      <x:c r="B64" s="3" t="n">
        <x:v>3</x:v>
      </x:c>
      <x:c r="C64" s="3" t="n">
        <x:v>1</x:v>
      </x:c>
      <x:c r="D64" s="3" t="n">
        <x:v>8</x:v>
      </x:c>
      <x:c r="E64" s="3" t="n">
        <x:v>2</x:v>
      </x:c>
      <x:c r="F64" s="3" t="str">
        <x:v>01:00</x:v>
      </x:c>
      <x:c r="G64" s="3" t="str">
        <x:v>02:00</x:v>
      </x:c>
      <x:c r="H64" s="9" t="n">
        <x:v>0.525</x:v>
      </x:c>
      <x:c r="I64" s="9" t="n">
        <x:f>'Physical_Arcs'!K4*H64</x:f>
        <x:v>198.975</x:v>
      </x:c>
      <x:c r="J64" s="9" t="n">
        <x:f>'Physical_Arcs'!L4*H64</x:f>
        <x:v>1986.075</x:v>
      </x:c>
      <x:c r="K64" s="9" t="n">
        <x:f>'Physical_Arcs'!M4*H64</x:f>
        <x:v>993.3000000000001</x:v>
      </x:c>
      <x:c r="L64" s="9" t="n">
        <x:f>'Physical_Arcs'!U4</x:f>
        <x:v>1.073034</x:v>
      </x:c>
      <x:c r="M64" s="9" t="n">
        <x:f>L64*'Parameters'!$C$6</x:f>
        <x:v>1.073034</x:v>
      </x:c>
      <x:c r="N64" s="3" t="n">
        <x:v>1</x:v>
      </x:c>
    </x:row>
    <x:row r="65" ht="21" customHeight="1">
      <x:c r="A65" s="3" t="n">
        <x:v>64</x:v>
      </x:c>
      <x:c r="B65" s="3" t="n">
        <x:v>4</x:v>
      </x:c>
      <x:c r="C65" s="3" t="n">
        <x:v>1</x:v>
      </x:c>
      <x:c r="D65" s="3" t="n">
        <x:v>7</x:v>
      </x:c>
      <x:c r="E65" s="3" t="n">
        <x:v>2</x:v>
      </x:c>
      <x:c r="F65" s="3" t="str">
        <x:v>01:00</x:v>
      </x:c>
      <x:c r="G65" s="3" t="str">
        <x:v>02:00</x:v>
      </x:c>
      <x:c r="H65" s="9" t="n">
        <x:v>0.525</x:v>
      </x:c>
      <x:c r="I65" s="9" t="n">
        <x:f>'Physical_Arcs'!K5*H65</x:f>
        <x:v>195.82500000000002</x:v>
      </x:c>
      <x:c r="J65" s="9" t="n">
        <x:f>'Physical_Arcs'!L5*H65</x:f>
        <x:v>1954.575</x:v>
      </x:c>
      <x:c r="K65" s="9" t="n">
        <x:f>'Physical_Arcs'!M5*H65</x:f>
        <x:v>977.5500000000001</x:v>
      </x:c>
      <x:c r="L65" s="9" t="n">
        <x:f>'Physical_Arcs'!U5</x:f>
        <x:v>0.617978</x:v>
      </x:c>
      <x:c r="M65" s="9" t="n">
        <x:f>L65*'Parameters'!$C$6</x:f>
        <x:v>0.617978</x:v>
      </x:c>
      <x:c r="N65" s="3" t="n">
        <x:v>1</x:v>
      </x:c>
    </x:row>
    <x:row r="66" ht="21" customHeight="1">
      <x:c r="A66" s="3" t="n">
        <x:v>65</x:v>
      </x:c>
      <x:c r="B66" s="3" t="n">
        <x:v>5</x:v>
      </x:c>
      <x:c r="C66" s="3" t="n">
        <x:v>1</x:v>
      </x:c>
      <x:c r="D66" s="3" t="n">
        <x:v>4</x:v>
      </x:c>
      <x:c r="E66" s="3" t="n">
        <x:v>2</x:v>
      </x:c>
      <x:c r="F66" s="3" t="str">
        <x:v>01:00</x:v>
      </x:c>
      <x:c r="G66" s="3" t="str">
        <x:v>02:00</x:v>
      </x:c>
      <x:c r="H66" s="9" t="n">
        <x:v>0.525</x:v>
      </x:c>
      <x:c r="I66" s="9" t="n">
        <x:f>'Physical_Arcs'!K6*H66</x:f>
        <x:v>129.675</x:v>
      </x:c>
      <x:c r="J66" s="9" t="n">
        <x:f>'Physical_Arcs'!L6*H66</x:f>
        <x:v>1292.55</x:v>
      </x:c>
      <x:c r="K66" s="9" t="n">
        <x:f>'Physical_Arcs'!M6*H66</x:f>
        <x:v>646.275</x:v>
      </x:c>
      <x:c r="L66" s="9" t="n">
        <x:f>'Physical_Arcs'!U6</x:f>
        <x:v>0.533708</x:v>
      </x:c>
      <x:c r="M66" s="9" t="n">
        <x:f>L66*'Parameters'!$C$6</x:f>
        <x:v>0.533708</x:v>
      </x:c>
      <x:c r="N66" s="3" t="n">
        <x:v>1</x:v>
      </x:c>
    </x:row>
    <x:row r="67" ht="21" customHeight="1">
      <x:c r="A67" s="3" t="n">
        <x:v>66</x:v>
      </x:c>
      <x:c r="B67" s="3" t="n">
        <x:v>6</x:v>
      </x:c>
      <x:c r="C67" s="3" t="n">
        <x:v>1</x:v>
      </x:c>
      <x:c r="D67" s="3" t="n">
        <x:v>9</x:v>
      </x:c>
      <x:c r="E67" s="3" t="n">
        <x:v>2</x:v>
      </x:c>
      <x:c r="F67" s="3" t="str">
        <x:v>01:00</x:v>
      </x:c>
      <x:c r="G67" s="3" t="str">
        <x:v>02:00</x:v>
      </x:c>
      <x:c r="H67" s="9" t="n">
        <x:v>0.525</x:v>
      </x:c>
      <x:c r="I67" s="9" t="n">
        <x:f>'Physical_Arcs'!K7*H67</x:f>
        <x:v>217.875</x:v>
      </x:c>
      <x:c r="J67" s="9" t="n">
        <x:f>'Physical_Arcs'!L7*H67</x:f>
        <x:v>2175.6</x:v>
      </x:c>
      <x:c r="K67" s="9" t="n">
        <x:f>'Physical_Arcs'!M7*H67</x:f>
        <x:v>1087.8</x:v>
      </x:c>
      <x:c r="L67" s="9" t="n">
        <x:f>'Physical_Arcs'!U7</x:f>
        <x:v>1.544944</x:v>
      </x:c>
      <x:c r="M67" s="9" t="n">
        <x:f>L67*'Parameters'!$C$6</x:f>
        <x:v>1.544944</x:v>
      </x:c>
      <x:c r="N67" s="3" t="n">
        <x:v>1</x:v>
      </x:c>
    </x:row>
    <x:row r="68" ht="21" customHeight="1">
      <x:c r="A68" s="3" t="n">
        <x:v>67</x:v>
      </x:c>
      <x:c r="B68" s="3" t="n">
        <x:v>7</x:v>
      </x:c>
      <x:c r="C68" s="3" t="n">
        <x:v>1</x:v>
      </x:c>
      <x:c r="D68" s="3" t="n">
        <x:v>5</x:v>
      </x:c>
      <x:c r="E68" s="3" t="n">
        <x:v>2</x:v>
      </x:c>
      <x:c r="F68" s="3" t="str">
        <x:v>01:00</x:v>
      </x:c>
      <x:c r="G68" s="3" t="str">
        <x:v>02:00</x:v>
      </x:c>
      <x:c r="H68" s="9" t="n">
        <x:v>0.525</x:v>
      </x:c>
      <x:c r="I68" s="9" t="n">
        <x:f>'Physical_Arcs'!K8*H68</x:f>
        <x:v>221.025</x:v>
      </x:c>
      <x:c r="J68" s="9" t="n">
        <x:f>'Physical_Arcs'!L8*H68</x:f>
        <x:v>2207.1</x:v>
      </x:c>
      <x:c r="K68" s="9" t="n">
        <x:f>'Physical_Arcs'!M8*H68</x:f>
        <x:v>1103.55</x:v>
      </x:c>
      <x:c r="L68" s="9" t="n">
        <x:f>'Physical_Arcs'!U8</x:f>
        <x:v>1.275281</x:v>
      </x:c>
      <x:c r="M68" s="9" t="n">
        <x:f>L68*'Parameters'!$C$6</x:f>
        <x:v>1.275281</x:v>
      </x:c>
      <x:c r="N68" s="3" t="n">
        <x:v>1</x:v>
      </x:c>
    </x:row>
    <x:row r="69" ht="21" customHeight="1">
      <x:c r="A69" s="3" t="n">
        <x:v>68</x:v>
      </x:c>
      <x:c r="B69" s="3" t="n">
        <x:v>8</x:v>
      </x:c>
      <x:c r="C69" s="3" t="n">
        <x:v>1</x:v>
      </x:c>
      <x:c r="D69" s="3" t="n">
        <x:v>3</x:v>
      </x:c>
      <x:c r="E69" s="3" t="n">
        <x:v>2</x:v>
      </x:c>
      <x:c r="F69" s="3" t="str">
        <x:v>01:00</x:v>
      </x:c>
      <x:c r="G69" s="3" t="str">
        <x:v>02:00</x:v>
      </x:c>
      <x:c r="H69" s="9" t="n">
        <x:v>0.525</x:v>
      </x:c>
      <x:c r="I69" s="9" t="n">
        <x:f>'Physical_Arcs'!K9*H69</x:f>
        <x:v>271.425</x:v>
      </x:c>
      <x:c r="J69" s="9" t="n">
        <x:f>'Physical_Arcs'!L9*H69</x:f>
        <x:v>2711.1</x:v>
      </x:c>
      <x:c r="K69" s="9" t="n">
        <x:f>'Physical_Arcs'!M9*H69</x:f>
        <x:v>1355.55</x:v>
      </x:c>
      <x:c r="L69" s="9" t="n">
        <x:f>'Physical_Arcs'!U9</x:f>
        <x:v>1.410112</x:v>
      </x:c>
      <x:c r="M69" s="9" t="n">
        <x:f>L69*'Parameters'!$C$6</x:f>
        <x:v>1.410112</x:v>
      </x:c>
      <x:c r="N69" s="3" t="n">
        <x:v>1</x:v>
      </x:c>
    </x:row>
    <x:row r="70" ht="21" customHeight="1">
      <x:c r="A70" s="3" t="n">
        <x:v>69</x:v>
      </x:c>
      <x:c r="B70" s="3" t="n">
        <x:v>9</x:v>
      </x:c>
      <x:c r="C70" s="3" t="n">
        <x:v>1</x:v>
      </x:c>
      <x:c r="D70" s="3" t="n">
        <x:v>6</x:v>
      </x:c>
      <x:c r="E70" s="3" t="n">
        <x:v>2</x:v>
      </x:c>
      <x:c r="F70" s="3" t="str">
        <x:v>01:00</x:v>
      </x:c>
      <x:c r="G70" s="3" t="str">
        <x:v>02:00</x:v>
      </x:c>
      <x:c r="H70" s="9" t="n">
        <x:v>0.525</x:v>
      </x:c>
      <x:c r="I70" s="9" t="n">
        <x:f>'Physical_Arcs'!K10*H70</x:f>
        <x:v>41.475</x:v>
      </x:c>
      <x:c r="J70" s="9" t="n">
        <x:f>'Physical_Arcs'!L10*H70</x:f>
        <x:v>410.02500000000003</x:v>
      </x:c>
      <x:c r="K70" s="9" t="n">
        <x:f>'Physical_Arcs'!M10*H70</x:f>
        <x:v>205.275</x:v>
      </x:c>
      <x:c r="L70" s="9" t="n">
        <x:f>'Physical_Arcs'!U10</x:f>
        <x:v>1.342697</x:v>
      </x:c>
      <x:c r="M70" s="9" t="n">
        <x:f>L70*'Parameters'!$C$6</x:f>
        <x:v>1.342697</x:v>
      </x:c>
      <x:c r="N70" s="3" t="n">
        <x:v>1</x:v>
      </x:c>
    </x:row>
    <x:row r="71" ht="21" customHeight="1">
      <x:c r="A71" s="3" t="n">
        <x:v>70</x:v>
      </x:c>
      <x:c r="B71" s="3" t="n">
        <x:v>10</x:v>
      </x:c>
      <x:c r="C71" s="3" t="n">
        <x:v>2</x:v>
      </x:c>
      <x:c r="D71" s="3" t="n">
        <x:v>3</x:v>
      </x:c>
      <x:c r="E71" s="3" t="n">
        <x:v>2</x:v>
      </x:c>
      <x:c r="F71" s="3" t="str">
        <x:v>01:00</x:v>
      </x:c>
      <x:c r="G71" s="3" t="str">
        <x:v>02:00</x:v>
      </x:c>
      <x:c r="H71" s="9" t="n">
        <x:v>0.525</x:v>
      </x:c>
      <x:c r="I71" s="9" t="n">
        <x:f>'Physical_Arcs'!K11*H71</x:f>
        <x:v>315.52500000000003</x:v>
      </x:c>
      <x:c r="J71" s="9" t="n">
        <x:f>'Physical_Arcs'!L11*H71</x:f>
        <x:v>3152.625</x:v>
      </x:c>
      <x:c r="K71" s="9" t="n">
        <x:f>'Physical_Arcs'!M11*H71</x:f>
        <x:v>1576.575</x:v>
      </x:c>
      <x:c r="L71" s="9" t="n">
        <x:f>'Physical_Arcs'!U11</x:f>
        <x:v>2</x:v>
      </x:c>
      <x:c r="M71" s="9" t="n">
        <x:f>L71*'Parameters'!$C$6</x:f>
        <x:v>2</x:v>
      </x:c>
      <x:c r="N71" s="3" t="n">
        <x:v>1</x:v>
      </x:c>
    </x:row>
    <x:row r="72" ht="21" customHeight="1">
      <x:c r="A72" s="3" t="n">
        <x:v>71</x:v>
      </x:c>
      <x:c r="B72" s="3" t="n">
        <x:v>11</x:v>
      </x:c>
      <x:c r="C72" s="3" t="n">
        <x:v>2</x:v>
      </x:c>
      <x:c r="D72" s="3" t="n">
        <x:v>4</x:v>
      </x:c>
      <x:c r="E72" s="3" t="n">
        <x:v>2</x:v>
      </x:c>
      <x:c r="F72" s="3" t="str">
        <x:v>01:00</x:v>
      </x:c>
      <x:c r="G72" s="3" t="str">
        <x:v>02:00</x:v>
      </x:c>
      <x:c r="H72" s="9" t="n">
        <x:v>0.525</x:v>
      </x:c>
      <x:c r="I72" s="9" t="n">
        <x:f>'Physical_Arcs'!K12*H72</x:f>
        <x:v>233.625</x:v>
      </x:c>
      <x:c r="J72" s="9" t="n">
        <x:f>'Physical_Arcs'!L12*H72</x:f>
        <x:v>2333.1</x:v>
      </x:c>
      <x:c r="K72" s="9" t="n">
        <x:f>'Physical_Arcs'!M12*H72</x:f>
        <x:v>1166.55</x:v>
      </x:c>
      <x:c r="L72" s="9" t="n">
        <x:f>'Physical_Arcs'!U12</x:f>
        <x:v>0.533708</x:v>
      </x:c>
      <x:c r="M72" s="9" t="n">
        <x:f>L72*'Parameters'!$C$6</x:f>
        <x:v>0.533708</x:v>
      </x:c>
      <x:c r="N72" s="3" t="n">
        <x:v>1</x:v>
      </x:c>
    </x:row>
    <x:row r="73" ht="21" customHeight="1">
      <x:c r="A73" s="3" t="n">
        <x:v>72</x:v>
      </x:c>
      <x:c r="B73" s="3" t="n">
        <x:v>12</x:v>
      </x:c>
      <x:c r="C73" s="3" t="n">
        <x:v>2</x:v>
      </x:c>
      <x:c r="D73" s="3" t="n">
        <x:v>7</x:v>
      </x:c>
      <x:c r="E73" s="3" t="n">
        <x:v>2</x:v>
      </x:c>
      <x:c r="F73" s="3" t="str">
        <x:v>01:00</x:v>
      </x:c>
      <x:c r="G73" s="3" t="str">
        <x:v>02:00</x:v>
      </x:c>
      <x:c r="H73" s="9" t="n">
        <x:v>0.525</x:v>
      </x:c>
      <x:c r="I73" s="9" t="n">
        <x:f>'Physical_Arcs'!K13*H73</x:f>
        <x:v>180.07500000000002</x:v>
      </x:c>
      <x:c r="J73" s="9" t="n">
        <x:f>'Physical_Arcs'!L13*H73</x:f>
        <x:v>1797.075</x:v>
      </x:c>
      <x:c r="K73" s="9" t="n">
        <x:f>'Physical_Arcs'!M13*H73</x:f>
        <x:v>898.8000000000001</x:v>
      </x:c>
      <x:c r="L73" s="9" t="n">
        <x:f>'Physical_Arcs'!U13</x:f>
        <x:v>1.865169</x:v>
      </x:c>
      <x:c r="M73" s="9" t="n">
        <x:f>L73*'Parameters'!$C$6</x:f>
        <x:v>1.865169</x:v>
      </x:c>
      <x:c r="N73" s="3" t="n">
        <x:v>1</x:v>
      </x:c>
    </x:row>
    <x:row r="74" ht="21" customHeight="1">
      <x:c r="A74" s="3" t="n">
        <x:v>73</x:v>
      </x:c>
      <x:c r="B74" s="3" t="n">
        <x:v>13</x:v>
      </x:c>
      <x:c r="C74" s="3" t="n">
        <x:v>2</x:v>
      </x:c>
      <x:c r="D74" s="3" t="n">
        <x:v>9</x:v>
      </x:c>
      <x:c r="E74" s="3" t="n">
        <x:v>2</x:v>
      </x:c>
      <x:c r="F74" s="3" t="str">
        <x:v>01:00</x:v>
      </x:c>
      <x:c r="G74" s="3" t="str">
        <x:v>02:00</x:v>
      </x:c>
      <x:c r="H74" s="9" t="n">
        <x:v>0.525</x:v>
      </x:c>
      <x:c r="I74" s="9" t="n">
        <x:f>'Physical_Arcs'!K14*H74</x:f>
        <x:v>95.025</x:v>
      </x:c>
      <x:c r="J74" s="9" t="n">
        <x:f>'Physical_Arcs'!L14*H74</x:f>
        <x:v>946.0500000000001</x:v>
      </x:c>
      <x:c r="K74" s="9" t="n">
        <x:f>'Physical_Arcs'!M14*H74</x:f>
        <x:v>473.02500000000003</x:v>
      </x:c>
      <x:c r="L74" s="9" t="n">
        <x:f>'Physical_Arcs'!U14</x:f>
        <x:v>0.533708</x:v>
      </x:c>
      <x:c r="M74" s="9" t="n">
        <x:f>L74*'Parameters'!$C$6</x:f>
        <x:v>0.533708</x:v>
      </x:c>
      <x:c r="N74" s="3" t="n">
        <x:v>1</x:v>
      </x:c>
    </x:row>
    <x:row r="75" ht="21" customHeight="1">
      <x:c r="A75" s="3" t="n">
        <x:v>74</x:v>
      </x:c>
      <x:c r="B75" s="3" t="n">
        <x:v>14</x:v>
      </x:c>
      <x:c r="C75" s="3" t="n">
        <x:v>2</x:v>
      </x:c>
      <x:c r="D75" s="3" t="n">
        <x:v>8</x:v>
      </x:c>
      <x:c r="E75" s="3" t="n">
        <x:v>2</x:v>
      </x:c>
      <x:c r="F75" s="3" t="str">
        <x:v>01:00</x:v>
      </x:c>
      <x:c r="G75" s="3" t="str">
        <x:v>02:00</x:v>
      </x:c>
      <x:c r="H75" s="9" t="n">
        <x:v>0.525</x:v>
      </x:c>
      <x:c r="I75" s="9" t="n">
        <x:f>'Physical_Arcs'!K15*H75</x:f>
        <x:v>192.675</x:v>
      </x:c>
      <x:c r="J75" s="9" t="n">
        <x:f>'Physical_Arcs'!L15*H75</x:f>
        <x:v>1923.075</x:v>
      </x:c>
      <x:c r="K75" s="9" t="n">
        <x:f>'Physical_Arcs'!M15*H75</x:f>
        <x:v>961.8000000000001</x:v>
      </x:c>
      <x:c r="L75" s="9" t="n">
        <x:f>'Physical_Arcs'!U15</x:f>
        <x:v>1.882022</x:v>
      </x:c>
      <x:c r="M75" s="9" t="n">
        <x:f>L75*'Parameters'!$C$6</x:f>
        <x:v>1.882022</x:v>
      </x:c>
      <x:c r="N75" s="3" t="n">
        <x:v>1</x:v>
      </x:c>
    </x:row>
    <x:row r="76" ht="21" customHeight="1">
      <x:c r="A76" s="3" t="n">
        <x:v>75</x:v>
      </x:c>
      <x:c r="B76" s="3" t="n">
        <x:v>15</x:v>
      </x:c>
      <x:c r="C76" s="3" t="n">
        <x:v>2</x:v>
      </x:c>
      <x:c r="D76" s="3" t="n">
        <x:v>10</x:v>
      </x:c>
      <x:c r="E76" s="3" t="n">
        <x:v>2</x:v>
      </x:c>
      <x:c r="F76" s="3" t="str">
        <x:v>01:00</x:v>
      </x:c>
      <x:c r="G76" s="3" t="str">
        <x:v>02:00</x:v>
      </x:c>
      <x:c r="H76" s="9" t="n">
        <x:v>0.525</x:v>
      </x:c>
      <x:c r="I76" s="9" t="n">
        <x:f>'Physical_Arcs'!K16*H76</x:f>
        <x:v>271.425</x:v>
      </x:c>
      <x:c r="J76" s="9" t="n">
        <x:f>'Physical_Arcs'!L16*H76</x:f>
        <x:v>2711.1</x:v>
      </x:c>
      <x:c r="K76" s="9" t="n">
        <x:f>'Physical_Arcs'!M16*H76</x:f>
        <x:v>1355.55</x:v>
      </x:c>
      <x:c r="L76" s="9" t="n">
        <x:f>'Physical_Arcs'!U16</x:f>
        <x:v>1.426966</x:v>
      </x:c>
      <x:c r="M76" s="9" t="n">
        <x:f>L76*'Parameters'!$C$6</x:f>
        <x:v>1.426966</x:v>
      </x:c>
      <x:c r="N76" s="3" t="n">
        <x:v>1</x:v>
      </x:c>
    </x:row>
    <x:row r="77" ht="21" customHeight="1">
      <x:c r="A77" s="3" t="n">
        <x:v>76</x:v>
      </x:c>
      <x:c r="B77" s="3" t="n">
        <x:v>16</x:v>
      </x:c>
      <x:c r="C77" s="3" t="n">
        <x:v>3</x:v>
      </x:c>
      <x:c r="D77" s="3" t="n">
        <x:v>4</x:v>
      </x:c>
      <x:c r="E77" s="3" t="n">
        <x:v>2</x:v>
      </x:c>
      <x:c r="F77" s="3" t="str">
        <x:v>01:00</x:v>
      </x:c>
      <x:c r="G77" s="3" t="str">
        <x:v>02:00</x:v>
      </x:c>
      <x:c r="H77" s="9" t="n">
        <x:v>0.525</x:v>
      </x:c>
      <x:c r="I77" s="9" t="n">
        <x:f>'Physical_Arcs'!K17*H77</x:f>
        <x:v>315.52500000000003</x:v>
      </x:c>
      <x:c r="J77" s="9" t="n">
        <x:f>'Physical_Arcs'!L17*H77</x:f>
        <x:v>3152.625</x:v>
      </x:c>
      <x:c r="K77" s="9" t="n">
        <x:f>'Physical_Arcs'!M17*H77</x:f>
        <x:v>1576.575</x:v>
      </x:c>
      <x:c r="L77" s="9" t="n">
        <x:f>'Physical_Arcs'!U17</x:f>
        <x:v>2</x:v>
      </x:c>
      <x:c r="M77" s="9" t="n">
        <x:f>L77*'Parameters'!$C$6</x:f>
        <x:v>2</x:v>
      </x:c>
      <x:c r="N77" s="3" t="n">
        <x:v>1</x:v>
      </x:c>
    </x:row>
    <x:row r="78" ht="21" customHeight="1">
      <x:c r="A78" s="3" t="n">
        <x:v>77</x:v>
      </x:c>
      <x:c r="B78" s="3" t="n">
        <x:v>17</x:v>
      </x:c>
      <x:c r="C78" s="3" t="n">
        <x:v>3</x:v>
      </x:c>
      <x:c r="D78" s="3" t="n">
        <x:v>2</x:v>
      </x:c>
      <x:c r="E78" s="3" t="n">
        <x:v>2</x:v>
      </x:c>
      <x:c r="F78" s="3" t="str">
        <x:v>01:00</x:v>
      </x:c>
      <x:c r="G78" s="3" t="str">
        <x:v>02:00</x:v>
      </x:c>
      <x:c r="H78" s="9" t="n">
        <x:v>0.525</x:v>
      </x:c>
      <x:c r="I78" s="9" t="n">
        <x:f>'Physical_Arcs'!K18*H78</x:f>
        <x:v>293.475</x:v>
      </x:c>
      <x:c r="J78" s="9" t="n">
        <x:f>'Physical_Arcs'!L18*H78</x:f>
        <x:v>2932.125</x:v>
      </x:c>
      <x:c r="K78" s="9" t="n">
        <x:f>'Physical_Arcs'!M18*H78</x:f>
        <x:v>1466.325</x:v>
      </x:c>
      <x:c r="L78" s="9" t="n">
        <x:f>'Physical_Arcs'!U18</x:f>
        <x:v>0.769663</x:v>
      </x:c>
      <x:c r="M78" s="9" t="n">
        <x:f>L78*'Parameters'!$C$6</x:f>
        <x:v>0.769663</x:v>
      </x:c>
      <x:c r="N78" s="3" t="n">
        <x:v>1</x:v>
      </x:c>
    </x:row>
    <x:row r="79" ht="21" customHeight="1">
      <x:c r="A79" s="3" t="n">
        <x:v>78</x:v>
      </x:c>
      <x:c r="B79" s="3" t="n">
        <x:v>18</x:v>
      </x:c>
      <x:c r="C79" s="3" t="n">
        <x:v>3</x:v>
      </x:c>
      <x:c r="D79" s="3" t="n">
        <x:v>1</x:v>
      </x:c>
      <x:c r="E79" s="3" t="n">
        <x:v>2</x:v>
      </x:c>
      <x:c r="F79" s="3" t="str">
        <x:v>01:00</x:v>
      </x:c>
      <x:c r="G79" s="3" t="str">
        <x:v>02:00</x:v>
      </x:c>
      <x:c r="H79" s="9" t="n">
        <x:v>0.525</x:v>
      </x:c>
      <x:c r="I79" s="9" t="n">
        <x:f>'Physical_Arcs'!K19*H79</x:f>
        <x:v>76.125</x:v>
      </x:c>
      <x:c r="J79" s="9" t="n">
        <x:f>'Physical_Arcs'!L19*H79</x:f>
        <x:v>757.0500000000001</x:v>
      </x:c>
      <x:c r="K79" s="9" t="n">
        <x:f>'Physical_Arcs'!M19*H79</x:f>
        <x:v>378.52500000000003</x:v>
      </x:c>
      <x:c r="L79" s="9" t="n">
        <x:f>'Physical_Arcs'!U19</x:f>
        <x:v>1.595506</x:v>
      </x:c>
      <x:c r="M79" s="9" t="n">
        <x:f>L79*'Parameters'!$C$6</x:f>
        <x:v>1.595506</x:v>
      </x:c>
      <x:c r="N79" s="3" t="n">
        <x:v>1</x:v>
      </x:c>
    </x:row>
    <x:row r="80" ht="21" customHeight="1">
      <x:c r="A80" s="3" t="n">
        <x:v>79</x:v>
      </x:c>
      <x:c r="B80" s="3" t="n">
        <x:v>19</x:v>
      </x:c>
      <x:c r="C80" s="3" t="n">
        <x:v>3</x:v>
      </x:c>
      <x:c r="D80" s="3" t="n">
        <x:v>7</x:v>
      </x:c>
      <x:c r="E80" s="3" t="n">
        <x:v>2</x:v>
      </x:c>
      <x:c r="F80" s="3" t="str">
        <x:v>01:00</x:v>
      </x:c>
      <x:c r="G80" s="3" t="str">
        <x:v>02:00</x:v>
      </x:c>
      <x:c r="H80" s="9" t="n">
        <x:v>0.525</x:v>
      </x:c>
      <x:c r="I80" s="9" t="n">
        <x:f>'Physical_Arcs'!K20*H80</x:f>
        <x:v>126.525</x:v>
      </x:c>
      <x:c r="J80" s="9" t="n">
        <x:f>'Physical_Arcs'!L20*H80</x:f>
        <x:v>1261.05</x:v>
      </x:c>
      <x:c r="K80" s="9" t="n">
        <x:f>'Physical_Arcs'!M20*H80</x:f>
        <x:v>630.525</x:v>
      </x:c>
      <x:c r="L80" s="9" t="n">
        <x:f>'Physical_Arcs'!U20</x:f>
        <x:v>0.5</x:v>
      </x:c>
      <x:c r="M80" s="9" t="n">
        <x:f>L80*'Parameters'!$C$6</x:f>
        <x:v>0.5</x:v>
      </x:c>
      <x:c r="N80" s="3" t="n">
        <x:v>1</x:v>
      </x:c>
    </x:row>
    <x:row r="81" ht="21" customHeight="1">
      <x:c r="A81" s="3" t="n">
        <x:v>80</x:v>
      </x:c>
      <x:c r="B81" s="3" t="n">
        <x:v>20</x:v>
      </x:c>
      <x:c r="C81" s="3" t="n">
        <x:v>3</x:v>
      </x:c>
      <x:c r="D81" s="3" t="n">
        <x:v>10</x:v>
      </x:c>
      <x:c r="E81" s="3" t="n">
        <x:v>2</x:v>
      </x:c>
      <x:c r="F81" s="3" t="str">
        <x:v>01:00</x:v>
      </x:c>
      <x:c r="G81" s="3" t="str">
        <x:v>02:00</x:v>
      </x:c>
      <x:c r="H81" s="9" t="n">
        <x:v>0.525</x:v>
      </x:c>
      <x:c r="I81" s="9" t="n">
        <x:f>'Physical_Arcs'!K21*H81</x:f>
        <x:v>274.575</x:v>
      </x:c>
      <x:c r="J81" s="9" t="n">
        <x:f>'Physical_Arcs'!L21*H81</x:f>
        <x:v>2743.125</x:v>
      </x:c>
      <x:c r="K81" s="9" t="n">
        <x:f>'Physical_Arcs'!M21*H81</x:f>
        <x:v>1371.825</x:v>
      </x:c>
      <x:c r="L81" s="9" t="n">
        <x:f>'Physical_Arcs'!U21</x:f>
        <x:v>0.735955</x:v>
      </x:c>
      <x:c r="M81" s="9" t="n">
        <x:f>L81*'Parameters'!$C$6</x:f>
        <x:v>0.735955</x:v>
      </x:c>
      <x:c r="N81" s="3" t="n">
        <x:v>1</x:v>
      </x:c>
    </x:row>
    <x:row r="82" ht="21" customHeight="1">
      <x:c r="A82" s="3" t="n">
        <x:v>81</x:v>
      </x:c>
      <x:c r="B82" s="3" t="n">
        <x:v>21</x:v>
      </x:c>
      <x:c r="C82" s="3" t="n">
        <x:v>3</x:v>
      </x:c>
      <x:c r="D82" s="3" t="n">
        <x:v>9</x:v>
      </x:c>
      <x:c r="E82" s="3" t="n">
        <x:v>2</x:v>
      </x:c>
      <x:c r="F82" s="3" t="str">
        <x:v>01:00</x:v>
      </x:c>
      <x:c r="G82" s="3" t="str">
        <x:v>02:00</x:v>
      </x:c>
      <x:c r="H82" s="9" t="n">
        <x:v>0.525</x:v>
      </x:c>
      <x:c r="I82" s="9" t="n">
        <x:f>'Physical_Arcs'!K22*H82</x:f>
        <x:v>38.325</x:v>
      </x:c>
      <x:c r="J82" s="9" t="n">
        <x:f>'Physical_Arcs'!L22*H82</x:f>
        <x:v>378.52500000000003</x:v>
      </x:c>
      <x:c r="K82" s="9" t="n">
        <x:f>'Physical_Arcs'!M22*H82</x:f>
        <x:v>189.525</x:v>
      </x:c>
      <x:c r="L82" s="9" t="n">
        <x:f>'Physical_Arcs'!U22</x:f>
        <x:v>0.837079</x:v>
      </x:c>
      <x:c r="M82" s="9" t="n">
        <x:f>L82*'Parameters'!$C$6</x:f>
        <x:v>0.837079</x:v>
      </x:c>
      <x:c r="N82" s="3" t="n">
        <x:v>1</x:v>
      </x:c>
    </x:row>
    <x:row r="83" ht="21" customHeight="1">
      <x:c r="A83" s="3" t="n">
        <x:v>82</x:v>
      </x:c>
      <x:c r="B83" s="3" t="n">
        <x:v>22</x:v>
      </x:c>
      <x:c r="C83" s="3" t="n">
        <x:v>4</x:v>
      </x:c>
      <x:c r="D83" s="3" t="n">
        <x:v>5</x:v>
      </x:c>
      <x:c r="E83" s="3" t="n">
        <x:v>2</x:v>
      </x:c>
      <x:c r="F83" s="3" t="str">
        <x:v>01:00</x:v>
      </x:c>
      <x:c r="G83" s="3" t="str">
        <x:v>02:00</x:v>
      </x:c>
      <x:c r="H83" s="9" t="n">
        <x:v>0.525</x:v>
      </x:c>
      <x:c r="I83" s="9" t="n">
        <x:f>'Physical_Arcs'!K23*H83</x:f>
        <x:v>315.52500000000003</x:v>
      </x:c>
      <x:c r="J83" s="9" t="n">
        <x:f>'Physical_Arcs'!L23*H83</x:f>
        <x:v>3152.625</x:v>
      </x:c>
      <x:c r="K83" s="9" t="n">
        <x:f>'Physical_Arcs'!M23*H83</x:f>
        <x:v>1576.575</x:v>
      </x:c>
      <x:c r="L83" s="9" t="n">
        <x:f>'Physical_Arcs'!U23</x:f>
        <x:v>2</x:v>
      </x:c>
      <x:c r="M83" s="9" t="n">
        <x:f>L83*'Parameters'!$C$6</x:f>
        <x:v>2</x:v>
      </x:c>
      <x:c r="N83" s="3" t="n">
        <x:v>1</x:v>
      </x:c>
    </x:row>
    <x:row r="84" ht="21" customHeight="1">
      <x:c r="A84" s="3" t="n">
        <x:v>83</x:v>
      </x:c>
      <x:c r="B84" s="3" t="n">
        <x:v>23</x:v>
      </x:c>
      <x:c r="C84" s="3" t="n">
        <x:v>4</x:v>
      </x:c>
      <x:c r="D84" s="3" t="n">
        <x:v>3</x:v>
      </x:c>
      <x:c r="E84" s="3" t="n">
        <x:v>2</x:v>
      </x:c>
      <x:c r="F84" s="3" t="str">
        <x:v>01:00</x:v>
      </x:c>
      <x:c r="G84" s="3" t="str">
        <x:v>02:00</x:v>
      </x:c>
      <x:c r="H84" s="9" t="n">
        <x:v>0.525</x:v>
      </x:c>
      <x:c r="I84" s="9" t="n">
        <x:f>'Physical_Arcs'!K24*H84</x:f>
        <x:v>57.225</x:v>
      </x:c>
      <x:c r="J84" s="9" t="n">
        <x:f>'Physical_Arcs'!L24*H84</x:f>
        <x:v>567.525</x:v>
      </x:c>
      <x:c r="K84" s="9" t="n">
        <x:f>'Physical_Arcs'!M24*H84</x:f>
        <x:v>284.02500000000003</x:v>
      </x:c>
      <x:c r="L84" s="9" t="n">
        <x:f>'Physical_Arcs'!U24</x:f>
        <x:v>1.91573</x:v>
      </x:c>
      <x:c r="M84" s="9" t="n">
        <x:f>L84*'Parameters'!$C$6</x:f>
        <x:v>1.91573</x:v>
      </x:c>
      <x:c r="N84" s="3" t="n">
        <x:v>1</x:v>
      </x:c>
    </x:row>
    <x:row r="85" ht="21" customHeight="1">
      <x:c r="A85" s="3" t="n">
        <x:v>84</x:v>
      </x:c>
      <x:c r="B85" s="3" t="n">
        <x:v>24</x:v>
      </x:c>
      <x:c r="C85" s="3" t="n">
        <x:v>4</x:v>
      </x:c>
      <x:c r="D85" s="3" t="n">
        <x:v>10</x:v>
      </x:c>
      <x:c r="E85" s="3" t="n">
        <x:v>2</x:v>
      </x:c>
      <x:c r="F85" s="3" t="str">
        <x:v>01:00</x:v>
      </x:c>
      <x:c r="G85" s="3" t="str">
        <x:v>02:00</x:v>
      </x:c>
      <x:c r="H85" s="9" t="n">
        <x:v>0.525</x:v>
      </x:c>
      <x:c r="I85" s="9" t="n">
        <x:f>'Physical_Arcs'!K25*H85</x:f>
        <x:v>170.625</x:v>
      </x:c>
      <x:c r="J85" s="9" t="n">
        <x:f>'Physical_Arcs'!L25*H85</x:f>
        <x:v>1702.575</x:v>
      </x:c>
      <x:c r="K85" s="9" t="n">
        <x:f>'Physical_Arcs'!M25*H85</x:f>
        <x:v>851.5500000000001</x:v>
      </x:c>
      <x:c r="L85" s="9" t="n">
        <x:f>'Physical_Arcs'!U25</x:f>
        <x:v>1.157303</x:v>
      </x:c>
      <x:c r="M85" s="9" t="n">
        <x:f>L85*'Parameters'!$C$6</x:f>
        <x:v>1.157303</x:v>
      </x:c>
      <x:c r="N85" s="3" t="n">
        <x:v>1</x:v>
      </x:c>
    </x:row>
    <x:row r="86" ht="21" customHeight="1">
      <x:c r="A86" s="3" t="n">
        <x:v>85</x:v>
      </x:c>
      <x:c r="B86" s="3" t="n">
        <x:v>25</x:v>
      </x:c>
      <x:c r="C86" s="3" t="n">
        <x:v>4</x:v>
      </x:c>
      <x:c r="D86" s="3" t="n">
        <x:v>8</x:v>
      </x:c>
      <x:c r="E86" s="3" t="n">
        <x:v>2</x:v>
      </x:c>
      <x:c r="F86" s="3" t="str">
        <x:v>01:00</x:v>
      </x:c>
      <x:c r="G86" s="3" t="str">
        <x:v>02:00</x:v>
      </x:c>
      <x:c r="H86" s="9" t="n">
        <x:v>0.525</x:v>
      </x:c>
      <x:c r="I86" s="9" t="n">
        <x:f>'Physical_Arcs'!K26*H86</x:f>
        <x:v>154.875</x:v>
      </x:c>
      <x:c r="J86" s="9" t="n">
        <x:f>'Physical_Arcs'!L26*H86</x:f>
        <x:v>1545.075</x:v>
      </x:c>
      <x:c r="K86" s="9" t="n">
        <x:f>'Physical_Arcs'!M26*H86</x:f>
        <x:v>772.8000000000001</x:v>
      </x:c>
      <x:c r="L86" s="9" t="n">
        <x:f>'Physical_Arcs'!U26</x:f>
        <x:v>0.516854</x:v>
      </x:c>
      <x:c r="M86" s="9" t="n">
        <x:f>L86*'Parameters'!$C$6</x:f>
        <x:v>0.516854</x:v>
      </x:c>
      <x:c r="N86" s="3" t="n">
        <x:v>1</x:v>
      </x:c>
    </x:row>
    <x:row r="87" ht="21" customHeight="1">
      <x:c r="A87" s="3" t="n">
        <x:v>86</x:v>
      </x:c>
      <x:c r="B87" s="3" t="n">
        <x:v>26</x:v>
      </x:c>
      <x:c r="C87" s="3" t="n">
        <x:v>4</x:v>
      </x:c>
      <x:c r="D87" s="3" t="n">
        <x:v>7</x:v>
      </x:c>
      <x:c r="E87" s="3" t="n">
        <x:v>2</x:v>
      </x:c>
      <x:c r="F87" s="3" t="str">
        <x:v>01:00</x:v>
      </x:c>
      <x:c r="G87" s="3" t="str">
        <x:v>02:00</x:v>
      </x:c>
      <x:c r="H87" s="9" t="n">
        <x:v>0.525</x:v>
      </x:c>
      <x:c r="I87" s="9" t="n">
        <x:f>'Physical_Arcs'!K27*H87</x:f>
        <x:v>284.02500000000003</x:v>
      </x:c>
      <x:c r="J87" s="9" t="n">
        <x:f>'Physical_Arcs'!L27*H87</x:f>
        <x:v>2837.625</x:v>
      </x:c>
      <x:c r="K87" s="9" t="n">
        <x:f>'Physical_Arcs'!M27*H87</x:f>
        <x:v>1419.075</x:v>
      </x:c>
      <x:c r="L87" s="9" t="n">
        <x:f>'Physical_Arcs'!U27</x:f>
        <x:v>0.567416</x:v>
      </x:c>
      <x:c r="M87" s="9" t="n">
        <x:f>L87*'Parameters'!$C$6</x:f>
        <x:v>0.567416</x:v>
      </x:c>
      <x:c r="N87" s="3" t="n">
        <x:v>1</x:v>
      </x:c>
    </x:row>
    <x:row r="88" ht="21" customHeight="1">
      <x:c r="A88" s="3" t="n">
        <x:v>87</x:v>
      </x:c>
      <x:c r="B88" s="3" t="n">
        <x:v>27</x:v>
      </x:c>
      <x:c r="C88" s="3" t="n">
        <x:v>4</x:v>
      </x:c>
      <x:c r="D88" s="3" t="n">
        <x:v>2</x:v>
      </x:c>
      <x:c r="E88" s="3" t="n">
        <x:v>2</x:v>
      </x:c>
      <x:c r="F88" s="3" t="str">
        <x:v>01:00</x:v>
      </x:c>
      <x:c r="G88" s="3" t="str">
        <x:v>02:00</x:v>
      </x:c>
      <x:c r="H88" s="9" t="n">
        <x:v>0.525</x:v>
      </x:c>
      <x:c r="I88" s="9" t="n">
        <x:f>'Physical_Arcs'!K28*H88</x:f>
        <x:v>227.32500000000002</x:v>
      </x:c>
      <x:c r="J88" s="9" t="n">
        <x:f>'Physical_Arcs'!L28*H88</x:f>
        <x:v>2270.1</x:v>
      </x:c>
      <x:c r="K88" s="9" t="n">
        <x:f>'Physical_Arcs'!M28*H88</x:f>
        <x:v>1135.05</x:v>
      </x:c>
      <x:c r="L88" s="9" t="n">
        <x:f>'Physical_Arcs'!U28</x:f>
        <x:v>0.651685</x:v>
      </x:c>
      <x:c r="M88" s="9" t="n">
        <x:f>L88*'Parameters'!$C$6</x:f>
        <x:v>0.651685</x:v>
      </x:c>
      <x:c r="N88" s="3" t="n">
        <x:v>1</x:v>
      </x:c>
    </x:row>
    <x:row r="89" ht="21" customHeight="1">
      <x:c r="A89" s="3" t="n">
        <x:v>88</x:v>
      </x:c>
      <x:c r="B89" s="3" t="n">
        <x:v>28</x:v>
      </x:c>
      <x:c r="C89" s="3" t="n">
        <x:v>4</x:v>
      </x:c>
      <x:c r="D89" s="3" t="n">
        <x:v>6</x:v>
      </x:c>
      <x:c r="E89" s="3" t="n">
        <x:v>2</x:v>
      </x:c>
      <x:c r="F89" s="3" t="str">
        <x:v>01:00</x:v>
      </x:c>
      <x:c r="G89" s="3" t="str">
        <x:v>02:00</x:v>
      </x:c>
      <x:c r="H89" s="9" t="n">
        <x:v>0.525</x:v>
      </x:c>
      <x:c r="I89" s="9" t="n">
        <x:f>'Physical_Arcs'!K29*H89</x:f>
        <x:v>252.525</x:v>
      </x:c>
      <x:c r="J89" s="9" t="n">
        <x:f>'Physical_Arcs'!L29*H89</x:f>
        <x:v>2522.1</x:v>
      </x:c>
      <x:c r="K89" s="9" t="n">
        <x:f>'Physical_Arcs'!M29*H89</x:f>
        <x:v>1261.05</x:v>
      </x:c>
      <x:c r="L89" s="9" t="n">
        <x:f>'Physical_Arcs'!U29</x:f>
        <x:v>0.702247</x:v>
      </x:c>
      <x:c r="M89" s="9" t="n">
        <x:f>L89*'Parameters'!$C$6</x:f>
        <x:v>0.702247</x:v>
      </x:c>
      <x:c r="N89" s="3" t="n">
        <x:v>1</x:v>
      </x:c>
    </x:row>
    <x:row r="90" ht="21" customHeight="1">
      <x:c r="A90" s="3" t="n">
        <x:v>89</x:v>
      </x:c>
      <x:c r="B90" s="3" t="n">
        <x:v>29</x:v>
      </x:c>
      <x:c r="C90" s="3" t="n">
        <x:v>5</x:v>
      </x:c>
      <x:c r="D90" s="3" t="n">
        <x:v>6</x:v>
      </x:c>
      <x:c r="E90" s="3" t="n">
        <x:v>2</x:v>
      </x:c>
      <x:c r="F90" s="3" t="str">
        <x:v>01:00</x:v>
      </x:c>
      <x:c r="G90" s="3" t="str">
        <x:v>02:00</x:v>
      </x:c>
      <x:c r="H90" s="9" t="n">
        <x:v>0.525</x:v>
      </x:c>
      <x:c r="I90" s="9" t="n">
        <x:f>'Physical_Arcs'!K30*H90</x:f>
        <x:v>315.52500000000003</x:v>
      </x:c>
      <x:c r="J90" s="9" t="n">
        <x:f>'Physical_Arcs'!L30*H90</x:f>
        <x:v>3152.625</x:v>
      </x:c>
      <x:c r="K90" s="9" t="n">
        <x:f>'Physical_Arcs'!M30*H90</x:f>
        <x:v>1576.575</x:v>
      </x:c>
      <x:c r="L90" s="9" t="n">
        <x:f>'Physical_Arcs'!U30</x:f>
        <x:v>2</x:v>
      </x:c>
      <x:c r="M90" s="9" t="n">
        <x:f>L90*'Parameters'!$C$6</x:f>
        <x:v>2</x:v>
      </x:c>
      <x:c r="N90" s="3" t="n">
        <x:v>1</x:v>
      </x:c>
    </x:row>
    <x:row r="91" ht="21" customHeight="1">
      <x:c r="A91" s="3" t="n">
        <x:v>90</x:v>
      </x:c>
      <x:c r="B91" s="3" t="n">
        <x:v>30</x:v>
      </x:c>
      <x:c r="C91" s="3" t="n">
        <x:v>5</x:v>
      </x:c>
      <x:c r="D91" s="3" t="n">
        <x:v>2</x:v>
      </x:c>
      <x:c r="E91" s="3" t="n">
        <x:v>2</x:v>
      </x:c>
      <x:c r="F91" s="3" t="str">
        <x:v>01:00</x:v>
      </x:c>
      <x:c r="G91" s="3" t="str">
        <x:v>02:00</x:v>
      </x:c>
      <x:c r="H91" s="9" t="n">
        <x:v>0.525</x:v>
      </x:c>
      <x:c r="I91" s="9" t="n">
        <x:f>'Physical_Arcs'!K31*H91</x:f>
        <x:v>66.675</x:v>
      </x:c>
      <x:c r="J91" s="9" t="n">
        <x:f>'Physical_Arcs'!L31*H91</x:f>
        <x:v>662.025</x:v>
      </x:c>
      <x:c r="K91" s="9" t="n">
        <x:f>'Physical_Arcs'!M31*H91</x:f>
        <x:v>331.27500000000003</x:v>
      </x:c>
      <x:c r="L91" s="9" t="n">
        <x:f>'Physical_Arcs'!U31</x:f>
        <x:v>0.88764</x:v>
      </x:c>
      <x:c r="M91" s="9" t="n">
        <x:f>L91*'Parameters'!$C$6</x:f>
        <x:v>0.88764</x:v>
      </x:c>
      <x:c r="N91" s="3" t="n">
        <x:v>1</x:v>
      </x:c>
    </x:row>
    <x:row r="92" ht="21" customHeight="1">
      <x:c r="A92" s="3" t="n">
        <x:v>91</x:v>
      </x:c>
      <x:c r="B92" s="3" t="n">
        <x:v>31</x:v>
      </x:c>
      <x:c r="C92" s="3" t="n">
        <x:v>5</x:v>
      </x:c>
      <x:c r="D92" s="3" t="n">
        <x:v>8</x:v>
      </x:c>
      <x:c r="E92" s="3" t="n">
        <x:v>2</x:v>
      </x:c>
      <x:c r="F92" s="3" t="str">
        <x:v>01:00</x:v>
      </x:c>
      <x:c r="G92" s="3" t="str">
        <x:v>02:00</x:v>
      </x:c>
      <x:c r="H92" s="9" t="n">
        <x:v>0.525</x:v>
      </x:c>
      <x:c r="I92" s="9" t="n">
        <x:f>'Physical_Arcs'!K32*H92</x:f>
        <x:v>284.02500000000003</x:v>
      </x:c>
      <x:c r="J92" s="9" t="n">
        <x:f>'Physical_Arcs'!L32*H92</x:f>
        <x:v>2837.625</x:v>
      </x:c>
      <x:c r="K92" s="9" t="n">
        <x:f>'Physical_Arcs'!M32*H92</x:f>
        <x:v>1419.075</x:v>
      </x:c>
      <x:c r="L92" s="9" t="n">
        <x:f>'Physical_Arcs'!U32</x:f>
        <x:v>1.52809</x:v>
      </x:c>
      <x:c r="M92" s="9" t="n">
        <x:f>L92*'Parameters'!$C$6</x:f>
        <x:v>1.52809</x:v>
      </x:c>
      <x:c r="N92" s="3" t="n">
        <x:v>1</x:v>
      </x:c>
    </x:row>
    <x:row r="93" ht="21" customHeight="1">
      <x:c r="A93" s="3" t="n">
        <x:v>92</x:v>
      </x:c>
      <x:c r="B93" s="3" t="n">
        <x:v>32</x:v>
      </x:c>
      <x:c r="C93" s="3" t="n">
        <x:v>5</x:v>
      </x:c>
      <x:c r="D93" s="3" t="n">
        <x:v>3</x:v>
      </x:c>
      <x:c r="E93" s="3" t="n">
        <x:v>2</x:v>
      </x:c>
      <x:c r="F93" s="3" t="str">
        <x:v>01:00</x:v>
      </x:c>
      <x:c r="G93" s="3" t="str">
        <x:v>02:00</x:v>
      </x:c>
      <x:c r="H93" s="9" t="n">
        <x:v>0.525</x:v>
      </x:c>
      <x:c r="I93" s="9" t="n">
        <x:f>'Physical_Arcs'!K33*H93</x:f>
        <x:v>277.725</x:v>
      </x:c>
      <x:c r="J93" s="9" t="n">
        <x:f>'Physical_Arcs'!L33*H93</x:f>
        <x:v>2774.625</x:v>
      </x:c>
      <x:c r="K93" s="9" t="n">
        <x:f>'Physical_Arcs'!M33*H93</x:f>
        <x:v>1387.575</x:v>
      </x:c>
      <x:c r="L93" s="9" t="n">
        <x:f>'Physical_Arcs'!U33</x:f>
        <x:v>1.308989</x:v>
      </x:c>
      <x:c r="M93" s="9" t="n">
        <x:f>L93*'Parameters'!$C$6</x:f>
        <x:v>1.308989</x:v>
      </x:c>
      <x:c r="N93" s="3" t="n">
        <x:v>1</x:v>
      </x:c>
    </x:row>
    <x:row r="94" ht="21" customHeight="1">
      <x:c r="A94" s="3" t="n">
        <x:v>93</x:v>
      </x:c>
      <x:c r="B94" s="3" t="n">
        <x:v>33</x:v>
      </x:c>
      <x:c r="C94" s="3" t="n">
        <x:v>5</x:v>
      </x:c>
      <x:c r="D94" s="3" t="n">
        <x:v>10</x:v>
      </x:c>
      <x:c r="E94" s="3" t="n">
        <x:v>2</x:v>
      </x:c>
      <x:c r="F94" s="3" t="str">
        <x:v>01:00</x:v>
      </x:c>
      <x:c r="G94" s="3" t="str">
        <x:v>02:00</x:v>
      </x:c>
      <x:c r="H94" s="9" t="n">
        <x:v>0.525</x:v>
      </x:c>
      <x:c r="I94" s="9" t="n">
        <x:f>'Physical_Arcs'!K34*H94</x:f>
        <x:v>306.075</x:v>
      </x:c>
      <x:c r="J94" s="9" t="n">
        <x:f>'Physical_Arcs'!L34*H94</x:f>
        <x:v>3058.125</x:v>
      </x:c>
      <x:c r="K94" s="9" t="n">
        <x:f>'Physical_Arcs'!M34*H94</x:f>
        <x:v>1529.325</x:v>
      </x:c>
      <x:c r="L94" s="9" t="n">
        <x:f>'Physical_Arcs'!U34</x:f>
        <x:v>0.853933</x:v>
      </x:c>
      <x:c r="M94" s="9" t="n">
        <x:f>L94*'Parameters'!$C$6</x:f>
        <x:v>0.853933</x:v>
      </x:c>
      <x:c r="N94" s="3" t="n">
        <x:v>1</x:v>
      </x:c>
    </x:row>
    <x:row r="95" ht="21" customHeight="1">
      <x:c r="A95" s="3" t="n">
        <x:v>94</x:v>
      </x:c>
      <x:c r="B95" s="3" t="n">
        <x:v>34</x:v>
      </x:c>
      <x:c r="C95" s="3" t="n">
        <x:v>6</x:v>
      </x:c>
      <x:c r="D95" s="3" t="n">
        <x:v>7</x:v>
      </x:c>
      <x:c r="E95" s="3" t="n">
        <x:v>2</x:v>
      </x:c>
      <x:c r="F95" s="3" t="str">
        <x:v>01:00</x:v>
      </x:c>
      <x:c r="G95" s="3" t="str">
        <x:v>02:00</x:v>
      </x:c>
      <x:c r="H95" s="9" t="n">
        <x:v>0.525</x:v>
      </x:c>
      <x:c r="I95" s="9" t="n">
        <x:f>'Physical_Arcs'!K35*H95</x:f>
        <x:v>315.52500000000003</x:v>
      </x:c>
      <x:c r="J95" s="9" t="n">
        <x:f>'Physical_Arcs'!L35*H95</x:f>
        <x:v>3152.625</x:v>
      </x:c>
      <x:c r="K95" s="9" t="n">
        <x:f>'Physical_Arcs'!M35*H95</x:f>
        <x:v>1576.575</x:v>
      </x:c>
      <x:c r="L95" s="9" t="n">
        <x:f>'Physical_Arcs'!U35</x:f>
        <x:v>2</x:v>
      </x:c>
      <x:c r="M95" s="9" t="n">
        <x:f>L95*'Parameters'!$C$6</x:f>
        <x:v>2</x:v>
      </x:c>
      <x:c r="N95" s="3" t="n">
        <x:v>1</x:v>
      </x:c>
    </x:row>
    <x:row r="96" ht="21" customHeight="1">
      <x:c r="A96" s="3" t="n">
        <x:v>95</x:v>
      </x:c>
      <x:c r="B96" s="3" t="n">
        <x:v>35</x:v>
      </x:c>
      <x:c r="C96" s="3" t="n">
        <x:v>6</x:v>
      </x:c>
      <x:c r="D96" s="3" t="n">
        <x:v>10</x:v>
      </x:c>
      <x:c r="E96" s="3" t="n">
        <x:v>2</x:v>
      </x:c>
      <x:c r="F96" s="3" t="str">
        <x:v>01:00</x:v>
      </x:c>
      <x:c r="G96" s="3" t="str">
        <x:v>02:00</x:v>
      </x:c>
      <x:c r="H96" s="9" t="n">
        <x:v>0.525</x:v>
      </x:c>
      <x:c r="I96" s="9" t="n">
        <x:f>'Physical_Arcs'!K36*H96</x:f>
        <x:v>161.175</x:v>
      </x:c>
      <x:c r="J96" s="9" t="n">
        <x:f>'Physical_Arcs'!L36*H96</x:f>
        <x:v>1608.075</x:v>
      </x:c>
      <x:c r="K96" s="9" t="n">
        <x:f>'Physical_Arcs'!M36*H96</x:f>
        <x:v>804.3000000000001</x:v>
      </x:c>
      <x:c r="L96" s="9" t="n">
        <x:f>'Physical_Arcs'!U36</x:f>
        <x:v>1.005618</x:v>
      </x:c>
      <x:c r="M96" s="9" t="n">
        <x:f>L96*'Parameters'!$C$6</x:f>
        <x:v>1.005618</x:v>
      </x:c>
      <x:c r="N96" s="3" t="n">
        <x:v>1</x:v>
      </x:c>
    </x:row>
    <x:row r="97" ht="21" customHeight="1">
      <x:c r="A97" s="3" t="n">
        <x:v>96</x:v>
      </x:c>
      <x:c r="B97" s="3" t="n">
        <x:v>36</x:v>
      </x:c>
      <x:c r="C97" s="3" t="n">
        <x:v>6</x:v>
      </x:c>
      <x:c r="D97" s="3" t="n">
        <x:v>8</x:v>
      </x:c>
      <x:c r="E97" s="3" t="n">
        <x:v>2</x:v>
      </x:c>
      <x:c r="F97" s="3" t="str">
        <x:v>01:00</x:v>
      </x:c>
      <x:c r="G97" s="3" t="str">
        <x:v>02:00</x:v>
      </x:c>
      <x:c r="H97" s="9" t="n">
        <x:v>0.525</x:v>
      </x:c>
      <x:c r="I97" s="9" t="n">
        <x:f>'Physical_Arcs'!K37*H97</x:f>
        <x:v>208.425</x:v>
      </x:c>
      <x:c r="J97" s="9" t="n">
        <x:f>'Physical_Arcs'!L37*H97</x:f>
        <x:v>2081.1</x:v>
      </x:c>
      <x:c r="K97" s="9" t="n">
        <x:f>'Physical_Arcs'!M37*H97</x:f>
        <x:v>1040.55</x:v>
      </x:c>
      <x:c r="L97" s="9" t="n">
        <x:f>'Physical_Arcs'!U37</x:f>
        <x:v>1.544944</x:v>
      </x:c>
      <x:c r="M97" s="9" t="n">
        <x:f>L97*'Parameters'!$C$6</x:f>
        <x:v>1.544944</x:v>
      </x:c>
      <x:c r="N97" s="3" t="n">
        <x:v>1</x:v>
      </x:c>
    </x:row>
    <x:row r="98" ht="21" customHeight="1">
      <x:c r="A98" s="3" t="n">
        <x:v>97</x:v>
      </x:c>
      <x:c r="B98" s="3" t="n">
        <x:v>37</x:v>
      </x:c>
      <x:c r="C98" s="3" t="n">
        <x:v>6</x:v>
      </x:c>
      <x:c r="D98" s="3" t="n">
        <x:v>1</x:v>
      </x:c>
      <x:c r="E98" s="3" t="n">
        <x:v>2</x:v>
      </x:c>
      <x:c r="F98" s="3" t="str">
        <x:v>01:00</x:v>
      </x:c>
      <x:c r="G98" s="3" t="str">
        <x:v>02:00</x:v>
      </x:c>
      <x:c r="H98" s="9" t="n">
        <x:v>0.525</x:v>
      </x:c>
      <x:c r="I98" s="9" t="n">
        <x:f>'Physical_Arcs'!K38*H98</x:f>
        <x:v>47.775</x:v>
      </x:c>
      <x:c r="J98" s="9" t="n">
        <x:f>'Physical_Arcs'!L38*H98</x:f>
        <x:v>473.02500000000003</x:v>
      </x:c>
      <x:c r="K98" s="9" t="n">
        <x:f>'Physical_Arcs'!M38*H98</x:f>
        <x:v>236.775</x:v>
      </x:c>
      <x:c r="L98" s="9" t="n">
        <x:f>'Physical_Arcs'!U38</x:f>
        <x:v>0.870787</x:v>
      </x:c>
      <x:c r="M98" s="9" t="n">
        <x:f>L98*'Parameters'!$C$6</x:f>
        <x:v>0.870787</x:v>
      </x:c>
      <x:c r="N98" s="3" t="n">
        <x:v>1</x:v>
      </x:c>
    </x:row>
    <x:row r="99" ht="21" customHeight="1">
      <x:c r="A99" s="3" t="n">
        <x:v>98</x:v>
      </x:c>
      <x:c r="B99" s="3" t="n">
        <x:v>38</x:v>
      </x:c>
      <x:c r="C99" s="3" t="n">
        <x:v>6</x:v>
      </x:c>
      <x:c r="D99" s="3" t="n">
        <x:v>3</x:v>
      </x:c>
      <x:c r="E99" s="3" t="n">
        <x:v>2</x:v>
      </x:c>
      <x:c r="F99" s="3" t="str">
        <x:v>01:00</x:v>
      </x:c>
      <x:c r="G99" s="3" t="str">
        <x:v>02:00</x:v>
      </x:c>
      <x:c r="H99" s="9" t="n">
        <x:v>0.525</x:v>
      </x:c>
      <x:c r="I99" s="9" t="n">
        <x:f>'Physical_Arcs'!K39*H99</x:f>
        <x:v>91.875</x:v>
      </x:c>
      <x:c r="J99" s="9" t="n">
        <x:f>'Physical_Arcs'!L39*H99</x:f>
        <x:v>914.5500000000001</x:v>
      </x:c>
      <x:c r="K99" s="9" t="n">
        <x:f>'Physical_Arcs'!M39*H99</x:f>
        <x:v>457.27500000000003</x:v>
      </x:c>
      <x:c r="L99" s="9" t="n">
        <x:f>'Physical_Arcs'!U39</x:f>
        <x:v>0.921348</x:v>
      </x:c>
      <x:c r="M99" s="9" t="n">
        <x:f>L99*'Parameters'!$C$6</x:f>
        <x:v>0.921348</x:v>
      </x:c>
      <x:c r="N99" s="3" t="n">
        <x:v>1</x:v>
      </x:c>
    </x:row>
    <x:row r="100" ht="21" customHeight="1">
      <x:c r="A100" s="3" t="n">
        <x:v>99</x:v>
      </x:c>
      <x:c r="B100" s="3" t="n">
        <x:v>39</x:v>
      </x:c>
      <x:c r="C100" s="3" t="n">
        <x:v>7</x:v>
      </x:c>
      <x:c r="D100" s="3" t="n">
        <x:v>8</x:v>
      </x:c>
      <x:c r="E100" s="3" t="n">
        <x:v>2</x:v>
      </x:c>
      <x:c r="F100" s="3" t="str">
        <x:v>01:00</x:v>
      </x:c>
      <x:c r="G100" s="3" t="str">
        <x:v>02:00</x:v>
      </x:c>
      <x:c r="H100" s="9" t="n">
        <x:v>0.525</x:v>
      </x:c>
      <x:c r="I100" s="9" t="n">
        <x:f>'Physical_Arcs'!K40*H100</x:f>
        <x:v>315.52500000000003</x:v>
      </x:c>
      <x:c r="J100" s="9" t="n">
        <x:f>'Physical_Arcs'!L40*H100</x:f>
        <x:v>3152.625</x:v>
      </x:c>
      <x:c r="K100" s="9" t="n">
        <x:f>'Physical_Arcs'!M40*H100</x:f>
        <x:v>1576.575</x:v>
      </x:c>
      <x:c r="L100" s="9" t="n">
        <x:f>'Physical_Arcs'!U40</x:f>
        <x:v>2</x:v>
      </x:c>
      <x:c r="M100" s="9" t="n">
        <x:f>L100*'Parameters'!$C$6</x:f>
        <x:v>2</x:v>
      </x:c>
      <x:c r="N100" s="3" t="n">
        <x:v>1</x:v>
      </x:c>
    </x:row>
    <x:row r="101" ht="21" customHeight="1">
      <x:c r="A101" s="3" t="n">
        <x:v>100</x:v>
      </x:c>
      <x:c r="B101" s="3" t="n">
        <x:v>40</x:v>
      </x:c>
      <x:c r="C101" s="3" t="n">
        <x:v>7</x:v>
      </x:c>
      <x:c r="D101" s="3" t="n">
        <x:v>1</x:v>
      </x:c>
      <x:c r="E101" s="3" t="n">
        <x:v>2</x:v>
      </x:c>
      <x:c r="F101" s="3" t="str">
        <x:v>01:00</x:v>
      </x:c>
      <x:c r="G101" s="3" t="str">
        <x:v>02:00</x:v>
      </x:c>
      <x:c r="H101" s="9" t="n">
        <x:v>0.525</x:v>
      </x:c>
      <x:c r="I101" s="9" t="n">
        <x:f>'Physical_Arcs'!K41*H101</x:f>
        <x:v>151.725</x:v>
      </x:c>
      <x:c r="J101" s="9" t="n">
        <x:f>'Physical_Arcs'!L41*H101</x:f>
        <x:v>1513.575</x:v>
      </x:c>
      <x:c r="K101" s="9" t="n">
        <x:f>'Physical_Arcs'!M41*H101</x:f>
        <x:v>757.0500000000001</x:v>
      </x:c>
      <x:c r="L101" s="9" t="n">
        <x:f>'Physical_Arcs'!U41</x:f>
        <x:v>1.932584</x:v>
      </x:c>
      <x:c r="M101" s="9" t="n">
        <x:f>L101*'Parameters'!$C$6</x:f>
        <x:v>1.932584</x:v>
      </x:c>
      <x:c r="N101" s="3" t="n">
        <x:v>1</x:v>
      </x:c>
    </x:row>
    <x:row r="102" ht="21" customHeight="1">
      <x:c r="A102" s="3" t="n">
        <x:v>101</x:v>
      </x:c>
      <x:c r="B102" s="3" t="n">
        <x:v>41</x:v>
      </x:c>
      <x:c r="C102" s="3" t="n">
        <x:v>7</x:v>
      </x:c>
      <x:c r="D102" s="3" t="n">
        <x:v>9</x:v>
      </x:c>
      <x:c r="E102" s="3" t="n">
        <x:v>2</x:v>
      </x:c>
      <x:c r="F102" s="3" t="str">
        <x:v>01:00</x:v>
      </x:c>
      <x:c r="G102" s="3" t="str">
        <x:v>02:00</x:v>
      </x:c>
      <x:c r="H102" s="9" t="n">
        <x:v>0.525</x:v>
      </x:c>
      <x:c r="I102" s="9" t="n">
        <x:f>'Physical_Arcs'!K42*H102</x:f>
        <x:v>302.925</x:v>
      </x:c>
      <x:c r="J102" s="9" t="n">
        <x:f>'Physical_Arcs'!L42*H102</x:f>
        <x:v>3026.625</x:v>
      </x:c>
      <x:c r="K102" s="9" t="n">
        <x:f>'Physical_Arcs'!M42*H102</x:f>
        <x:v>1513.575</x:v>
      </x:c>
      <x:c r="L102" s="9" t="n">
        <x:f>'Physical_Arcs'!U42</x:f>
        <x:v>0.685393</x:v>
      </x:c>
      <x:c r="M102" s="9" t="n">
        <x:f>L102*'Parameters'!$C$6</x:f>
        <x:v>0.685393</x:v>
      </x:c>
      <x:c r="N102" s="3" t="n">
        <x:v>1</x:v>
      </x:c>
    </x:row>
    <x:row r="103" ht="21" customHeight="1">
      <x:c r="A103" s="3" t="n">
        <x:v>102</x:v>
      </x:c>
      <x:c r="B103" s="3" t="n">
        <x:v>42</x:v>
      </x:c>
      <x:c r="C103" s="3" t="n">
        <x:v>7</x:v>
      </x:c>
      <x:c r="D103" s="3" t="n">
        <x:v>2</x:v>
      </x:c>
      <x:c r="E103" s="3" t="n">
        <x:v>2</x:v>
      </x:c>
      <x:c r="F103" s="3" t="str">
        <x:v>01:00</x:v>
      </x:c>
      <x:c r="G103" s="3" t="str">
        <x:v>02:00</x:v>
      </x:c>
      <x:c r="H103" s="9" t="n">
        <x:v>0.525</x:v>
      </x:c>
      <x:c r="I103" s="9" t="n">
        <x:f>'Physical_Arcs'!K43*H103</x:f>
        <x:v>47.775</x:v>
      </x:c>
      <x:c r="J103" s="9" t="n">
        <x:f>'Physical_Arcs'!L43*H103</x:f>
        <x:v>473.02500000000003</x:v>
      </x:c>
      <x:c r="K103" s="9" t="n">
        <x:f>'Physical_Arcs'!M43*H103</x:f>
        <x:v>236.775</x:v>
      </x:c>
      <x:c r="L103" s="9" t="n">
        <x:f>'Physical_Arcs'!U43</x:f>
        <x:v>1.308989</x:v>
      </x:c>
      <x:c r="M103" s="9" t="n">
        <x:f>L103*'Parameters'!$C$6</x:f>
        <x:v>1.308989</x:v>
      </x:c>
      <x:c r="N103" s="3" t="n">
        <x:v>1</x:v>
      </x:c>
    </x:row>
    <x:row r="104" ht="21" customHeight="1">
      <x:c r="A104" s="3" t="n">
        <x:v>103</x:v>
      </x:c>
      <x:c r="B104" s="3" t="n">
        <x:v>43</x:v>
      </x:c>
      <x:c r="C104" s="3" t="n">
        <x:v>7</x:v>
      </x:c>
      <x:c r="D104" s="3" t="n">
        <x:v>3</x:v>
      </x:c>
      <x:c r="E104" s="3" t="n">
        <x:v>2</x:v>
      </x:c>
      <x:c r="F104" s="3" t="str">
        <x:v>01:00</x:v>
      </x:c>
      <x:c r="G104" s="3" t="str">
        <x:v>02:00</x:v>
      </x:c>
      <x:c r="H104" s="9" t="n">
        <x:v>0.525</x:v>
      </x:c>
      <x:c r="I104" s="9" t="n">
        <x:f>'Physical_Arcs'!K44*H104</x:f>
        <x:v>189.525</x:v>
      </x:c>
      <x:c r="J104" s="9" t="n">
        <x:f>'Physical_Arcs'!L44*H104</x:f>
        <x:v>1891.575</x:v>
      </x:c>
      <x:c r="K104" s="9" t="n">
        <x:f>'Physical_Arcs'!M44*H104</x:f>
        <x:v>946.0500000000001</x:v>
      </x:c>
      <x:c r="L104" s="9" t="n">
        <x:f>'Physical_Arcs'!U44</x:f>
        <x:v>0.955056</x:v>
      </x:c>
      <x:c r="M104" s="9" t="n">
        <x:f>L104*'Parameters'!$C$6</x:f>
        <x:v>0.955056</x:v>
      </x:c>
      <x:c r="N104" s="3" t="n">
        <x:v>1</x:v>
      </x:c>
    </x:row>
    <x:row r="105" ht="21" customHeight="1">
      <x:c r="A105" s="3" t="n">
        <x:v>104</x:v>
      </x:c>
      <x:c r="B105" s="3" t="n">
        <x:v>44</x:v>
      </x:c>
      <x:c r="C105" s="3" t="n">
        <x:v>8</x:v>
      </x:c>
      <x:c r="D105" s="3" t="n">
        <x:v>9</x:v>
      </x:c>
      <x:c r="E105" s="3" t="n">
        <x:v>2</x:v>
      </x:c>
      <x:c r="F105" s="3" t="str">
        <x:v>01:00</x:v>
      </x:c>
      <x:c r="G105" s="3" t="str">
        <x:v>02:00</x:v>
      </x:c>
      <x:c r="H105" s="9" t="n">
        <x:v>0.525</x:v>
      </x:c>
      <x:c r="I105" s="9" t="n">
        <x:f>'Physical_Arcs'!K45*H105</x:f>
        <x:v>315.52500000000003</x:v>
      </x:c>
      <x:c r="J105" s="9" t="n">
        <x:f>'Physical_Arcs'!L45*H105</x:f>
        <x:v>3152.625</x:v>
      </x:c>
      <x:c r="K105" s="9" t="n">
        <x:f>'Physical_Arcs'!M45*H105</x:f>
        <x:v>1576.575</x:v>
      </x:c>
      <x:c r="L105" s="9" t="n">
        <x:f>'Physical_Arcs'!U45</x:f>
        <x:v>2</x:v>
      </x:c>
      <x:c r="M105" s="9" t="n">
        <x:f>L105*'Parameters'!$C$6</x:f>
        <x:v>2</x:v>
      </x:c>
      <x:c r="N105" s="3" t="n">
        <x:v>1</x:v>
      </x:c>
    </x:row>
    <x:row r="106" ht="21" customHeight="1">
      <x:c r="A106" s="3" t="n">
        <x:v>105</x:v>
      </x:c>
      <x:c r="B106" s="3" t="n">
        <x:v>45</x:v>
      </x:c>
      <x:c r="C106" s="3" t="n">
        <x:v>8</x:v>
      </x:c>
      <x:c r="D106" s="3" t="n">
        <x:v>3</x:v>
      </x:c>
      <x:c r="E106" s="3" t="n">
        <x:v>2</x:v>
      </x:c>
      <x:c r="F106" s="3" t="str">
        <x:v>01:00</x:v>
      </x:c>
      <x:c r="G106" s="3" t="str">
        <x:v>02:00</x:v>
      </x:c>
      <x:c r="H106" s="9" t="n">
        <x:v>0.525</x:v>
      </x:c>
      <x:c r="I106" s="9" t="n">
        <x:f>'Physical_Arcs'!K46*H106</x:f>
        <x:v>180.07500000000002</x:v>
      </x:c>
      <x:c r="J106" s="9" t="n">
        <x:f>'Physical_Arcs'!L46*H106</x:f>
        <x:v>1797.075</x:v>
      </x:c>
      <x:c r="K106" s="9" t="n">
        <x:f>'Physical_Arcs'!M46*H106</x:f>
        <x:v>898.8000000000001</x:v>
      </x:c>
      <x:c r="L106" s="9" t="n">
        <x:f>'Physical_Arcs'!U46</x:f>
        <x:v>1.005618</x:v>
      </x:c>
      <x:c r="M106" s="9" t="n">
        <x:f>L106*'Parameters'!$C$6</x:f>
        <x:v>1.005618</x:v>
      </x:c>
      <x:c r="N106" s="3" t="n">
        <x:v>1</x:v>
      </x:c>
    </x:row>
    <x:row r="107" ht="21" customHeight="1">
      <x:c r="A107" s="3" t="n">
        <x:v>106</x:v>
      </x:c>
      <x:c r="B107" s="3" t="n">
        <x:v>46</x:v>
      </x:c>
      <x:c r="C107" s="3" t="n">
        <x:v>8</x:v>
      </x:c>
      <x:c r="D107" s="3" t="n">
        <x:v>7</x:v>
      </x:c>
      <x:c r="E107" s="3" t="n">
        <x:v>2</x:v>
      </x:c>
      <x:c r="F107" s="3" t="str">
        <x:v>01:00</x:v>
      </x:c>
      <x:c r="G107" s="3" t="str">
        <x:v>02:00</x:v>
      </x:c>
      <x:c r="H107" s="9" t="n">
        <x:v>0.525</x:v>
      </x:c>
      <x:c r="I107" s="9" t="n">
        <x:f>'Physical_Arcs'!K47*H107</x:f>
        <x:v>189.525</x:v>
      </x:c>
      <x:c r="J107" s="9" t="n">
        <x:f>'Physical_Arcs'!L47*H107</x:f>
        <x:v>1891.575</x:v>
      </x:c>
      <x:c r="K107" s="9" t="n">
        <x:f>'Physical_Arcs'!M47*H107</x:f>
        <x:v>946.0500000000001</x:v>
      </x:c>
      <x:c r="L107" s="9" t="n">
        <x:f>'Physical_Arcs'!U47</x:f>
        <x:v>1.629213</x:v>
      </x:c>
      <x:c r="M107" s="9" t="n">
        <x:f>L107*'Parameters'!$C$6</x:f>
        <x:v>1.629213</x:v>
      </x:c>
      <x:c r="N107" s="3" t="n">
        <x:v>1</x:v>
      </x:c>
    </x:row>
    <x:row r="108" ht="21" customHeight="1">
      <x:c r="A108" s="3" t="n">
        <x:v>107</x:v>
      </x:c>
      <x:c r="B108" s="3" t="n">
        <x:v>47</x:v>
      </x:c>
      <x:c r="C108" s="3" t="n">
        <x:v>8</x:v>
      </x:c>
      <x:c r="D108" s="3" t="n">
        <x:v>2</x:v>
      </x:c>
      <x:c r="E108" s="3" t="n">
        <x:v>2</x:v>
      </x:c>
      <x:c r="F108" s="3" t="str">
        <x:v>01:00</x:v>
      </x:c>
      <x:c r="G108" s="3" t="str">
        <x:v>02:00</x:v>
      </x:c>
      <x:c r="H108" s="9" t="n">
        <x:v>0.525</x:v>
      </x:c>
      <x:c r="I108" s="9" t="n">
        <x:f>'Physical_Arcs'!K48*H108</x:f>
        <x:v>135.975</x:v>
      </x:c>
      <x:c r="J108" s="9" t="n">
        <x:f>'Physical_Arcs'!L48*H108</x:f>
        <x:v>1355.55</x:v>
      </x:c>
      <x:c r="K108" s="9" t="n">
        <x:f>'Physical_Arcs'!M48*H108</x:f>
        <x:v>677.775</x:v>
      </x:c>
      <x:c r="L108" s="9" t="n">
        <x:f>'Physical_Arcs'!U48</x:f>
        <x:v>0.820225</x:v>
      </x:c>
      <x:c r="M108" s="9" t="n">
        <x:f>L108*'Parameters'!$C$6</x:f>
        <x:v>0.820225</x:v>
      </x:c>
      <x:c r="N108" s="3" t="n">
        <x:v>1</x:v>
      </x:c>
    </x:row>
    <x:row r="109" ht="21" customHeight="1">
      <x:c r="A109" s="3" t="n">
        <x:v>108</x:v>
      </x:c>
      <x:c r="B109" s="3" t="n">
        <x:v>48</x:v>
      </x:c>
      <x:c r="C109" s="3" t="n">
        <x:v>8</x:v>
      </x:c>
      <x:c r="D109" s="3" t="n">
        <x:v>6</x:v>
      </x:c>
      <x:c r="E109" s="3" t="n">
        <x:v>2</x:v>
      </x:c>
      <x:c r="F109" s="3" t="str">
        <x:v>01:00</x:v>
      </x:c>
      <x:c r="G109" s="3" t="str">
        <x:v>02:00</x:v>
      </x:c>
      <x:c r="H109" s="9" t="n">
        <x:v>0.525</x:v>
      </x:c>
      <x:c r="I109" s="9" t="n">
        <x:f>'Physical_Arcs'!K49*H109</x:f>
        <x:v>180.07500000000002</x:v>
      </x:c>
      <x:c r="J109" s="9" t="n">
        <x:f>'Physical_Arcs'!L49*H109</x:f>
        <x:v>1797.075</x:v>
      </x:c>
      <x:c r="K109" s="9" t="n">
        <x:f>'Physical_Arcs'!M49*H109</x:f>
        <x:v>898.8000000000001</x:v>
      </x:c>
      <x:c r="L109" s="9" t="n">
        <x:f>'Physical_Arcs'!U49</x:f>
        <x:v>1.022472</x:v>
      </x:c>
      <x:c r="M109" s="9" t="n">
        <x:f>L109*'Parameters'!$C$6</x:f>
        <x:v>1.022472</x:v>
      </x:c>
      <x:c r="N109" s="3" t="n">
        <x:v>1</x:v>
      </x:c>
    </x:row>
    <x:row r="110" ht="21" customHeight="1">
      <x:c r="A110" s="3" t="n">
        <x:v>109</x:v>
      </x:c>
      <x:c r="B110" s="3" t="n">
        <x:v>49</x:v>
      </x:c>
      <x:c r="C110" s="3" t="n">
        <x:v>8</x:v>
      </x:c>
      <x:c r="D110" s="3" t="n">
        <x:v>4</x:v>
      </x:c>
      <x:c r="E110" s="3" t="n">
        <x:v>2</x:v>
      </x:c>
      <x:c r="F110" s="3" t="str">
        <x:v>01:00</x:v>
      </x:c>
      <x:c r="G110" s="3" t="str">
        <x:v>02:00</x:v>
      </x:c>
      <x:c r="H110" s="9" t="n">
        <x:v>0.525</x:v>
      </x:c>
      <x:c r="I110" s="9" t="n">
        <x:f>'Physical_Arcs'!K50*H110</x:f>
        <x:v>120.22500000000001</x:v>
      </x:c>
      <x:c r="J110" s="9" t="n">
        <x:f>'Physical_Arcs'!L50*H110</x:f>
        <x:v>1198.05</x:v>
      </x:c>
      <x:c r="K110" s="9" t="n">
        <x:f>'Physical_Arcs'!M50*H110</x:f>
        <x:v>599.025</x:v>
      </x:c>
      <x:c r="L110" s="9" t="n">
        <x:f>'Physical_Arcs'!U50</x:f>
        <x:v>1.376404</x:v>
      </x:c>
      <x:c r="M110" s="9" t="n">
        <x:f>L110*'Parameters'!$C$6</x:f>
        <x:v>1.376404</x:v>
      </x:c>
      <x:c r="N110" s="3" t="n">
        <x:v>1</x:v>
      </x:c>
    </x:row>
    <x:row r="111" ht="21" customHeight="1">
      <x:c r="A111" s="3" t="n">
        <x:v>110</x:v>
      </x:c>
      <x:c r="B111" s="3" t="n">
        <x:v>50</x:v>
      </x:c>
      <x:c r="C111" s="3" t="n">
        <x:v>8</x:v>
      </x:c>
      <x:c r="D111" s="3" t="n">
        <x:v>5</x:v>
      </x:c>
      <x:c r="E111" s="3" t="n">
        <x:v>2</x:v>
      </x:c>
      <x:c r="F111" s="3" t="str">
        <x:v>01:00</x:v>
      </x:c>
      <x:c r="G111" s="3" t="str">
        <x:v>02:00</x:v>
      </x:c>
      <x:c r="H111" s="9" t="n">
        <x:v>0.525</x:v>
      </x:c>
      <x:c r="I111" s="9" t="n">
        <x:f>'Physical_Arcs'!K51*H111</x:f>
        <x:v>151.725</x:v>
      </x:c>
      <x:c r="J111" s="9" t="n">
        <x:f>'Physical_Arcs'!L51*H111</x:f>
        <x:v>1513.575</x:v>
      </x:c>
      <x:c r="K111" s="9" t="n">
        <x:f>'Physical_Arcs'!M51*H111</x:f>
        <x:v>757.0500000000001</x:v>
      </x:c>
      <x:c r="L111" s="9" t="n">
        <x:f>'Physical_Arcs'!U51</x:f>
        <x:v>1.224719</x:v>
      </x:c>
      <x:c r="M111" s="9" t="n">
        <x:f>L111*'Parameters'!$C$6</x:f>
        <x:v>1.224719</x:v>
      </x:c>
      <x:c r="N111" s="3" t="n">
        <x:v>1</x:v>
      </x:c>
    </x:row>
    <x:row r="112" ht="21" customHeight="1">
      <x:c r="A112" s="3" t="n">
        <x:v>111</x:v>
      </x:c>
      <x:c r="B112" s="3" t="n">
        <x:v>51</x:v>
      </x:c>
      <x:c r="C112" s="3" t="n">
        <x:v>8</x:v>
      </x:c>
      <x:c r="D112" s="3" t="n">
        <x:v>1</x:v>
      </x:c>
      <x:c r="E112" s="3" t="n">
        <x:v>2</x:v>
      </x:c>
      <x:c r="F112" s="3" t="str">
        <x:v>01:00</x:v>
      </x:c>
      <x:c r="G112" s="3" t="str">
        <x:v>02:00</x:v>
      </x:c>
      <x:c r="H112" s="9" t="n">
        <x:v>0.525</x:v>
      </x:c>
      <x:c r="I112" s="9" t="n">
        <x:f>'Physical_Arcs'!K52*H112</x:f>
        <x:v>129.675</x:v>
      </x:c>
      <x:c r="J112" s="9" t="n">
        <x:f>'Physical_Arcs'!L52*H112</x:f>
        <x:v>1292.55</x:v>
      </x:c>
      <x:c r="K112" s="9" t="n">
        <x:f>'Physical_Arcs'!M52*H112</x:f>
        <x:v>646.275</x:v>
      </x:c>
      <x:c r="L112" s="9" t="n">
        <x:f>'Physical_Arcs'!U52</x:f>
        <x:v>1.949438</x:v>
      </x:c>
      <x:c r="M112" s="9" t="n">
        <x:f>L112*'Parameters'!$C$6</x:f>
        <x:v>1.949438</x:v>
      </x:c>
      <x:c r="N112" s="3" t="n">
        <x:v>1</x:v>
      </x:c>
    </x:row>
    <x:row r="113" ht="21" customHeight="1">
      <x:c r="A113" s="3" t="n">
        <x:v>112</x:v>
      </x:c>
      <x:c r="B113" s="3" t="n">
        <x:v>52</x:v>
      </x:c>
      <x:c r="C113" s="3" t="n">
        <x:v>9</x:v>
      </x:c>
      <x:c r="D113" s="3" t="n">
        <x:v>10</x:v>
      </x:c>
      <x:c r="E113" s="3" t="n">
        <x:v>2</x:v>
      </x:c>
      <x:c r="F113" s="3" t="str">
        <x:v>01:00</x:v>
      </x:c>
      <x:c r="G113" s="3" t="str">
        <x:v>02:00</x:v>
      </x:c>
      <x:c r="H113" s="9" t="n">
        <x:v>0.525</x:v>
      </x:c>
      <x:c r="I113" s="9" t="n">
        <x:f>'Physical_Arcs'!K53*H113</x:f>
        <x:v>315.52500000000003</x:v>
      </x:c>
      <x:c r="J113" s="9" t="n">
        <x:f>'Physical_Arcs'!L53*H113</x:f>
        <x:v>3152.625</x:v>
      </x:c>
      <x:c r="K113" s="9" t="n">
        <x:f>'Physical_Arcs'!M53*H113</x:f>
        <x:v>1576.575</x:v>
      </x:c>
      <x:c r="L113" s="9" t="n">
        <x:f>'Physical_Arcs'!U53</x:f>
        <x:v>2</x:v>
      </x:c>
      <x:c r="M113" s="9" t="n">
        <x:f>L113*'Parameters'!$C$6</x:f>
        <x:v>2</x:v>
      </x:c>
      <x:c r="N113" s="3" t="n">
        <x:v>1</x:v>
      </x:c>
    </x:row>
    <x:row r="114" ht="21" customHeight="1">
      <x:c r="A114" s="3" t="n">
        <x:v>113</x:v>
      </x:c>
      <x:c r="B114" s="3" t="n">
        <x:v>53</x:v>
      </x:c>
      <x:c r="C114" s="3" t="n">
        <x:v>9</x:v>
      </x:c>
      <x:c r="D114" s="3" t="n">
        <x:v>6</x:v>
      </x:c>
      <x:c r="E114" s="3" t="n">
        <x:v>2</x:v>
      </x:c>
      <x:c r="F114" s="3" t="str">
        <x:v>01:00</x:v>
      </x:c>
      <x:c r="G114" s="3" t="str">
        <x:v>02:00</x:v>
      </x:c>
      <x:c r="H114" s="9" t="n">
        <x:v>0.525</x:v>
      </x:c>
      <x:c r="I114" s="9" t="n">
        <x:f>'Physical_Arcs'!K54*H114</x:f>
        <x:v>158.025</x:v>
      </x:c>
      <x:c r="J114" s="9" t="n">
        <x:f>'Physical_Arcs'!L54*H114</x:f>
        <x:v>1576.575</x:v>
      </x:c>
      <x:c r="K114" s="9" t="n">
        <x:f>'Physical_Arcs'!M54*H114</x:f>
        <x:v>788.5500000000001</x:v>
      </x:c>
      <x:c r="L114" s="9" t="n">
        <x:f>'Physical_Arcs'!U54</x:f>
        <x:v>1.157303</x:v>
      </x:c>
      <x:c r="M114" s="9" t="n">
        <x:f>L114*'Parameters'!$C$6</x:f>
        <x:v>1.157303</x:v>
      </x:c>
      <x:c r="N114" s="3" t="n">
        <x:v>1</x:v>
      </x:c>
    </x:row>
    <x:row r="115" ht="21" customHeight="1">
      <x:c r="A115" s="3" t="n">
        <x:v>114</x:v>
      </x:c>
      <x:c r="B115" s="3" t="n">
        <x:v>54</x:v>
      </x:c>
      <x:c r="C115" s="3" t="n">
        <x:v>9</x:v>
      </x:c>
      <x:c r="D115" s="3" t="n">
        <x:v>2</x:v>
      </x:c>
      <x:c r="E115" s="3" t="n">
        <x:v>2</x:v>
      </x:c>
      <x:c r="F115" s="3" t="str">
        <x:v>01:00</x:v>
      </x:c>
      <x:c r="G115" s="3" t="str">
        <x:v>02:00</x:v>
      </x:c>
      <x:c r="H115" s="9" t="n">
        <x:v>0.525</x:v>
      </x:c>
      <x:c r="I115" s="9" t="n">
        <x:f>'Physical_Arcs'!K55*H115</x:f>
        <x:v>258.825</x:v>
      </x:c>
      <x:c r="J115" s="9" t="n">
        <x:f>'Physical_Arcs'!L55*H115</x:f>
        <x:v>2585.1</x:v>
      </x:c>
      <x:c r="K115" s="9" t="n">
        <x:f>'Physical_Arcs'!M55*H115</x:f>
        <x:v>1292.55</x:v>
      </x:c>
      <x:c r="L115" s="9" t="n">
        <x:f>'Physical_Arcs'!U55</x:f>
        <x:v>0.904494</x:v>
      </x:c>
      <x:c r="M115" s="9" t="n">
        <x:f>L115*'Parameters'!$C$6</x:f>
        <x:v>0.904494</x:v>
      </x:c>
      <x:c r="N115" s="3" t="n">
        <x:v>1</x:v>
      </x:c>
    </x:row>
    <x:row r="116" ht="21" customHeight="1">
      <x:c r="A116" s="3" t="n">
        <x:v>115</x:v>
      </x:c>
      <x:c r="B116" s="3" t="n">
        <x:v>55</x:v>
      </x:c>
      <x:c r="C116" s="3" t="n">
        <x:v>9</x:v>
      </x:c>
      <x:c r="D116" s="3" t="n">
        <x:v>7</x:v>
      </x:c>
      <x:c r="E116" s="3" t="n">
        <x:v>2</x:v>
      </x:c>
      <x:c r="F116" s="3" t="str">
        <x:v>01:00</x:v>
      </x:c>
      <x:c r="G116" s="3" t="str">
        <x:v>02:00</x:v>
      </x:c>
      <x:c r="H116" s="9" t="n">
        <x:v>0.525</x:v>
      </x:c>
      <x:c r="I116" s="9" t="n">
        <x:f>'Physical_Arcs'!K56*H116</x:f>
        <x:v>113.92500000000001</x:v>
      </x:c>
      <x:c r="J116" s="9" t="n">
        <x:f>'Physical_Arcs'!L56*H116</x:f>
        <x:v>1135.05</x:v>
      </x:c>
      <x:c r="K116" s="9" t="n">
        <x:f>'Physical_Arcs'!M56*H116</x:f>
        <x:v>567.525</x:v>
      </x:c>
      <x:c r="L116" s="9" t="n">
        <x:f>'Physical_Arcs'!U56</x:f>
        <x:v>0.88764</x:v>
      </x:c>
      <x:c r="M116" s="9" t="n">
        <x:f>L116*'Parameters'!$C$6</x:f>
        <x:v>0.88764</x:v>
      </x:c>
      <x:c r="N116" s="3" t="n">
        <x:v>1</x:v>
      </x:c>
    </x:row>
    <x:row r="117" ht="21" customHeight="1">
      <x:c r="A117" s="3" t="n">
        <x:v>116</x:v>
      </x:c>
      <x:c r="B117" s="3" t="n">
        <x:v>56</x:v>
      </x:c>
      <x:c r="C117" s="3" t="n">
        <x:v>9</x:v>
      </x:c>
      <x:c r="D117" s="3" t="n">
        <x:v>3</x:v>
      </x:c>
      <x:c r="E117" s="3" t="n">
        <x:v>2</x:v>
      </x:c>
      <x:c r="F117" s="3" t="str">
        <x:v>01:00</x:v>
      </x:c>
      <x:c r="G117" s="3" t="str">
        <x:v>02:00</x:v>
      </x:c>
      <x:c r="H117" s="9" t="n">
        <x:v>0.525</x:v>
      </x:c>
      <x:c r="I117" s="9" t="n">
        <x:f>'Physical_Arcs'!K57*H117</x:f>
        <x:v>214.72500000000002</x:v>
      </x:c>
      <x:c r="J117" s="9" t="n">
        <x:f>'Physical_Arcs'!L57*H117</x:f>
        <x:v>2144.1</x:v>
      </x:c>
      <x:c r="K117" s="9" t="n">
        <x:f>'Physical_Arcs'!M57*H117</x:f>
        <x:v>1072.05</x:v>
      </x:c>
      <x:c r="L117" s="9" t="n">
        <x:f>'Physical_Arcs'!U57</x:f>
        <x:v>1.106742</x:v>
      </x:c>
      <x:c r="M117" s="9" t="n">
        <x:f>L117*'Parameters'!$C$6</x:f>
        <x:v>1.106742</x:v>
      </x:c>
      <x:c r="N117" s="3" t="n">
        <x:v>1</x:v>
      </x:c>
    </x:row>
    <x:row r="118" ht="21" customHeight="1">
      <x:c r="A118" s="3" t="n">
        <x:v>117</x:v>
      </x:c>
      <x:c r="B118" s="3" t="n">
        <x:v>57</x:v>
      </x:c>
      <x:c r="C118" s="3" t="n">
        <x:v>10</x:v>
      </x:c>
      <x:c r="D118" s="3" t="n">
        <x:v>1</x:v>
      </x:c>
      <x:c r="E118" s="3" t="n">
        <x:v>2</x:v>
      </x:c>
      <x:c r="F118" s="3" t="str">
        <x:v>01:00</x:v>
      </x:c>
      <x:c r="G118" s="3" t="str">
        <x:v>02:00</x:v>
      </x:c>
      <x:c r="H118" s="9" t="n">
        <x:v>0.525</x:v>
      </x:c>
      <x:c r="I118" s="9" t="n">
        <x:f>'Physical_Arcs'!K58*H118</x:f>
        <x:v>315.52500000000003</x:v>
      </x:c>
      <x:c r="J118" s="9" t="n">
        <x:f>'Physical_Arcs'!L58*H118</x:f>
        <x:v>3152.625</x:v>
      </x:c>
      <x:c r="K118" s="9" t="n">
        <x:f>'Physical_Arcs'!M58*H118</x:f>
        <x:v>1576.575</x:v>
      </x:c>
      <x:c r="L118" s="9" t="n">
        <x:f>'Physical_Arcs'!U58</x:f>
        <x:v>2</x:v>
      </x:c>
      <x:c r="M118" s="9" t="n">
        <x:f>L118*'Parameters'!$C$6</x:f>
        <x:v>2</x:v>
      </x:c>
      <x:c r="N118" s="3" t="n">
        <x:v>1</x:v>
      </x:c>
    </x:row>
    <x:row r="119" ht="21" customHeight="1">
      <x:c r="A119" s="3" t="n">
        <x:v>118</x:v>
      </x:c>
      <x:c r="B119" s="3" t="n">
        <x:v>58</x:v>
      </x:c>
      <x:c r="C119" s="3" t="n">
        <x:v>10</x:v>
      </x:c>
      <x:c r="D119" s="3" t="n">
        <x:v>6</x:v>
      </x:c>
      <x:c r="E119" s="3" t="n">
        <x:v>2</x:v>
      </x:c>
      <x:c r="F119" s="3" t="str">
        <x:v>01:00</x:v>
      </x:c>
      <x:c r="G119" s="3" t="str">
        <x:v>02:00</x:v>
      </x:c>
      <x:c r="H119" s="9" t="n">
        <x:v>0.525</x:v>
      </x:c>
      <x:c r="I119" s="9" t="n">
        <x:f>'Physical_Arcs'!K59*H119</x:f>
        <x:v>198.975</x:v>
      </x:c>
      <x:c r="J119" s="9" t="n">
        <x:f>'Physical_Arcs'!L59*H119</x:f>
        <x:v>1986.075</x:v>
      </x:c>
      <x:c r="K119" s="9" t="n">
        <x:f>'Physical_Arcs'!M59*H119</x:f>
        <x:v>993.3000000000001</x:v>
      </x:c>
      <x:c r="L119" s="9" t="n">
        <x:f>'Physical_Arcs'!U59</x:f>
        <x:v>1.123596</x:v>
      </x:c>
      <x:c r="M119" s="9" t="n">
        <x:f>L119*'Parameters'!$C$6</x:f>
        <x:v>1.123596</x:v>
      </x:c>
      <x:c r="N119" s="3" t="n">
        <x:v>1</x:v>
      </x:c>
    </x:row>
    <x:row r="120" ht="21" customHeight="1">
      <x:c r="A120" s="3" t="n">
        <x:v>119</x:v>
      </x:c>
      <x:c r="B120" s="3" t="n">
        <x:v>59</x:v>
      </x:c>
      <x:c r="C120" s="3" t="n">
        <x:v>10</x:v>
      </x:c>
      <x:c r="D120" s="3" t="n">
        <x:v>4</x:v>
      </x:c>
      <x:c r="E120" s="3" t="n">
        <x:v>2</x:v>
      </x:c>
      <x:c r="F120" s="3" t="str">
        <x:v>01:00</x:v>
      </x:c>
      <x:c r="G120" s="3" t="str">
        <x:v>02:00</x:v>
      </x:c>
      <x:c r="H120" s="9" t="n">
        <x:v>0.525</x:v>
      </x:c>
      <x:c r="I120" s="9" t="n">
        <x:f>'Physical_Arcs'!K60*H120</x:f>
        <x:v>284.02500000000003</x:v>
      </x:c>
      <x:c r="J120" s="9" t="n">
        <x:f>'Physical_Arcs'!L60*H120</x:f>
        <x:v>2837.625</x:v>
      </x:c>
      <x:c r="K120" s="9" t="n">
        <x:f>'Physical_Arcs'!M60*H120</x:f>
        <x:v>1419.075</x:v>
      </x:c>
      <x:c r="L120" s="9" t="n">
        <x:f>'Physical_Arcs'!U60</x:f>
        <x:v>1.949438</x:v>
      </x:c>
      <x:c r="M120" s="9" t="n">
        <x:f>L120*'Parameters'!$C$6</x:f>
        <x:v>1.949438</x:v>
      </x:c>
      <x:c r="N120" s="3" t="n">
        <x:v>1</x:v>
      </x:c>
    </x:row>
    <x:row r="121" ht="21" customHeight="1">
      <x:c r="A121" s="3" t="n">
        <x:v>120</x:v>
      </x:c>
      <x:c r="B121" s="3" t="n">
        <x:v>60</x:v>
      </x:c>
      <x:c r="C121" s="3" t="n">
        <x:v>10</x:v>
      </x:c>
      <x:c r="D121" s="3" t="n">
        <x:v>9</x:v>
      </x:c>
      <x:c r="E121" s="3" t="n">
        <x:v>2</x:v>
      </x:c>
      <x:c r="F121" s="3" t="str">
        <x:v>01:00</x:v>
      </x:c>
      <x:c r="G121" s="3" t="str">
        <x:v>02:00</x:v>
      </x:c>
      <x:c r="H121" s="9" t="n">
        <x:v>0.525</x:v>
      </x:c>
      <x:c r="I121" s="9" t="n">
        <x:f>'Physical_Arcs'!K61*H121</x:f>
        <x:v>104.47500000000001</x:v>
      </x:c>
      <x:c r="J121" s="9" t="n">
        <x:f>'Physical_Arcs'!L61*H121</x:f>
        <x:v>1040.55</x:v>
      </x:c>
      <x:c r="K121" s="9" t="n">
        <x:f>'Physical_Arcs'!M61*H121</x:f>
        <x:v>520.275</x:v>
      </x:c>
      <x:c r="L121" s="9" t="n">
        <x:f>'Physical_Arcs'!U61</x:f>
        <x:v>1.494382</x:v>
      </x:c>
      <x:c r="M121" s="9" t="n">
        <x:f>L121*'Parameters'!$C$6</x:f>
        <x:v>1.494382</x:v>
      </x:c>
      <x:c r="N121" s="3" t="n">
        <x:v>1</x:v>
      </x:c>
    </x:row>
    <x:row r="122" ht="21" customHeight="1">
      <x:c r="A122" s="3" t="n">
        <x:v>121</x:v>
      </x:c>
      <x:c r="B122" s="3" t="n">
        <x:v>1</x:v>
      </x:c>
      <x:c r="C122" s="3" t="n">
        <x:v>1</x:v>
      </x:c>
      <x:c r="D122" s="3" t="n">
        <x:v>2</x:v>
      </x:c>
      <x:c r="E122" s="3" t="n">
        <x:v>3</x:v>
      </x:c>
      <x:c r="F122" s="3" t="str">
        <x:v>02:00</x:v>
      </x:c>
      <x:c r="G122" s="3" t="str">
        <x:v>03:00</x:v>
      </x:c>
      <x:c r="H122" s="9" t="n">
        <x:v>0.5</x:v>
      </x:c>
      <x:c r="I122" s="9" t="n">
        <x:f>'Physical_Arcs'!K2*H122</x:f>
        <x:v>300.5</x:v>
      </x:c>
      <x:c r="J122" s="9" t="n">
        <x:f>'Physical_Arcs'!L2*H122</x:f>
        <x:v>3002.5</x:v>
      </x:c>
      <x:c r="K122" s="9" t="n">
        <x:f>'Physical_Arcs'!M2*H122</x:f>
        <x:v>1501.5</x:v>
      </x:c>
      <x:c r="L122" s="9" t="n">
        <x:f>'Physical_Arcs'!U2</x:f>
        <x:v>2</x:v>
      </x:c>
      <x:c r="M122" s="9" t="n">
        <x:f>L122*'Parameters'!$C$6</x:f>
        <x:v>2</x:v>
      </x:c>
      <x:c r="N122" s="3" t="n">
        <x:v>1</x:v>
      </x:c>
    </x:row>
    <x:row r="123" ht="21" customHeight="1">
      <x:c r="A123" s="3" t="n">
        <x:v>122</x:v>
      </x:c>
      <x:c r="B123" s="3" t="n">
        <x:v>2</x:v>
      </x:c>
      <x:c r="C123" s="3" t="n">
        <x:v>1</x:v>
      </x:c>
      <x:c r="D123" s="3" t="n">
        <x:v>10</x:v>
      </x:c>
      <x:c r="E123" s="3" t="n">
        <x:v>3</x:v>
      </x:c>
      <x:c r="F123" s="3" t="str">
        <x:v>02:00</x:v>
      </x:c>
      <x:c r="G123" s="3" t="str">
        <x:v>03:00</x:v>
      </x:c>
      <x:c r="H123" s="9" t="n">
        <x:v>0.5</x:v>
      </x:c>
      <x:c r="I123" s="9" t="n">
        <x:f>'Physical_Arcs'!K3*H123</x:f>
        <x:v>123.5</x:v>
      </x:c>
      <x:c r="J123" s="9" t="n">
        <x:f>'Physical_Arcs'!L3*H123</x:f>
        <x:v>1231</x:v>
      </x:c>
      <x:c r="K123" s="9" t="n">
        <x:f>'Physical_Arcs'!M3*H123</x:f>
        <x:v>615.5</x:v>
      </x:c>
      <x:c r="L123" s="9" t="n">
        <x:f>'Physical_Arcs'!U3</x:f>
        <x:v>1.224719</x:v>
      </x:c>
      <x:c r="M123" s="9" t="n">
        <x:f>L123*'Parameters'!$C$6</x:f>
        <x:v>1.224719</x:v>
      </x:c>
      <x:c r="N123" s="3" t="n">
        <x:v>1</x:v>
      </x:c>
    </x:row>
    <x:row r="124" ht="21" customHeight="1">
      <x:c r="A124" s="3" t="n">
        <x:v>123</x:v>
      </x:c>
      <x:c r="B124" s="3" t="n">
        <x:v>3</x:v>
      </x:c>
      <x:c r="C124" s="3" t="n">
        <x:v>1</x:v>
      </x:c>
      <x:c r="D124" s="3" t="n">
        <x:v>8</x:v>
      </x:c>
      <x:c r="E124" s="3" t="n">
        <x:v>3</x:v>
      </x:c>
      <x:c r="F124" s="3" t="str">
        <x:v>02:00</x:v>
      </x:c>
      <x:c r="G124" s="3" t="str">
        <x:v>03:00</x:v>
      </x:c>
      <x:c r="H124" s="9" t="n">
        <x:v>0.5</x:v>
      </x:c>
      <x:c r="I124" s="9" t="n">
        <x:f>'Physical_Arcs'!K4*H124</x:f>
        <x:v>189.5</x:v>
      </x:c>
      <x:c r="J124" s="9" t="n">
        <x:f>'Physical_Arcs'!L4*H124</x:f>
        <x:v>1891.5</x:v>
      </x:c>
      <x:c r="K124" s="9" t="n">
        <x:f>'Physical_Arcs'!M4*H124</x:f>
        <x:v>946</x:v>
      </x:c>
      <x:c r="L124" s="9" t="n">
        <x:f>'Physical_Arcs'!U4</x:f>
        <x:v>1.073034</x:v>
      </x:c>
      <x:c r="M124" s="9" t="n">
        <x:f>L124*'Parameters'!$C$6</x:f>
        <x:v>1.073034</x:v>
      </x:c>
      <x:c r="N124" s="3" t="n">
        <x:v>1</x:v>
      </x:c>
    </x:row>
    <x:row r="125" ht="21" customHeight="1">
      <x:c r="A125" s="3" t="n">
        <x:v>124</x:v>
      </x:c>
      <x:c r="B125" s="3" t="n">
        <x:v>4</x:v>
      </x:c>
      <x:c r="C125" s="3" t="n">
        <x:v>1</x:v>
      </x:c>
      <x:c r="D125" s="3" t="n">
        <x:v>7</x:v>
      </x:c>
      <x:c r="E125" s="3" t="n">
        <x:v>3</x:v>
      </x:c>
      <x:c r="F125" s="3" t="str">
        <x:v>02:00</x:v>
      </x:c>
      <x:c r="G125" s="3" t="str">
        <x:v>03:00</x:v>
      </x:c>
      <x:c r="H125" s="9" t="n">
        <x:v>0.5</x:v>
      </x:c>
      <x:c r="I125" s="9" t="n">
        <x:f>'Physical_Arcs'!K5*H125</x:f>
        <x:v>186.5</x:v>
      </x:c>
      <x:c r="J125" s="9" t="n">
        <x:f>'Physical_Arcs'!L5*H125</x:f>
        <x:v>1861.5</x:v>
      </x:c>
      <x:c r="K125" s="9" t="n">
        <x:f>'Physical_Arcs'!M5*H125</x:f>
        <x:v>931</x:v>
      </x:c>
      <x:c r="L125" s="9" t="n">
        <x:f>'Physical_Arcs'!U5</x:f>
        <x:v>0.617978</x:v>
      </x:c>
      <x:c r="M125" s="9" t="n">
        <x:f>L125*'Parameters'!$C$6</x:f>
        <x:v>0.617978</x:v>
      </x:c>
      <x:c r="N125" s="3" t="n">
        <x:v>1</x:v>
      </x:c>
    </x:row>
    <x:row r="126" ht="21" customHeight="1">
      <x:c r="A126" s="3" t="n">
        <x:v>125</x:v>
      </x:c>
      <x:c r="B126" s="3" t="n">
        <x:v>5</x:v>
      </x:c>
      <x:c r="C126" s="3" t="n">
        <x:v>1</x:v>
      </x:c>
      <x:c r="D126" s="3" t="n">
        <x:v>4</x:v>
      </x:c>
      <x:c r="E126" s="3" t="n">
        <x:v>3</x:v>
      </x:c>
      <x:c r="F126" s="3" t="str">
        <x:v>02:00</x:v>
      </x:c>
      <x:c r="G126" s="3" t="str">
        <x:v>03:00</x:v>
      </x:c>
      <x:c r="H126" s="9" t="n">
        <x:v>0.5</x:v>
      </x:c>
      <x:c r="I126" s="9" t="n">
        <x:f>'Physical_Arcs'!K6*H126</x:f>
        <x:v>123.5</x:v>
      </x:c>
      <x:c r="J126" s="9" t="n">
        <x:f>'Physical_Arcs'!L6*H126</x:f>
        <x:v>1231</x:v>
      </x:c>
      <x:c r="K126" s="9" t="n">
        <x:f>'Physical_Arcs'!M6*H126</x:f>
        <x:v>615.5</x:v>
      </x:c>
      <x:c r="L126" s="9" t="n">
        <x:f>'Physical_Arcs'!U6</x:f>
        <x:v>0.533708</x:v>
      </x:c>
      <x:c r="M126" s="9" t="n">
        <x:f>L126*'Parameters'!$C$6</x:f>
        <x:v>0.533708</x:v>
      </x:c>
      <x:c r="N126" s="3" t="n">
        <x:v>1</x:v>
      </x:c>
    </x:row>
    <x:row r="127" ht="21" customHeight="1">
      <x:c r="A127" s="3" t="n">
        <x:v>126</x:v>
      </x:c>
      <x:c r="B127" s="3" t="n">
        <x:v>6</x:v>
      </x:c>
      <x:c r="C127" s="3" t="n">
        <x:v>1</x:v>
      </x:c>
      <x:c r="D127" s="3" t="n">
        <x:v>9</x:v>
      </x:c>
      <x:c r="E127" s="3" t="n">
        <x:v>3</x:v>
      </x:c>
      <x:c r="F127" s="3" t="str">
        <x:v>02:00</x:v>
      </x:c>
      <x:c r="G127" s="3" t="str">
        <x:v>03:00</x:v>
      </x:c>
      <x:c r="H127" s="9" t="n">
        <x:v>0.5</x:v>
      </x:c>
      <x:c r="I127" s="9" t="n">
        <x:f>'Physical_Arcs'!K7*H127</x:f>
        <x:v>207.5</x:v>
      </x:c>
      <x:c r="J127" s="9" t="n">
        <x:f>'Physical_Arcs'!L7*H127</x:f>
        <x:v>2072</x:v>
      </x:c>
      <x:c r="K127" s="9" t="n">
        <x:f>'Physical_Arcs'!M7*H127</x:f>
        <x:v>1036</x:v>
      </x:c>
      <x:c r="L127" s="9" t="n">
        <x:f>'Physical_Arcs'!U7</x:f>
        <x:v>1.544944</x:v>
      </x:c>
      <x:c r="M127" s="9" t="n">
        <x:f>L127*'Parameters'!$C$6</x:f>
        <x:v>1.544944</x:v>
      </x:c>
      <x:c r="N127" s="3" t="n">
        <x:v>1</x:v>
      </x:c>
    </x:row>
    <x:row r="128" ht="21" customHeight="1">
      <x:c r="A128" s="3" t="n">
        <x:v>127</x:v>
      </x:c>
      <x:c r="B128" s="3" t="n">
        <x:v>7</x:v>
      </x:c>
      <x:c r="C128" s="3" t="n">
        <x:v>1</x:v>
      </x:c>
      <x:c r="D128" s="3" t="n">
        <x:v>5</x:v>
      </x:c>
      <x:c r="E128" s="3" t="n">
        <x:v>3</x:v>
      </x:c>
      <x:c r="F128" s="3" t="str">
        <x:v>02:00</x:v>
      </x:c>
      <x:c r="G128" s="3" t="str">
        <x:v>03:00</x:v>
      </x:c>
      <x:c r="H128" s="9" t="n">
        <x:v>0.5</x:v>
      </x:c>
      <x:c r="I128" s="9" t="n">
        <x:f>'Physical_Arcs'!K8*H128</x:f>
        <x:v>210.5</x:v>
      </x:c>
      <x:c r="J128" s="9" t="n">
        <x:f>'Physical_Arcs'!L8*H128</x:f>
        <x:v>2102</x:v>
      </x:c>
      <x:c r="K128" s="9" t="n">
        <x:f>'Physical_Arcs'!M8*H128</x:f>
        <x:v>1051</x:v>
      </x:c>
      <x:c r="L128" s="9" t="n">
        <x:f>'Physical_Arcs'!U8</x:f>
        <x:v>1.275281</x:v>
      </x:c>
      <x:c r="M128" s="9" t="n">
        <x:f>L128*'Parameters'!$C$6</x:f>
        <x:v>1.275281</x:v>
      </x:c>
      <x:c r="N128" s="3" t="n">
        <x:v>1</x:v>
      </x:c>
    </x:row>
    <x:row r="129" ht="21" customHeight="1">
      <x:c r="A129" s="3" t="n">
        <x:v>128</x:v>
      </x:c>
      <x:c r="B129" s="3" t="n">
        <x:v>8</x:v>
      </x:c>
      <x:c r="C129" s="3" t="n">
        <x:v>1</x:v>
      </x:c>
      <x:c r="D129" s="3" t="n">
        <x:v>3</x:v>
      </x:c>
      <x:c r="E129" s="3" t="n">
        <x:v>3</x:v>
      </x:c>
      <x:c r="F129" s="3" t="str">
        <x:v>02:00</x:v>
      </x:c>
      <x:c r="G129" s="3" t="str">
        <x:v>03:00</x:v>
      </x:c>
      <x:c r="H129" s="9" t="n">
        <x:v>0.5</x:v>
      </x:c>
      <x:c r="I129" s="9" t="n">
        <x:f>'Physical_Arcs'!K9*H129</x:f>
        <x:v>258.5</x:v>
      </x:c>
      <x:c r="J129" s="9" t="n">
        <x:f>'Physical_Arcs'!L9*H129</x:f>
        <x:v>2582</x:v>
      </x:c>
      <x:c r="K129" s="9" t="n">
        <x:f>'Physical_Arcs'!M9*H129</x:f>
        <x:v>1291</x:v>
      </x:c>
      <x:c r="L129" s="9" t="n">
        <x:f>'Physical_Arcs'!U9</x:f>
        <x:v>1.410112</x:v>
      </x:c>
      <x:c r="M129" s="9" t="n">
        <x:f>L129*'Parameters'!$C$6</x:f>
        <x:v>1.410112</x:v>
      </x:c>
      <x:c r="N129" s="3" t="n">
        <x:v>1</x:v>
      </x:c>
    </x:row>
    <x:row r="130" ht="21" customHeight="1">
      <x:c r="A130" s="3" t="n">
        <x:v>129</x:v>
      </x:c>
      <x:c r="B130" s="3" t="n">
        <x:v>9</x:v>
      </x:c>
      <x:c r="C130" s="3" t="n">
        <x:v>1</x:v>
      </x:c>
      <x:c r="D130" s="3" t="n">
        <x:v>6</x:v>
      </x:c>
      <x:c r="E130" s="3" t="n">
        <x:v>3</x:v>
      </x:c>
      <x:c r="F130" s="3" t="str">
        <x:v>02:00</x:v>
      </x:c>
      <x:c r="G130" s="3" t="str">
        <x:v>03:00</x:v>
      </x:c>
      <x:c r="H130" s="9" t="n">
        <x:v>0.5</x:v>
      </x:c>
      <x:c r="I130" s="9" t="n">
        <x:f>'Physical_Arcs'!K10*H130</x:f>
        <x:v>39.5</x:v>
      </x:c>
      <x:c r="J130" s="9" t="n">
        <x:f>'Physical_Arcs'!L10*H130</x:f>
        <x:v>390.5</x:v>
      </x:c>
      <x:c r="K130" s="9" t="n">
        <x:f>'Physical_Arcs'!M10*H130</x:f>
        <x:v>195.5</x:v>
      </x:c>
      <x:c r="L130" s="9" t="n">
        <x:f>'Physical_Arcs'!U10</x:f>
        <x:v>1.342697</x:v>
      </x:c>
      <x:c r="M130" s="9" t="n">
        <x:f>L130*'Parameters'!$C$6</x:f>
        <x:v>1.342697</x:v>
      </x:c>
      <x:c r="N130" s="3" t="n">
        <x:v>1</x:v>
      </x:c>
    </x:row>
    <x:row r="131" ht="21" customHeight="1">
      <x:c r="A131" s="3" t="n">
        <x:v>130</x:v>
      </x:c>
      <x:c r="B131" s="3" t="n">
        <x:v>10</x:v>
      </x:c>
      <x:c r="C131" s="3" t="n">
        <x:v>2</x:v>
      </x:c>
      <x:c r="D131" s="3" t="n">
        <x:v>3</x:v>
      </x:c>
      <x:c r="E131" s="3" t="n">
        <x:v>3</x:v>
      </x:c>
      <x:c r="F131" s="3" t="str">
        <x:v>02:00</x:v>
      </x:c>
      <x:c r="G131" s="3" t="str">
        <x:v>03:00</x:v>
      </x:c>
      <x:c r="H131" s="9" t="n">
        <x:v>0.5</x:v>
      </x:c>
      <x:c r="I131" s="9" t="n">
        <x:f>'Physical_Arcs'!K11*H131</x:f>
        <x:v>300.5</x:v>
      </x:c>
      <x:c r="J131" s="9" t="n">
        <x:f>'Physical_Arcs'!L11*H131</x:f>
        <x:v>3002.5</x:v>
      </x:c>
      <x:c r="K131" s="9" t="n">
        <x:f>'Physical_Arcs'!M11*H131</x:f>
        <x:v>1501.5</x:v>
      </x:c>
      <x:c r="L131" s="9" t="n">
        <x:f>'Physical_Arcs'!U11</x:f>
        <x:v>2</x:v>
      </x:c>
      <x:c r="M131" s="9" t="n">
        <x:f>L131*'Parameters'!$C$6</x:f>
        <x:v>2</x:v>
      </x:c>
      <x:c r="N131" s="3" t="n">
        <x:v>1</x:v>
      </x:c>
    </x:row>
    <x:row r="132" ht="21" customHeight="1">
      <x:c r="A132" s="3" t="n">
        <x:v>131</x:v>
      </x:c>
      <x:c r="B132" s="3" t="n">
        <x:v>11</x:v>
      </x:c>
      <x:c r="C132" s="3" t="n">
        <x:v>2</x:v>
      </x:c>
      <x:c r="D132" s="3" t="n">
        <x:v>4</x:v>
      </x:c>
      <x:c r="E132" s="3" t="n">
        <x:v>3</x:v>
      </x:c>
      <x:c r="F132" s="3" t="str">
        <x:v>02:00</x:v>
      </x:c>
      <x:c r="G132" s="3" t="str">
        <x:v>03:00</x:v>
      </x:c>
      <x:c r="H132" s="9" t="n">
        <x:v>0.5</x:v>
      </x:c>
      <x:c r="I132" s="9" t="n">
        <x:f>'Physical_Arcs'!K12*H132</x:f>
        <x:v>222.5</x:v>
      </x:c>
      <x:c r="J132" s="9" t="n">
        <x:f>'Physical_Arcs'!L12*H132</x:f>
        <x:v>2222</x:v>
      </x:c>
      <x:c r="K132" s="9" t="n">
        <x:f>'Physical_Arcs'!M12*H132</x:f>
        <x:v>1111</x:v>
      </x:c>
      <x:c r="L132" s="9" t="n">
        <x:f>'Physical_Arcs'!U12</x:f>
        <x:v>0.533708</x:v>
      </x:c>
      <x:c r="M132" s="9" t="n">
        <x:f>L132*'Parameters'!$C$6</x:f>
        <x:v>0.533708</x:v>
      </x:c>
      <x:c r="N132" s="3" t="n">
        <x:v>1</x:v>
      </x:c>
    </x:row>
    <x:row r="133" ht="21" customHeight="1">
      <x:c r="A133" s="3" t="n">
        <x:v>132</x:v>
      </x:c>
      <x:c r="B133" s="3" t="n">
        <x:v>12</x:v>
      </x:c>
      <x:c r="C133" s="3" t="n">
        <x:v>2</x:v>
      </x:c>
      <x:c r="D133" s="3" t="n">
        <x:v>7</x:v>
      </x:c>
      <x:c r="E133" s="3" t="n">
        <x:v>3</x:v>
      </x:c>
      <x:c r="F133" s="3" t="str">
        <x:v>02:00</x:v>
      </x:c>
      <x:c r="G133" s="3" t="str">
        <x:v>03:00</x:v>
      </x:c>
      <x:c r="H133" s="9" t="n">
        <x:v>0.5</x:v>
      </x:c>
      <x:c r="I133" s="9" t="n">
        <x:f>'Physical_Arcs'!K13*H133</x:f>
        <x:v>171.5</x:v>
      </x:c>
      <x:c r="J133" s="9" t="n">
        <x:f>'Physical_Arcs'!L13*H133</x:f>
        <x:v>1711.5</x:v>
      </x:c>
      <x:c r="K133" s="9" t="n">
        <x:f>'Physical_Arcs'!M13*H133</x:f>
        <x:v>856</x:v>
      </x:c>
      <x:c r="L133" s="9" t="n">
        <x:f>'Physical_Arcs'!U13</x:f>
        <x:v>1.865169</x:v>
      </x:c>
      <x:c r="M133" s="9" t="n">
        <x:f>L133*'Parameters'!$C$6</x:f>
        <x:v>1.865169</x:v>
      </x:c>
      <x:c r="N133" s="3" t="n">
        <x:v>1</x:v>
      </x:c>
    </x:row>
    <x:row r="134" ht="21" customHeight="1">
      <x:c r="A134" s="3" t="n">
        <x:v>133</x:v>
      </x:c>
      <x:c r="B134" s="3" t="n">
        <x:v>13</x:v>
      </x:c>
      <x:c r="C134" s="3" t="n">
        <x:v>2</x:v>
      </x:c>
      <x:c r="D134" s="3" t="n">
        <x:v>9</x:v>
      </x:c>
      <x:c r="E134" s="3" t="n">
        <x:v>3</x:v>
      </x:c>
      <x:c r="F134" s="3" t="str">
        <x:v>02:00</x:v>
      </x:c>
      <x:c r="G134" s="3" t="str">
        <x:v>03:00</x:v>
      </x:c>
      <x:c r="H134" s="9" t="n">
        <x:v>0.5</x:v>
      </x:c>
      <x:c r="I134" s="9" t="n">
        <x:f>'Physical_Arcs'!K14*H134</x:f>
        <x:v>90.5</x:v>
      </x:c>
      <x:c r="J134" s="9" t="n">
        <x:f>'Physical_Arcs'!L14*H134</x:f>
        <x:v>901</x:v>
      </x:c>
      <x:c r="K134" s="9" t="n">
        <x:f>'Physical_Arcs'!M14*H134</x:f>
        <x:v>450.5</x:v>
      </x:c>
      <x:c r="L134" s="9" t="n">
        <x:f>'Physical_Arcs'!U14</x:f>
        <x:v>0.533708</x:v>
      </x:c>
      <x:c r="M134" s="9" t="n">
        <x:f>L134*'Parameters'!$C$6</x:f>
        <x:v>0.533708</x:v>
      </x:c>
      <x:c r="N134" s="3" t="n">
        <x:v>1</x:v>
      </x:c>
    </x:row>
    <x:row r="135" ht="21" customHeight="1">
      <x:c r="A135" s="3" t="n">
        <x:v>134</x:v>
      </x:c>
      <x:c r="B135" s="3" t="n">
        <x:v>14</x:v>
      </x:c>
      <x:c r="C135" s="3" t="n">
        <x:v>2</x:v>
      </x:c>
      <x:c r="D135" s="3" t="n">
        <x:v>8</x:v>
      </x:c>
      <x:c r="E135" s="3" t="n">
        <x:v>3</x:v>
      </x:c>
      <x:c r="F135" s="3" t="str">
        <x:v>02:00</x:v>
      </x:c>
      <x:c r="G135" s="3" t="str">
        <x:v>03:00</x:v>
      </x:c>
      <x:c r="H135" s="9" t="n">
        <x:v>0.5</x:v>
      </x:c>
      <x:c r="I135" s="9" t="n">
        <x:f>'Physical_Arcs'!K15*H135</x:f>
        <x:v>183.5</x:v>
      </x:c>
      <x:c r="J135" s="9" t="n">
        <x:f>'Physical_Arcs'!L15*H135</x:f>
        <x:v>1831.5</x:v>
      </x:c>
      <x:c r="K135" s="9" t="n">
        <x:f>'Physical_Arcs'!M15*H135</x:f>
        <x:v>916</x:v>
      </x:c>
      <x:c r="L135" s="9" t="n">
        <x:f>'Physical_Arcs'!U15</x:f>
        <x:v>1.882022</x:v>
      </x:c>
      <x:c r="M135" s="9" t="n">
        <x:f>L135*'Parameters'!$C$6</x:f>
        <x:v>1.882022</x:v>
      </x:c>
      <x:c r="N135" s="3" t="n">
        <x:v>1</x:v>
      </x:c>
    </x:row>
    <x:row r="136" ht="21" customHeight="1">
      <x:c r="A136" s="3" t="n">
        <x:v>135</x:v>
      </x:c>
      <x:c r="B136" s="3" t="n">
        <x:v>15</x:v>
      </x:c>
      <x:c r="C136" s="3" t="n">
        <x:v>2</x:v>
      </x:c>
      <x:c r="D136" s="3" t="n">
        <x:v>10</x:v>
      </x:c>
      <x:c r="E136" s="3" t="n">
        <x:v>3</x:v>
      </x:c>
      <x:c r="F136" s="3" t="str">
        <x:v>02:00</x:v>
      </x:c>
      <x:c r="G136" s="3" t="str">
        <x:v>03:00</x:v>
      </x:c>
      <x:c r="H136" s="9" t="n">
        <x:v>0.5</x:v>
      </x:c>
      <x:c r="I136" s="9" t="n">
        <x:f>'Physical_Arcs'!K16*H136</x:f>
        <x:v>258.5</x:v>
      </x:c>
      <x:c r="J136" s="9" t="n">
        <x:f>'Physical_Arcs'!L16*H136</x:f>
        <x:v>2582</x:v>
      </x:c>
      <x:c r="K136" s="9" t="n">
        <x:f>'Physical_Arcs'!M16*H136</x:f>
        <x:v>1291</x:v>
      </x:c>
      <x:c r="L136" s="9" t="n">
        <x:f>'Physical_Arcs'!U16</x:f>
        <x:v>1.426966</x:v>
      </x:c>
      <x:c r="M136" s="9" t="n">
        <x:f>L136*'Parameters'!$C$6</x:f>
        <x:v>1.426966</x:v>
      </x:c>
      <x:c r="N136" s="3" t="n">
        <x:v>1</x:v>
      </x:c>
    </x:row>
    <x:row r="137" ht="21" customHeight="1">
      <x:c r="A137" s="3" t="n">
        <x:v>136</x:v>
      </x:c>
      <x:c r="B137" s="3" t="n">
        <x:v>16</x:v>
      </x:c>
      <x:c r="C137" s="3" t="n">
        <x:v>3</x:v>
      </x:c>
      <x:c r="D137" s="3" t="n">
        <x:v>4</x:v>
      </x:c>
      <x:c r="E137" s="3" t="n">
        <x:v>3</x:v>
      </x:c>
      <x:c r="F137" s="3" t="str">
        <x:v>02:00</x:v>
      </x:c>
      <x:c r="G137" s="3" t="str">
        <x:v>03:00</x:v>
      </x:c>
      <x:c r="H137" s="9" t="n">
        <x:v>0.5</x:v>
      </x:c>
      <x:c r="I137" s="9" t="n">
        <x:f>'Physical_Arcs'!K17*H137</x:f>
        <x:v>300.5</x:v>
      </x:c>
      <x:c r="J137" s="9" t="n">
        <x:f>'Physical_Arcs'!L17*H137</x:f>
        <x:v>3002.5</x:v>
      </x:c>
      <x:c r="K137" s="9" t="n">
        <x:f>'Physical_Arcs'!M17*H137</x:f>
        <x:v>1501.5</x:v>
      </x:c>
      <x:c r="L137" s="9" t="n">
        <x:f>'Physical_Arcs'!U17</x:f>
        <x:v>2</x:v>
      </x:c>
      <x:c r="M137" s="9" t="n">
        <x:f>L137*'Parameters'!$C$6</x:f>
        <x:v>2</x:v>
      </x:c>
      <x:c r="N137" s="3" t="n">
        <x:v>1</x:v>
      </x:c>
    </x:row>
    <x:row r="138" ht="21" customHeight="1">
      <x:c r="A138" s="3" t="n">
        <x:v>137</x:v>
      </x:c>
      <x:c r="B138" s="3" t="n">
        <x:v>17</x:v>
      </x:c>
      <x:c r="C138" s="3" t="n">
        <x:v>3</x:v>
      </x:c>
      <x:c r="D138" s="3" t="n">
        <x:v>2</x:v>
      </x:c>
      <x:c r="E138" s="3" t="n">
        <x:v>3</x:v>
      </x:c>
      <x:c r="F138" s="3" t="str">
        <x:v>02:00</x:v>
      </x:c>
      <x:c r="G138" s="3" t="str">
        <x:v>03:00</x:v>
      </x:c>
      <x:c r="H138" s="9" t="n">
        <x:v>0.5</x:v>
      </x:c>
      <x:c r="I138" s="9" t="n">
        <x:f>'Physical_Arcs'!K18*H138</x:f>
        <x:v>279.5</x:v>
      </x:c>
      <x:c r="J138" s="9" t="n">
        <x:f>'Physical_Arcs'!L18*H138</x:f>
        <x:v>2792.5</x:v>
      </x:c>
      <x:c r="K138" s="9" t="n">
        <x:f>'Physical_Arcs'!M18*H138</x:f>
        <x:v>1396.5</x:v>
      </x:c>
      <x:c r="L138" s="9" t="n">
        <x:f>'Physical_Arcs'!U18</x:f>
        <x:v>0.769663</x:v>
      </x:c>
      <x:c r="M138" s="9" t="n">
        <x:f>L138*'Parameters'!$C$6</x:f>
        <x:v>0.769663</x:v>
      </x:c>
      <x:c r="N138" s="3" t="n">
        <x:v>1</x:v>
      </x:c>
    </x:row>
    <x:row r="139" ht="21" customHeight="1">
      <x:c r="A139" s="3" t="n">
        <x:v>138</x:v>
      </x:c>
      <x:c r="B139" s="3" t="n">
        <x:v>18</x:v>
      </x:c>
      <x:c r="C139" s="3" t="n">
        <x:v>3</x:v>
      </x:c>
      <x:c r="D139" s="3" t="n">
        <x:v>1</x:v>
      </x:c>
      <x:c r="E139" s="3" t="n">
        <x:v>3</x:v>
      </x:c>
      <x:c r="F139" s="3" t="str">
        <x:v>02:00</x:v>
      </x:c>
      <x:c r="G139" s="3" t="str">
        <x:v>03:00</x:v>
      </x:c>
      <x:c r="H139" s="9" t="n">
        <x:v>0.5</x:v>
      </x:c>
      <x:c r="I139" s="9" t="n">
        <x:f>'Physical_Arcs'!K19*H139</x:f>
        <x:v>72.5</x:v>
      </x:c>
      <x:c r="J139" s="9" t="n">
        <x:f>'Physical_Arcs'!L19*H139</x:f>
        <x:v>721</x:v>
      </x:c>
      <x:c r="K139" s="9" t="n">
        <x:f>'Physical_Arcs'!M19*H139</x:f>
        <x:v>360.5</x:v>
      </x:c>
      <x:c r="L139" s="9" t="n">
        <x:f>'Physical_Arcs'!U19</x:f>
        <x:v>1.595506</x:v>
      </x:c>
      <x:c r="M139" s="9" t="n">
        <x:f>L139*'Parameters'!$C$6</x:f>
        <x:v>1.595506</x:v>
      </x:c>
      <x:c r="N139" s="3" t="n">
        <x:v>1</x:v>
      </x:c>
    </x:row>
    <x:row r="140" ht="21" customHeight="1">
      <x:c r="A140" s="3" t="n">
        <x:v>139</x:v>
      </x:c>
      <x:c r="B140" s="3" t="n">
        <x:v>19</x:v>
      </x:c>
      <x:c r="C140" s="3" t="n">
        <x:v>3</x:v>
      </x:c>
      <x:c r="D140" s="3" t="n">
        <x:v>7</x:v>
      </x:c>
      <x:c r="E140" s="3" t="n">
        <x:v>3</x:v>
      </x:c>
      <x:c r="F140" s="3" t="str">
        <x:v>02:00</x:v>
      </x:c>
      <x:c r="G140" s="3" t="str">
        <x:v>03:00</x:v>
      </x:c>
      <x:c r="H140" s="9" t="n">
        <x:v>0.5</x:v>
      </x:c>
      <x:c r="I140" s="9" t="n">
        <x:f>'Physical_Arcs'!K20*H140</x:f>
        <x:v>120.5</x:v>
      </x:c>
      <x:c r="J140" s="9" t="n">
        <x:f>'Physical_Arcs'!L20*H140</x:f>
        <x:v>1201</x:v>
      </x:c>
      <x:c r="K140" s="9" t="n">
        <x:f>'Physical_Arcs'!M20*H140</x:f>
        <x:v>600.5</x:v>
      </x:c>
      <x:c r="L140" s="9" t="n">
        <x:f>'Physical_Arcs'!U20</x:f>
        <x:v>0.5</x:v>
      </x:c>
      <x:c r="M140" s="9" t="n">
        <x:f>L140*'Parameters'!$C$6</x:f>
        <x:v>0.5</x:v>
      </x:c>
      <x:c r="N140" s="3" t="n">
        <x:v>1</x:v>
      </x:c>
    </x:row>
    <x:row r="141" ht="21" customHeight="1">
      <x:c r="A141" s="3" t="n">
        <x:v>140</x:v>
      </x:c>
      <x:c r="B141" s="3" t="n">
        <x:v>20</x:v>
      </x:c>
      <x:c r="C141" s="3" t="n">
        <x:v>3</x:v>
      </x:c>
      <x:c r="D141" s="3" t="n">
        <x:v>10</x:v>
      </x:c>
      <x:c r="E141" s="3" t="n">
        <x:v>3</x:v>
      </x:c>
      <x:c r="F141" s="3" t="str">
        <x:v>02:00</x:v>
      </x:c>
      <x:c r="G141" s="3" t="str">
        <x:v>03:00</x:v>
      </x:c>
      <x:c r="H141" s="9" t="n">
        <x:v>0.5</x:v>
      </x:c>
      <x:c r="I141" s="9" t="n">
        <x:f>'Physical_Arcs'!K21*H141</x:f>
        <x:v>261.5</x:v>
      </x:c>
      <x:c r="J141" s="9" t="n">
        <x:f>'Physical_Arcs'!L21*H141</x:f>
        <x:v>2612.5</x:v>
      </x:c>
      <x:c r="K141" s="9" t="n">
        <x:f>'Physical_Arcs'!M21*H141</x:f>
        <x:v>1306.5</x:v>
      </x:c>
      <x:c r="L141" s="9" t="n">
        <x:f>'Physical_Arcs'!U21</x:f>
        <x:v>0.735955</x:v>
      </x:c>
      <x:c r="M141" s="9" t="n">
        <x:f>L141*'Parameters'!$C$6</x:f>
        <x:v>0.735955</x:v>
      </x:c>
      <x:c r="N141" s="3" t="n">
        <x:v>1</x:v>
      </x:c>
    </x:row>
    <x:row r="142" ht="21" customHeight="1">
      <x:c r="A142" s="3" t="n">
        <x:v>141</x:v>
      </x:c>
      <x:c r="B142" s="3" t="n">
        <x:v>21</x:v>
      </x:c>
      <x:c r="C142" s="3" t="n">
        <x:v>3</x:v>
      </x:c>
      <x:c r="D142" s="3" t="n">
        <x:v>9</x:v>
      </x:c>
      <x:c r="E142" s="3" t="n">
        <x:v>3</x:v>
      </x:c>
      <x:c r="F142" s="3" t="str">
        <x:v>02:00</x:v>
      </x:c>
      <x:c r="G142" s="3" t="str">
        <x:v>03:00</x:v>
      </x:c>
      <x:c r="H142" s="9" t="n">
        <x:v>0.5</x:v>
      </x:c>
      <x:c r="I142" s="9" t="n">
        <x:f>'Physical_Arcs'!K22*H142</x:f>
        <x:v>36.5</x:v>
      </x:c>
      <x:c r="J142" s="9" t="n">
        <x:f>'Physical_Arcs'!L22*H142</x:f>
        <x:v>360.5</x:v>
      </x:c>
      <x:c r="K142" s="9" t="n">
        <x:f>'Physical_Arcs'!M22*H142</x:f>
        <x:v>180.5</x:v>
      </x:c>
      <x:c r="L142" s="9" t="n">
        <x:f>'Physical_Arcs'!U22</x:f>
        <x:v>0.837079</x:v>
      </x:c>
      <x:c r="M142" s="9" t="n">
        <x:f>L142*'Parameters'!$C$6</x:f>
        <x:v>0.837079</x:v>
      </x:c>
      <x:c r="N142" s="3" t="n">
        <x:v>1</x:v>
      </x:c>
    </x:row>
    <x:row r="143" ht="21" customHeight="1">
      <x:c r="A143" s="3" t="n">
        <x:v>142</x:v>
      </x:c>
      <x:c r="B143" s="3" t="n">
        <x:v>22</x:v>
      </x:c>
      <x:c r="C143" s="3" t="n">
        <x:v>4</x:v>
      </x:c>
      <x:c r="D143" s="3" t="n">
        <x:v>5</x:v>
      </x:c>
      <x:c r="E143" s="3" t="n">
        <x:v>3</x:v>
      </x:c>
      <x:c r="F143" s="3" t="str">
        <x:v>02:00</x:v>
      </x:c>
      <x:c r="G143" s="3" t="str">
        <x:v>03:00</x:v>
      </x:c>
      <x:c r="H143" s="9" t="n">
        <x:v>0.5</x:v>
      </x:c>
      <x:c r="I143" s="9" t="n">
        <x:f>'Physical_Arcs'!K23*H143</x:f>
        <x:v>300.5</x:v>
      </x:c>
      <x:c r="J143" s="9" t="n">
        <x:f>'Physical_Arcs'!L23*H143</x:f>
        <x:v>3002.5</x:v>
      </x:c>
      <x:c r="K143" s="9" t="n">
        <x:f>'Physical_Arcs'!M23*H143</x:f>
        <x:v>1501.5</x:v>
      </x:c>
      <x:c r="L143" s="9" t="n">
        <x:f>'Physical_Arcs'!U23</x:f>
        <x:v>2</x:v>
      </x:c>
      <x:c r="M143" s="9" t="n">
        <x:f>L143*'Parameters'!$C$6</x:f>
        <x:v>2</x:v>
      </x:c>
      <x:c r="N143" s="3" t="n">
        <x:v>1</x:v>
      </x:c>
    </x:row>
    <x:row r="144" ht="21" customHeight="1">
      <x:c r="A144" s="3" t="n">
        <x:v>143</x:v>
      </x:c>
      <x:c r="B144" s="3" t="n">
        <x:v>23</x:v>
      </x:c>
      <x:c r="C144" s="3" t="n">
        <x:v>4</x:v>
      </x:c>
      <x:c r="D144" s="3" t="n">
        <x:v>3</x:v>
      </x:c>
      <x:c r="E144" s="3" t="n">
        <x:v>3</x:v>
      </x:c>
      <x:c r="F144" s="3" t="str">
        <x:v>02:00</x:v>
      </x:c>
      <x:c r="G144" s="3" t="str">
        <x:v>03:00</x:v>
      </x:c>
      <x:c r="H144" s="9" t="n">
        <x:v>0.5</x:v>
      </x:c>
      <x:c r="I144" s="9" t="n">
        <x:f>'Physical_Arcs'!K24*H144</x:f>
        <x:v>54.5</x:v>
      </x:c>
      <x:c r="J144" s="9" t="n">
        <x:f>'Physical_Arcs'!L24*H144</x:f>
        <x:v>540.5</x:v>
      </x:c>
      <x:c r="K144" s="9" t="n">
        <x:f>'Physical_Arcs'!M24*H144</x:f>
        <x:v>270.5</x:v>
      </x:c>
      <x:c r="L144" s="9" t="n">
        <x:f>'Physical_Arcs'!U24</x:f>
        <x:v>1.91573</x:v>
      </x:c>
      <x:c r="M144" s="9" t="n">
        <x:f>L144*'Parameters'!$C$6</x:f>
        <x:v>1.91573</x:v>
      </x:c>
      <x:c r="N144" s="3" t="n">
        <x:v>1</x:v>
      </x:c>
    </x:row>
    <x:row r="145" ht="21" customHeight="1">
      <x:c r="A145" s="3" t="n">
        <x:v>144</x:v>
      </x:c>
      <x:c r="B145" s="3" t="n">
        <x:v>24</x:v>
      </x:c>
      <x:c r="C145" s="3" t="n">
        <x:v>4</x:v>
      </x:c>
      <x:c r="D145" s="3" t="n">
        <x:v>10</x:v>
      </x:c>
      <x:c r="E145" s="3" t="n">
        <x:v>3</x:v>
      </x:c>
      <x:c r="F145" s="3" t="str">
        <x:v>02:00</x:v>
      </x:c>
      <x:c r="G145" s="3" t="str">
        <x:v>03:00</x:v>
      </x:c>
      <x:c r="H145" s="9" t="n">
        <x:v>0.5</x:v>
      </x:c>
      <x:c r="I145" s="9" t="n">
        <x:f>'Physical_Arcs'!K25*H145</x:f>
        <x:v>162.5</x:v>
      </x:c>
      <x:c r="J145" s="9" t="n">
        <x:f>'Physical_Arcs'!L25*H145</x:f>
        <x:v>1621.5</x:v>
      </x:c>
      <x:c r="K145" s="9" t="n">
        <x:f>'Physical_Arcs'!M25*H145</x:f>
        <x:v>811</x:v>
      </x:c>
      <x:c r="L145" s="9" t="n">
        <x:f>'Physical_Arcs'!U25</x:f>
        <x:v>1.157303</x:v>
      </x:c>
      <x:c r="M145" s="9" t="n">
        <x:f>L145*'Parameters'!$C$6</x:f>
        <x:v>1.157303</x:v>
      </x:c>
      <x:c r="N145" s="3" t="n">
        <x:v>1</x:v>
      </x:c>
    </x:row>
    <x:row r="146" ht="21" customHeight="1">
      <x:c r="A146" s="3" t="n">
        <x:v>145</x:v>
      </x:c>
      <x:c r="B146" s="3" t="n">
        <x:v>25</x:v>
      </x:c>
      <x:c r="C146" s="3" t="n">
        <x:v>4</x:v>
      </x:c>
      <x:c r="D146" s="3" t="n">
        <x:v>8</x:v>
      </x:c>
      <x:c r="E146" s="3" t="n">
        <x:v>3</x:v>
      </x:c>
      <x:c r="F146" s="3" t="str">
        <x:v>02:00</x:v>
      </x:c>
      <x:c r="G146" s="3" t="str">
        <x:v>03:00</x:v>
      </x:c>
      <x:c r="H146" s="9" t="n">
        <x:v>0.5</x:v>
      </x:c>
      <x:c r="I146" s="9" t="n">
        <x:f>'Physical_Arcs'!K26*H146</x:f>
        <x:v>147.5</x:v>
      </x:c>
      <x:c r="J146" s="9" t="n">
        <x:f>'Physical_Arcs'!L26*H146</x:f>
        <x:v>1471.5</x:v>
      </x:c>
      <x:c r="K146" s="9" t="n">
        <x:f>'Physical_Arcs'!M26*H146</x:f>
        <x:v>736</x:v>
      </x:c>
      <x:c r="L146" s="9" t="n">
        <x:f>'Physical_Arcs'!U26</x:f>
        <x:v>0.516854</x:v>
      </x:c>
      <x:c r="M146" s="9" t="n">
        <x:f>L146*'Parameters'!$C$6</x:f>
        <x:v>0.516854</x:v>
      </x:c>
      <x:c r="N146" s="3" t="n">
        <x:v>1</x:v>
      </x:c>
    </x:row>
    <x:row r="147" ht="21" customHeight="1">
      <x:c r="A147" s="3" t="n">
        <x:v>146</x:v>
      </x:c>
      <x:c r="B147" s="3" t="n">
        <x:v>26</x:v>
      </x:c>
      <x:c r="C147" s="3" t="n">
        <x:v>4</x:v>
      </x:c>
      <x:c r="D147" s="3" t="n">
        <x:v>7</x:v>
      </x:c>
      <x:c r="E147" s="3" t="n">
        <x:v>3</x:v>
      </x:c>
      <x:c r="F147" s="3" t="str">
        <x:v>02:00</x:v>
      </x:c>
      <x:c r="G147" s="3" t="str">
        <x:v>03:00</x:v>
      </x:c>
      <x:c r="H147" s="9" t="n">
        <x:v>0.5</x:v>
      </x:c>
      <x:c r="I147" s="9" t="n">
        <x:f>'Physical_Arcs'!K27*H147</x:f>
        <x:v>270.5</x:v>
      </x:c>
      <x:c r="J147" s="9" t="n">
        <x:f>'Physical_Arcs'!L27*H147</x:f>
        <x:v>2702.5</x:v>
      </x:c>
      <x:c r="K147" s="9" t="n">
        <x:f>'Physical_Arcs'!M27*H147</x:f>
        <x:v>1351.5</x:v>
      </x:c>
      <x:c r="L147" s="9" t="n">
        <x:f>'Physical_Arcs'!U27</x:f>
        <x:v>0.567416</x:v>
      </x:c>
      <x:c r="M147" s="9" t="n">
        <x:f>L147*'Parameters'!$C$6</x:f>
        <x:v>0.567416</x:v>
      </x:c>
      <x:c r="N147" s="3" t="n">
        <x:v>1</x:v>
      </x:c>
    </x:row>
    <x:row r="148" ht="21" customHeight="1">
      <x:c r="A148" s="3" t="n">
        <x:v>147</x:v>
      </x:c>
      <x:c r="B148" s="3" t="n">
        <x:v>27</x:v>
      </x:c>
      <x:c r="C148" s="3" t="n">
        <x:v>4</x:v>
      </x:c>
      <x:c r="D148" s="3" t="n">
        <x:v>2</x:v>
      </x:c>
      <x:c r="E148" s="3" t="n">
        <x:v>3</x:v>
      </x:c>
      <x:c r="F148" s="3" t="str">
        <x:v>02:00</x:v>
      </x:c>
      <x:c r="G148" s="3" t="str">
        <x:v>03:00</x:v>
      </x:c>
      <x:c r="H148" s="9" t="n">
        <x:v>0.5</x:v>
      </x:c>
      <x:c r="I148" s="9" t="n">
        <x:f>'Physical_Arcs'!K28*H148</x:f>
        <x:v>216.5</x:v>
      </x:c>
      <x:c r="J148" s="9" t="n">
        <x:f>'Physical_Arcs'!L28*H148</x:f>
        <x:v>2162</x:v>
      </x:c>
      <x:c r="K148" s="9" t="n">
        <x:f>'Physical_Arcs'!M28*H148</x:f>
        <x:v>1081</x:v>
      </x:c>
      <x:c r="L148" s="9" t="n">
        <x:f>'Physical_Arcs'!U28</x:f>
        <x:v>0.651685</x:v>
      </x:c>
      <x:c r="M148" s="9" t="n">
        <x:f>L148*'Parameters'!$C$6</x:f>
        <x:v>0.651685</x:v>
      </x:c>
      <x:c r="N148" s="3" t="n">
        <x:v>1</x:v>
      </x:c>
    </x:row>
    <x:row r="149" ht="21" customHeight="1">
      <x:c r="A149" s="3" t="n">
        <x:v>148</x:v>
      </x:c>
      <x:c r="B149" s="3" t="n">
        <x:v>28</x:v>
      </x:c>
      <x:c r="C149" s="3" t="n">
        <x:v>4</x:v>
      </x:c>
      <x:c r="D149" s="3" t="n">
        <x:v>6</x:v>
      </x:c>
      <x:c r="E149" s="3" t="n">
        <x:v>3</x:v>
      </x:c>
      <x:c r="F149" s="3" t="str">
        <x:v>02:00</x:v>
      </x:c>
      <x:c r="G149" s="3" t="str">
        <x:v>03:00</x:v>
      </x:c>
      <x:c r="H149" s="9" t="n">
        <x:v>0.5</x:v>
      </x:c>
      <x:c r="I149" s="9" t="n">
        <x:f>'Physical_Arcs'!K29*H149</x:f>
        <x:v>240.5</x:v>
      </x:c>
      <x:c r="J149" s="9" t="n">
        <x:f>'Physical_Arcs'!L29*H149</x:f>
        <x:v>2402</x:v>
      </x:c>
      <x:c r="K149" s="9" t="n">
        <x:f>'Physical_Arcs'!M29*H149</x:f>
        <x:v>1201</x:v>
      </x:c>
      <x:c r="L149" s="9" t="n">
        <x:f>'Physical_Arcs'!U29</x:f>
        <x:v>0.702247</x:v>
      </x:c>
      <x:c r="M149" s="9" t="n">
        <x:f>L149*'Parameters'!$C$6</x:f>
        <x:v>0.702247</x:v>
      </x:c>
      <x:c r="N149" s="3" t="n">
        <x:v>1</x:v>
      </x:c>
    </x:row>
    <x:row r="150" ht="21" customHeight="1">
      <x:c r="A150" s="3" t="n">
        <x:v>149</x:v>
      </x:c>
      <x:c r="B150" s="3" t="n">
        <x:v>29</x:v>
      </x:c>
      <x:c r="C150" s="3" t="n">
        <x:v>5</x:v>
      </x:c>
      <x:c r="D150" s="3" t="n">
        <x:v>6</x:v>
      </x:c>
      <x:c r="E150" s="3" t="n">
        <x:v>3</x:v>
      </x:c>
      <x:c r="F150" s="3" t="str">
        <x:v>02:00</x:v>
      </x:c>
      <x:c r="G150" s="3" t="str">
        <x:v>03:00</x:v>
      </x:c>
      <x:c r="H150" s="9" t="n">
        <x:v>0.5</x:v>
      </x:c>
      <x:c r="I150" s="9" t="n">
        <x:f>'Physical_Arcs'!K30*H150</x:f>
        <x:v>300.5</x:v>
      </x:c>
      <x:c r="J150" s="9" t="n">
        <x:f>'Physical_Arcs'!L30*H150</x:f>
        <x:v>3002.5</x:v>
      </x:c>
      <x:c r="K150" s="9" t="n">
        <x:f>'Physical_Arcs'!M30*H150</x:f>
        <x:v>1501.5</x:v>
      </x:c>
      <x:c r="L150" s="9" t="n">
        <x:f>'Physical_Arcs'!U30</x:f>
        <x:v>2</x:v>
      </x:c>
      <x:c r="M150" s="9" t="n">
        <x:f>L150*'Parameters'!$C$6</x:f>
        <x:v>2</x:v>
      </x:c>
      <x:c r="N150" s="3" t="n">
        <x:v>1</x:v>
      </x:c>
    </x:row>
    <x:row r="151" ht="21" customHeight="1">
      <x:c r="A151" s="3" t="n">
        <x:v>150</x:v>
      </x:c>
      <x:c r="B151" s="3" t="n">
        <x:v>30</x:v>
      </x:c>
      <x:c r="C151" s="3" t="n">
        <x:v>5</x:v>
      </x:c>
      <x:c r="D151" s="3" t="n">
        <x:v>2</x:v>
      </x:c>
      <x:c r="E151" s="3" t="n">
        <x:v>3</x:v>
      </x:c>
      <x:c r="F151" s="3" t="str">
        <x:v>02:00</x:v>
      </x:c>
      <x:c r="G151" s="3" t="str">
        <x:v>03:00</x:v>
      </x:c>
      <x:c r="H151" s="9" t="n">
        <x:v>0.5</x:v>
      </x:c>
      <x:c r="I151" s="9" t="n">
        <x:f>'Physical_Arcs'!K31*H151</x:f>
        <x:v>63.5</x:v>
      </x:c>
      <x:c r="J151" s="9" t="n">
        <x:f>'Physical_Arcs'!L31*H151</x:f>
        <x:v>630.5</x:v>
      </x:c>
      <x:c r="K151" s="9" t="n">
        <x:f>'Physical_Arcs'!M31*H151</x:f>
        <x:v>315.5</x:v>
      </x:c>
      <x:c r="L151" s="9" t="n">
        <x:f>'Physical_Arcs'!U31</x:f>
        <x:v>0.88764</x:v>
      </x:c>
      <x:c r="M151" s="9" t="n">
        <x:f>L151*'Parameters'!$C$6</x:f>
        <x:v>0.88764</x:v>
      </x:c>
      <x:c r="N151" s="3" t="n">
        <x:v>1</x:v>
      </x:c>
    </x:row>
    <x:row r="152" ht="21" customHeight="1">
      <x:c r="A152" s="3" t="n">
        <x:v>151</x:v>
      </x:c>
      <x:c r="B152" s="3" t="n">
        <x:v>31</x:v>
      </x:c>
      <x:c r="C152" s="3" t="n">
        <x:v>5</x:v>
      </x:c>
      <x:c r="D152" s="3" t="n">
        <x:v>8</x:v>
      </x:c>
      <x:c r="E152" s="3" t="n">
        <x:v>3</x:v>
      </x:c>
      <x:c r="F152" s="3" t="str">
        <x:v>02:00</x:v>
      </x:c>
      <x:c r="G152" s="3" t="str">
        <x:v>03:00</x:v>
      </x:c>
      <x:c r="H152" s="9" t="n">
        <x:v>0.5</x:v>
      </x:c>
      <x:c r="I152" s="9" t="n">
        <x:f>'Physical_Arcs'!K32*H152</x:f>
        <x:v>270.5</x:v>
      </x:c>
      <x:c r="J152" s="9" t="n">
        <x:f>'Physical_Arcs'!L32*H152</x:f>
        <x:v>2702.5</x:v>
      </x:c>
      <x:c r="K152" s="9" t="n">
        <x:f>'Physical_Arcs'!M32*H152</x:f>
        <x:v>1351.5</x:v>
      </x:c>
      <x:c r="L152" s="9" t="n">
        <x:f>'Physical_Arcs'!U32</x:f>
        <x:v>1.52809</x:v>
      </x:c>
      <x:c r="M152" s="9" t="n">
        <x:f>L152*'Parameters'!$C$6</x:f>
        <x:v>1.52809</x:v>
      </x:c>
      <x:c r="N152" s="3" t="n">
        <x:v>1</x:v>
      </x:c>
    </x:row>
    <x:row r="153" ht="21" customHeight="1">
      <x:c r="A153" s="3" t="n">
        <x:v>152</x:v>
      </x:c>
      <x:c r="B153" s="3" t="n">
        <x:v>32</x:v>
      </x:c>
      <x:c r="C153" s="3" t="n">
        <x:v>5</x:v>
      </x:c>
      <x:c r="D153" s="3" t="n">
        <x:v>3</x:v>
      </x:c>
      <x:c r="E153" s="3" t="n">
        <x:v>3</x:v>
      </x:c>
      <x:c r="F153" s="3" t="str">
        <x:v>02:00</x:v>
      </x:c>
      <x:c r="G153" s="3" t="str">
        <x:v>03:00</x:v>
      </x:c>
      <x:c r="H153" s="9" t="n">
        <x:v>0.5</x:v>
      </x:c>
      <x:c r="I153" s="9" t="n">
        <x:f>'Physical_Arcs'!K33*H153</x:f>
        <x:v>264.5</x:v>
      </x:c>
      <x:c r="J153" s="9" t="n">
        <x:f>'Physical_Arcs'!L33*H153</x:f>
        <x:v>2642.5</x:v>
      </x:c>
      <x:c r="K153" s="9" t="n">
        <x:f>'Physical_Arcs'!M33*H153</x:f>
        <x:v>1321.5</x:v>
      </x:c>
      <x:c r="L153" s="9" t="n">
        <x:f>'Physical_Arcs'!U33</x:f>
        <x:v>1.308989</x:v>
      </x:c>
      <x:c r="M153" s="9" t="n">
        <x:f>L153*'Parameters'!$C$6</x:f>
        <x:v>1.308989</x:v>
      </x:c>
      <x:c r="N153" s="3" t="n">
        <x:v>1</x:v>
      </x:c>
    </x:row>
    <x:row r="154" ht="21" customHeight="1">
      <x:c r="A154" s="3" t="n">
        <x:v>153</x:v>
      </x:c>
      <x:c r="B154" s="3" t="n">
        <x:v>33</x:v>
      </x:c>
      <x:c r="C154" s="3" t="n">
        <x:v>5</x:v>
      </x:c>
      <x:c r="D154" s="3" t="n">
        <x:v>10</x:v>
      </x:c>
      <x:c r="E154" s="3" t="n">
        <x:v>3</x:v>
      </x:c>
      <x:c r="F154" s="3" t="str">
        <x:v>02:00</x:v>
      </x:c>
      <x:c r="G154" s="3" t="str">
        <x:v>03:00</x:v>
      </x:c>
      <x:c r="H154" s="9" t="n">
        <x:v>0.5</x:v>
      </x:c>
      <x:c r="I154" s="9" t="n">
        <x:f>'Physical_Arcs'!K34*H154</x:f>
        <x:v>291.5</x:v>
      </x:c>
      <x:c r="J154" s="9" t="n">
        <x:f>'Physical_Arcs'!L34*H154</x:f>
        <x:v>2912.5</x:v>
      </x:c>
      <x:c r="K154" s="9" t="n">
        <x:f>'Physical_Arcs'!M34*H154</x:f>
        <x:v>1456.5</x:v>
      </x:c>
      <x:c r="L154" s="9" t="n">
        <x:f>'Physical_Arcs'!U34</x:f>
        <x:v>0.853933</x:v>
      </x:c>
      <x:c r="M154" s="9" t="n">
        <x:f>L154*'Parameters'!$C$6</x:f>
        <x:v>0.853933</x:v>
      </x:c>
      <x:c r="N154" s="3" t="n">
        <x:v>1</x:v>
      </x:c>
    </x:row>
    <x:row r="155" ht="21" customHeight="1">
      <x:c r="A155" s="3" t="n">
        <x:v>154</x:v>
      </x:c>
      <x:c r="B155" s="3" t="n">
        <x:v>34</x:v>
      </x:c>
      <x:c r="C155" s="3" t="n">
        <x:v>6</x:v>
      </x:c>
      <x:c r="D155" s="3" t="n">
        <x:v>7</x:v>
      </x:c>
      <x:c r="E155" s="3" t="n">
        <x:v>3</x:v>
      </x:c>
      <x:c r="F155" s="3" t="str">
        <x:v>02:00</x:v>
      </x:c>
      <x:c r="G155" s="3" t="str">
        <x:v>03:00</x:v>
      </x:c>
      <x:c r="H155" s="9" t="n">
        <x:v>0.5</x:v>
      </x:c>
      <x:c r="I155" s="9" t="n">
        <x:f>'Physical_Arcs'!K35*H155</x:f>
        <x:v>300.5</x:v>
      </x:c>
      <x:c r="J155" s="9" t="n">
        <x:f>'Physical_Arcs'!L35*H155</x:f>
        <x:v>3002.5</x:v>
      </x:c>
      <x:c r="K155" s="9" t="n">
        <x:f>'Physical_Arcs'!M35*H155</x:f>
        <x:v>1501.5</x:v>
      </x:c>
      <x:c r="L155" s="9" t="n">
        <x:f>'Physical_Arcs'!U35</x:f>
        <x:v>2</x:v>
      </x:c>
      <x:c r="M155" s="9" t="n">
        <x:f>L155*'Parameters'!$C$6</x:f>
        <x:v>2</x:v>
      </x:c>
      <x:c r="N155" s="3" t="n">
        <x:v>1</x:v>
      </x:c>
    </x:row>
    <x:row r="156" ht="21" customHeight="1">
      <x:c r="A156" s="3" t="n">
        <x:v>155</x:v>
      </x:c>
      <x:c r="B156" s="3" t="n">
        <x:v>35</x:v>
      </x:c>
      <x:c r="C156" s="3" t="n">
        <x:v>6</x:v>
      </x:c>
      <x:c r="D156" s="3" t="n">
        <x:v>10</x:v>
      </x:c>
      <x:c r="E156" s="3" t="n">
        <x:v>3</x:v>
      </x:c>
      <x:c r="F156" s="3" t="str">
        <x:v>02:00</x:v>
      </x:c>
      <x:c r="G156" s="3" t="str">
        <x:v>03:00</x:v>
      </x:c>
      <x:c r="H156" s="9" t="n">
        <x:v>0.5</x:v>
      </x:c>
      <x:c r="I156" s="9" t="n">
        <x:f>'Physical_Arcs'!K36*H156</x:f>
        <x:v>153.5</x:v>
      </x:c>
      <x:c r="J156" s="9" t="n">
        <x:f>'Physical_Arcs'!L36*H156</x:f>
        <x:v>1531.5</x:v>
      </x:c>
      <x:c r="K156" s="9" t="n">
        <x:f>'Physical_Arcs'!M36*H156</x:f>
        <x:v>766</x:v>
      </x:c>
      <x:c r="L156" s="9" t="n">
        <x:f>'Physical_Arcs'!U36</x:f>
        <x:v>1.005618</x:v>
      </x:c>
      <x:c r="M156" s="9" t="n">
        <x:f>L156*'Parameters'!$C$6</x:f>
        <x:v>1.005618</x:v>
      </x:c>
      <x:c r="N156" s="3" t="n">
        <x:v>1</x:v>
      </x:c>
    </x:row>
    <x:row r="157" ht="21" customHeight="1">
      <x:c r="A157" s="3" t="n">
        <x:v>156</x:v>
      </x:c>
      <x:c r="B157" s="3" t="n">
        <x:v>36</x:v>
      </x:c>
      <x:c r="C157" s="3" t="n">
        <x:v>6</x:v>
      </x:c>
      <x:c r="D157" s="3" t="n">
        <x:v>8</x:v>
      </x:c>
      <x:c r="E157" s="3" t="n">
        <x:v>3</x:v>
      </x:c>
      <x:c r="F157" s="3" t="str">
        <x:v>02:00</x:v>
      </x:c>
      <x:c r="G157" s="3" t="str">
        <x:v>03:00</x:v>
      </x:c>
      <x:c r="H157" s="9" t="n">
        <x:v>0.5</x:v>
      </x:c>
      <x:c r="I157" s="9" t="n">
        <x:f>'Physical_Arcs'!K37*H157</x:f>
        <x:v>198.5</x:v>
      </x:c>
      <x:c r="J157" s="9" t="n">
        <x:f>'Physical_Arcs'!L37*H157</x:f>
        <x:v>1982</x:v>
      </x:c>
      <x:c r="K157" s="9" t="n">
        <x:f>'Physical_Arcs'!M37*H157</x:f>
        <x:v>991</x:v>
      </x:c>
      <x:c r="L157" s="9" t="n">
        <x:f>'Physical_Arcs'!U37</x:f>
        <x:v>1.544944</x:v>
      </x:c>
      <x:c r="M157" s="9" t="n">
        <x:f>L157*'Parameters'!$C$6</x:f>
        <x:v>1.544944</x:v>
      </x:c>
      <x:c r="N157" s="3" t="n">
        <x:v>1</x:v>
      </x:c>
    </x:row>
    <x:row r="158" ht="21" customHeight="1">
      <x:c r="A158" s="3" t="n">
        <x:v>157</x:v>
      </x:c>
      <x:c r="B158" s="3" t="n">
        <x:v>37</x:v>
      </x:c>
      <x:c r="C158" s="3" t="n">
        <x:v>6</x:v>
      </x:c>
      <x:c r="D158" s="3" t="n">
        <x:v>1</x:v>
      </x:c>
      <x:c r="E158" s="3" t="n">
        <x:v>3</x:v>
      </x:c>
      <x:c r="F158" s="3" t="str">
        <x:v>02:00</x:v>
      </x:c>
      <x:c r="G158" s="3" t="str">
        <x:v>03:00</x:v>
      </x:c>
      <x:c r="H158" s="9" t="n">
        <x:v>0.5</x:v>
      </x:c>
      <x:c r="I158" s="9" t="n">
        <x:f>'Physical_Arcs'!K38*H158</x:f>
        <x:v>45.5</x:v>
      </x:c>
      <x:c r="J158" s="9" t="n">
        <x:f>'Physical_Arcs'!L38*H158</x:f>
        <x:v>450.5</x:v>
      </x:c>
      <x:c r="K158" s="9" t="n">
        <x:f>'Physical_Arcs'!M38*H158</x:f>
        <x:v>225.5</x:v>
      </x:c>
      <x:c r="L158" s="9" t="n">
        <x:f>'Physical_Arcs'!U38</x:f>
        <x:v>0.870787</x:v>
      </x:c>
      <x:c r="M158" s="9" t="n">
        <x:f>L158*'Parameters'!$C$6</x:f>
        <x:v>0.870787</x:v>
      </x:c>
      <x:c r="N158" s="3" t="n">
        <x:v>1</x:v>
      </x:c>
    </x:row>
    <x:row r="159" ht="21" customHeight="1">
      <x:c r="A159" s="3" t="n">
        <x:v>158</x:v>
      </x:c>
      <x:c r="B159" s="3" t="n">
        <x:v>38</x:v>
      </x:c>
      <x:c r="C159" s="3" t="n">
        <x:v>6</x:v>
      </x:c>
      <x:c r="D159" s="3" t="n">
        <x:v>3</x:v>
      </x:c>
      <x:c r="E159" s="3" t="n">
        <x:v>3</x:v>
      </x:c>
      <x:c r="F159" s="3" t="str">
        <x:v>02:00</x:v>
      </x:c>
      <x:c r="G159" s="3" t="str">
        <x:v>03:00</x:v>
      </x:c>
      <x:c r="H159" s="9" t="n">
        <x:v>0.5</x:v>
      </x:c>
      <x:c r="I159" s="9" t="n">
        <x:f>'Physical_Arcs'!K39*H159</x:f>
        <x:v>87.5</x:v>
      </x:c>
      <x:c r="J159" s="9" t="n">
        <x:f>'Physical_Arcs'!L39*H159</x:f>
        <x:v>871</x:v>
      </x:c>
      <x:c r="K159" s="9" t="n">
        <x:f>'Physical_Arcs'!M39*H159</x:f>
        <x:v>435.5</x:v>
      </x:c>
      <x:c r="L159" s="9" t="n">
        <x:f>'Physical_Arcs'!U39</x:f>
        <x:v>0.921348</x:v>
      </x:c>
      <x:c r="M159" s="9" t="n">
        <x:f>L159*'Parameters'!$C$6</x:f>
        <x:v>0.921348</x:v>
      </x:c>
      <x:c r="N159" s="3" t="n">
        <x:v>1</x:v>
      </x:c>
    </x:row>
    <x:row r="160" ht="21" customHeight="1">
      <x:c r="A160" s="3" t="n">
        <x:v>159</x:v>
      </x:c>
      <x:c r="B160" s="3" t="n">
        <x:v>39</x:v>
      </x:c>
      <x:c r="C160" s="3" t="n">
        <x:v>7</x:v>
      </x:c>
      <x:c r="D160" s="3" t="n">
        <x:v>8</x:v>
      </x:c>
      <x:c r="E160" s="3" t="n">
        <x:v>3</x:v>
      </x:c>
      <x:c r="F160" s="3" t="str">
        <x:v>02:00</x:v>
      </x:c>
      <x:c r="G160" s="3" t="str">
        <x:v>03:00</x:v>
      </x:c>
      <x:c r="H160" s="9" t="n">
        <x:v>0.5</x:v>
      </x:c>
      <x:c r="I160" s="9" t="n">
        <x:f>'Physical_Arcs'!K40*H160</x:f>
        <x:v>300.5</x:v>
      </x:c>
      <x:c r="J160" s="9" t="n">
        <x:f>'Physical_Arcs'!L40*H160</x:f>
        <x:v>3002.5</x:v>
      </x:c>
      <x:c r="K160" s="9" t="n">
        <x:f>'Physical_Arcs'!M40*H160</x:f>
        <x:v>1501.5</x:v>
      </x:c>
      <x:c r="L160" s="9" t="n">
        <x:f>'Physical_Arcs'!U40</x:f>
        <x:v>2</x:v>
      </x:c>
      <x:c r="M160" s="9" t="n">
        <x:f>L160*'Parameters'!$C$6</x:f>
        <x:v>2</x:v>
      </x:c>
      <x:c r="N160" s="3" t="n">
        <x:v>1</x:v>
      </x:c>
    </x:row>
    <x:row r="161" ht="21" customHeight="1">
      <x:c r="A161" s="3" t="n">
        <x:v>160</x:v>
      </x:c>
      <x:c r="B161" s="3" t="n">
        <x:v>40</x:v>
      </x:c>
      <x:c r="C161" s="3" t="n">
        <x:v>7</x:v>
      </x:c>
      <x:c r="D161" s="3" t="n">
        <x:v>1</x:v>
      </x:c>
      <x:c r="E161" s="3" t="n">
        <x:v>3</x:v>
      </x:c>
      <x:c r="F161" s="3" t="str">
        <x:v>02:00</x:v>
      </x:c>
      <x:c r="G161" s="3" t="str">
        <x:v>03:00</x:v>
      </x:c>
      <x:c r="H161" s="9" t="n">
        <x:v>0.5</x:v>
      </x:c>
      <x:c r="I161" s="9" t="n">
        <x:f>'Physical_Arcs'!K41*H161</x:f>
        <x:v>144.5</x:v>
      </x:c>
      <x:c r="J161" s="9" t="n">
        <x:f>'Physical_Arcs'!L41*H161</x:f>
        <x:v>1441.5</x:v>
      </x:c>
      <x:c r="K161" s="9" t="n">
        <x:f>'Physical_Arcs'!M41*H161</x:f>
        <x:v>721</x:v>
      </x:c>
      <x:c r="L161" s="9" t="n">
        <x:f>'Physical_Arcs'!U41</x:f>
        <x:v>1.932584</x:v>
      </x:c>
      <x:c r="M161" s="9" t="n">
        <x:f>L161*'Parameters'!$C$6</x:f>
        <x:v>1.932584</x:v>
      </x:c>
      <x:c r="N161" s="3" t="n">
        <x:v>1</x:v>
      </x:c>
    </x:row>
    <x:row r="162" ht="21" customHeight="1">
      <x:c r="A162" s="3" t="n">
        <x:v>161</x:v>
      </x:c>
      <x:c r="B162" s="3" t="n">
        <x:v>41</x:v>
      </x:c>
      <x:c r="C162" s="3" t="n">
        <x:v>7</x:v>
      </x:c>
      <x:c r="D162" s="3" t="n">
        <x:v>9</x:v>
      </x:c>
      <x:c r="E162" s="3" t="n">
        <x:v>3</x:v>
      </x:c>
      <x:c r="F162" s="3" t="str">
        <x:v>02:00</x:v>
      </x:c>
      <x:c r="G162" s="3" t="str">
        <x:v>03:00</x:v>
      </x:c>
      <x:c r="H162" s="9" t="n">
        <x:v>0.5</x:v>
      </x:c>
      <x:c r="I162" s="9" t="n">
        <x:f>'Physical_Arcs'!K42*H162</x:f>
        <x:v>288.5</x:v>
      </x:c>
      <x:c r="J162" s="9" t="n">
        <x:f>'Physical_Arcs'!L42*H162</x:f>
        <x:v>2882.5</x:v>
      </x:c>
      <x:c r="K162" s="9" t="n">
        <x:f>'Physical_Arcs'!M42*H162</x:f>
        <x:v>1441.5</x:v>
      </x:c>
      <x:c r="L162" s="9" t="n">
        <x:f>'Physical_Arcs'!U42</x:f>
        <x:v>0.685393</x:v>
      </x:c>
      <x:c r="M162" s="9" t="n">
        <x:f>L162*'Parameters'!$C$6</x:f>
        <x:v>0.685393</x:v>
      </x:c>
      <x:c r="N162" s="3" t="n">
        <x:v>1</x:v>
      </x:c>
    </x:row>
    <x:row r="163" ht="21" customHeight="1">
      <x:c r="A163" s="3" t="n">
        <x:v>162</x:v>
      </x:c>
      <x:c r="B163" s="3" t="n">
        <x:v>42</x:v>
      </x:c>
      <x:c r="C163" s="3" t="n">
        <x:v>7</x:v>
      </x:c>
      <x:c r="D163" s="3" t="n">
        <x:v>2</x:v>
      </x:c>
      <x:c r="E163" s="3" t="n">
        <x:v>3</x:v>
      </x:c>
      <x:c r="F163" s="3" t="str">
        <x:v>02:00</x:v>
      </x:c>
      <x:c r="G163" s="3" t="str">
        <x:v>03:00</x:v>
      </x:c>
      <x:c r="H163" s="9" t="n">
        <x:v>0.5</x:v>
      </x:c>
      <x:c r="I163" s="9" t="n">
        <x:f>'Physical_Arcs'!K43*H163</x:f>
        <x:v>45.5</x:v>
      </x:c>
      <x:c r="J163" s="9" t="n">
        <x:f>'Physical_Arcs'!L43*H163</x:f>
        <x:v>450.5</x:v>
      </x:c>
      <x:c r="K163" s="9" t="n">
        <x:f>'Physical_Arcs'!M43*H163</x:f>
        <x:v>225.5</x:v>
      </x:c>
      <x:c r="L163" s="9" t="n">
        <x:f>'Physical_Arcs'!U43</x:f>
        <x:v>1.308989</x:v>
      </x:c>
      <x:c r="M163" s="9" t="n">
        <x:f>L163*'Parameters'!$C$6</x:f>
        <x:v>1.308989</x:v>
      </x:c>
      <x:c r="N163" s="3" t="n">
        <x:v>1</x:v>
      </x:c>
    </x:row>
    <x:row r="164" ht="21" customHeight="1">
      <x:c r="A164" s="3" t="n">
        <x:v>163</x:v>
      </x:c>
      <x:c r="B164" s="3" t="n">
        <x:v>43</x:v>
      </x:c>
      <x:c r="C164" s="3" t="n">
        <x:v>7</x:v>
      </x:c>
      <x:c r="D164" s="3" t="n">
        <x:v>3</x:v>
      </x:c>
      <x:c r="E164" s="3" t="n">
        <x:v>3</x:v>
      </x:c>
      <x:c r="F164" s="3" t="str">
        <x:v>02:00</x:v>
      </x:c>
      <x:c r="G164" s="3" t="str">
        <x:v>03:00</x:v>
      </x:c>
      <x:c r="H164" s="9" t="n">
        <x:v>0.5</x:v>
      </x:c>
      <x:c r="I164" s="9" t="n">
        <x:f>'Physical_Arcs'!K44*H164</x:f>
        <x:v>180.5</x:v>
      </x:c>
      <x:c r="J164" s="9" t="n">
        <x:f>'Physical_Arcs'!L44*H164</x:f>
        <x:v>1801.5</x:v>
      </x:c>
      <x:c r="K164" s="9" t="n">
        <x:f>'Physical_Arcs'!M44*H164</x:f>
        <x:v>901</x:v>
      </x:c>
      <x:c r="L164" s="9" t="n">
        <x:f>'Physical_Arcs'!U44</x:f>
        <x:v>0.955056</x:v>
      </x:c>
      <x:c r="M164" s="9" t="n">
        <x:f>L164*'Parameters'!$C$6</x:f>
        <x:v>0.955056</x:v>
      </x:c>
      <x:c r="N164" s="3" t="n">
        <x:v>1</x:v>
      </x:c>
    </x:row>
    <x:row r="165" ht="21" customHeight="1">
      <x:c r="A165" s="3" t="n">
        <x:v>164</x:v>
      </x:c>
      <x:c r="B165" s="3" t="n">
        <x:v>44</x:v>
      </x:c>
      <x:c r="C165" s="3" t="n">
        <x:v>8</x:v>
      </x:c>
      <x:c r="D165" s="3" t="n">
        <x:v>9</x:v>
      </x:c>
      <x:c r="E165" s="3" t="n">
        <x:v>3</x:v>
      </x:c>
      <x:c r="F165" s="3" t="str">
        <x:v>02:00</x:v>
      </x:c>
      <x:c r="G165" s="3" t="str">
        <x:v>03:00</x:v>
      </x:c>
      <x:c r="H165" s="9" t="n">
        <x:v>0.5</x:v>
      </x:c>
      <x:c r="I165" s="9" t="n">
        <x:f>'Physical_Arcs'!K45*H165</x:f>
        <x:v>300.5</x:v>
      </x:c>
      <x:c r="J165" s="9" t="n">
        <x:f>'Physical_Arcs'!L45*H165</x:f>
        <x:v>3002.5</x:v>
      </x:c>
      <x:c r="K165" s="9" t="n">
        <x:f>'Physical_Arcs'!M45*H165</x:f>
        <x:v>1501.5</x:v>
      </x:c>
      <x:c r="L165" s="9" t="n">
        <x:f>'Physical_Arcs'!U45</x:f>
        <x:v>2</x:v>
      </x:c>
      <x:c r="M165" s="9" t="n">
        <x:f>L165*'Parameters'!$C$6</x:f>
        <x:v>2</x:v>
      </x:c>
      <x:c r="N165" s="3" t="n">
        <x:v>1</x:v>
      </x:c>
    </x:row>
    <x:row r="166" ht="21" customHeight="1">
      <x:c r="A166" s="3" t="n">
        <x:v>165</x:v>
      </x:c>
      <x:c r="B166" s="3" t="n">
        <x:v>45</x:v>
      </x:c>
      <x:c r="C166" s="3" t="n">
        <x:v>8</x:v>
      </x:c>
      <x:c r="D166" s="3" t="n">
        <x:v>3</x:v>
      </x:c>
      <x:c r="E166" s="3" t="n">
        <x:v>3</x:v>
      </x:c>
      <x:c r="F166" s="3" t="str">
        <x:v>02:00</x:v>
      </x:c>
      <x:c r="G166" s="3" t="str">
        <x:v>03:00</x:v>
      </x:c>
      <x:c r="H166" s="9" t="n">
        <x:v>0.5</x:v>
      </x:c>
      <x:c r="I166" s="9" t="n">
        <x:f>'Physical_Arcs'!K46*H166</x:f>
        <x:v>171.5</x:v>
      </x:c>
      <x:c r="J166" s="9" t="n">
        <x:f>'Physical_Arcs'!L46*H166</x:f>
        <x:v>1711.5</x:v>
      </x:c>
      <x:c r="K166" s="9" t="n">
        <x:f>'Physical_Arcs'!M46*H166</x:f>
        <x:v>856</x:v>
      </x:c>
      <x:c r="L166" s="9" t="n">
        <x:f>'Physical_Arcs'!U46</x:f>
        <x:v>1.005618</x:v>
      </x:c>
      <x:c r="M166" s="9" t="n">
        <x:f>L166*'Parameters'!$C$6</x:f>
        <x:v>1.005618</x:v>
      </x:c>
      <x:c r="N166" s="3" t="n">
        <x:v>1</x:v>
      </x:c>
    </x:row>
    <x:row r="167" ht="21" customHeight="1">
      <x:c r="A167" s="3" t="n">
        <x:v>166</x:v>
      </x:c>
      <x:c r="B167" s="3" t="n">
        <x:v>46</x:v>
      </x:c>
      <x:c r="C167" s="3" t="n">
        <x:v>8</x:v>
      </x:c>
      <x:c r="D167" s="3" t="n">
        <x:v>7</x:v>
      </x:c>
      <x:c r="E167" s="3" t="n">
        <x:v>3</x:v>
      </x:c>
      <x:c r="F167" s="3" t="str">
        <x:v>02:00</x:v>
      </x:c>
      <x:c r="G167" s="3" t="str">
        <x:v>03:00</x:v>
      </x:c>
      <x:c r="H167" s="9" t="n">
        <x:v>0.5</x:v>
      </x:c>
      <x:c r="I167" s="9" t="n">
        <x:f>'Physical_Arcs'!K47*H167</x:f>
        <x:v>180.5</x:v>
      </x:c>
      <x:c r="J167" s="9" t="n">
        <x:f>'Physical_Arcs'!L47*H167</x:f>
        <x:v>1801.5</x:v>
      </x:c>
      <x:c r="K167" s="9" t="n">
        <x:f>'Physical_Arcs'!M47*H167</x:f>
        <x:v>901</x:v>
      </x:c>
      <x:c r="L167" s="9" t="n">
        <x:f>'Physical_Arcs'!U47</x:f>
        <x:v>1.629213</x:v>
      </x:c>
      <x:c r="M167" s="9" t="n">
        <x:f>L167*'Parameters'!$C$6</x:f>
        <x:v>1.629213</x:v>
      </x:c>
      <x:c r="N167" s="3" t="n">
        <x:v>1</x:v>
      </x:c>
    </x:row>
    <x:row r="168" ht="21" customHeight="1">
      <x:c r="A168" s="3" t="n">
        <x:v>167</x:v>
      </x:c>
      <x:c r="B168" s="3" t="n">
        <x:v>47</x:v>
      </x:c>
      <x:c r="C168" s="3" t="n">
        <x:v>8</x:v>
      </x:c>
      <x:c r="D168" s="3" t="n">
        <x:v>2</x:v>
      </x:c>
      <x:c r="E168" s="3" t="n">
        <x:v>3</x:v>
      </x:c>
      <x:c r="F168" s="3" t="str">
        <x:v>02:00</x:v>
      </x:c>
      <x:c r="G168" s="3" t="str">
        <x:v>03:00</x:v>
      </x:c>
      <x:c r="H168" s="9" t="n">
        <x:v>0.5</x:v>
      </x:c>
      <x:c r="I168" s="9" t="n">
        <x:f>'Physical_Arcs'!K48*H168</x:f>
        <x:v>129.5</x:v>
      </x:c>
      <x:c r="J168" s="9" t="n">
        <x:f>'Physical_Arcs'!L48*H168</x:f>
        <x:v>1291</x:v>
      </x:c>
      <x:c r="K168" s="9" t="n">
        <x:f>'Physical_Arcs'!M48*H168</x:f>
        <x:v>645.5</x:v>
      </x:c>
      <x:c r="L168" s="9" t="n">
        <x:f>'Physical_Arcs'!U48</x:f>
        <x:v>0.820225</x:v>
      </x:c>
      <x:c r="M168" s="9" t="n">
        <x:f>L168*'Parameters'!$C$6</x:f>
        <x:v>0.820225</x:v>
      </x:c>
      <x:c r="N168" s="3" t="n">
        <x:v>1</x:v>
      </x:c>
    </x:row>
    <x:row r="169" ht="21" customHeight="1">
      <x:c r="A169" s="3" t="n">
        <x:v>168</x:v>
      </x:c>
      <x:c r="B169" s="3" t="n">
        <x:v>48</x:v>
      </x:c>
      <x:c r="C169" s="3" t="n">
        <x:v>8</x:v>
      </x:c>
      <x:c r="D169" s="3" t="n">
        <x:v>6</x:v>
      </x:c>
      <x:c r="E169" s="3" t="n">
        <x:v>3</x:v>
      </x:c>
      <x:c r="F169" s="3" t="str">
        <x:v>02:00</x:v>
      </x:c>
      <x:c r="G169" s="3" t="str">
        <x:v>03:00</x:v>
      </x:c>
      <x:c r="H169" s="9" t="n">
        <x:v>0.5</x:v>
      </x:c>
      <x:c r="I169" s="9" t="n">
        <x:f>'Physical_Arcs'!K49*H169</x:f>
        <x:v>171.5</x:v>
      </x:c>
      <x:c r="J169" s="9" t="n">
        <x:f>'Physical_Arcs'!L49*H169</x:f>
        <x:v>1711.5</x:v>
      </x:c>
      <x:c r="K169" s="9" t="n">
        <x:f>'Physical_Arcs'!M49*H169</x:f>
        <x:v>856</x:v>
      </x:c>
      <x:c r="L169" s="9" t="n">
        <x:f>'Physical_Arcs'!U49</x:f>
        <x:v>1.022472</x:v>
      </x:c>
      <x:c r="M169" s="9" t="n">
        <x:f>L169*'Parameters'!$C$6</x:f>
        <x:v>1.022472</x:v>
      </x:c>
      <x:c r="N169" s="3" t="n">
        <x:v>1</x:v>
      </x:c>
    </x:row>
    <x:row r="170" ht="21" customHeight="1">
      <x:c r="A170" s="3" t="n">
        <x:v>169</x:v>
      </x:c>
      <x:c r="B170" s="3" t="n">
        <x:v>49</x:v>
      </x:c>
      <x:c r="C170" s="3" t="n">
        <x:v>8</x:v>
      </x:c>
      <x:c r="D170" s="3" t="n">
        <x:v>4</x:v>
      </x:c>
      <x:c r="E170" s="3" t="n">
        <x:v>3</x:v>
      </x:c>
      <x:c r="F170" s="3" t="str">
        <x:v>02:00</x:v>
      </x:c>
      <x:c r="G170" s="3" t="str">
        <x:v>03:00</x:v>
      </x:c>
      <x:c r="H170" s="9" t="n">
        <x:v>0.5</x:v>
      </x:c>
      <x:c r="I170" s="9" t="n">
        <x:f>'Physical_Arcs'!K50*H170</x:f>
        <x:v>114.5</x:v>
      </x:c>
      <x:c r="J170" s="9" t="n">
        <x:f>'Physical_Arcs'!L50*H170</x:f>
        <x:v>1141</x:v>
      </x:c>
      <x:c r="K170" s="9" t="n">
        <x:f>'Physical_Arcs'!M50*H170</x:f>
        <x:v>570.5</x:v>
      </x:c>
      <x:c r="L170" s="9" t="n">
        <x:f>'Physical_Arcs'!U50</x:f>
        <x:v>1.376404</x:v>
      </x:c>
      <x:c r="M170" s="9" t="n">
        <x:f>L170*'Parameters'!$C$6</x:f>
        <x:v>1.376404</x:v>
      </x:c>
      <x:c r="N170" s="3" t="n">
        <x:v>1</x:v>
      </x:c>
    </x:row>
    <x:row r="171" ht="21" customHeight="1">
      <x:c r="A171" s="3" t="n">
        <x:v>170</x:v>
      </x:c>
      <x:c r="B171" s="3" t="n">
        <x:v>50</x:v>
      </x:c>
      <x:c r="C171" s="3" t="n">
        <x:v>8</x:v>
      </x:c>
      <x:c r="D171" s="3" t="n">
        <x:v>5</x:v>
      </x:c>
      <x:c r="E171" s="3" t="n">
        <x:v>3</x:v>
      </x:c>
      <x:c r="F171" s="3" t="str">
        <x:v>02:00</x:v>
      </x:c>
      <x:c r="G171" s="3" t="str">
        <x:v>03:00</x:v>
      </x:c>
      <x:c r="H171" s="9" t="n">
        <x:v>0.5</x:v>
      </x:c>
      <x:c r="I171" s="9" t="n">
        <x:f>'Physical_Arcs'!K51*H171</x:f>
        <x:v>144.5</x:v>
      </x:c>
      <x:c r="J171" s="9" t="n">
        <x:f>'Physical_Arcs'!L51*H171</x:f>
        <x:v>1441.5</x:v>
      </x:c>
      <x:c r="K171" s="9" t="n">
        <x:f>'Physical_Arcs'!M51*H171</x:f>
        <x:v>721</x:v>
      </x:c>
      <x:c r="L171" s="9" t="n">
        <x:f>'Physical_Arcs'!U51</x:f>
        <x:v>1.224719</x:v>
      </x:c>
      <x:c r="M171" s="9" t="n">
        <x:f>L171*'Parameters'!$C$6</x:f>
        <x:v>1.224719</x:v>
      </x:c>
      <x:c r="N171" s="3" t="n">
        <x:v>1</x:v>
      </x:c>
    </x:row>
    <x:row r="172" ht="21" customHeight="1">
      <x:c r="A172" s="3" t="n">
        <x:v>171</x:v>
      </x:c>
      <x:c r="B172" s="3" t="n">
        <x:v>51</x:v>
      </x:c>
      <x:c r="C172" s="3" t="n">
        <x:v>8</x:v>
      </x:c>
      <x:c r="D172" s="3" t="n">
        <x:v>1</x:v>
      </x:c>
      <x:c r="E172" s="3" t="n">
        <x:v>3</x:v>
      </x:c>
      <x:c r="F172" s="3" t="str">
        <x:v>02:00</x:v>
      </x:c>
      <x:c r="G172" s="3" t="str">
        <x:v>03:00</x:v>
      </x:c>
      <x:c r="H172" s="9" t="n">
        <x:v>0.5</x:v>
      </x:c>
      <x:c r="I172" s="9" t="n">
        <x:f>'Physical_Arcs'!K52*H172</x:f>
        <x:v>123.5</x:v>
      </x:c>
      <x:c r="J172" s="9" t="n">
        <x:f>'Physical_Arcs'!L52*H172</x:f>
        <x:v>1231</x:v>
      </x:c>
      <x:c r="K172" s="9" t="n">
        <x:f>'Physical_Arcs'!M52*H172</x:f>
        <x:v>615.5</x:v>
      </x:c>
      <x:c r="L172" s="9" t="n">
        <x:f>'Physical_Arcs'!U52</x:f>
        <x:v>1.949438</x:v>
      </x:c>
      <x:c r="M172" s="9" t="n">
        <x:f>L172*'Parameters'!$C$6</x:f>
        <x:v>1.949438</x:v>
      </x:c>
      <x:c r="N172" s="3" t="n">
        <x:v>1</x:v>
      </x:c>
    </x:row>
    <x:row r="173" ht="21" customHeight="1">
      <x:c r="A173" s="3" t="n">
        <x:v>172</x:v>
      </x:c>
      <x:c r="B173" s="3" t="n">
        <x:v>52</x:v>
      </x:c>
      <x:c r="C173" s="3" t="n">
        <x:v>9</x:v>
      </x:c>
      <x:c r="D173" s="3" t="n">
        <x:v>10</x:v>
      </x:c>
      <x:c r="E173" s="3" t="n">
        <x:v>3</x:v>
      </x:c>
      <x:c r="F173" s="3" t="str">
        <x:v>02:00</x:v>
      </x:c>
      <x:c r="G173" s="3" t="str">
        <x:v>03:00</x:v>
      </x:c>
      <x:c r="H173" s="9" t="n">
        <x:v>0.5</x:v>
      </x:c>
      <x:c r="I173" s="9" t="n">
        <x:f>'Physical_Arcs'!K53*H173</x:f>
        <x:v>300.5</x:v>
      </x:c>
      <x:c r="J173" s="9" t="n">
        <x:f>'Physical_Arcs'!L53*H173</x:f>
        <x:v>3002.5</x:v>
      </x:c>
      <x:c r="K173" s="9" t="n">
        <x:f>'Physical_Arcs'!M53*H173</x:f>
        <x:v>1501.5</x:v>
      </x:c>
      <x:c r="L173" s="9" t="n">
        <x:f>'Physical_Arcs'!U53</x:f>
        <x:v>2</x:v>
      </x:c>
      <x:c r="M173" s="9" t="n">
        <x:f>L173*'Parameters'!$C$6</x:f>
        <x:v>2</x:v>
      </x:c>
      <x:c r="N173" s="3" t="n">
        <x:v>1</x:v>
      </x:c>
    </x:row>
    <x:row r="174" ht="21" customHeight="1">
      <x:c r="A174" s="3" t="n">
        <x:v>173</x:v>
      </x:c>
      <x:c r="B174" s="3" t="n">
        <x:v>53</x:v>
      </x:c>
      <x:c r="C174" s="3" t="n">
        <x:v>9</x:v>
      </x:c>
      <x:c r="D174" s="3" t="n">
        <x:v>6</x:v>
      </x:c>
      <x:c r="E174" s="3" t="n">
        <x:v>3</x:v>
      </x:c>
      <x:c r="F174" s="3" t="str">
        <x:v>02:00</x:v>
      </x:c>
      <x:c r="G174" s="3" t="str">
        <x:v>03:00</x:v>
      </x:c>
      <x:c r="H174" s="9" t="n">
        <x:v>0.5</x:v>
      </x:c>
      <x:c r="I174" s="9" t="n">
        <x:f>'Physical_Arcs'!K54*H174</x:f>
        <x:v>150.5</x:v>
      </x:c>
      <x:c r="J174" s="9" t="n">
        <x:f>'Physical_Arcs'!L54*H174</x:f>
        <x:v>1501.5</x:v>
      </x:c>
      <x:c r="K174" s="9" t="n">
        <x:f>'Physical_Arcs'!M54*H174</x:f>
        <x:v>751</x:v>
      </x:c>
      <x:c r="L174" s="9" t="n">
        <x:f>'Physical_Arcs'!U54</x:f>
        <x:v>1.157303</x:v>
      </x:c>
      <x:c r="M174" s="9" t="n">
        <x:f>L174*'Parameters'!$C$6</x:f>
        <x:v>1.157303</x:v>
      </x:c>
      <x:c r="N174" s="3" t="n">
        <x:v>1</x:v>
      </x:c>
    </x:row>
    <x:row r="175" ht="21" customHeight="1">
      <x:c r="A175" s="3" t="n">
        <x:v>174</x:v>
      </x:c>
      <x:c r="B175" s="3" t="n">
        <x:v>54</x:v>
      </x:c>
      <x:c r="C175" s="3" t="n">
        <x:v>9</x:v>
      </x:c>
      <x:c r="D175" s="3" t="n">
        <x:v>2</x:v>
      </x:c>
      <x:c r="E175" s="3" t="n">
        <x:v>3</x:v>
      </x:c>
      <x:c r="F175" s="3" t="str">
        <x:v>02:00</x:v>
      </x:c>
      <x:c r="G175" s="3" t="str">
        <x:v>03:00</x:v>
      </x:c>
      <x:c r="H175" s="9" t="n">
        <x:v>0.5</x:v>
      </x:c>
      <x:c r="I175" s="9" t="n">
        <x:f>'Physical_Arcs'!K55*H175</x:f>
        <x:v>246.5</x:v>
      </x:c>
      <x:c r="J175" s="9" t="n">
        <x:f>'Physical_Arcs'!L55*H175</x:f>
        <x:v>2462</x:v>
      </x:c>
      <x:c r="K175" s="9" t="n">
        <x:f>'Physical_Arcs'!M55*H175</x:f>
        <x:v>1231</x:v>
      </x:c>
      <x:c r="L175" s="9" t="n">
        <x:f>'Physical_Arcs'!U55</x:f>
        <x:v>0.904494</x:v>
      </x:c>
      <x:c r="M175" s="9" t="n">
        <x:f>L175*'Parameters'!$C$6</x:f>
        <x:v>0.904494</x:v>
      </x:c>
      <x:c r="N175" s="3" t="n">
        <x:v>1</x:v>
      </x:c>
    </x:row>
    <x:row r="176" ht="21" customHeight="1">
      <x:c r="A176" s="3" t="n">
        <x:v>175</x:v>
      </x:c>
      <x:c r="B176" s="3" t="n">
        <x:v>55</x:v>
      </x:c>
      <x:c r="C176" s="3" t="n">
        <x:v>9</x:v>
      </x:c>
      <x:c r="D176" s="3" t="n">
        <x:v>7</x:v>
      </x:c>
      <x:c r="E176" s="3" t="n">
        <x:v>3</x:v>
      </x:c>
      <x:c r="F176" s="3" t="str">
        <x:v>02:00</x:v>
      </x:c>
      <x:c r="G176" s="3" t="str">
        <x:v>03:00</x:v>
      </x:c>
      <x:c r="H176" s="9" t="n">
        <x:v>0.5</x:v>
      </x:c>
      <x:c r="I176" s="9" t="n">
        <x:f>'Physical_Arcs'!K56*H176</x:f>
        <x:v>108.5</x:v>
      </x:c>
      <x:c r="J176" s="9" t="n">
        <x:f>'Physical_Arcs'!L56*H176</x:f>
        <x:v>1081</x:v>
      </x:c>
      <x:c r="K176" s="9" t="n">
        <x:f>'Physical_Arcs'!M56*H176</x:f>
        <x:v>540.5</x:v>
      </x:c>
      <x:c r="L176" s="9" t="n">
        <x:f>'Physical_Arcs'!U56</x:f>
        <x:v>0.88764</x:v>
      </x:c>
      <x:c r="M176" s="9" t="n">
        <x:f>L176*'Parameters'!$C$6</x:f>
        <x:v>0.88764</x:v>
      </x:c>
      <x:c r="N176" s="3" t="n">
        <x:v>1</x:v>
      </x:c>
    </x:row>
    <x:row r="177" ht="21" customHeight="1">
      <x:c r="A177" s="3" t="n">
        <x:v>176</x:v>
      </x:c>
      <x:c r="B177" s="3" t="n">
        <x:v>56</x:v>
      </x:c>
      <x:c r="C177" s="3" t="n">
        <x:v>9</x:v>
      </x:c>
      <x:c r="D177" s="3" t="n">
        <x:v>3</x:v>
      </x:c>
      <x:c r="E177" s="3" t="n">
        <x:v>3</x:v>
      </x:c>
      <x:c r="F177" s="3" t="str">
        <x:v>02:00</x:v>
      </x:c>
      <x:c r="G177" s="3" t="str">
        <x:v>03:00</x:v>
      </x:c>
      <x:c r="H177" s="9" t="n">
        <x:v>0.5</x:v>
      </x:c>
      <x:c r="I177" s="9" t="n">
        <x:f>'Physical_Arcs'!K57*H177</x:f>
        <x:v>204.5</x:v>
      </x:c>
      <x:c r="J177" s="9" t="n">
        <x:f>'Physical_Arcs'!L57*H177</x:f>
        <x:v>2042</x:v>
      </x:c>
      <x:c r="K177" s="9" t="n">
        <x:f>'Physical_Arcs'!M57*H177</x:f>
        <x:v>1021</x:v>
      </x:c>
      <x:c r="L177" s="9" t="n">
        <x:f>'Physical_Arcs'!U57</x:f>
        <x:v>1.106742</x:v>
      </x:c>
      <x:c r="M177" s="9" t="n">
        <x:f>L177*'Parameters'!$C$6</x:f>
        <x:v>1.106742</x:v>
      </x:c>
      <x:c r="N177" s="3" t="n">
        <x:v>1</x:v>
      </x:c>
    </x:row>
    <x:row r="178" ht="21" customHeight="1">
      <x:c r="A178" s="3" t="n">
        <x:v>177</x:v>
      </x:c>
      <x:c r="B178" s="3" t="n">
        <x:v>57</x:v>
      </x:c>
      <x:c r="C178" s="3" t="n">
        <x:v>10</x:v>
      </x:c>
      <x:c r="D178" s="3" t="n">
        <x:v>1</x:v>
      </x:c>
      <x:c r="E178" s="3" t="n">
        <x:v>3</x:v>
      </x:c>
      <x:c r="F178" s="3" t="str">
        <x:v>02:00</x:v>
      </x:c>
      <x:c r="G178" s="3" t="str">
        <x:v>03:00</x:v>
      </x:c>
      <x:c r="H178" s="9" t="n">
        <x:v>0.5</x:v>
      </x:c>
      <x:c r="I178" s="9" t="n">
        <x:f>'Physical_Arcs'!K58*H178</x:f>
        <x:v>300.5</x:v>
      </x:c>
      <x:c r="J178" s="9" t="n">
        <x:f>'Physical_Arcs'!L58*H178</x:f>
        <x:v>3002.5</x:v>
      </x:c>
      <x:c r="K178" s="9" t="n">
        <x:f>'Physical_Arcs'!M58*H178</x:f>
        <x:v>1501.5</x:v>
      </x:c>
      <x:c r="L178" s="9" t="n">
        <x:f>'Physical_Arcs'!U58</x:f>
        <x:v>2</x:v>
      </x:c>
      <x:c r="M178" s="9" t="n">
        <x:f>L178*'Parameters'!$C$6</x:f>
        <x:v>2</x:v>
      </x:c>
      <x:c r="N178" s="3" t="n">
        <x:v>1</x:v>
      </x:c>
    </x:row>
    <x:row r="179" ht="21" customHeight="1">
      <x:c r="A179" s="3" t="n">
        <x:v>178</x:v>
      </x:c>
      <x:c r="B179" s="3" t="n">
        <x:v>58</x:v>
      </x:c>
      <x:c r="C179" s="3" t="n">
        <x:v>10</x:v>
      </x:c>
      <x:c r="D179" s="3" t="n">
        <x:v>6</x:v>
      </x:c>
      <x:c r="E179" s="3" t="n">
        <x:v>3</x:v>
      </x:c>
      <x:c r="F179" s="3" t="str">
        <x:v>02:00</x:v>
      </x:c>
      <x:c r="G179" s="3" t="str">
        <x:v>03:00</x:v>
      </x:c>
      <x:c r="H179" s="9" t="n">
        <x:v>0.5</x:v>
      </x:c>
      <x:c r="I179" s="9" t="n">
        <x:f>'Physical_Arcs'!K59*H179</x:f>
        <x:v>189.5</x:v>
      </x:c>
      <x:c r="J179" s="9" t="n">
        <x:f>'Physical_Arcs'!L59*H179</x:f>
        <x:v>1891.5</x:v>
      </x:c>
      <x:c r="K179" s="9" t="n">
        <x:f>'Physical_Arcs'!M59*H179</x:f>
        <x:v>946</x:v>
      </x:c>
      <x:c r="L179" s="9" t="n">
        <x:f>'Physical_Arcs'!U59</x:f>
        <x:v>1.123596</x:v>
      </x:c>
      <x:c r="M179" s="9" t="n">
        <x:f>L179*'Parameters'!$C$6</x:f>
        <x:v>1.123596</x:v>
      </x:c>
      <x:c r="N179" s="3" t="n">
        <x:v>1</x:v>
      </x:c>
    </x:row>
    <x:row r="180" ht="21" customHeight="1">
      <x:c r="A180" s="3" t="n">
        <x:v>179</x:v>
      </x:c>
      <x:c r="B180" s="3" t="n">
        <x:v>59</x:v>
      </x:c>
      <x:c r="C180" s="3" t="n">
        <x:v>10</x:v>
      </x:c>
      <x:c r="D180" s="3" t="n">
        <x:v>4</x:v>
      </x:c>
      <x:c r="E180" s="3" t="n">
        <x:v>3</x:v>
      </x:c>
      <x:c r="F180" s="3" t="str">
        <x:v>02:00</x:v>
      </x:c>
      <x:c r="G180" s="3" t="str">
        <x:v>03:00</x:v>
      </x:c>
      <x:c r="H180" s="9" t="n">
        <x:v>0.5</x:v>
      </x:c>
      <x:c r="I180" s="9" t="n">
        <x:f>'Physical_Arcs'!K60*H180</x:f>
        <x:v>270.5</x:v>
      </x:c>
      <x:c r="J180" s="9" t="n">
        <x:f>'Physical_Arcs'!L60*H180</x:f>
        <x:v>2702.5</x:v>
      </x:c>
      <x:c r="K180" s="9" t="n">
        <x:f>'Physical_Arcs'!M60*H180</x:f>
        <x:v>1351.5</x:v>
      </x:c>
      <x:c r="L180" s="9" t="n">
        <x:f>'Physical_Arcs'!U60</x:f>
        <x:v>1.949438</x:v>
      </x:c>
      <x:c r="M180" s="9" t="n">
        <x:f>L180*'Parameters'!$C$6</x:f>
        <x:v>1.949438</x:v>
      </x:c>
      <x:c r="N180" s="3" t="n">
        <x:v>1</x:v>
      </x:c>
    </x:row>
    <x:row r="181" ht="21" customHeight="1">
      <x:c r="A181" s="3" t="n">
        <x:v>180</x:v>
      </x:c>
      <x:c r="B181" s="3" t="n">
        <x:v>60</x:v>
      </x:c>
      <x:c r="C181" s="3" t="n">
        <x:v>10</x:v>
      </x:c>
      <x:c r="D181" s="3" t="n">
        <x:v>9</x:v>
      </x:c>
      <x:c r="E181" s="3" t="n">
        <x:v>3</x:v>
      </x:c>
      <x:c r="F181" s="3" t="str">
        <x:v>02:00</x:v>
      </x:c>
      <x:c r="G181" s="3" t="str">
        <x:v>03:00</x:v>
      </x:c>
      <x:c r="H181" s="9" t="n">
        <x:v>0.5</x:v>
      </x:c>
      <x:c r="I181" s="9" t="n">
        <x:f>'Physical_Arcs'!K61*H181</x:f>
        <x:v>99.5</x:v>
      </x:c>
      <x:c r="J181" s="9" t="n">
        <x:f>'Physical_Arcs'!L61*H181</x:f>
        <x:v>991</x:v>
      </x:c>
      <x:c r="K181" s="9" t="n">
        <x:f>'Physical_Arcs'!M61*H181</x:f>
        <x:v>495.5</x:v>
      </x:c>
      <x:c r="L181" s="9" t="n">
        <x:f>'Physical_Arcs'!U61</x:f>
        <x:v>1.494382</x:v>
      </x:c>
      <x:c r="M181" s="9" t="n">
        <x:f>L181*'Parameters'!$C$6</x:f>
        <x:v>1.494382</x:v>
      </x:c>
      <x:c r="N181" s="3" t="n">
        <x:v>1</x:v>
      </x:c>
    </x:row>
    <x:row r="182" ht="21" customHeight="1">
      <x:c r="A182" s="3" t="n">
        <x:v>181</x:v>
      </x:c>
      <x:c r="B182" s="3" t="n">
        <x:v>1</x:v>
      </x:c>
      <x:c r="C182" s="3" t="n">
        <x:v>1</x:v>
      </x:c>
      <x:c r="D182" s="3" t="n">
        <x:v>2</x:v>
      </x:c>
      <x:c r="E182" s="3" t="n">
        <x:v>4</x:v>
      </x:c>
      <x:c r="F182" s="3" t="str">
        <x:v>03:00</x:v>
      </x:c>
      <x:c r="G182" s="3" t="str">
        <x:v>04:00</x:v>
      </x:c>
      <x:c r="H182" s="9" t="n">
        <x:v>0.5</x:v>
      </x:c>
      <x:c r="I182" s="9" t="n">
        <x:f>'Physical_Arcs'!K2*H182</x:f>
        <x:v>300.5</x:v>
      </x:c>
      <x:c r="J182" s="9" t="n">
        <x:f>'Physical_Arcs'!L2*H182</x:f>
        <x:v>3002.5</x:v>
      </x:c>
      <x:c r="K182" s="9" t="n">
        <x:f>'Physical_Arcs'!M2*H182</x:f>
        <x:v>1501.5</x:v>
      </x:c>
      <x:c r="L182" s="9" t="n">
        <x:f>'Physical_Arcs'!U2</x:f>
        <x:v>2</x:v>
      </x:c>
      <x:c r="M182" s="9" t="n">
        <x:f>L182*'Parameters'!$C$6</x:f>
        <x:v>2</x:v>
      </x:c>
      <x:c r="N182" s="3" t="n">
        <x:v>1</x:v>
      </x:c>
    </x:row>
    <x:row r="183" ht="21" customHeight="1">
      <x:c r="A183" s="3" t="n">
        <x:v>182</x:v>
      </x:c>
      <x:c r="B183" s="3" t="n">
        <x:v>2</x:v>
      </x:c>
      <x:c r="C183" s="3" t="n">
        <x:v>1</x:v>
      </x:c>
      <x:c r="D183" s="3" t="n">
        <x:v>10</x:v>
      </x:c>
      <x:c r="E183" s="3" t="n">
        <x:v>4</x:v>
      </x:c>
      <x:c r="F183" s="3" t="str">
        <x:v>03:00</x:v>
      </x:c>
      <x:c r="G183" s="3" t="str">
        <x:v>04:00</x:v>
      </x:c>
      <x:c r="H183" s="9" t="n">
        <x:v>0.5</x:v>
      </x:c>
      <x:c r="I183" s="9" t="n">
        <x:f>'Physical_Arcs'!K3*H183</x:f>
        <x:v>123.5</x:v>
      </x:c>
      <x:c r="J183" s="9" t="n">
        <x:f>'Physical_Arcs'!L3*H183</x:f>
        <x:v>1231</x:v>
      </x:c>
      <x:c r="K183" s="9" t="n">
        <x:f>'Physical_Arcs'!M3*H183</x:f>
        <x:v>615.5</x:v>
      </x:c>
      <x:c r="L183" s="9" t="n">
        <x:f>'Physical_Arcs'!U3</x:f>
        <x:v>1.224719</x:v>
      </x:c>
      <x:c r="M183" s="9" t="n">
        <x:f>L183*'Parameters'!$C$6</x:f>
        <x:v>1.224719</x:v>
      </x:c>
      <x:c r="N183" s="3" t="n">
        <x:v>1</x:v>
      </x:c>
    </x:row>
    <x:row r="184" ht="21" customHeight="1">
      <x:c r="A184" s="3" t="n">
        <x:v>183</x:v>
      </x:c>
      <x:c r="B184" s="3" t="n">
        <x:v>3</x:v>
      </x:c>
      <x:c r="C184" s="3" t="n">
        <x:v>1</x:v>
      </x:c>
      <x:c r="D184" s="3" t="n">
        <x:v>8</x:v>
      </x:c>
      <x:c r="E184" s="3" t="n">
        <x:v>4</x:v>
      </x:c>
      <x:c r="F184" s="3" t="str">
        <x:v>03:00</x:v>
      </x:c>
      <x:c r="G184" s="3" t="str">
        <x:v>04:00</x:v>
      </x:c>
      <x:c r="H184" s="9" t="n">
        <x:v>0.5</x:v>
      </x:c>
      <x:c r="I184" s="9" t="n">
        <x:f>'Physical_Arcs'!K4*H184</x:f>
        <x:v>189.5</x:v>
      </x:c>
      <x:c r="J184" s="9" t="n">
        <x:f>'Physical_Arcs'!L4*H184</x:f>
        <x:v>1891.5</x:v>
      </x:c>
      <x:c r="K184" s="9" t="n">
        <x:f>'Physical_Arcs'!M4*H184</x:f>
        <x:v>946</x:v>
      </x:c>
      <x:c r="L184" s="9" t="n">
        <x:f>'Physical_Arcs'!U4</x:f>
        <x:v>1.073034</x:v>
      </x:c>
      <x:c r="M184" s="9" t="n">
        <x:f>L184*'Parameters'!$C$6</x:f>
        <x:v>1.073034</x:v>
      </x:c>
      <x:c r="N184" s="3" t="n">
        <x:v>1</x:v>
      </x:c>
    </x:row>
    <x:row r="185" ht="21" customHeight="1">
      <x:c r="A185" s="3" t="n">
        <x:v>184</x:v>
      </x:c>
      <x:c r="B185" s="3" t="n">
        <x:v>4</x:v>
      </x:c>
      <x:c r="C185" s="3" t="n">
        <x:v>1</x:v>
      </x:c>
      <x:c r="D185" s="3" t="n">
        <x:v>7</x:v>
      </x:c>
      <x:c r="E185" s="3" t="n">
        <x:v>4</x:v>
      </x:c>
      <x:c r="F185" s="3" t="str">
        <x:v>03:00</x:v>
      </x:c>
      <x:c r="G185" s="3" t="str">
        <x:v>04:00</x:v>
      </x:c>
      <x:c r="H185" s="9" t="n">
        <x:v>0.5</x:v>
      </x:c>
      <x:c r="I185" s="9" t="n">
        <x:f>'Physical_Arcs'!K5*H185</x:f>
        <x:v>186.5</x:v>
      </x:c>
      <x:c r="J185" s="9" t="n">
        <x:f>'Physical_Arcs'!L5*H185</x:f>
        <x:v>1861.5</x:v>
      </x:c>
      <x:c r="K185" s="9" t="n">
        <x:f>'Physical_Arcs'!M5*H185</x:f>
        <x:v>931</x:v>
      </x:c>
      <x:c r="L185" s="9" t="n">
        <x:f>'Physical_Arcs'!U5</x:f>
        <x:v>0.617978</x:v>
      </x:c>
      <x:c r="M185" s="9" t="n">
        <x:f>L185*'Parameters'!$C$6</x:f>
        <x:v>0.617978</x:v>
      </x:c>
      <x:c r="N185" s="3" t="n">
        <x:v>1</x:v>
      </x:c>
    </x:row>
    <x:row r="186" ht="21" customHeight="1">
      <x:c r="A186" s="3" t="n">
        <x:v>185</x:v>
      </x:c>
      <x:c r="B186" s="3" t="n">
        <x:v>5</x:v>
      </x:c>
      <x:c r="C186" s="3" t="n">
        <x:v>1</x:v>
      </x:c>
      <x:c r="D186" s="3" t="n">
        <x:v>4</x:v>
      </x:c>
      <x:c r="E186" s="3" t="n">
        <x:v>4</x:v>
      </x:c>
      <x:c r="F186" s="3" t="str">
        <x:v>03:00</x:v>
      </x:c>
      <x:c r="G186" s="3" t="str">
        <x:v>04:00</x:v>
      </x:c>
      <x:c r="H186" s="9" t="n">
        <x:v>0.5</x:v>
      </x:c>
      <x:c r="I186" s="9" t="n">
        <x:f>'Physical_Arcs'!K6*H186</x:f>
        <x:v>123.5</x:v>
      </x:c>
      <x:c r="J186" s="9" t="n">
        <x:f>'Physical_Arcs'!L6*H186</x:f>
        <x:v>1231</x:v>
      </x:c>
      <x:c r="K186" s="9" t="n">
        <x:f>'Physical_Arcs'!M6*H186</x:f>
        <x:v>615.5</x:v>
      </x:c>
      <x:c r="L186" s="9" t="n">
        <x:f>'Physical_Arcs'!U6</x:f>
        <x:v>0.533708</x:v>
      </x:c>
      <x:c r="M186" s="9" t="n">
        <x:f>L186*'Parameters'!$C$6</x:f>
        <x:v>0.533708</x:v>
      </x:c>
      <x:c r="N186" s="3" t="n">
        <x:v>1</x:v>
      </x:c>
    </x:row>
    <x:row r="187" ht="21" customHeight="1">
      <x:c r="A187" s="3" t="n">
        <x:v>186</x:v>
      </x:c>
      <x:c r="B187" s="3" t="n">
        <x:v>6</x:v>
      </x:c>
      <x:c r="C187" s="3" t="n">
        <x:v>1</x:v>
      </x:c>
      <x:c r="D187" s="3" t="n">
        <x:v>9</x:v>
      </x:c>
      <x:c r="E187" s="3" t="n">
        <x:v>4</x:v>
      </x:c>
      <x:c r="F187" s="3" t="str">
        <x:v>03:00</x:v>
      </x:c>
      <x:c r="G187" s="3" t="str">
        <x:v>04:00</x:v>
      </x:c>
      <x:c r="H187" s="9" t="n">
        <x:v>0.5</x:v>
      </x:c>
      <x:c r="I187" s="9" t="n">
        <x:f>'Physical_Arcs'!K7*H187</x:f>
        <x:v>207.5</x:v>
      </x:c>
      <x:c r="J187" s="9" t="n">
        <x:f>'Physical_Arcs'!L7*H187</x:f>
        <x:v>2072</x:v>
      </x:c>
      <x:c r="K187" s="9" t="n">
        <x:f>'Physical_Arcs'!M7*H187</x:f>
        <x:v>1036</x:v>
      </x:c>
      <x:c r="L187" s="9" t="n">
        <x:f>'Physical_Arcs'!U7</x:f>
        <x:v>1.544944</x:v>
      </x:c>
      <x:c r="M187" s="9" t="n">
        <x:f>L187*'Parameters'!$C$6</x:f>
        <x:v>1.544944</x:v>
      </x:c>
      <x:c r="N187" s="3" t="n">
        <x:v>1</x:v>
      </x:c>
    </x:row>
    <x:row r="188" ht="21" customHeight="1">
      <x:c r="A188" s="3" t="n">
        <x:v>187</x:v>
      </x:c>
      <x:c r="B188" s="3" t="n">
        <x:v>7</x:v>
      </x:c>
      <x:c r="C188" s="3" t="n">
        <x:v>1</x:v>
      </x:c>
      <x:c r="D188" s="3" t="n">
        <x:v>5</x:v>
      </x:c>
      <x:c r="E188" s="3" t="n">
        <x:v>4</x:v>
      </x:c>
      <x:c r="F188" s="3" t="str">
        <x:v>03:00</x:v>
      </x:c>
      <x:c r="G188" s="3" t="str">
        <x:v>04:00</x:v>
      </x:c>
      <x:c r="H188" s="9" t="n">
        <x:v>0.5</x:v>
      </x:c>
      <x:c r="I188" s="9" t="n">
        <x:f>'Physical_Arcs'!K8*H188</x:f>
        <x:v>210.5</x:v>
      </x:c>
      <x:c r="J188" s="9" t="n">
        <x:f>'Physical_Arcs'!L8*H188</x:f>
        <x:v>2102</x:v>
      </x:c>
      <x:c r="K188" s="9" t="n">
        <x:f>'Physical_Arcs'!M8*H188</x:f>
        <x:v>1051</x:v>
      </x:c>
      <x:c r="L188" s="9" t="n">
        <x:f>'Physical_Arcs'!U8</x:f>
        <x:v>1.275281</x:v>
      </x:c>
      <x:c r="M188" s="9" t="n">
        <x:f>L188*'Parameters'!$C$6</x:f>
        <x:v>1.275281</x:v>
      </x:c>
      <x:c r="N188" s="3" t="n">
        <x:v>1</x:v>
      </x:c>
    </x:row>
    <x:row r="189" ht="21" customHeight="1">
      <x:c r="A189" s="3" t="n">
        <x:v>188</x:v>
      </x:c>
      <x:c r="B189" s="3" t="n">
        <x:v>8</x:v>
      </x:c>
      <x:c r="C189" s="3" t="n">
        <x:v>1</x:v>
      </x:c>
      <x:c r="D189" s="3" t="n">
        <x:v>3</x:v>
      </x:c>
      <x:c r="E189" s="3" t="n">
        <x:v>4</x:v>
      </x:c>
      <x:c r="F189" s="3" t="str">
        <x:v>03:00</x:v>
      </x:c>
      <x:c r="G189" s="3" t="str">
        <x:v>04:00</x:v>
      </x:c>
      <x:c r="H189" s="9" t="n">
        <x:v>0.5</x:v>
      </x:c>
      <x:c r="I189" s="9" t="n">
        <x:f>'Physical_Arcs'!K9*H189</x:f>
        <x:v>258.5</x:v>
      </x:c>
      <x:c r="J189" s="9" t="n">
        <x:f>'Physical_Arcs'!L9*H189</x:f>
        <x:v>2582</x:v>
      </x:c>
      <x:c r="K189" s="9" t="n">
        <x:f>'Physical_Arcs'!M9*H189</x:f>
        <x:v>1291</x:v>
      </x:c>
      <x:c r="L189" s="9" t="n">
        <x:f>'Physical_Arcs'!U9</x:f>
        <x:v>1.410112</x:v>
      </x:c>
      <x:c r="M189" s="9" t="n">
        <x:f>L189*'Parameters'!$C$6</x:f>
        <x:v>1.410112</x:v>
      </x:c>
      <x:c r="N189" s="3" t="n">
        <x:v>1</x:v>
      </x:c>
    </x:row>
    <x:row r="190" ht="21" customHeight="1">
      <x:c r="A190" s="3" t="n">
        <x:v>189</x:v>
      </x:c>
      <x:c r="B190" s="3" t="n">
        <x:v>9</x:v>
      </x:c>
      <x:c r="C190" s="3" t="n">
        <x:v>1</x:v>
      </x:c>
      <x:c r="D190" s="3" t="n">
        <x:v>6</x:v>
      </x:c>
      <x:c r="E190" s="3" t="n">
        <x:v>4</x:v>
      </x:c>
      <x:c r="F190" s="3" t="str">
        <x:v>03:00</x:v>
      </x:c>
      <x:c r="G190" s="3" t="str">
        <x:v>04:00</x:v>
      </x:c>
      <x:c r="H190" s="9" t="n">
        <x:v>0.5</x:v>
      </x:c>
      <x:c r="I190" s="9" t="n">
        <x:f>'Physical_Arcs'!K10*H190</x:f>
        <x:v>39.5</x:v>
      </x:c>
      <x:c r="J190" s="9" t="n">
        <x:f>'Physical_Arcs'!L10*H190</x:f>
        <x:v>390.5</x:v>
      </x:c>
      <x:c r="K190" s="9" t="n">
        <x:f>'Physical_Arcs'!M10*H190</x:f>
        <x:v>195.5</x:v>
      </x:c>
      <x:c r="L190" s="9" t="n">
        <x:f>'Physical_Arcs'!U10</x:f>
        <x:v>1.342697</x:v>
      </x:c>
      <x:c r="M190" s="9" t="n">
        <x:f>L190*'Parameters'!$C$6</x:f>
        <x:v>1.342697</x:v>
      </x:c>
      <x:c r="N190" s="3" t="n">
        <x:v>1</x:v>
      </x:c>
    </x:row>
    <x:row r="191" ht="21" customHeight="1">
      <x:c r="A191" s="3" t="n">
        <x:v>190</x:v>
      </x:c>
      <x:c r="B191" s="3" t="n">
        <x:v>10</x:v>
      </x:c>
      <x:c r="C191" s="3" t="n">
        <x:v>2</x:v>
      </x:c>
      <x:c r="D191" s="3" t="n">
        <x:v>3</x:v>
      </x:c>
      <x:c r="E191" s="3" t="n">
        <x:v>4</x:v>
      </x:c>
      <x:c r="F191" s="3" t="str">
        <x:v>03:00</x:v>
      </x:c>
      <x:c r="G191" s="3" t="str">
        <x:v>04:00</x:v>
      </x:c>
      <x:c r="H191" s="9" t="n">
        <x:v>0.5</x:v>
      </x:c>
      <x:c r="I191" s="9" t="n">
        <x:f>'Physical_Arcs'!K11*H191</x:f>
        <x:v>300.5</x:v>
      </x:c>
      <x:c r="J191" s="9" t="n">
        <x:f>'Physical_Arcs'!L11*H191</x:f>
        <x:v>3002.5</x:v>
      </x:c>
      <x:c r="K191" s="9" t="n">
        <x:f>'Physical_Arcs'!M11*H191</x:f>
        <x:v>1501.5</x:v>
      </x:c>
      <x:c r="L191" s="9" t="n">
        <x:f>'Physical_Arcs'!U11</x:f>
        <x:v>2</x:v>
      </x:c>
      <x:c r="M191" s="9" t="n">
        <x:f>L191*'Parameters'!$C$6</x:f>
        <x:v>2</x:v>
      </x:c>
      <x:c r="N191" s="3" t="n">
        <x:v>1</x:v>
      </x:c>
    </x:row>
    <x:row r="192" ht="21" customHeight="1">
      <x:c r="A192" s="3" t="n">
        <x:v>191</x:v>
      </x:c>
      <x:c r="B192" s="3" t="n">
        <x:v>11</x:v>
      </x:c>
      <x:c r="C192" s="3" t="n">
        <x:v>2</x:v>
      </x:c>
      <x:c r="D192" s="3" t="n">
        <x:v>4</x:v>
      </x:c>
      <x:c r="E192" s="3" t="n">
        <x:v>4</x:v>
      </x:c>
      <x:c r="F192" s="3" t="str">
        <x:v>03:00</x:v>
      </x:c>
      <x:c r="G192" s="3" t="str">
        <x:v>04:00</x:v>
      </x:c>
      <x:c r="H192" s="9" t="n">
        <x:v>0.5</x:v>
      </x:c>
      <x:c r="I192" s="9" t="n">
        <x:f>'Physical_Arcs'!K12*H192</x:f>
        <x:v>222.5</x:v>
      </x:c>
      <x:c r="J192" s="9" t="n">
        <x:f>'Physical_Arcs'!L12*H192</x:f>
        <x:v>2222</x:v>
      </x:c>
      <x:c r="K192" s="9" t="n">
        <x:f>'Physical_Arcs'!M12*H192</x:f>
        <x:v>1111</x:v>
      </x:c>
      <x:c r="L192" s="9" t="n">
        <x:f>'Physical_Arcs'!U12</x:f>
        <x:v>0.533708</x:v>
      </x:c>
      <x:c r="M192" s="9" t="n">
        <x:f>L192*'Parameters'!$C$6</x:f>
        <x:v>0.533708</x:v>
      </x:c>
      <x:c r="N192" s="3" t="n">
        <x:v>1</x:v>
      </x:c>
    </x:row>
    <x:row r="193" ht="21" customHeight="1">
      <x:c r="A193" s="3" t="n">
        <x:v>192</x:v>
      </x:c>
      <x:c r="B193" s="3" t="n">
        <x:v>12</x:v>
      </x:c>
      <x:c r="C193" s="3" t="n">
        <x:v>2</x:v>
      </x:c>
      <x:c r="D193" s="3" t="n">
        <x:v>7</x:v>
      </x:c>
      <x:c r="E193" s="3" t="n">
        <x:v>4</x:v>
      </x:c>
      <x:c r="F193" s="3" t="str">
        <x:v>03:00</x:v>
      </x:c>
      <x:c r="G193" s="3" t="str">
        <x:v>04:00</x:v>
      </x:c>
      <x:c r="H193" s="9" t="n">
        <x:v>0.5</x:v>
      </x:c>
      <x:c r="I193" s="9" t="n">
        <x:f>'Physical_Arcs'!K13*H193</x:f>
        <x:v>171.5</x:v>
      </x:c>
      <x:c r="J193" s="9" t="n">
        <x:f>'Physical_Arcs'!L13*H193</x:f>
        <x:v>1711.5</x:v>
      </x:c>
      <x:c r="K193" s="9" t="n">
        <x:f>'Physical_Arcs'!M13*H193</x:f>
        <x:v>856</x:v>
      </x:c>
      <x:c r="L193" s="9" t="n">
        <x:f>'Physical_Arcs'!U13</x:f>
        <x:v>1.865169</x:v>
      </x:c>
      <x:c r="M193" s="9" t="n">
        <x:f>L193*'Parameters'!$C$6</x:f>
        <x:v>1.865169</x:v>
      </x:c>
      <x:c r="N193" s="3" t="n">
        <x:v>1</x:v>
      </x:c>
    </x:row>
    <x:row r="194" ht="21" customHeight="1">
      <x:c r="A194" s="3" t="n">
        <x:v>193</x:v>
      </x:c>
      <x:c r="B194" s="3" t="n">
        <x:v>13</x:v>
      </x:c>
      <x:c r="C194" s="3" t="n">
        <x:v>2</x:v>
      </x:c>
      <x:c r="D194" s="3" t="n">
        <x:v>9</x:v>
      </x:c>
      <x:c r="E194" s="3" t="n">
        <x:v>4</x:v>
      </x:c>
      <x:c r="F194" s="3" t="str">
        <x:v>03:00</x:v>
      </x:c>
      <x:c r="G194" s="3" t="str">
        <x:v>04:00</x:v>
      </x:c>
      <x:c r="H194" s="9" t="n">
        <x:v>0.5</x:v>
      </x:c>
      <x:c r="I194" s="9" t="n">
        <x:f>'Physical_Arcs'!K14*H194</x:f>
        <x:v>90.5</x:v>
      </x:c>
      <x:c r="J194" s="9" t="n">
        <x:f>'Physical_Arcs'!L14*H194</x:f>
        <x:v>901</x:v>
      </x:c>
      <x:c r="K194" s="9" t="n">
        <x:f>'Physical_Arcs'!M14*H194</x:f>
        <x:v>450.5</x:v>
      </x:c>
      <x:c r="L194" s="9" t="n">
        <x:f>'Physical_Arcs'!U14</x:f>
        <x:v>0.533708</x:v>
      </x:c>
      <x:c r="M194" s="9" t="n">
        <x:f>L194*'Parameters'!$C$6</x:f>
        <x:v>0.533708</x:v>
      </x:c>
      <x:c r="N194" s="3" t="n">
        <x:v>1</x:v>
      </x:c>
    </x:row>
    <x:row r="195" ht="21" customHeight="1">
      <x:c r="A195" s="3" t="n">
        <x:v>194</x:v>
      </x:c>
      <x:c r="B195" s="3" t="n">
        <x:v>14</x:v>
      </x:c>
      <x:c r="C195" s="3" t="n">
        <x:v>2</x:v>
      </x:c>
      <x:c r="D195" s="3" t="n">
        <x:v>8</x:v>
      </x:c>
      <x:c r="E195" s="3" t="n">
        <x:v>4</x:v>
      </x:c>
      <x:c r="F195" s="3" t="str">
        <x:v>03:00</x:v>
      </x:c>
      <x:c r="G195" s="3" t="str">
        <x:v>04:00</x:v>
      </x:c>
      <x:c r="H195" s="9" t="n">
        <x:v>0.5</x:v>
      </x:c>
      <x:c r="I195" s="9" t="n">
        <x:f>'Physical_Arcs'!K15*H195</x:f>
        <x:v>183.5</x:v>
      </x:c>
      <x:c r="J195" s="9" t="n">
        <x:f>'Physical_Arcs'!L15*H195</x:f>
        <x:v>1831.5</x:v>
      </x:c>
      <x:c r="K195" s="9" t="n">
        <x:f>'Physical_Arcs'!M15*H195</x:f>
        <x:v>916</x:v>
      </x:c>
      <x:c r="L195" s="9" t="n">
        <x:f>'Physical_Arcs'!U15</x:f>
        <x:v>1.882022</x:v>
      </x:c>
      <x:c r="M195" s="9" t="n">
        <x:f>L195*'Parameters'!$C$6</x:f>
        <x:v>1.882022</x:v>
      </x:c>
      <x:c r="N195" s="3" t="n">
        <x:v>1</x:v>
      </x:c>
    </x:row>
    <x:row r="196" ht="21" customHeight="1">
      <x:c r="A196" s="3" t="n">
        <x:v>195</x:v>
      </x:c>
      <x:c r="B196" s="3" t="n">
        <x:v>15</x:v>
      </x:c>
      <x:c r="C196" s="3" t="n">
        <x:v>2</x:v>
      </x:c>
      <x:c r="D196" s="3" t="n">
        <x:v>10</x:v>
      </x:c>
      <x:c r="E196" s="3" t="n">
        <x:v>4</x:v>
      </x:c>
      <x:c r="F196" s="3" t="str">
        <x:v>03:00</x:v>
      </x:c>
      <x:c r="G196" s="3" t="str">
        <x:v>04:00</x:v>
      </x:c>
      <x:c r="H196" s="9" t="n">
        <x:v>0.5</x:v>
      </x:c>
      <x:c r="I196" s="9" t="n">
        <x:f>'Physical_Arcs'!K16*H196</x:f>
        <x:v>258.5</x:v>
      </x:c>
      <x:c r="J196" s="9" t="n">
        <x:f>'Physical_Arcs'!L16*H196</x:f>
        <x:v>2582</x:v>
      </x:c>
      <x:c r="K196" s="9" t="n">
        <x:f>'Physical_Arcs'!M16*H196</x:f>
        <x:v>1291</x:v>
      </x:c>
      <x:c r="L196" s="9" t="n">
        <x:f>'Physical_Arcs'!U16</x:f>
        <x:v>1.426966</x:v>
      </x:c>
      <x:c r="M196" s="9" t="n">
        <x:f>L196*'Parameters'!$C$6</x:f>
        <x:v>1.426966</x:v>
      </x:c>
      <x:c r="N196" s="3" t="n">
        <x:v>1</x:v>
      </x:c>
    </x:row>
    <x:row r="197" ht="21" customHeight="1">
      <x:c r="A197" s="3" t="n">
        <x:v>196</x:v>
      </x:c>
      <x:c r="B197" s="3" t="n">
        <x:v>16</x:v>
      </x:c>
      <x:c r="C197" s="3" t="n">
        <x:v>3</x:v>
      </x:c>
      <x:c r="D197" s="3" t="n">
        <x:v>4</x:v>
      </x:c>
      <x:c r="E197" s="3" t="n">
        <x:v>4</x:v>
      </x:c>
      <x:c r="F197" s="3" t="str">
        <x:v>03:00</x:v>
      </x:c>
      <x:c r="G197" s="3" t="str">
        <x:v>04:00</x:v>
      </x:c>
      <x:c r="H197" s="9" t="n">
        <x:v>0.5</x:v>
      </x:c>
      <x:c r="I197" s="9" t="n">
        <x:f>'Physical_Arcs'!K17*H197</x:f>
        <x:v>300.5</x:v>
      </x:c>
      <x:c r="J197" s="9" t="n">
        <x:f>'Physical_Arcs'!L17*H197</x:f>
        <x:v>3002.5</x:v>
      </x:c>
      <x:c r="K197" s="9" t="n">
        <x:f>'Physical_Arcs'!M17*H197</x:f>
        <x:v>1501.5</x:v>
      </x:c>
      <x:c r="L197" s="9" t="n">
        <x:f>'Physical_Arcs'!U17</x:f>
        <x:v>2</x:v>
      </x:c>
      <x:c r="M197" s="9" t="n">
        <x:f>L197*'Parameters'!$C$6</x:f>
        <x:v>2</x:v>
      </x:c>
      <x:c r="N197" s="3" t="n">
        <x:v>1</x:v>
      </x:c>
    </x:row>
    <x:row r="198" ht="21" customHeight="1">
      <x:c r="A198" s="3" t="n">
        <x:v>197</x:v>
      </x:c>
      <x:c r="B198" s="3" t="n">
        <x:v>17</x:v>
      </x:c>
      <x:c r="C198" s="3" t="n">
        <x:v>3</x:v>
      </x:c>
      <x:c r="D198" s="3" t="n">
        <x:v>2</x:v>
      </x:c>
      <x:c r="E198" s="3" t="n">
        <x:v>4</x:v>
      </x:c>
      <x:c r="F198" s="3" t="str">
        <x:v>03:00</x:v>
      </x:c>
      <x:c r="G198" s="3" t="str">
        <x:v>04:00</x:v>
      </x:c>
      <x:c r="H198" s="9" t="n">
        <x:v>0.5</x:v>
      </x:c>
      <x:c r="I198" s="9" t="n">
        <x:f>'Physical_Arcs'!K18*H198</x:f>
        <x:v>279.5</x:v>
      </x:c>
      <x:c r="J198" s="9" t="n">
        <x:f>'Physical_Arcs'!L18*H198</x:f>
        <x:v>2792.5</x:v>
      </x:c>
      <x:c r="K198" s="9" t="n">
        <x:f>'Physical_Arcs'!M18*H198</x:f>
        <x:v>1396.5</x:v>
      </x:c>
      <x:c r="L198" s="9" t="n">
        <x:f>'Physical_Arcs'!U18</x:f>
        <x:v>0.769663</x:v>
      </x:c>
      <x:c r="M198" s="9" t="n">
        <x:f>L198*'Parameters'!$C$6</x:f>
        <x:v>0.769663</x:v>
      </x:c>
      <x:c r="N198" s="3" t="n">
        <x:v>1</x:v>
      </x:c>
    </x:row>
    <x:row r="199" ht="21" customHeight="1">
      <x:c r="A199" s="3" t="n">
        <x:v>198</x:v>
      </x:c>
      <x:c r="B199" s="3" t="n">
        <x:v>18</x:v>
      </x:c>
      <x:c r="C199" s="3" t="n">
        <x:v>3</x:v>
      </x:c>
      <x:c r="D199" s="3" t="n">
        <x:v>1</x:v>
      </x:c>
      <x:c r="E199" s="3" t="n">
        <x:v>4</x:v>
      </x:c>
      <x:c r="F199" s="3" t="str">
        <x:v>03:00</x:v>
      </x:c>
      <x:c r="G199" s="3" t="str">
        <x:v>04:00</x:v>
      </x:c>
      <x:c r="H199" s="9" t="n">
        <x:v>0.5</x:v>
      </x:c>
      <x:c r="I199" s="9" t="n">
        <x:f>'Physical_Arcs'!K19*H199</x:f>
        <x:v>72.5</x:v>
      </x:c>
      <x:c r="J199" s="9" t="n">
        <x:f>'Physical_Arcs'!L19*H199</x:f>
        <x:v>721</x:v>
      </x:c>
      <x:c r="K199" s="9" t="n">
        <x:f>'Physical_Arcs'!M19*H199</x:f>
        <x:v>360.5</x:v>
      </x:c>
      <x:c r="L199" s="9" t="n">
        <x:f>'Physical_Arcs'!U19</x:f>
        <x:v>1.595506</x:v>
      </x:c>
      <x:c r="M199" s="9" t="n">
        <x:f>L199*'Parameters'!$C$6</x:f>
        <x:v>1.595506</x:v>
      </x:c>
      <x:c r="N199" s="3" t="n">
        <x:v>1</x:v>
      </x:c>
    </x:row>
    <x:row r="200" ht="21" customHeight="1">
      <x:c r="A200" s="3" t="n">
        <x:v>199</x:v>
      </x:c>
      <x:c r="B200" s="3" t="n">
        <x:v>19</x:v>
      </x:c>
      <x:c r="C200" s="3" t="n">
        <x:v>3</x:v>
      </x:c>
      <x:c r="D200" s="3" t="n">
        <x:v>7</x:v>
      </x:c>
      <x:c r="E200" s="3" t="n">
        <x:v>4</x:v>
      </x:c>
      <x:c r="F200" s="3" t="str">
        <x:v>03:00</x:v>
      </x:c>
      <x:c r="G200" s="3" t="str">
        <x:v>04:00</x:v>
      </x:c>
      <x:c r="H200" s="9" t="n">
        <x:v>0.5</x:v>
      </x:c>
      <x:c r="I200" s="9" t="n">
        <x:f>'Physical_Arcs'!K20*H200</x:f>
        <x:v>120.5</x:v>
      </x:c>
      <x:c r="J200" s="9" t="n">
        <x:f>'Physical_Arcs'!L20*H200</x:f>
        <x:v>1201</x:v>
      </x:c>
      <x:c r="K200" s="9" t="n">
        <x:f>'Physical_Arcs'!M20*H200</x:f>
        <x:v>600.5</x:v>
      </x:c>
      <x:c r="L200" s="9" t="n">
        <x:f>'Physical_Arcs'!U20</x:f>
        <x:v>0.5</x:v>
      </x:c>
      <x:c r="M200" s="9" t="n">
        <x:f>L200*'Parameters'!$C$6</x:f>
        <x:v>0.5</x:v>
      </x:c>
      <x:c r="N200" s="3" t="n">
        <x:v>1</x:v>
      </x:c>
    </x:row>
    <x:row r="201" ht="21" customHeight="1">
      <x:c r="A201" s="3" t="n">
        <x:v>200</x:v>
      </x:c>
      <x:c r="B201" s="3" t="n">
        <x:v>20</x:v>
      </x:c>
      <x:c r="C201" s="3" t="n">
        <x:v>3</x:v>
      </x:c>
      <x:c r="D201" s="3" t="n">
        <x:v>10</x:v>
      </x:c>
      <x:c r="E201" s="3" t="n">
        <x:v>4</x:v>
      </x:c>
      <x:c r="F201" s="3" t="str">
        <x:v>03:00</x:v>
      </x:c>
      <x:c r="G201" s="3" t="str">
        <x:v>04:00</x:v>
      </x:c>
      <x:c r="H201" s="9" t="n">
        <x:v>0.5</x:v>
      </x:c>
      <x:c r="I201" s="9" t="n">
        <x:f>'Physical_Arcs'!K21*H201</x:f>
        <x:v>261.5</x:v>
      </x:c>
      <x:c r="J201" s="9" t="n">
        <x:f>'Physical_Arcs'!L21*H201</x:f>
        <x:v>2612.5</x:v>
      </x:c>
      <x:c r="K201" s="9" t="n">
        <x:f>'Physical_Arcs'!M21*H201</x:f>
        <x:v>1306.5</x:v>
      </x:c>
      <x:c r="L201" s="9" t="n">
        <x:f>'Physical_Arcs'!U21</x:f>
        <x:v>0.735955</x:v>
      </x:c>
      <x:c r="M201" s="9" t="n">
        <x:f>L201*'Parameters'!$C$6</x:f>
        <x:v>0.735955</x:v>
      </x:c>
      <x:c r="N201" s="3" t="n">
        <x:v>1</x:v>
      </x:c>
    </x:row>
    <x:row r="202" ht="21" customHeight="1">
      <x:c r="A202" s="3" t="n">
        <x:v>201</x:v>
      </x:c>
      <x:c r="B202" s="3" t="n">
        <x:v>21</x:v>
      </x:c>
      <x:c r="C202" s="3" t="n">
        <x:v>3</x:v>
      </x:c>
      <x:c r="D202" s="3" t="n">
        <x:v>9</x:v>
      </x:c>
      <x:c r="E202" s="3" t="n">
        <x:v>4</x:v>
      </x:c>
      <x:c r="F202" s="3" t="str">
        <x:v>03:00</x:v>
      </x:c>
      <x:c r="G202" s="3" t="str">
        <x:v>04:00</x:v>
      </x:c>
      <x:c r="H202" s="9" t="n">
        <x:v>0.5</x:v>
      </x:c>
      <x:c r="I202" s="9" t="n">
        <x:f>'Physical_Arcs'!K22*H202</x:f>
        <x:v>36.5</x:v>
      </x:c>
      <x:c r="J202" s="9" t="n">
        <x:f>'Physical_Arcs'!L22*H202</x:f>
        <x:v>360.5</x:v>
      </x:c>
      <x:c r="K202" s="9" t="n">
        <x:f>'Physical_Arcs'!M22*H202</x:f>
        <x:v>180.5</x:v>
      </x:c>
      <x:c r="L202" s="9" t="n">
        <x:f>'Physical_Arcs'!U22</x:f>
        <x:v>0.837079</x:v>
      </x:c>
      <x:c r="M202" s="9" t="n">
        <x:f>L202*'Parameters'!$C$6</x:f>
        <x:v>0.837079</x:v>
      </x:c>
      <x:c r="N202" s="3" t="n">
        <x:v>1</x:v>
      </x:c>
    </x:row>
    <x:row r="203" ht="21" customHeight="1">
      <x:c r="A203" s="3" t="n">
        <x:v>202</x:v>
      </x:c>
      <x:c r="B203" s="3" t="n">
        <x:v>22</x:v>
      </x:c>
      <x:c r="C203" s="3" t="n">
        <x:v>4</x:v>
      </x:c>
      <x:c r="D203" s="3" t="n">
        <x:v>5</x:v>
      </x:c>
      <x:c r="E203" s="3" t="n">
        <x:v>4</x:v>
      </x:c>
      <x:c r="F203" s="3" t="str">
        <x:v>03:00</x:v>
      </x:c>
      <x:c r="G203" s="3" t="str">
        <x:v>04:00</x:v>
      </x:c>
      <x:c r="H203" s="9" t="n">
        <x:v>0.5</x:v>
      </x:c>
      <x:c r="I203" s="9" t="n">
        <x:f>'Physical_Arcs'!K23*H203</x:f>
        <x:v>300.5</x:v>
      </x:c>
      <x:c r="J203" s="9" t="n">
        <x:f>'Physical_Arcs'!L23*H203</x:f>
        <x:v>3002.5</x:v>
      </x:c>
      <x:c r="K203" s="9" t="n">
        <x:f>'Physical_Arcs'!M23*H203</x:f>
        <x:v>1501.5</x:v>
      </x:c>
      <x:c r="L203" s="9" t="n">
        <x:f>'Physical_Arcs'!U23</x:f>
        <x:v>2</x:v>
      </x:c>
      <x:c r="M203" s="9" t="n">
        <x:f>L203*'Parameters'!$C$6</x:f>
        <x:v>2</x:v>
      </x:c>
      <x:c r="N203" s="3" t="n">
        <x:v>1</x:v>
      </x:c>
    </x:row>
    <x:row r="204" ht="21" customHeight="1">
      <x:c r="A204" s="3" t="n">
        <x:v>203</x:v>
      </x:c>
      <x:c r="B204" s="3" t="n">
        <x:v>23</x:v>
      </x:c>
      <x:c r="C204" s="3" t="n">
        <x:v>4</x:v>
      </x:c>
      <x:c r="D204" s="3" t="n">
        <x:v>3</x:v>
      </x:c>
      <x:c r="E204" s="3" t="n">
        <x:v>4</x:v>
      </x:c>
      <x:c r="F204" s="3" t="str">
        <x:v>03:00</x:v>
      </x:c>
      <x:c r="G204" s="3" t="str">
        <x:v>04:00</x:v>
      </x:c>
      <x:c r="H204" s="9" t="n">
        <x:v>0.5</x:v>
      </x:c>
      <x:c r="I204" s="9" t="n">
        <x:f>'Physical_Arcs'!K24*H204</x:f>
        <x:v>54.5</x:v>
      </x:c>
      <x:c r="J204" s="9" t="n">
        <x:f>'Physical_Arcs'!L24*H204</x:f>
        <x:v>540.5</x:v>
      </x:c>
      <x:c r="K204" s="9" t="n">
        <x:f>'Physical_Arcs'!M24*H204</x:f>
        <x:v>270.5</x:v>
      </x:c>
      <x:c r="L204" s="9" t="n">
        <x:f>'Physical_Arcs'!U24</x:f>
        <x:v>1.91573</x:v>
      </x:c>
      <x:c r="M204" s="9" t="n">
        <x:f>L204*'Parameters'!$C$6</x:f>
        <x:v>1.91573</x:v>
      </x:c>
      <x:c r="N204" s="3" t="n">
        <x:v>1</x:v>
      </x:c>
    </x:row>
    <x:row r="205" ht="21" customHeight="1">
      <x:c r="A205" s="3" t="n">
        <x:v>204</x:v>
      </x:c>
      <x:c r="B205" s="3" t="n">
        <x:v>24</x:v>
      </x:c>
      <x:c r="C205" s="3" t="n">
        <x:v>4</x:v>
      </x:c>
      <x:c r="D205" s="3" t="n">
        <x:v>10</x:v>
      </x:c>
      <x:c r="E205" s="3" t="n">
        <x:v>4</x:v>
      </x:c>
      <x:c r="F205" s="3" t="str">
        <x:v>03:00</x:v>
      </x:c>
      <x:c r="G205" s="3" t="str">
        <x:v>04:00</x:v>
      </x:c>
      <x:c r="H205" s="9" t="n">
        <x:v>0.5</x:v>
      </x:c>
      <x:c r="I205" s="9" t="n">
        <x:f>'Physical_Arcs'!K25*H205</x:f>
        <x:v>162.5</x:v>
      </x:c>
      <x:c r="J205" s="9" t="n">
        <x:f>'Physical_Arcs'!L25*H205</x:f>
        <x:v>1621.5</x:v>
      </x:c>
      <x:c r="K205" s="9" t="n">
        <x:f>'Physical_Arcs'!M25*H205</x:f>
        <x:v>811</x:v>
      </x:c>
      <x:c r="L205" s="9" t="n">
        <x:f>'Physical_Arcs'!U25</x:f>
        <x:v>1.157303</x:v>
      </x:c>
      <x:c r="M205" s="9" t="n">
        <x:f>L205*'Parameters'!$C$6</x:f>
        <x:v>1.157303</x:v>
      </x:c>
      <x:c r="N205" s="3" t="n">
        <x:v>1</x:v>
      </x:c>
    </x:row>
    <x:row r="206" ht="21" customHeight="1">
      <x:c r="A206" s="3" t="n">
        <x:v>205</x:v>
      </x:c>
      <x:c r="B206" s="3" t="n">
        <x:v>25</x:v>
      </x:c>
      <x:c r="C206" s="3" t="n">
        <x:v>4</x:v>
      </x:c>
      <x:c r="D206" s="3" t="n">
        <x:v>8</x:v>
      </x:c>
      <x:c r="E206" s="3" t="n">
        <x:v>4</x:v>
      </x:c>
      <x:c r="F206" s="3" t="str">
        <x:v>03:00</x:v>
      </x:c>
      <x:c r="G206" s="3" t="str">
        <x:v>04:00</x:v>
      </x:c>
      <x:c r="H206" s="9" t="n">
        <x:v>0.5</x:v>
      </x:c>
      <x:c r="I206" s="9" t="n">
        <x:f>'Physical_Arcs'!K26*H206</x:f>
        <x:v>147.5</x:v>
      </x:c>
      <x:c r="J206" s="9" t="n">
        <x:f>'Physical_Arcs'!L26*H206</x:f>
        <x:v>1471.5</x:v>
      </x:c>
      <x:c r="K206" s="9" t="n">
        <x:f>'Physical_Arcs'!M26*H206</x:f>
        <x:v>736</x:v>
      </x:c>
      <x:c r="L206" s="9" t="n">
        <x:f>'Physical_Arcs'!U26</x:f>
        <x:v>0.516854</x:v>
      </x:c>
      <x:c r="M206" s="9" t="n">
        <x:f>L206*'Parameters'!$C$6</x:f>
        <x:v>0.516854</x:v>
      </x:c>
      <x:c r="N206" s="3" t="n">
        <x:v>1</x:v>
      </x:c>
    </x:row>
    <x:row r="207" ht="21" customHeight="1">
      <x:c r="A207" s="3" t="n">
        <x:v>206</x:v>
      </x:c>
      <x:c r="B207" s="3" t="n">
        <x:v>26</x:v>
      </x:c>
      <x:c r="C207" s="3" t="n">
        <x:v>4</x:v>
      </x:c>
      <x:c r="D207" s="3" t="n">
        <x:v>7</x:v>
      </x:c>
      <x:c r="E207" s="3" t="n">
        <x:v>4</x:v>
      </x:c>
      <x:c r="F207" s="3" t="str">
        <x:v>03:00</x:v>
      </x:c>
      <x:c r="G207" s="3" t="str">
        <x:v>04:00</x:v>
      </x:c>
      <x:c r="H207" s="9" t="n">
        <x:v>0.5</x:v>
      </x:c>
      <x:c r="I207" s="9" t="n">
        <x:f>'Physical_Arcs'!K27*H207</x:f>
        <x:v>270.5</x:v>
      </x:c>
      <x:c r="J207" s="9" t="n">
        <x:f>'Physical_Arcs'!L27*H207</x:f>
        <x:v>2702.5</x:v>
      </x:c>
      <x:c r="K207" s="9" t="n">
        <x:f>'Physical_Arcs'!M27*H207</x:f>
        <x:v>1351.5</x:v>
      </x:c>
      <x:c r="L207" s="9" t="n">
        <x:f>'Physical_Arcs'!U27</x:f>
        <x:v>0.567416</x:v>
      </x:c>
      <x:c r="M207" s="9" t="n">
        <x:f>L207*'Parameters'!$C$6</x:f>
        <x:v>0.567416</x:v>
      </x:c>
      <x:c r="N207" s="3" t="n">
        <x:v>1</x:v>
      </x:c>
    </x:row>
    <x:row r="208" ht="21" customHeight="1">
      <x:c r="A208" s="3" t="n">
        <x:v>207</x:v>
      </x:c>
      <x:c r="B208" s="3" t="n">
        <x:v>27</x:v>
      </x:c>
      <x:c r="C208" s="3" t="n">
        <x:v>4</x:v>
      </x:c>
      <x:c r="D208" s="3" t="n">
        <x:v>2</x:v>
      </x:c>
      <x:c r="E208" s="3" t="n">
        <x:v>4</x:v>
      </x:c>
      <x:c r="F208" s="3" t="str">
        <x:v>03:00</x:v>
      </x:c>
      <x:c r="G208" s="3" t="str">
        <x:v>04:00</x:v>
      </x:c>
      <x:c r="H208" s="9" t="n">
        <x:v>0.5</x:v>
      </x:c>
      <x:c r="I208" s="9" t="n">
        <x:f>'Physical_Arcs'!K28*H208</x:f>
        <x:v>216.5</x:v>
      </x:c>
      <x:c r="J208" s="9" t="n">
        <x:f>'Physical_Arcs'!L28*H208</x:f>
        <x:v>2162</x:v>
      </x:c>
      <x:c r="K208" s="9" t="n">
        <x:f>'Physical_Arcs'!M28*H208</x:f>
        <x:v>1081</x:v>
      </x:c>
      <x:c r="L208" s="9" t="n">
        <x:f>'Physical_Arcs'!U28</x:f>
        <x:v>0.651685</x:v>
      </x:c>
      <x:c r="M208" s="9" t="n">
        <x:f>L208*'Parameters'!$C$6</x:f>
        <x:v>0.651685</x:v>
      </x:c>
      <x:c r="N208" s="3" t="n">
        <x:v>1</x:v>
      </x:c>
    </x:row>
    <x:row r="209" ht="21" customHeight="1">
      <x:c r="A209" s="3" t="n">
        <x:v>208</x:v>
      </x:c>
      <x:c r="B209" s="3" t="n">
        <x:v>28</x:v>
      </x:c>
      <x:c r="C209" s="3" t="n">
        <x:v>4</x:v>
      </x:c>
      <x:c r="D209" s="3" t="n">
        <x:v>6</x:v>
      </x:c>
      <x:c r="E209" s="3" t="n">
        <x:v>4</x:v>
      </x:c>
      <x:c r="F209" s="3" t="str">
        <x:v>03:00</x:v>
      </x:c>
      <x:c r="G209" s="3" t="str">
        <x:v>04:00</x:v>
      </x:c>
      <x:c r="H209" s="9" t="n">
        <x:v>0.5</x:v>
      </x:c>
      <x:c r="I209" s="9" t="n">
        <x:f>'Physical_Arcs'!K29*H209</x:f>
        <x:v>240.5</x:v>
      </x:c>
      <x:c r="J209" s="9" t="n">
        <x:f>'Physical_Arcs'!L29*H209</x:f>
        <x:v>2402</x:v>
      </x:c>
      <x:c r="K209" s="9" t="n">
        <x:f>'Physical_Arcs'!M29*H209</x:f>
        <x:v>1201</x:v>
      </x:c>
      <x:c r="L209" s="9" t="n">
        <x:f>'Physical_Arcs'!U29</x:f>
        <x:v>0.702247</x:v>
      </x:c>
      <x:c r="M209" s="9" t="n">
        <x:f>L209*'Parameters'!$C$6</x:f>
        <x:v>0.702247</x:v>
      </x:c>
      <x:c r="N209" s="3" t="n">
        <x:v>1</x:v>
      </x:c>
    </x:row>
    <x:row r="210" ht="21" customHeight="1">
      <x:c r="A210" s="3" t="n">
        <x:v>209</x:v>
      </x:c>
      <x:c r="B210" s="3" t="n">
        <x:v>29</x:v>
      </x:c>
      <x:c r="C210" s="3" t="n">
        <x:v>5</x:v>
      </x:c>
      <x:c r="D210" s="3" t="n">
        <x:v>6</x:v>
      </x:c>
      <x:c r="E210" s="3" t="n">
        <x:v>4</x:v>
      </x:c>
      <x:c r="F210" s="3" t="str">
        <x:v>03:00</x:v>
      </x:c>
      <x:c r="G210" s="3" t="str">
        <x:v>04:00</x:v>
      </x:c>
      <x:c r="H210" s="9" t="n">
        <x:v>0.5</x:v>
      </x:c>
      <x:c r="I210" s="9" t="n">
        <x:f>'Physical_Arcs'!K30*H210</x:f>
        <x:v>300.5</x:v>
      </x:c>
      <x:c r="J210" s="9" t="n">
        <x:f>'Physical_Arcs'!L30*H210</x:f>
        <x:v>3002.5</x:v>
      </x:c>
      <x:c r="K210" s="9" t="n">
        <x:f>'Physical_Arcs'!M30*H210</x:f>
        <x:v>1501.5</x:v>
      </x:c>
      <x:c r="L210" s="9" t="n">
        <x:f>'Physical_Arcs'!U30</x:f>
        <x:v>2</x:v>
      </x:c>
      <x:c r="M210" s="9" t="n">
        <x:f>L210*'Parameters'!$C$6</x:f>
        <x:v>2</x:v>
      </x:c>
      <x:c r="N210" s="3" t="n">
        <x:v>1</x:v>
      </x:c>
    </x:row>
    <x:row r="211" ht="21" customHeight="1">
      <x:c r="A211" s="3" t="n">
        <x:v>210</x:v>
      </x:c>
      <x:c r="B211" s="3" t="n">
        <x:v>30</x:v>
      </x:c>
      <x:c r="C211" s="3" t="n">
        <x:v>5</x:v>
      </x:c>
      <x:c r="D211" s="3" t="n">
        <x:v>2</x:v>
      </x:c>
      <x:c r="E211" s="3" t="n">
        <x:v>4</x:v>
      </x:c>
      <x:c r="F211" s="3" t="str">
        <x:v>03:00</x:v>
      </x:c>
      <x:c r="G211" s="3" t="str">
        <x:v>04:00</x:v>
      </x:c>
      <x:c r="H211" s="9" t="n">
        <x:v>0.5</x:v>
      </x:c>
      <x:c r="I211" s="9" t="n">
        <x:f>'Physical_Arcs'!K31*H211</x:f>
        <x:v>63.5</x:v>
      </x:c>
      <x:c r="J211" s="9" t="n">
        <x:f>'Physical_Arcs'!L31*H211</x:f>
        <x:v>630.5</x:v>
      </x:c>
      <x:c r="K211" s="9" t="n">
        <x:f>'Physical_Arcs'!M31*H211</x:f>
        <x:v>315.5</x:v>
      </x:c>
      <x:c r="L211" s="9" t="n">
        <x:f>'Physical_Arcs'!U31</x:f>
        <x:v>0.88764</x:v>
      </x:c>
      <x:c r="M211" s="9" t="n">
        <x:f>L211*'Parameters'!$C$6</x:f>
        <x:v>0.88764</x:v>
      </x:c>
      <x:c r="N211" s="3" t="n">
        <x:v>1</x:v>
      </x:c>
    </x:row>
    <x:row r="212" ht="21" customHeight="1">
      <x:c r="A212" s="3" t="n">
        <x:v>211</x:v>
      </x:c>
      <x:c r="B212" s="3" t="n">
        <x:v>31</x:v>
      </x:c>
      <x:c r="C212" s="3" t="n">
        <x:v>5</x:v>
      </x:c>
      <x:c r="D212" s="3" t="n">
        <x:v>8</x:v>
      </x:c>
      <x:c r="E212" s="3" t="n">
        <x:v>4</x:v>
      </x:c>
      <x:c r="F212" s="3" t="str">
        <x:v>03:00</x:v>
      </x:c>
      <x:c r="G212" s="3" t="str">
        <x:v>04:00</x:v>
      </x:c>
      <x:c r="H212" s="9" t="n">
        <x:v>0.5</x:v>
      </x:c>
      <x:c r="I212" s="9" t="n">
        <x:f>'Physical_Arcs'!K32*H212</x:f>
        <x:v>270.5</x:v>
      </x:c>
      <x:c r="J212" s="9" t="n">
        <x:f>'Physical_Arcs'!L32*H212</x:f>
        <x:v>2702.5</x:v>
      </x:c>
      <x:c r="K212" s="9" t="n">
        <x:f>'Physical_Arcs'!M32*H212</x:f>
        <x:v>1351.5</x:v>
      </x:c>
      <x:c r="L212" s="9" t="n">
        <x:f>'Physical_Arcs'!U32</x:f>
        <x:v>1.52809</x:v>
      </x:c>
      <x:c r="M212" s="9" t="n">
        <x:f>L212*'Parameters'!$C$6</x:f>
        <x:v>1.52809</x:v>
      </x:c>
      <x:c r="N212" s="3" t="n">
        <x:v>1</x:v>
      </x:c>
    </x:row>
    <x:row r="213" ht="21" customHeight="1">
      <x:c r="A213" s="3" t="n">
        <x:v>212</x:v>
      </x:c>
      <x:c r="B213" s="3" t="n">
        <x:v>32</x:v>
      </x:c>
      <x:c r="C213" s="3" t="n">
        <x:v>5</x:v>
      </x:c>
      <x:c r="D213" s="3" t="n">
        <x:v>3</x:v>
      </x:c>
      <x:c r="E213" s="3" t="n">
        <x:v>4</x:v>
      </x:c>
      <x:c r="F213" s="3" t="str">
        <x:v>03:00</x:v>
      </x:c>
      <x:c r="G213" s="3" t="str">
        <x:v>04:00</x:v>
      </x:c>
      <x:c r="H213" s="9" t="n">
        <x:v>0.5</x:v>
      </x:c>
      <x:c r="I213" s="9" t="n">
        <x:f>'Physical_Arcs'!K33*H213</x:f>
        <x:v>264.5</x:v>
      </x:c>
      <x:c r="J213" s="9" t="n">
        <x:f>'Physical_Arcs'!L33*H213</x:f>
        <x:v>2642.5</x:v>
      </x:c>
      <x:c r="K213" s="9" t="n">
        <x:f>'Physical_Arcs'!M33*H213</x:f>
        <x:v>1321.5</x:v>
      </x:c>
      <x:c r="L213" s="9" t="n">
        <x:f>'Physical_Arcs'!U33</x:f>
        <x:v>1.308989</x:v>
      </x:c>
      <x:c r="M213" s="9" t="n">
        <x:f>L213*'Parameters'!$C$6</x:f>
        <x:v>1.308989</x:v>
      </x:c>
      <x:c r="N213" s="3" t="n">
        <x:v>1</x:v>
      </x:c>
    </x:row>
    <x:row r="214" ht="21" customHeight="1">
      <x:c r="A214" s="3" t="n">
        <x:v>213</x:v>
      </x:c>
      <x:c r="B214" s="3" t="n">
        <x:v>33</x:v>
      </x:c>
      <x:c r="C214" s="3" t="n">
        <x:v>5</x:v>
      </x:c>
      <x:c r="D214" s="3" t="n">
        <x:v>10</x:v>
      </x:c>
      <x:c r="E214" s="3" t="n">
        <x:v>4</x:v>
      </x:c>
      <x:c r="F214" s="3" t="str">
        <x:v>03:00</x:v>
      </x:c>
      <x:c r="G214" s="3" t="str">
        <x:v>04:00</x:v>
      </x:c>
      <x:c r="H214" s="9" t="n">
        <x:v>0.5</x:v>
      </x:c>
      <x:c r="I214" s="9" t="n">
        <x:f>'Physical_Arcs'!K34*H214</x:f>
        <x:v>291.5</x:v>
      </x:c>
      <x:c r="J214" s="9" t="n">
        <x:f>'Physical_Arcs'!L34*H214</x:f>
        <x:v>2912.5</x:v>
      </x:c>
      <x:c r="K214" s="9" t="n">
        <x:f>'Physical_Arcs'!M34*H214</x:f>
        <x:v>1456.5</x:v>
      </x:c>
      <x:c r="L214" s="9" t="n">
        <x:f>'Physical_Arcs'!U34</x:f>
        <x:v>0.853933</x:v>
      </x:c>
      <x:c r="M214" s="9" t="n">
        <x:f>L214*'Parameters'!$C$6</x:f>
        <x:v>0.853933</x:v>
      </x:c>
      <x:c r="N214" s="3" t="n">
        <x:v>1</x:v>
      </x:c>
    </x:row>
    <x:row r="215" ht="21" customHeight="1">
      <x:c r="A215" s="3" t="n">
        <x:v>214</x:v>
      </x:c>
      <x:c r="B215" s="3" t="n">
        <x:v>34</x:v>
      </x:c>
      <x:c r="C215" s="3" t="n">
        <x:v>6</x:v>
      </x:c>
      <x:c r="D215" s="3" t="n">
        <x:v>7</x:v>
      </x:c>
      <x:c r="E215" s="3" t="n">
        <x:v>4</x:v>
      </x:c>
      <x:c r="F215" s="3" t="str">
        <x:v>03:00</x:v>
      </x:c>
      <x:c r="G215" s="3" t="str">
        <x:v>04:00</x:v>
      </x:c>
      <x:c r="H215" s="9" t="n">
        <x:v>0.5</x:v>
      </x:c>
      <x:c r="I215" s="9" t="n">
        <x:f>'Physical_Arcs'!K35*H215</x:f>
        <x:v>300.5</x:v>
      </x:c>
      <x:c r="J215" s="9" t="n">
        <x:f>'Physical_Arcs'!L35*H215</x:f>
        <x:v>3002.5</x:v>
      </x:c>
      <x:c r="K215" s="9" t="n">
        <x:f>'Physical_Arcs'!M35*H215</x:f>
        <x:v>1501.5</x:v>
      </x:c>
      <x:c r="L215" s="9" t="n">
        <x:f>'Physical_Arcs'!U35</x:f>
        <x:v>2</x:v>
      </x:c>
      <x:c r="M215" s="9" t="n">
        <x:f>L215*'Parameters'!$C$6</x:f>
        <x:v>2</x:v>
      </x:c>
      <x:c r="N215" s="3" t="n">
        <x:v>1</x:v>
      </x:c>
    </x:row>
    <x:row r="216" ht="21" customHeight="1">
      <x:c r="A216" s="3" t="n">
        <x:v>215</x:v>
      </x:c>
      <x:c r="B216" s="3" t="n">
        <x:v>35</x:v>
      </x:c>
      <x:c r="C216" s="3" t="n">
        <x:v>6</x:v>
      </x:c>
      <x:c r="D216" s="3" t="n">
        <x:v>10</x:v>
      </x:c>
      <x:c r="E216" s="3" t="n">
        <x:v>4</x:v>
      </x:c>
      <x:c r="F216" s="3" t="str">
        <x:v>03:00</x:v>
      </x:c>
      <x:c r="G216" s="3" t="str">
        <x:v>04:00</x:v>
      </x:c>
      <x:c r="H216" s="9" t="n">
        <x:v>0.5</x:v>
      </x:c>
      <x:c r="I216" s="9" t="n">
        <x:f>'Physical_Arcs'!K36*H216</x:f>
        <x:v>153.5</x:v>
      </x:c>
      <x:c r="J216" s="9" t="n">
        <x:f>'Physical_Arcs'!L36*H216</x:f>
        <x:v>1531.5</x:v>
      </x:c>
      <x:c r="K216" s="9" t="n">
        <x:f>'Physical_Arcs'!M36*H216</x:f>
        <x:v>766</x:v>
      </x:c>
      <x:c r="L216" s="9" t="n">
        <x:f>'Physical_Arcs'!U36</x:f>
        <x:v>1.005618</x:v>
      </x:c>
      <x:c r="M216" s="9" t="n">
        <x:f>L216*'Parameters'!$C$6</x:f>
        <x:v>1.005618</x:v>
      </x:c>
      <x:c r="N216" s="3" t="n">
        <x:v>1</x:v>
      </x:c>
    </x:row>
    <x:row r="217" ht="21" customHeight="1">
      <x:c r="A217" s="3" t="n">
        <x:v>216</x:v>
      </x:c>
      <x:c r="B217" s="3" t="n">
        <x:v>36</x:v>
      </x:c>
      <x:c r="C217" s="3" t="n">
        <x:v>6</x:v>
      </x:c>
      <x:c r="D217" s="3" t="n">
        <x:v>8</x:v>
      </x:c>
      <x:c r="E217" s="3" t="n">
        <x:v>4</x:v>
      </x:c>
      <x:c r="F217" s="3" t="str">
        <x:v>03:00</x:v>
      </x:c>
      <x:c r="G217" s="3" t="str">
        <x:v>04:00</x:v>
      </x:c>
      <x:c r="H217" s="9" t="n">
        <x:v>0.5</x:v>
      </x:c>
      <x:c r="I217" s="9" t="n">
        <x:f>'Physical_Arcs'!K37*H217</x:f>
        <x:v>198.5</x:v>
      </x:c>
      <x:c r="J217" s="9" t="n">
        <x:f>'Physical_Arcs'!L37*H217</x:f>
        <x:v>1982</x:v>
      </x:c>
      <x:c r="K217" s="9" t="n">
        <x:f>'Physical_Arcs'!M37*H217</x:f>
        <x:v>991</x:v>
      </x:c>
      <x:c r="L217" s="9" t="n">
        <x:f>'Physical_Arcs'!U37</x:f>
        <x:v>1.544944</x:v>
      </x:c>
      <x:c r="M217" s="9" t="n">
        <x:f>L217*'Parameters'!$C$6</x:f>
        <x:v>1.544944</x:v>
      </x:c>
      <x:c r="N217" s="3" t="n">
        <x:v>1</x:v>
      </x:c>
    </x:row>
    <x:row r="218" ht="21" customHeight="1">
      <x:c r="A218" s="3" t="n">
        <x:v>217</x:v>
      </x:c>
      <x:c r="B218" s="3" t="n">
        <x:v>37</x:v>
      </x:c>
      <x:c r="C218" s="3" t="n">
        <x:v>6</x:v>
      </x:c>
      <x:c r="D218" s="3" t="n">
        <x:v>1</x:v>
      </x:c>
      <x:c r="E218" s="3" t="n">
        <x:v>4</x:v>
      </x:c>
      <x:c r="F218" s="3" t="str">
        <x:v>03:00</x:v>
      </x:c>
      <x:c r="G218" s="3" t="str">
        <x:v>04:00</x:v>
      </x:c>
      <x:c r="H218" s="9" t="n">
        <x:v>0.5</x:v>
      </x:c>
      <x:c r="I218" s="9" t="n">
        <x:f>'Physical_Arcs'!K38*H218</x:f>
        <x:v>45.5</x:v>
      </x:c>
      <x:c r="J218" s="9" t="n">
        <x:f>'Physical_Arcs'!L38*H218</x:f>
        <x:v>450.5</x:v>
      </x:c>
      <x:c r="K218" s="9" t="n">
        <x:f>'Physical_Arcs'!M38*H218</x:f>
        <x:v>225.5</x:v>
      </x:c>
      <x:c r="L218" s="9" t="n">
        <x:f>'Physical_Arcs'!U38</x:f>
        <x:v>0.870787</x:v>
      </x:c>
      <x:c r="M218" s="9" t="n">
        <x:f>L218*'Parameters'!$C$6</x:f>
        <x:v>0.870787</x:v>
      </x:c>
      <x:c r="N218" s="3" t="n">
        <x:v>1</x:v>
      </x:c>
    </x:row>
    <x:row r="219" ht="21" customHeight="1">
      <x:c r="A219" s="3" t="n">
        <x:v>218</x:v>
      </x:c>
      <x:c r="B219" s="3" t="n">
        <x:v>38</x:v>
      </x:c>
      <x:c r="C219" s="3" t="n">
        <x:v>6</x:v>
      </x:c>
      <x:c r="D219" s="3" t="n">
        <x:v>3</x:v>
      </x:c>
      <x:c r="E219" s="3" t="n">
        <x:v>4</x:v>
      </x:c>
      <x:c r="F219" s="3" t="str">
        <x:v>03:00</x:v>
      </x:c>
      <x:c r="G219" s="3" t="str">
        <x:v>04:00</x:v>
      </x:c>
      <x:c r="H219" s="9" t="n">
        <x:v>0.5</x:v>
      </x:c>
      <x:c r="I219" s="9" t="n">
        <x:f>'Physical_Arcs'!K39*H219</x:f>
        <x:v>87.5</x:v>
      </x:c>
      <x:c r="J219" s="9" t="n">
        <x:f>'Physical_Arcs'!L39*H219</x:f>
        <x:v>871</x:v>
      </x:c>
      <x:c r="K219" s="9" t="n">
        <x:f>'Physical_Arcs'!M39*H219</x:f>
        <x:v>435.5</x:v>
      </x:c>
      <x:c r="L219" s="9" t="n">
        <x:f>'Physical_Arcs'!U39</x:f>
        <x:v>0.921348</x:v>
      </x:c>
      <x:c r="M219" s="9" t="n">
        <x:f>L219*'Parameters'!$C$6</x:f>
        <x:v>0.921348</x:v>
      </x:c>
      <x:c r="N219" s="3" t="n">
        <x:v>1</x:v>
      </x:c>
    </x:row>
    <x:row r="220" ht="21" customHeight="1">
      <x:c r="A220" s="3" t="n">
        <x:v>219</x:v>
      </x:c>
      <x:c r="B220" s="3" t="n">
        <x:v>39</x:v>
      </x:c>
      <x:c r="C220" s="3" t="n">
        <x:v>7</x:v>
      </x:c>
      <x:c r="D220" s="3" t="n">
        <x:v>8</x:v>
      </x:c>
      <x:c r="E220" s="3" t="n">
        <x:v>4</x:v>
      </x:c>
      <x:c r="F220" s="3" t="str">
        <x:v>03:00</x:v>
      </x:c>
      <x:c r="G220" s="3" t="str">
        <x:v>04:00</x:v>
      </x:c>
      <x:c r="H220" s="9" t="n">
        <x:v>0.5</x:v>
      </x:c>
      <x:c r="I220" s="9" t="n">
        <x:f>'Physical_Arcs'!K40*H220</x:f>
        <x:v>300.5</x:v>
      </x:c>
      <x:c r="J220" s="9" t="n">
        <x:f>'Physical_Arcs'!L40*H220</x:f>
        <x:v>3002.5</x:v>
      </x:c>
      <x:c r="K220" s="9" t="n">
        <x:f>'Physical_Arcs'!M40*H220</x:f>
        <x:v>1501.5</x:v>
      </x:c>
      <x:c r="L220" s="9" t="n">
        <x:f>'Physical_Arcs'!U40</x:f>
        <x:v>2</x:v>
      </x:c>
      <x:c r="M220" s="9" t="n">
        <x:f>L220*'Parameters'!$C$6</x:f>
        <x:v>2</x:v>
      </x:c>
      <x:c r="N220" s="3" t="n">
        <x:v>1</x:v>
      </x:c>
    </x:row>
    <x:row r="221" ht="21" customHeight="1">
      <x:c r="A221" s="3" t="n">
        <x:v>220</x:v>
      </x:c>
      <x:c r="B221" s="3" t="n">
        <x:v>40</x:v>
      </x:c>
      <x:c r="C221" s="3" t="n">
        <x:v>7</x:v>
      </x:c>
      <x:c r="D221" s="3" t="n">
        <x:v>1</x:v>
      </x:c>
      <x:c r="E221" s="3" t="n">
        <x:v>4</x:v>
      </x:c>
      <x:c r="F221" s="3" t="str">
        <x:v>03:00</x:v>
      </x:c>
      <x:c r="G221" s="3" t="str">
        <x:v>04:00</x:v>
      </x:c>
      <x:c r="H221" s="9" t="n">
        <x:v>0.5</x:v>
      </x:c>
      <x:c r="I221" s="9" t="n">
        <x:f>'Physical_Arcs'!K41*H221</x:f>
        <x:v>144.5</x:v>
      </x:c>
      <x:c r="J221" s="9" t="n">
        <x:f>'Physical_Arcs'!L41*H221</x:f>
        <x:v>1441.5</x:v>
      </x:c>
      <x:c r="K221" s="9" t="n">
        <x:f>'Physical_Arcs'!M41*H221</x:f>
        <x:v>721</x:v>
      </x:c>
      <x:c r="L221" s="9" t="n">
        <x:f>'Physical_Arcs'!U41</x:f>
        <x:v>1.932584</x:v>
      </x:c>
      <x:c r="M221" s="9" t="n">
        <x:f>L221*'Parameters'!$C$6</x:f>
        <x:v>1.932584</x:v>
      </x:c>
      <x:c r="N221" s="3" t="n">
        <x:v>1</x:v>
      </x:c>
    </x:row>
    <x:row r="222" ht="21" customHeight="1">
      <x:c r="A222" s="3" t="n">
        <x:v>221</x:v>
      </x:c>
      <x:c r="B222" s="3" t="n">
        <x:v>41</x:v>
      </x:c>
      <x:c r="C222" s="3" t="n">
        <x:v>7</x:v>
      </x:c>
      <x:c r="D222" s="3" t="n">
        <x:v>9</x:v>
      </x:c>
      <x:c r="E222" s="3" t="n">
        <x:v>4</x:v>
      </x:c>
      <x:c r="F222" s="3" t="str">
        <x:v>03:00</x:v>
      </x:c>
      <x:c r="G222" s="3" t="str">
        <x:v>04:00</x:v>
      </x:c>
      <x:c r="H222" s="9" t="n">
        <x:v>0.5</x:v>
      </x:c>
      <x:c r="I222" s="9" t="n">
        <x:f>'Physical_Arcs'!K42*H222</x:f>
        <x:v>288.5</x:v>
      </x:c>
      <x:c r="J222" s="9" t="n">
        <x:f>'Physical_Arcs'!L42*H222</x:f>
        <x:v>2882.5</x:v>
      </x:c>
      <x:c r="K222" s="9" t="n">
        <x:f>'Physical_Arcs'!M42*H222</x:f>
        <x:v>1441.5</x:v>
      </x:c>
      <x:c r="L222" s="9" t="n">
        <x:f>'Physical_Arcs'!U42</x:f>
        <x:v>0.685393</x:v>
      </x:c>
      <x:c r="M222" s="9" t="n">
        <x:f>L222*'Parameters'!$C$6</x:f>
        <x:v>0.685393</x:v>
      </x:c>
      <x:c r="N222" s="3" t="n">
        <x:v>1</x:v>
      </x:c>
    </x:row>
    <x:row r="223" ht="21" customHeight="1">
      <x:c r="A223" s="3" t="n">
        <x:v>222</x:v>
      </x:c>
      <x:c r="B223" s="3" t="n">
        <x:v>42</x:v>
      </x:c>
      <x:c r="C223" s="3" t="n">
        <x:v>7</x:v>
      </x:c>
      <x:c r="D223" s="3" t="n">
        <x:v>2</x:v>
      </x:c>
      <x:c r="E223" s="3" t="n">
        <x:v>4</x:v>
      </x:c>
      <x:c r="F223" s="3" t="str">
        <x:v>03:00</x:v>
      </x:c>
      <x:c r="G223" s="3" t="str">
        <x:v>04:00</x:v>
      </x:c>
      <x:c r="H223" s="9" t="n">
        <x:v>0.5</x:v>
      </x:c>
      <x:c r="I223" s="9" t="n">
        <x:f>'Physical_Arcs'!K43*H223</x:f>
        <x:v>45.5</x:v>
      </x:c>
      <x:c r="J223" s="9" t="n">
        <x:f>'Physical_Arcs'!L43*H223</x:f>
        <x:v>450.5</x:v>
      </x:c>
      <x:c r="K223" s="9" t="n">
        <x:f>'Physical_Arcs'!M43*H223</x:f>
        <x:v>225.5</x:v>
      </x:c>
      <x:c r="L223" s="9" t="n">
        <x:f>'Physical_Arcs'!U43</x:f>
        <x:v>1.308989</x:v>
      </x:c>
      <x:c r="M223" s="9" t="n">
        <x:f>L223*'Parameters'!$C$6</x:f>
        <x:v>1.308989</x:v>
      </x:c>
      <x:c r="N223" s="3" t="n">
        <x:v>1</x:v>
      </x:c>
    </x:row>
    <x:row r="224" ht="21" customHeight="1">
      <x:c r="A224" s="3" t="n">
        <x:v>223</x:v>
      </x:c>
      <x:c r="B224" s="3" t="n">
        <x:v>43</x:v>
      </x:c>
      <x:c r="C224" s="3" t="n">
        <x:v>7</x:v>
      </x:c>
      <x:c r="D224" s="3" t="n">
        <x:v>3</x:v>
      </x:c>
      <x:c r="E224" s="3" t="n">
        <x:v>4</x:v>
      </x:c>
      <x:c r="F224" s="3" t="str">
        <x:v>03:00</x:v>
      </x:c>
      <x:c r="G224" s="3" t="str">
        <x:v>04:00</x:v>
      </x:c>
      <x:c r="H224" s="9" t="n">
        <x:v>0.5</x:v>
      </x:c>
      <x:c r="I224" s="9" t="n">
        <x:f>'Physical_Arcs'!K44*H224</x:f>
        <x:v>180.5</x:v>
      </x:c>
      <x:c r="J224" s="9" t="n">
        <x:f>'Physical_Arcs'!L44*H224</x:f>
        <x:v>1801.5</x:v>
      </x:c>
      <x:c r="K224" s="9" t="n">
        <x:f>'Physical_Arcs'!M44*H224</x:f>
        <x:v>901</x:v>
      </x:c>
      <x:c r="L224" s="9" t="n">
        <x:f>'Physical_Arcs'!U44</x:f>
        <x:v>0.955056</x:v>
      </x:c>
      <x:c r="M224" s="9" t="n">
        <x:f>L224*'Parameters'!$C$6</x:f>
        <x:v>0.955056</x:v>
      </x:c>
      <x:c r="N224" s="3" t="n">
        <x:v>1</x:v>
      </x:c>
    </x:row>
    <x:row r="225" ht="21" customHeight="1">
      <x:c r="A225" s="3" t="n">
        <x:v>224</x:v>
      </x:c>
      <x:c r="B225" s="3" t="n">
        <x:v>44</x:v>
      </x:c>
      <x:c r="C225" s="3" t="n">
        <x:v>8</x:v>
      </x:c>
      <x:c r="D225" s="3" t="n">
        <x:v>9</x:v>
      </x:c>
      <x:c r="E225" s="3" t="n">
        <x:v>4</x:v>
      </x:c>
      <x:c r="F225" s="3" t="str">
        <x:v>03:00</x:v>
      </x:c>
      <x:c r="G225" s="3" t="str">
        <x:v>04:00</x:v>
      </x:c>
      <x:c r="H225" s="9" t="n">
        <x:v>0.5</x:v>
      </x:c>
      <x:c r="I225" s="9" t="n">
        <x:f>'Physical_Arcs'!K45*H225</x:f>
        <x:v>300.5</x:v>
      </x:c>
      <x:c r="J225" s="9" t="n">
        <x:f>'Physical_Arcs'!L45*H225</x:f>
        <x:v>3002.5</x:v>
      </x:c>
      <x:c r="K225" s="9" t="n">
        <x:f>'Physical_Arcs'!M45*H225</x:f>
        <x:v>1501.5</x:v>
      </x:c>
      <x:c r="L225" s="9" t="n">
        <x:f>'Physical_Arcs'!U45</x:f>
        <x:v>2</x:v>
      </x:c>
      <x:c r="M225" s="9" t="n">
        <x:f>L225*'Parameters'!$C$6</x:f>
        <x:v>2</x:v>
      </x:c>
      <x:c r="N225" s="3" t="n">
        <x:v>1</x:v>
      </x:c>
    </x:row>
    <x:row r="226" ht="21" customHeight="1">
      <x:c r="A226" s="3" t="n">
        <x:v>225</x:v>
      </x:c>
      <x:c r="B226" s="3" t="n">
        <x:v>45</x:v>
      </x:c>
      <x:c r="C226" s="3" t="n">
        <x:v>8</x:v>
      </x:c>
      <x:c r="D226" s="3" t="n">
        <x:v>3</x:v>
      </x:c>
      <x:c r="E226" s="3" t="n">
        <x:v>4</x:v>
      </x:c>
      <x:c r="F226" s="3" t="str">
        <x:v>03:00</x:v>
      </x:c>
      <x:c r="G226" s="3" t="str">
        <x:v>04:00</x:v>
      </x:c>
      <x:c r="H226" s="9" t="n">
        <x:v>0.5</x:v>
      </x:c>
      <x:c r="I226" s="9" t="n">
        <x:f>'Physical_Arcs'!K46*H226</x:f>
        <x:v>171.5</x:v>
      </x:c>
      <x:c r="J226" s="9" t="n">
        <x:f>'Physical_Arcs'!L46*H226</x:f>
        <x:v>1711.5</x:v>
      </x:c>
      <x:c r="K226" s="9" t="n">
        <x:f>'Physical_Arcs'!M46*H226</x:f>
        <x:v>856</x:v>
      </x:c>
      <x:c r="L226" s="9" t="n">
        <x:f>'Physical_Arcs'!U46</x:f>
        <x:v>1.005618</x:v>
      </x:c>
      <x:c r="M226" s="9" t="n">
        <x:f>L226*'Parameters'!$C$6</x:f>
        <x:v>1.005618</x:v>
      </x:c>
      <x:c r="N226" s="3" t="n">
        <x:v>1</x:v>
      </x:c>
    </x:row>
    <x:row r="227" ht="21" customHeight="1">
      <x:c r="A227" s="3" t="n">
        <x:v>226</x:v>
      </x:c>
      <x:c r="B227" s="3" t="n">
        <x:v>46</x:v>
      </x:c>
      <x:c r="C227" s="3" t="n">
        <x:v>8</x:v>
      </x:c>
      <x:c r="D227" s="3" t="n">
        <x:v>7</x:v>
      </x:c>
      <x:c r="E227" s="3" t="n">
        <x:v>4</x:v>
      </x:c>
      <x:c r="F227" s="3" t="str">
        <x:v>03:00</x:v>
      </x:c>
      <x:c r="G227" s="3" t="str">
        <x:v>04:00</x:v>
      </x:c>
      <x:c r="H227" s="9" t="n">
        <x:v>0.5</x:v>
      </x:c>
      <x:c r="I227" s="9" t="n">
        <x:f>'Physical_Arcs'!K47*H227</x:f>
        <x:v>180.5</x:v>
      </x:c>
      <x:c r="J227" s="9" t="n">
        <x:f>'Physical_Arcs'!L47*H227</x:f>
        <x:v>1801.5</x:v>
      </x:c>
      <x:c r="K227" s="9" t="n">
        <x:f>'Physical_Arcs'!M47*H227</x:f>
        <x:v>901</x:v>
      </x:c>
      <x:c r="L227" s="9" t="n">
        <x:f>'Physical_Arcs'!U47</x:f>
        <x:v>1.629213</x:v>
      </x:c>
      <x:c r="M227" s="9" t="n">
        <x:f>L227*'Parameters'!$C$6</x:f>
        <x:v>1.629213</x:v>
      </x:c>
      <x:c r="N227" s="3" t="n">
        <x:v>1</x:v>
      </x:c>
    </x:row>
    <x:row r="228" ht="21" customHeight="1">
      <x:c r="A228" s="3" t="n">
        <x:v>227</x:v>
      </x:c>
      <x:c r="B228" s="3" t="n">
        <x:v>47</x:v>
      </x:c>
      <x:c r="C228" s="3" t="n">
        <x:v>8</x:v>
      </x:c>
      <x:c r="D228" s="3" t="n">
        <x:v>2</x:v>
      </x:c>
      <x:c r="E228" s="3" t="n">
        <x:v>4</x:v>
      </x:c>
      <x:c r="F228" s="3" t="str">
        <x:v>03:00</x:v>
      </x:c>
      <x:c r="G228" s="3" t="str">
        <x:v>04:00</x:v>
      </x:c>
      <x:c r="H228" s="9" t="n">
        <x:v>0.5</x:v>
      </x:c>
      <x:c r="I228" s="9" t="n">
        <x:f>'Physical_Arcs'!K48*H228</x:f>
        <x:v>129.5</x:v>
      </x:c>
      <x:c r="J228" s="9" t="n">
        <x:f>'Physical_Arcs'!L48*H228</x:f>
        <x:v>1291</x:v>
      </x:c>
      <x:c r="K228" s="9" t="n">
        <x:f>'Physical_Arcs'!M48*H228</x:f>
        <x:v>645.5</x:v>
      </x:c>
      <x:c r="L228" s="9" t="n">
        <x:f>'Physical_Arcs'!U48</x:f>
        <x:v>0.820225</x:v>
      </x:c>
      <x:c r="M228" s="9" t="n">
        <x:f>L228*'Parameters'!$C$6</x:f>
        <x:v>0.820225</x:v>
      </x:c>
      <x:c r="N228" s="3" t="n">
        <x:v>1</x:v>
      </x:c>
    </x:row>
    <x:row r="229" ht="21" customHeight="1">
      <x:c r="A229" s="3" t="n">
        <x:v>228</x:v>
      </x:c>
      <x:c r="B229" s="3" t="n">
        <x:v>48</x:v>
      </x:c>
      <x:c r="C229" s="3" t="n">
        <x:v>8</x:v>
      </x:c>
      <x:c r="D229" s="3" t="n">
        <x:v>6</x:v>
      </x:c>
      <x:c r="E229" s="3" t="n">
        <x:v>4</x:v>
      </x:c>
      <x:c r="F229" s="3" t="str">
        <x:v>03:00</x:v>
      </x:c>
      <x:c r="G229" s="3" t="str">
        <x:v>04:00</x:v>
      </x:c>
      <x:c r="H229" s="9" t="n">
        <x:v>0.5</x:v>
      </x:c>
      <x:c r="I229" s="9" t="n">
        <x:f>'Physical_Arcs'!K49*H229</x:f>
        <x:v>171.5</x:v>
      </x:c>
      <x:c r="J229" s="9" t="n">
        <x:f>'Physical_Arcs'!L49*H229</x:f>
        <x:v>1711.5</x:v>
      </x:c>
      <x:c r="K229" s="9" t="n">
        <x:f>'Physical_Arcs'!M49*H229</x:f>
        <x:v>856</x:v>
      </x:c>
      <x:c r="L229" s="9" t="n">
        <x:f>'Physical_Arcs'!U49</x:f>
        <x:v>1.022472</x:v>
      </x:c>
      <x:c r="M229" s="9" t="n">
        <x:f>L229*'Parameters'!$C$6</x:f>
        <x:v>1.022472</x:v>
      </x:c>
      <x:c r="N229" s="3" t="n">
        <x:v>1</x:v>
      </x:c>
    </x:row>
    <x:row r="230" ht="21" customHeight="1">
      <x:c r="A230" s="3" t="n">
        <x:v>229</x:v>
      </x:c>
      <x:c r="B230" s="3" t="n">
        <x:v>49</x:v>
      </x:c>
      <x:c r="C230" s="3" t="n">
        <x:v>8</x:v>
      </x:c>
      <x:c r="D230" s="3" t="n">
        <x:v>4</x:v>
      </x:c>
      <x:c r="E230" s="3" t="n">
        <x:v>4</x:v>
      </x:c>
      <x:c r="F230" s="3" t="str">
        <x:v>03:00</x:v>
      </x:c>
      <x:c r="G230" s="3" t="str">
        <x:v>04:00</x:v>
      </x:c>
      <x:c r="H230" s="9" t="n">
        <x:v>0.5</x:v>
      </x:c>
      <x:c r="I230" s="9" t="n">
        <x:f>'Physical_Arcs'!K50*H230</x:f>
        <x:v>114.5</x:v>
      </x:c>
      <x:c r="J230" s="9" t="n">
        <x:f>'Physical_Arcs'!L50*H230</x:f>
        <x:v>1141</x:v>
      </x:c>
      <x:c r="K230" s="9" t="n">
        <x:f>'Physical_Arcs'!M50*H230</x:f>
        <x:v>570.5</x:v>
      </x:c>
      <x:c r="L230" s="9" t="n">
        <x:f>'Physical_Arcs'!U50</x:f>
        <x:v>1.376404</x:v>
      </x:c>
      <x:c r="M230" s="9" t="n">
        <x:f>L230*'Parameters'!$C$6</x:f>
        <x:v>1.376404</x:v>
      </x:c>
      <x:c r="N230" s="3" t="n">
        <x:v>1</x:v>
      </x:c>
    </x:row>
    <x:row r="231" ht="21" customHeight="1">
      <x:c r="A231" s="3" t="n">
        <x:v>230</x:v>
      </x:c>
      <x:c r="B231" s="3" t="n">
        <x:v>50</x:v>
      </x:c>
      <x:c r="C231" s="3" t="n">
        <x:v>8</x:v>
      </x:c>
      <x:c r="D231" s="3" t="n">
        <x:v>5</x:v>
      </x:c>
      <x:c r="E231" s="3" t="n">
        <x:v>4</x:v>
      </x:c>
      <x:c r="F231" s="3" t="str">
        <x:v>03:00</x:v>
      </x:c>
      <x:c r="G231" s="3" t="str">
        <x:v>04:00</x:v>
      </x:c>
      <x:c r="H231" s="9" t="n">
        <x:v>0.5</x:v>
      </x:c>
      <x:c r="I231" s="9" t="n">
        <x:f>'Physical_Arcs'!K51*H231</x:f>
        <x:v>144.5</x:v>
      </x:c>
      <x:c r="J231" s="9" t="n">
        <x:f>'Physical_Arcs'!L51*H231</x:f>
        <x:v>1441.5</x:v>
      </x:c>
      <x:c r="K231" s="9" t="n">
        <x:f>'Physical_Arcs'!M51*H231</x:f>
        <x:v>721</x:v>
      </x:c>
      <x:c r="L231" s="9" t="n">
        <x:f>'Physical_Arcs'!U51</x:f>
        <x:v>1.224719</x:v>
      </x:c>
      <x:c r="M231" s="9" t="n">
        <x:f>L231*'Parameters'!$C$6</x:f>
        <x:v>1.224719</x:v>
      </x:c>
      <x:c r="N231" s="3" t="n">
        <x:v>1</x:v>
      </x:c>
    </x:row>
    <x:row r="232" ht="21" customHeight="1">
      <x:c r="A232" s="3" t="n">
        <x:v>231</x:v>
      </x:c>
      <x:c r="B232" s="3" t="n">
        <x:v>51</x:v>
      </x:c>
      <x:c r="C232" s="3" t="n">
        <x:v>8</x:v>
      </x:c>
      <x:c r="D232" s="3" t="n">
        <x:v>1</x:v>
      </x:c>
      <x:c r="E232" s="3" t="n">
        <x:v>4</x:v>
      </x:c>
      <x:c r="F232" s="3" t="str">
        <x:v>03:00</x:v>
      </x:c>
      <x:c r="G232" s="3" t="str">
        <x:v>04:00</x:v>
      </x:c>
      <x:c r="H232" s="9" t="n">
        <x:v>0.5</x:v>
      </x:c>
      <x:c r="I232" s="9" t="n">
        <x:f>'Physical_Arcs'!K52*H232</x:f>
        <x:v>123.5</x:v>
      </x:c>
      <x:c r="J232" s="9" t="n">
        <x:f>'Physical_Arcs'!L52*H232</x:f>
        <x:v>1231</x:v>
      </x:c>
      <x:c r="K232" s="9" t="n">
        <x:f>'Physical_Arcs'!M52*H232</x:f>
        <x:v>615.5</x:v>
      </x:c>
      <x:c r="L232" s="9" t="n">
        <x:f>'Physical_Arcs'!U52</x:f>
        <x:v>1.949438</x:v>
      </x:c>
      <x:c r="M232" s="9" t="n">
        <x:f>L232*'Parameters'!$C$6</x:f>
        <x:v>1.949438</x:v>
      </x:c>
      <x:c r="N232" s="3" t="n">
        <x:v>1</x:v>
      </x:c>
    </x:row>
    <x:row r="233" ht="21" customHeight="1">
      <x:c r="A233" s="3" t="n">
        <x:v>232</x:v>
      </x:c>
      <x:c r="B233" s="3" t="n">
        <x:v>52</x:v>
      </x:c>
      <x:c r="C233" s="3" t="n">
        <x:v>9</x:v>
      </x:c>
      <x:c r="D233" s="3" t="n">
        <x:v>10</x:v>
      </x:c>
      <x:c r="E233" s="3" t="n">
        <x:v>4</x:v>
      </x:c>
      <x:c r="F233" s="3" t="str">
        <x:v>03:00</x:v>
      </x:c>
      <x:c r="G233" s="3" t="str">
        <x:v>04:00</x:v>
      </x:c>
      <x:c r="H233" s="9" t="n">
        <x:v>0.5</x:v>
      </x:c>
      <x:c r="I233" s="9" t="n">
        <x:f>'Physical_Arcs'!K53*H233</x:f>
        <x:v>300.5</x:v>
      </x:c>
      <x:c r="J233" s="9" t="n">
        <x:f>'Physical_Arcs'!L53*H233</x:f>
        <x:v>3002.5</x:v>
      </x:c>
      <x:c r="K233" s="9" t="n">
        <x:f>'Physical_Arcs'!M53*H233</x:f>
        <x:v>1501.5</x:v>
      </x:c>
      <x:c r="L233" s="9" t="n">
        <x:f>'Physical_Arcs'!U53</x:f>
        <x:v>2</x:v>
      </x:c>
      <x:c r="M233" s="9" t="n">
        <x:f>L233*'Parameters'!$C$6</x:f>
        <x:v>2</x:v>
      </x:c>
      <x:c r="N233" s="3" t="n">
        <x:v>1</x:v>
      </x:c>
    </x:row>
    <x:row r="234" ht="21" customHeight="1">
      <x:c r="A234" s="3" t="n">
        <x:v>233</x:v>
      </x:c>
      <x:c r="B234" s="3" t="n">
        <x:v>53</x:v>
      </x:c>
      <x:c r="C234" s="3" t="n">
        <x:v>9</x:v>
      </x:c>
      <x:c r="D234" s="3" t="n">
        <x:v>6</x:v>
      </x:c>
      <x:c r="E234" s="3" t="n">
        <x:v>4</x:v>
      </x:c>
      <x:c r="F234" s="3" t="str">
        <x:v>03:00</x:v>
      </x:c>
      <x:c r="G234" s="3" t="str">
        <x:v>04:00</x:v>
      </x:c>
      <x:c r="H234" s="9" t="n">
        <x:v>0.5</x:v>
      </x:c>
      <x:c r="I234" s="9" t="n">
        <x:f>'Physical_Arcs'!K54*H234</x:f>
        <x:v>150.5</x:v>
      </x:c>
      <x:c r="J234" s="9" t="n">
        <x:f>'Physical_Arcs'!L54*H234</x:f>
        <x:v>1501.5</x:v>
      </x:c>
      <x:c r="K234" s="9" t="n">
        <x:f>'Physical_Arcs'!M54*H234</x:f>
        <x:v>751</x:v>
      </x:c>
      <x:c r="L234" s="9" t="n">
        <x:f>'Physical_Arcs'!U54</x:f>
        <x:v>1.157303</x:v>
      </x:c>
      <x:c r="M234" s="9" t="n">
        <x:f>L234*'Parameters'!$C$6</x:f>
        <x:v>1.157303</x:v>
      </x:c>
      <x:c r="N234" s="3" t="n">
        <x:v>1</x:v>
      </x:c>
    </x:row>
    <x:row r="235" ht="21" customHeight="1">
      <x:c r="A235" s="3" t="n">
        <x:v>234</x:v>
      </x:c>
      <x:c r="B235" s="3" t="n">
        <x:v>54</x:v>
      </x:c>
      <x:c r="C235" s="3" t="n">
        <x:v>9</x:v>
      </x:c>
      <x:c r="D235" s="3" t="n">
        <x:v>2</x:v>
      </x:c>
      <x:c r="E235" s="3" t="n">
        <x:v>4</x:v>
      </x:c>
      <x:c r="F235" s="3" t="str">
        <x:v>03:00</x:v>
      </x:c>
      <x:c r="G235" s="3" t="str">
        <x:v>04:00</x:v>
      </x:c>
      <x:c r="H235" s="9" t="n">
        <x:v>0.5</x:v>
      </x:c>
      <x:c r="I235" s="9" t="n">
        <x:f>'Physical_Arcs'!K55*H235</x:f>
        <x:v>246.5</x:v>
      </x:c>
      <x:c r="J235" s="9" t="n">
        <x:f>'Physical_Arcs'!L55*H235</x:f>
        <x:v>2462</x:v>
      </x:c>
      <x:c r="K235" s="9" t="n">
        <x:f>'Physical_Arcs'!M55*H235</x:f>
        <x:v>1231</x:v>
      </x:c>
      <x:c r="L235" s="9" t="n">
        <x:f>'Physical_Arcs'!U55</x:f>
        <x:v>0.904494</x:v>
      </x:c>
      <x:c r="M235" s="9" t="n">
        <x:f>L235*'Parameters'!$C$6</x:f>
        <x:v>0.904494</x:v>
      </x:c>
      <x:c r="N235" s="3" t="n">
        <x:v>1</x:v>
      </x:c>
    </x:row>
    <x:row r="236" ht="21" customHeight="1">
      <x:c r="A236" s="3" t="n">
        <x:v>235</x:v>
      </x:c>
      <x:c r="B236" s="3" t="n">
        <x:v>55</x:v>
      </x:c>
      <x:c r="C236" s="3" t="n">
        <x:v>9</x:v>
      </x:c>
      <x:c r="D236" s="3" t="n">
        <x:v>7</x:v>
      </x:c>
      <x:c r="E236" s="3" t="n">
        <x:v>4</x:v>
      </x:c>
      <x:c r="F236" s="3" t="str">
        <x:v>03:00</x:v>
      </x:c>
      <x:c r="G236" s="3" t="str">
        <x:v>04:00</x:v>
      </x:c>
      <x:c r="H236" s="9" t="n">
        <x:v>0.5</x:v>
      </x:c>
      <x:c r="I236" s="9" t="n">
        <x:f>'Physical_Arcs'!K56*H236</x:f>
        <x:v>108.5</x:v>
      </x:c>
      <x:c r="J236" s="9" t="n">
        <x:f>'Physical_Arcs'!L56*H236</x:f>
        <x:v>1081</x:v>
      </x:c>
      <x:c r="K236" s="9" t="n">
        <x:f>'Physical_Arcs'!M56*H236</x:f>
        <x:v>540.5</x:v>
      </x:c>
      <x:c r="L236" s="9" t="n">
        <x:f>'Physical_Arcs'!U56</x:f>
        <x:v>0.88764</x:v>
      </x:c>
      <x:c r="M236" s="9" t="n">
        <x:f>L236*'Parameters'!$C$6</x:f>
        <x:v>0.88764</x:v>
      </x:c>
      <x:c r="N236" s="3" t="n">
        <x:v>1</x:v>
      </x:c>
    </x:row>
    <x:row r="237" ht="21" customHeight="1">
      <x:c r="A237" s="3" t="n">
        <x:v>236</x:v>
      </x:c>
      <x:c r="B237" s="3" t="n">
        <x:v>56</x:v>
      </x:c>
      <x:c r="C237" s="3" t="n">
        <x:v>9</x:v>
      </x:c>
      <x:c r="D237" s="3" t="n">
        <x:v>3</x:v>
      </x:c>
      <x:c r="E237" s="3" t="n">
        <x:v>4</x:v>
      </x:c>
      <x:c r="F237" s="3" t="str">
        <x:v>03:00</x:v>
      </x:c>
      <x:c r="G237" s="3" t="str">
        <x:v>04:00</x:v>
      </x:c>
      <x:c r="H237" s="9" t="n">
        <x:v>0.5</x:v>
      </x:c>
      <x:c r="I237" s="9" t="n">
        <x:f>'Physical_Arcs'!K57*H237</x:f>
        <x:v>204.5</x:v>
      </x:c>
      <x:c r="J237" s="9" t="n">
        <x:f>'Physical_Arcs'!L57*H237</x:f>
        <x:v>2042</x:v>
      </x:c>
      <x:c r="K237" s="9" t="n">
        <x:f>'Physical_Arcs'!M57*H237</x:f>
        <x:v>1021</x:v>
      </x:c>
      <x:c r="L237" s="9" t="n">
        <x:f>'Physical_Arcs'!U57</x:f>
        <x:v>1.106742</x:v>
      </x:c>
      <x:c r="M237" s="9" t="n">
        <x:f>L237*'Parameters'!$C$6</x:f>
        <x:v>1.106742</x:v>
      </x:c>
      <x:c r="N237" s="3" t="n">
        <x:v>1</x:v>
      </x:c>
    </x:row>
    <x:row r="238" ht="21" customHeight="1">
      <x:c r="A238" s="3" t="n">
        <x:v>237</x:v>
      </x:c>
      <x:c r="B238" s="3" t="n">
        <x:v>57</x:v>
      </x:c>
      <x:c r="C238" s="3" t="n">
        <x:v>10</x:v>
      </x:c>
      <x:c r="D238" s="3" t="n">
        <x:v>1</x:v>
      </x:c>
      <x:c r="E238" s="3" t="n">
        <x:v>4</x:v>
      </x:c>
      <x:c r="F238" s="3" t="str">
        <x:v>03:00</x:v>
      </x:c>
      <x:c r="G238" s="3" t="str">
        <x:v>04:00</x:v>
      </x:c>
      <x:c r="H238" s="9" t="n">
        <x:v>0.5</x:v>
      </x:c>
      <x:c r="I238" s="9" t="n">
        <x:f>'Physical_Arcs'!K58*H238</x:f>
        <x:v>300.5</x:v>
      </x:c>
      <x:c r="J238" s="9" t="n">
        <x:f>'Physical_Arcs'!L58*H238</x:f>
        <x:v>3002.5</x:v>
      </x:c>
      <x:c r="K238" s="9" t="n">
        <x:f>'Physical_Arcs'!M58*H238</x:f>
        <x:v>1501.5</x:v>
      </x:c>
      <x:c r="L238" s="9" t="n">
        <x:f>'Physical_Arcs'!U58</x:f>
        <x:v>2</x:v>
      </x:c>
      <x:c r="M238" s="9" t="n">
        <x:f>L238*'Parameters'!$C$6</x:f>
        <x:v>2</x:v>
      </x:c>
      <x:c r="N238" s="3" t="n">
        <x:v>1</x:v>
      </x:c>
    </x:row>
    <x:row r="239" ht="21" customHeight="1">
      <x:c r="A239" s="3" t="n">
        <x:v>238</x:v>
      </x:c>
      <x:c r="B239" s="3" t="n">
        <x:v>58</x:v>
      </x:c>
      <x:c r="C239" s="3" t="n">
        <x:v>10</x:v>
      </x:c>
      <x:c r="D239" s="3" t="n">
        <x:v>6</x:v>
      </x:c>
      <x:c r="E239" s="3" t="n">
        <x:v>4</x:v>
      </x:c>
      <x:c r="F239" s="3" t="str">
        <x:v>03:00</x:v>
      </x:c>
      <x:c r="G239" s="3" t="str">
        <x:v>04:00</x:v>
      </x:c>
      <x:c r="H239" s="9" t="n">
        <x:v>0.5</x:v>
      </x:c>
      <x:c r="I239" s="9" t="n">
        <x:f>'Physical_Arcs'!K59*H239</x:f>
        <x:v>189.5</x:v>
      </x:c>
      <x:c r="J239" s="9" t="n">
        <x:f>'Physical_Arcs'!L59*H239</x:f>
        <x:v>1891.5</x:v>
      </x:c>
      <x:c r="K239" s="9" t="n">
        <x:f>'Physical_Arcs'!M59*H239</x:f>
        <x:v>946</x:v>
      </x:c>
      <x:c r="L239" s="9" t="n">
        <x:f>'Physical_Arcs'!U59</x:f>
        <x:v>1.123596</x:v>
      </x:c>
      <x:c r="M239" s="9" t="n">
        <x:f>L239*'Parameters'!$C$6</x:f>
        <x:v>1.123596</x:v>
      </x:c>
      <x:c r="N239" s="3" t="n">
        <x:v>1</x:v>
      </x:c>
    </x:row>
    <x:row r="240" ht="21" customHeight="1">
      <x:c r="A240" s="3" t="n">
        <x:v>239</x:v>
      </x:c>
      <x:c r="B240" s="3" t="n">
        <x:v>59</x:v>
      </x:c>
      <x:c r="C240" s="3" t="n">
        <x:v>10</x:v>
      </x:c>
      <x:c r="D240" s="3" t="n">
        <x:v>4</x:v>
      </x:c>
      <x:c r="E240" s="3" t="n">
        <x:v>4</x:v>
      </x:c>
      <x:c r="F240" s="3" t="str">
        <x:v>03:00</x:v>
      </x:c>
      <x:c r="G240" s="3" t="str">
        <x:v>04:00</x:v>
      </x:c>
      <x:c r="H240" s="9" t="n">
        <x:v>0.5</x:v>
      </x:c>
      <x:c r="I240" s="9" t="n">
        <x:f>'Physical_Arcs'!K60*H240</x:f>
        <x:v>270.5</x:v>
      </x:c>
      <x:c r="J240" s="9" t="n">
        <x:f>'Physical_Arcs'!L60*H240</x:f>
        <x:v>2702.5</x:v>
      </x:c>
      <x:c r="K240" s="9" t="n">
        <x:f>'Physical_Arcs'!M60*H240</x:f>
        <x:v>1351.5</x:v>
      </x:c>
      <x:c r="L240" s="9" t="n">
        <x:f>'Physical_Arcs'!U60</x:f>
        <x:v>1.949438</x:v>
      </x:c>
      <x:c r="M240" s="9" t="n">
        <x:f>L240*'Parameters'!$C$6</x:f>
        <x:v>1.949438</x:v>
      </x:c>
      <x:c r="N240" s="3" t="n">
        <x:v>1</x:v>
      </x:c>
    </x:row>
    <x:row r="241" ht="21" customHeight="1">
      <x:c r="A241" s="3" t="n">
        <x:v>240</x:v>
      </x:c>
      <x:c r="B241" s="3" t="n">
        <x:v>60</x:v>
      </x:c>
      <x:c r="C241" s="3" t="n">
        <x:v>10</x:v>
      </x:c>
      <x:c r="D241" s="3" t="n">
        <x:v>9</x:v>
      </x:c>
      <x:c r="E241" s="3" t="n">
        <x:v>4</x:v>
      </x:c>
      <x:c r="F241" s="3" t="str">
        <x:v>03:00</x:v>
      </x:c>
      <x:c r="G241" s="3" t="str">
        <x:v>04:00</x:v>
      </x:c>
      <x:c r="H241" s="9" t="n">
        <x:v>0.5</x:v>
      </x:c>
      <x:c r="I241" s="9" t="n">
        <x:f>'Physical_Arcs'!K61*H241</x:f>
        <x:v>99.5</x:v>
      </x:c>
      <x:c r="J241" s="9" t="n">
        <x:f>'Physical_Arcs'!L61*H241</x:f>
        <x:v>991</x:v>
      </x:c>
      <x:c r="K241" s="9" t="n">
        <x:f>'Physical_Arcs'!M61*H241</x:f>
        <x:v>495.5</x:v>
      </x:c>
      <x:c r="L241" s="9" t="n">
        <x:f>'Physical_Arcs'!U61</x:f>
        <x:v>1.494382</x:v>
      </x:c>
      <x:c r="M241" s="9" t="n">
        <x:f>L241*'Parameters'!$C$6</x:f>
        <x:v>1.494382</x:v>
      </x:c>
      <x:c r="N241" s="3" t="n">
        <x:v>1</x:v>
      </x:c>
    </x:row>
    <x:row r="242" ht="21" customHeight="1">
      <x:c r="A242" s="3" t="n">
        <x:v>241</x:v>
      </x:c>
      <x:c r="B242" s="3" t="n">
        <x:v>1</x:v>
      </x:c>
      <x:c r="C242" s="3" t="n">
        <x:v>1</x:v>
      </x:c>
      <x:c r="D242" s="3" t="n">
        <x:v>2</x:v>
      </x:c>
      <x:c r="E242" s="3" t="n">
        <x:v>5</x:v>
      </x:c>
      <x:c r="F242" s="3" t="str">
        <x:v>04:00</x:v>
      </x:c>
      <x:c r="G242" s="3" t="str">
        <x:v>05:00</x:v>
      </x:c>
      <x:c r="H242" s="9" t="n">
        <x:v>0.475</x:v>
      </x:c>
      <x:c r="I242" s="9" t="n">
        <x:f>'Physical_Arcs'!K2*H242</x:f>
        <x:v>285.47499999999997</x:v>
      </x:c>
      <x:c r="J242" s="9" t="n">
        <x:f>'Physical_Arcs'!L2*H242</x:f>
        <x:v>2852.375</x:v>
      </x:c>
      <x:c r="K242" s="9" t="n">
        <x:f>'Physical_Arcs'!M2*H242</x:f>
        <x:v>1426.425</x:v>
      </x:c>
      <x:c r="L242" s="9" t="n">
        <x:f>'Physical_Arcs'!U2</x:f>
        <x:v>2</x:v>
      </x:c>
      <x:c r="M242" s="9" t="n">
        <x:f>L242*'Parameters'!$C$6</x:f>
        <x:v>2</x:v>
      </x:c>
      <x:c r="N242" s="3" t="n">
        <x:v>1</x:v>
      </x:c>
    </x:row>
    <x:row r="243" ht="21" customHeight="1">
      <x:c r="A243" s="3" t="n">
        <x:v>242</x:v>
      </x:c>
      <x:c r="B243" s="3" t="n">
        <x:v>2</x:v>
      </x:c>
      <x:c r="C243" s="3" t="n">
        <x:v>1</x:v>
      </x:c>
      <x:c r="D243" s="3" t="n">
        <x:v>10</x:v>
      </x:c>
      <x:c r="E243" s="3" t="n">
        <x:v>5</x:v>
      </x:c>
      <x:c r="F243" s="3" t="str">
        <x:v>04:00</x:v>
      </x:c>
      <x:c r="G243" s="3" t="str">
        <x:v>05:00</x:v>
      </x:c>
      <x:c r="H243" s="9" t="n">
        <x:v>0.475</x:v>
      </x:c>
      <x:c r="I243" s="9" t="n">
        <x:f>'Physical_Arcs'!K3*H243</x:f>
        <x:v>117.32499999999999</x:v>
      </x:c>
      <x:c r="J243" s="9" t="n">
        <x:f>'Physical_Arcs'!L3*H243</x:f>
        <x:v>1169.45</x:v>
      </x:c>
      <x:c r="K243" s="9" t="n">
        <x:f>'Physical_Arcs'!M3*H243</x:f>
        <x:v>584.725</x:v>
      </x:c>
      <x:c r="L243" s="9" t="n">
        <x:f>'Physical_Arcs'!U3</x:f>
        <x:v>1.224719</x:v>
      </x:c>
      <x:c r="M243" s="9" t="n">
        <x:f>L243*'Parameters'!$C$6</x:f>
        <x:v>1.224719</x:v>
      </x:c>
      <x:c r="N243" s="3" t="n">
        <x:v>1</x:v>
      </x:c>
    </x:row>
    <x:row r="244" ht="21" customHeight="1">
      <x:c r="A244" s="3" t="n">
        <x:v>243</x:v>
      </x:c>
      <x:c r="B244" s="3" t="n">
        <x:v>3</x:v>
      </x:c>
      <x:c r="C244" s="3" t="n">
        <x:v>1</x:v>
      </x:c>
      <x:c r="D244" s="3" t="n">
        <x:v>8</x:v>
      </x:c>
      <x:c r="E244" s="3" t="n">
        <x:v>5</x:v>
      </x:c>
      <x:c r="F244" s="3" t="str">
        <x:v>04:00</x:v>
      </x:c>
      <x:c r="G244" s="3" t="str">
        <x:v>05:00</x:v>
      </x:c>
      <x:c r="H244" s="9" t="n">
        <x:v>0.475</x:v>
      </x:c>
      <x:c r="I244" s="9" t="n">
        <x:f>'Physical_Arcs'!K4*H244</x:f>
        <x:v>180.025</x:v>
      </x:c>
      <x:c r="J244" s="9" t="n">
        <x:f>'Physical_Arcs'!L4*H244</x:f>
        <x:v>1796.925</x:v>
      </x:c>
      <x:c r="K244" s="9" t="n">
        <x:f>'Physical_Arcs'!M4*H244</x:f>
        <x:v>898.6999999999999</x:v>
      </x:c>
      <x:c r="L244" s="9" t="n">
        <x:f>'Physical_Arcs'!U4</x:f>
        <x:v>1.073034</x:v>
      </x:c>
      <x:c r="M244" s="9" t="n">
        <x:f>L244*'Parameters'!$C$6</x:f>
        <x:v>1.073034</x:v>
      </x:c>
      <x:c r="N244" s="3" t="n">
        <x:v>1</x:v>
      </x:c>
    </x:row>
    <x:row r="245" ht="21" customHeight="1">
      <x:c r="A245" s="3" t="n">
        <x:v>244</x:v>
      </x:c>
      <x:c r="B245" s="3" t="n">
        <x:v>4</x:v>
      </x:c>
      <x:c r="C245" s="3" t="n">
        <x:v>1</x:v>
      </x:c>
      <x:c r="D245" s="3" t="n">
        <x:v>7</x:v>
      </x:c>
      <x:c r="E245" s="3" t="n">
        <x:v>5</x:v>
      </x:c>
      <x:c r="F245" s="3" t="str">
        <x:v>04:00</x:v>
      </x:c>
      <x:c r="G245" s="3" t="str">
        <x:v>05:00</x:v>
      </x:c>
      <x:c r="H245" s="9" t="n">
        <x:v>0.475</x:v>
      </x:c>
      <x:c r="I245" s="9" t="n">
        <x:f>'Physical_Arcs'!K5*H245</x:f>
        <x:v>177.17499999999998</x:v>
      </x:c>
      <x:c r="J245" s="9" t="n">
        <x:f>'Physical_Arcs'!L5*H245</x:f>
        <x:v>1768.425</x:v>
      </x:c>
      <x:c r="K245" s="9" t="n">
        <x:f>'Physical_Arcs'!M5*H245</x:f>
        <x:v>884.4499999999999</x:v>
      </x:c>
      <x:c r="L245" s="9" t="n">
        <x:f>'Physical_Arcs'!U5</x:f>
        <x:v>0.617978</x:v>
      </x:c>
      <x:c r="M245" s="9" t="n">
        <x:f>L245*'Parameters'!$C$6</x:f>
        <x:v>0.617978</x:v>
      </x:c>
      <x:c r="N245" s="3" t="n">
        <x:v>1</x:v>
      </x:c>
    </x:row>
    <x:row r="246" ht="21" customHeight="1">
      <x:c r="A246" s="3" t="n">
        <x:v>245</x:v>
      </x:c>
      <x:c r="B246" s="3" t="n">
        <x:v>5</x:v>
      </x:c>
      <x:c r="C246" s="3" t="n">
        <x:v>1</x:v>
      </x:c>
      <x:c r="D246" s="3" t="n">
        <x:v>4</x:v>
      </x:c>
      <x:c r="E246" s="3" t="n">
        <x:v>5</x:v>
      </x:c>
      <x:c r="F246" s="3" t="str">
        <x:v>04:00</x:v>
      </x:c>
      <x:c r="G246" s="3" t="str">
        <x:v>05:00</x:v>
      </x:c>
      <x:c r="H246" s="9" t="n">
        <x:v>0.475</x:v>
      </x:c>
      <x:c r="I246" s="9" t="n">
        <x:f>'Physical_Arcs'!K6*H246</x:f>
        <x:v>117.32499999999999</x:v>
      </x:c>
      <x:c r="J246" s="9" t="n">
        <x:f>'Physical_Arcs'!L6*H246</x:f>
        <x:v>1169.45</x:v>
      </x:c>
      <x:c r="K246" s="9" t="n">
        <x:f>'Physical_Arcs'!M6*H246</x:f>
        <x:v>584.725</x:v>
      </x:c>
      <x:c r="L246" s="9" t="n">
        <x:f>'Physical_Arcs'!U6</x:f>
        <x:v>0.533708</x:v>
      </x:c>
      <x:c r="M246" s="9" t="n">
        <x:f>L246*'Parameters'!$C$6</x:f>
        <x:v>0.533708</x:v>
      </x:c>
      <x:c r="N246" s="3" t="n">
        <x:v>1</x:v>
      </x:c>
    </x:row>
    <x:row r="247" ht="21" customHeight="1">
      <x:c r="A247" s="3" t="n">
        <x:v>246</x:v>
      </x:c>
      <x:c r="B247" s="3" t="n">
        <x:v>6</x:v>
      </x:c>
      <x:c r="C247" s="3" t="n">
        <x:v>1</x:v>
      </x:c>
      <x:c r="D247" s="3" t="n">
        <x:v>9</x:v>
      </x:c>
      <x:c r="E247" s="3" t="n">
        <x:v>5</x:v>
      </x:c>
      <x:c r="F247" s="3" t="str">
        <x:v>04:00</x:v>
      </x:c>
      <x:c r="G247" s="3" t="str">
        <x:v>05:00</x:v>
      </x:c>
      <x:c r="H247" s="9" t="n">
        <x:v>0.475</x:v>
      </x:c>
      <x:c r="I247" s="9" t="n">
        <x:f>'Physical_Arcs'!K7*H247</x:f>
        <x:v>197.125</x:v>
      </x:c>
      <x:c r="J247" s="9" t="n">
        <x:f>'Physical_Arcs'!L7*H247</x:f>
        <x:v>1968.3999999999999</x:v>
      </x:c>
      <x:c r="K247" s="9" t="n">
        <x:f>'Physical_Arcs'!M7*H247</x:f>
        <x:v>984.1999999999999</x:v>
      </x:c>
      <x:c r="L247" s="9" t="n">
        <x:f>'Physical_Arcs'!U7</x:f>
        <x:v>1.544944</x:v>
      </x:c>
      <x:c r="M247" s="9" t="n">
        <x:f>L247*'Parameters'!$C$6</x:f>
        <x:v>1.544944</x:v>
      </x:c>
      <x:c r="N247" s="3" t="n">
        <x:v>1</x:v>
      </x:c>
    </x:row>
    <x:row r="248" ht="21" customHeight="1">
      <x:c r="A248" s="3" t="n">
        <x:v>247</x:v>
      </x:c>
      <x:c r="B248" s="3" t="n">
        <x:v>7</x:v>
      </x:c>
      <x:c r="C248" s="3" t="n">
        <x:v>1</x:v>
      </x:c>
      <x:c r="D248" s="3" t="n">
        <x:v>5</x:v>
      </x:c>
      <x:c r="E248" s="3" t="n">
        <x:v>5</x:v>
      </x:c>
      <x:c r="F248" s="3" t="str">
        <x:v>04:00</x:v>
      </x:c>
      <x:c r="G248" s="3" t="str">
        <x:v>05:00</x:v>
      </x:c>
      <x:c r="H248" s="9" t="n">
        <x:v>0.475</x:v>
      </x:c>
      <x:c r="I248" s="9" t="n">
        <x:f>'Physical_Arcs'!K8*H248</x:f>
        <x:v>199.975</x:v>
      </x:c>
      <x:c r="J248" s="9" t="n">
        <x:f>'Physical_Arcs'!L8*H248</x:f>
        <x:v>1996.8999999999999</x:v>
      </x:c>
      <x:c r="K248" s="9" t="n">
        <x:f>'Physical_Arcs'!M8*H248</x:f>
        <x:v>998.4499999999999</x:v>
      </x:c>
      <x:c r="L248" s="9" t="n">
        <x:f>'Physical_Arcs'!U8</x:f>
        <x:v>1.275281</x:v>
      </x:c>
      <x:c r="M248" s="9" t="n">
        <x:f>L248*'Parameters'!$C$6</x:f>
        <x:v>1.275281</x:v>
      </x:c>
      <x:c r="N248" s="3" t="n">
        <x:v>1</x:v>
      </x:c>
    </x:row>
    <x:row r="249" ht="21" customHeight="1">
      <x:c r="A249" s="3" t="n">
        <x:v>248</x:v>
      </x:c>
      <x:c r="B249" s="3" t="n">
        <x:v>8</x:v>
      </x:c>
      <x:c r="C249" s="3" t="n">
        <x:v>1</x:v>
      </x:c>
      <x:c r="D249" s="3" t="n">
        <x:v>3</x:v>
      </x:c>
      <x:c r="E249" s="3" t="n">
        <x:v>5</x:v>
      </x:c>
      <x:c r="F249" s="3" t="str">
        <x:v>04:00</x:v>
      </x:c>
      <x:c r="G249" s="3" t="str">
        <x:v>05:00</x:v>
      </x:c>
      <x:c r="H249" s="9" t="n">
        <x:v>0.475</x:v>
      </x:c>
      <x:c r="I249" s="9" t="n">
        <x:f>'Physical_Arcs'!K9*H249</x:f>
        <x:v>245.575</x:v>
      </x:c>
      <x:c r="J249" s="9" t="n">
        <x:f>'Physical_Arcs'!L9*H249</x:f>
        <x:v>2452.9</x:v>
      </x:c>
      <x:c r="K249" s="9" t="n">
        <x:f>'Physical_Arcs'!M9*H249</x:f>
        <x:v>1226.45</x:v>
      </x:c>
      <x:c r="L249" s="9" t="n">
        <x:f>'Physical_Arcs'!U9</x:f>
        <x:v>1.410112</x:v>
      </x:c>
      <x:c r="M249" s="9" t="n">
        <x:f>L249*'Parameters'!$C$6</x:f>
        <x:v>1.410112</x:v>
      </x:c>
      <x:c r="N249" s="3" t="n">
        <x:v>1</x:v>
      </x:c>
    </x:row>
    <x:row r="250" ht="21" customHeight="1">
      <x:c r="A250" s="3" t="n">
        <x:v>249</x:v>
      </x:c>
      <x:c r="B250" s="3" t="n">
        <x:v>9</x:v>
      </x:c>
      <x:c r="C250" s="3" t="n">
        <x:v>1</x:v>
      </x:c>
      <x:c r="D250" s="3" t="n">
        <x:v>6</x:v>
      </x:c>
      <x:c r="E250" s="3" t="n">
        <x:v>5</x:v>
      </x:c>
      <x:c r="F250" s="3" t="str">
        <x:v>04:00</x:v>
      </x:c>
      <x:c r="G250" s="3" t="str">
        <x:v>05:00</x:v>
      </x:c>
      <x:c r="H250" s="9" t="n">
        <x:v>0.475</x:v>
      </x:c>
      <x:c r="I250" s="9" t="n">
        <x:f>'Physical_Arcs'!K10*H250</x:f>
        <x:v>37.525</x:v>
      </x:c>
      <x:c r="J250" s="9" t="n">
        <x:f>'Physical_Arcs'!L10*H250</x:f>
        <x:v>370.97499999999997</x:v>
      </x:c>
      <x:c r="K250" s="9" t="n">
        <x:f>'Physical_Arcs'!M10*H250</x:f>
        <x:v>185.725</x:v>
      </x:c>
      <x:c r="L250" s="9" t="n">
        <x:f>'Physical_Arcs'!U10</x:f>
        <x:v>1.342697</x:v>
      </x:c>
      <x:c r="M250" s="9" t="n">
        <x:f>L250*'Parameters'!$C$6</x:f>
        <x:v>1.342697</x:v>
      </x:c>
      <x:c r="N250" s="3" t="n">
        <x:v>1</x:v>
      </x:c>
    </x:row>
    <x:row r="251" ht="21" customHeight="1">
      <x:c r="A251" s="3" t="n">
        <x:v>250</x:v>
      </x:c>
      <x:c r="B251" s="3" t="n">
        <x:v>10</x:v>
      </x:c>
      <x:c r="C251" s="3" t="n">
        <x:v>2</x:v>
      </x:c>
      <x:c r="D251" s="3" t="n">
        <x:v>3</x:v>
      </x:c>
      <x:c r="E251" s="3" t="n">
        <x:v>5</x:v>
      </x:c>
      <x:c r="F251" s="3" t="str">
        <x:v>04:00</x:v>
      </x:c>
      <x:c r="G251" s="3" t="str">
        <x:v>05:00</x:v>
      </x:c>
      <x:c r="H251" s="9" t="n">
        <x:v>0.475</x:v>
      </x:c>
      <x:c r="I251" s="9" t="n">
        <x:f>'Physical_Arcs'!K11*H251</x:f>
        <x:v>285.47499999999997</x:v>
      </x:c>
      <x:c r="J251" s="9" t="n">
        <x:f>'Physical_Arcs'!L11*H251</x:f>
        <x:v>2852.375</x:v>
      </x:c>
      <x:c r="K251" s="9" t="n">
        <x:f>'Physical_Arcs'!M11*H251</x:f>
        <x:v>1426.425</x:v>
      </x:c>
      <x:c r="L251" s="9" t="n">
        <x:f>'Physical_Arcs'!U11</x:f>
        <x:v>2</x:v>
      </x:c>
      <x:c r="M251" s="9" t="n">
        <x:f>L251*'Parameters'!$C$6</x:f>
        <x:v>2</x:v>
      </x:c>
      <x:c r="N251" s="3" t="n">
        <x:v>1</x:v>
      </x:c>
    </x:row>
    <x:row r="252" ht="21" customHeight="1">
      <x:c r="A252" s="3" t="n">
        <x:v>251</x:v>
      </x:c>
      <x:c r="B252" s="3" t="n">
        <x:v>11</x:v>
      </x:c>
      <x:c r="C252" s="3" t="n">
        <x:v>2</x:v>
      </x:c>
      <x:c r="D252" s="3" t="n">
        <x:v>4</x:v>
      </x:c>
      <x:c r="E252" s="3" t="n">
        <x:v>5</x:v>
      </x:c>
      <x:c r="F252" s="3" t="str">
        <x:v>04:00</x:v>
      </x:c>
      <x:c r="G252" s="3" t="str">
        <x:v>05:00</x:v>
      </x:c>
      <x:c r="H252" s="9" t="n">
        <x:v>0.475</x:v>
      </x:c>
      <x:c r="I252" s="9" t="n">
        <x:f>'Physical_Arcs'!K12*H252</x:f>
        <x:v>211.375</x:v>
      </x:c>
      <x:c r="J252" s="9" t="n">
        <x:f>'Physical_Arcs'!L12*H252</x:f>
        <x:v>2110.9</x:v>
      </x:c>
      <x:c r="K252" s="9" t="n">
        <x:f>'Physical_Arcs'!M12*H252</x:f>
        <x:v>1055.45</x:v>
      </x:c>
      <x:c r="L252" s="9" t="n">
        <x:f>'Physical_Arcs'!U12</x:f>
        <x:v>0.533708</x:v>
      </x:c>
      <x:c r="M252" s="9" t="n">
        <x:f>L252*'Parameters'!$C$6</x:f>
        <x:v>0.533708</x:v>
      </x:c>
      <x:c r="N252" s="3" t="n">
        <x:v>1</x:v>
      </x:c>
    </x:row>
    <x:row r="253" ht="21" customHeight="1">
      <x:c r="A253" s="3" t="n">
        <x:v>252</x:v>
      </x:c>
      <x:c r="B253" s="3" t="n">
        <x:v>12</x:v>
      </x:c>
      <x:c r="C253" s="3" t="n">
        <x:v>2</x:v>
      </x:c>
      <x:c r="D253" s="3" t="n">
        <x:v>7</x:v>
      </x:c>
      <x:c r="E253" s="3" t="n">
        <x:v>5</x:v>
      </x:c>
      <x:c r="F253" s="3" t="str">
        <x:v>04:00</x:v>
      </x:c>
      <x:c r="G253" s="3" t="str">
        <x:v>05:00</x:v>
      </x:c>
      <x:c r="H253" s="9" t="n">
        <x:v>0.475</x:v>
      </x:c>
      <x:c r="I253" s="9" t="n">
        <x:f>'Physical_Arcs'!K13*H253</x:f>
        <x:v>162.92499999999998</x:v>
      </x:c>
      <x:c r="J253" s="9" t="n">
        <x:f>'Physical_Arcs'!L13*H253</x:f>
        <x:v>1625.925</x:v>
      </x:c>
      <x:c r="K253" s="9" t="n">
        <x:f>'Physical_Arcs'!M13*H253</x:f>
        <x:v>813.1999999999999</x:v>
      </x:c>
      <x:c r="L253" s="9" t="n">
        <x:f>'Physical_Arcs'!U13</x:f>
        <x:v>1.865169</x:v>
      </x:c>
      <x:c r="M253" s="9" t="n">
        <x:f>L253*'Parameters'!$C$6</x:f>
        <x:v>1.865169</x:v>
      </x:c>
      <x:c r="N253" s="3" t="n">
        <x:v>1</x:v>
      </x:c>
    </x:row>
    <x:row r="254" ht="21" customHeight="1">
      <x:c r="A254" s="3" t="n">
        <x:v>253</x:v>
      </x:c>
      <x:c r="B254" s="3" t="n">
        <x:v>13</x:v>
      </x:c>
      <x:c r="C254" s="3" t="n">
        <x:v>2</x:v>
      </x:c>
      <x:c r="D254" s="3" t="n">
        <x:v>9</x:v>
      </x:c>
      <x:c r="E254" s="3" t="n">
        <x:v>5</x:v>
      </x:c>
      <x:c r="F254" s="3" t="str">
        <x:v>04:00</x:v>
      </x:c>
      <x:c r="G254" s="3" t="str">
        <x:v>05:00</x:v>
      </x:c>
      <x:c r="H254" s="9" t="n">
        <x:v>0.475</x:v>
      </x:c>
      <x:c r="I254" s="9" t="n">
        <x:f>'Physical_Arcs'!K14*H254</x:f>
        <x:v>85.975</x:v>
      </x:c>
      <x:c r="J254" s="9" t="n">
        <x:f>'Physical_Arcs'!L14*H254</x:f>
        <x:v>855.9499999999999</x:v>
      </x:c>
      <x:c r="K254" s="9" t="n">
        <x:f>'Physical_Arcs'!M14*H254</x:f>
        <x:v>427.97499999999997</x:v>
      </x:c>
      <x:c r="L254" s="9" t="n">
        <x:f>'Physical_Arcs'!U14</x:f>
        <x:v>0.533708</x:v>
      </x:c>
      <x:c r="M254" s="9" t="n">
        <x:f>L254*'Parameters'!$C$6</x:f>
        <x:v>0.533708</x:v>
      </x:c>
      <x:c r="N254" s="3" t="n">
        <x:v>1</x:v>
      </x:c>
    </x:row>
    <x:row r="255" ht="21" customHeight="1">
      <x:c r="A255" s="3" t="n">
        <x:v>254</x:v>
      </x:c>
      <x:c r="B255" s="3" t="n">
        <x:v>14</x:v>
      </x:c>
      <x:c r="C255" s="3" t="n">
        <x:v>2</x:v>
      </x:c>
      <x:c r="D255" s="3" t="n">
        <x:v>8</x:v>
      </x:c>
      <x:c r="E255" s="3" t="n">
        <x:v>5</x:v>
      </x:c>
      <x:c r="F255" s="3" t="str">
        <x:v>04:00</x:v>
      </x:c>
      <x:c r="G255" s="3" t="str">
        <x:v>05:00</x:v>
      </x:c>
      <x:c r="H255" s="9" t="n">
        <x:v>0.475</x:v>
      </x:c>
      <x:c r="I255" s="9" t="n">
        <x:f>'Physical_Arcs'!K15*H255</x:f>
        <x:v>174.325</x:v>
      </x:c>
      <x:c r="J255" s="9" t="n">
        <x:f>'Physical_Arcs'!L15*H255</x:f>
        <x:v>1739.925</x:v>
      </x:c>
      <x:c r="K255" s="9" t="n">
        <x:f>'Physical_Arcs'!M15*H255</x:f>
        <x:v>870.1999999999999</x:v>
      </x:c>
      <x:c r="L255" s="9" t="n">
        <x:f>'Physical_Arcs'!U15</x:f>
        <x:v>1.882022</x:v>
      </x:c>
      <x:c r="M255" s="9" t="n">
        <x:f>L255*'Parameters'!$C$6</x:f>
        <x:v>1.882022</x:v>
      </x:c>
      <x:c r="N255" s="3" t="n">
        <x:v>1</x:v>
      </x:c>
    </x:row>
    <x:row r="256" ht="21" customHeight="1">
      <x:c r="A256" s="3" t="n">
        <x:v>255</x:v>
      </x:c>
      <x:c r="B256" s="3" t="n">
        <x:v>15</x:v>
      </x:c>
      <x:c r="C256" s="3" t="n">
        <x:v>2</x:v>
      </x:c>
      <x:c r="D256" s="3" t="n">
        <x:v>10</x:v>
      </x:c>
      <x:c r="E256" s="3" t="n">
        <x:v>5</x:v>
      </x:c>
      <x:c r="F256" s="3" t="str">
        <x:v>04:00</x:v>
      </x:c>
      <x:c r="G256" s="3" t="str">
        <x:v>05:00</x:v>
      </x:c>
      <x:c r="H256" s="9" t="n">
        <x:v>0.475</x:v>
      </x:c>
      <x:c r="I256" s="9" t="n">
        <x:f>'Physical_Arcs'!K16*H256</x:f>
        <x:v>245.575</x:v>
      </x:c>
      <x:c r="J256" s="9" t="n">
        <x:f>'Physical_Arcs'!L16*H256</x:f>
        <x:v>2452.9</x:v>
      </x:c>
      <x:c r="K256" s="9" t="n">
        <x:f>'Physical_Arcs'!M16*H256</x:f>
        <x:v>1226.45</x:v>
      </x:c>
      <x:c r="L256" s="9" t="n">
        <x:f>'Physical_Arcs'!U16</x:f>
        <x:v>1.426966</x:v>
      </x:c>
      <x:c r="M256" s="9" t="n">
        <x:f>L256*'Parameters'!$C$6</x:f>
        <x:v>1.426966</x:v>
      </x:c>
      <x:c r="N256" s="3" t="n">
        <x:v>1</x:v>
      </x:c>
    </x:row>
    <x:row r="257" ht="21" customHeight="1">
      <x:c r="A257" s="3" t="n">
        <x:v>256</x:v>
      </x:c>
      <x:c r="B257" s="3" t="n">
        <x:v>16</x:v>
      </x:c>
      <x:c r="C257" s="3" t="n">
        <x:v>3</x:v>
      </x:c>
      <x:c r="D257" s="3" t="n">
        <x:v>4</x:v>
      </x:c>
      <x:c r="E257" s="3" t="n">
        <x:v>5</x:v>
      </x:c>
      <x:c r="F257" s="3" t="str">
        <x:v>04:00</x:v>
      </x:c>
      <x:c r="G257" s="3" t="str">
        <x:v>05:00</x:v>
      </x:c>
      <x:c r="H257" s="9" t="n">
        <x:v>0.475</x:v>
      </x:c>
      <x:c r="I257" s="9" t="n">
        <x:f>'Physical_Arcs'!K17*H257</x:f>
        <x:v>285.47499999999997</x:v>
      </x:c>
      <x:c r="J257" s="9" t="n">
        <x:f>'Physical_Arcs'!L17*H257</x:f>
        <x:v>2852.375</x:v>
      </x:c>
      <x:c r="K257" s="9" t="n">
        <x:f>'Physical_Arcs'!M17*H257</x:f>
        <x:v>1426.425</x:v>
      </x:c>
      <x:c r="L257" s="9" t="n">
        <x:f>'Physical_Arcs'!U17</x:f>
        <x:v>2</x:v>
      </x:c>
      <x:c r="M257" s="9" t="n">
        <x:f>L257*'Parameters'!$C$6</x:f>
        <x:v>2</x:v>
      </x:c>
      <x:c r="N257" s="3" t="n">
        <x:v>1</x:v>
      </x:c>
    </x:row>
    <x:row r="258" ht="21" customHeight="1">
      <x:c r="A258" s="3" t="n">
        <x:v>257</x:v>
      </x:c>
      <x:c r="B258" s="3" t="n">
        <x:v>17</x:v>
      </x:c>
      <x:c r="C258" s="3" t="n">
        <x:v>3</x:v>
      </x:c>
      <x:c r="D258" s="3" t="n">
        <x:v>2</x:v>
      </x:c>
      <x:c r="E258" s="3" t="n">
        <x:v>5</x:v>
      </x:c>
      <x:c r="F258" s="3" t="str">
        <x:v>04:00</x:v>
      </x:c>
      <x:c r="G258" s="3" t="str">
        <x:v>05:00</x:v>
      </x:c>
      <x:c r="H258" s="9" t="n">
        <x:v>0.475</x:v>
      </x:c>
      <x:c r="I258" s="9" t="n">
        <x:f>'Physical_Arcs'!K18*H258</x:f>
        <x:v>265.525</x:v>
      </x:c>
      <x:c r="J258" s="9" t="n">
        <x:f>'Physical_Arcs'!L18*H258</x:f>
        <x:v>2652.875</x:v>
      </x:c>
      <x:c r="K258" s="9" t="n">
        <x:f>'Physical_Arcs'!M18*H258</x:f>
        <x:v>1326.675</x:v>
      </x:c>
      <x:c r="L258" s="9" t="n">
        <x:f>'Physical_Arcs'!U18</x:f>
        <x:v>0.769663</x:v>
      </x:c>
      <x:c r="M258" s="9" t="n">
        <x:f>L258*'Parameters'!$C$6</x:f>
        <x:v>0.769663</x:v>
      </x:c>
      <x:c r="N258" s="3" t="n">
        <x:v>1</x:v>
      </x:c>
    </x:row>
    <x:row r="259" ht="21" customHeight="1">
      <x:c r="A259" s="3" t="n">
        <x:v>258</x:v>
      </x:c>
      <x:c r="B259" s="3" t="n">
        <x:v>18</x:v>
      </x:c>
      <x:c r="C259" s="3" t="n">
        <x:v>3</x:v>
      </x:c>
      <x:c r="D259" s="3" t="n">
        <x:v>1</x:v>
      </x:c>
      <x:c r="E259" s="3" t="n">
        <x:v>5</x:v>
      </x:c>
      <x:c r="F259" s="3" t="str">
        <x:v>04:00</x:v>
      </x:c>
      <x:c r="G259" s="3" t="str">
        <x:v>05:00</x:v>
      </x:c>
      <x:c r="H259" s="9" t="n">
        <x:v>0.475</x:v>
      </x:c>
      <x:c r="I259" s="9" t="n">
        <x:f>'Physical_Arcs'!K19*H259</x:f>
        <x:v>68.875</x:v>
      </x:c>
      <x:c r="J259" s="9" t="n">
        <x:f>'Physical_Arcs'!L19*H259</x:f>
        <x:v>684.9499999999999</x:v>
      </x:c>
      <x:c r="K259" s="9" t="n">
        <x:f>'Physical_Arcs'!M19*H259</x:f>
        <x:v>342.47499999999997</x:v>
      </x:c>
      <x:c r="L259" s="9" t="n">
        <x:f>'Physical_Arcs'!U19</x:f>
        <x:v>1.595506</x:v>
      </x:c>
      <x:c r="M259" s="9" t="n">
        <x:f>L259*'Parameters'!$C$6</x:f>
        <x:v>1.595506</x:v>
      </x:c>
      <x:c r="N259" s="3" t="n">
        <x:v>1</x:v>
      </x:c>
    </x:row>
    <x:row r="260" ht="21" customHeight="1">
      <x:c r="A260" s="3" t="n">
        <x:v>259</x:v>
      </x:c>
      <x:c r="B260" s="3" t="n">
        <x:v>19</x:v>
      </x:c>
      <x:c r="C260" s="3" t="n">
        <x:v>3</x:v>
      </x:c>
      <x:c r="D260" s="3" t="n">
        <x:v>7</x:v>
      </x:c>
      <x:c r="E260" s="3" t="n">
        <x:v>5</x:v>
      </x:c>
      <x:c r="F260" s="3" t="str">
        <x:v>04:00</x:v>
      </x:c>
      <x:c r="G260" s="3" t="str">
        <x:v>05:00</x:v>
      </x:c>
      <x:c r="H260" s="9" t="n">
        <x:v>0.475</x:v>
      </x:c>
      <x:c r="I260" s="9" t="n">
        <x:f>'Physical_Arcs'!K20*H260</x:f>
        <x:v>114.475</x:v>
      </x:c>
      <x:c r="J260" s="9" t="n">
        <x:f>'Physical_Arcs'!L20*H260</x:f>
        <x:v>1140.95</x:v>
      </x:c>
      <x:c r="K260" s="9" t="n">
        <x:f>'Physical_Arcs'!M20*H260</x:f>
        <x:v>570.475</x:v>
      </x:c>
      <x:c r="L260" s="9" t="n">
        <x:f>'Physical_Arcs'!U20</x:f>
        <x:v>0.5</x:v>
      </x:c>
      <x:c r="M260" s="9" t="n">
        <x:f>L260*'Parameters'!$C$6</x:f>
        <x:v>0.5</x:v>
      </x:c>
      <x:c r="N260" s="3" t="n">
        <x:v>1</x:v>
      </x:c>
    </x:row>
    <x:row r="261" ht="21" customHeight="1">
      <x:c r="A261" s="3" t="n">
        <x:v>260</x:v>
      </x:c>
      <x:c r="B261" s="3" t="n">
        <x:v>20</x:v>
      </x:c>
      <x:c r="C261" s="3" t="n">
        <x:v>3</x:v>
      </x:c>
      <x:c r="D261" s="3" t="n">
        <x:v>10</x:v>
      </x:c>
      <x:c r="E261" s="3" t="n">
        <x:v>5</x:v>
      </x:c>
      <x:c r="F261" s="3" t="str">
        <x:v>04:00</x:v>
      </x:c>
      <x:c r="G261" s="3" t="str">
        <x:v>05:00</x:v>
      </x:c>
      <x:c r="H261" s="9" t="n">
        <x:v>0.475</x:v>
      </x:c>
      <x:c r="I261" s="9" t="n">
        <x:f>'Physical_Arcs'!K21*H261</x:f>
        <x:v>248.42499999999998</x:v>
      </x:c>
      <x:c r="J261" s="9" t="n">
        <x:f>'Physical_Arcs'!L21*H261</x:f>
        <x:v>2481.875</x:v>
      </x:c>
      <x:c r="K261" s="9" t="n">
        <x:f>'Physical_Arcs'!M21*H261</x:f>
        <x:v>1241.175</x:v>
      </x:c>
      <x:c r="L261" s="9" t="n">
        <x:f>'Physical_Arcs'!U21</x:f>
        <x:v>0.735955</x:v>
      </x:c>
      <x:c r="M261" s="9" t="n">
        <x:f>L261*'Parameters'!$C$6</x:f>
        <x:v>0.735955</x:v>
      </x:c>
      <x:c r="N261" s="3" t="n">
        <x:v>1</x:v>
      </x:c>
    </x:row>
    <x:row r="262" ht="21" customHeight="1">
      <x:c r="A262" s="3" t="n">
        <x:v>261</x:v>
      </x:c>
      <x:c r="B262" s="3" t="n">
        <x:v>21</x:v>
      </x:c>
      <x:c r="C262" s="3" t="n">
        <x:v>3</x:v>
      </x:c>
      <x:c r="D262" s="3" t="n">
        <x:v>9</x:v>
      </x:c>
      <x:c r="E262" s="3" t="n">
        <x:v>5</x:v>
      </x:c>
      <x:c r="F262" s="3" t="str">
        <x:v>04:00</x:v>
      </x:c>
      <x:c r="G262" s="3" t="str">
        <x:v>05:00</x:v>
      </x:c>
      <x:c r="H262" s="9" t="n">
        <x:v>0.475</x:v>
      </x:c>
      <x:c r="I262" s="9" t="n">
        <x:f>'Physical_Arcs'!K22*H262</x:f>
        <x:v>34.675</x:v>
      </x:c>
      <x:c r="J262" s="9" t="n">
        <x:f>'Physical_Arcs'!L22*H262</x:f>
        <x:v>342.47499999999997</x:v>
      </x:c>
      <x:c r="K262" s="9" t="n">
        <x:f>'Physical_Arcs'!M22*H262</x:f>
        <x:v>171.475</x:v>
      </x:c>
      <x:c r="L262" s="9" t="n">
        <x:f>'Physical_Arcs'!U22</x:f>
        <x:v>0.837079</x:v>
      </x:c>
      <x:c r="M262" s="9" t="n">
        <x:f>L262*'Parameters'!$C$6</x:f>
        <x:v>0.837079</x:v>
      </x:c>
      <x:c r="N262" s="3" t="n">
        <x:v>1</x:v>
      </x:c>
    </x:row>
    <x:row r="263" ht="21" customHeight="1">
      <x:c r="A263" s="3" t="n">
        <x:v>262</x:v>
      </x:c>
      <x:c r="B263" s="3" t="n">
        <x:v>22</x:v>
      </x:c>
      <x:c r="C263" s="3" t="n">
        <x:v>4</x:v>
      </x:c>
      <x:c r="D263" s="3" t="n">
        <x:v>5</x:v>
      </x:c>
      <x:c r="E263" s="3" t="n">
        <x:v>5</x:v>
      </x:c>
      <x:c r="F263" s="3" t="str">
        <x:v>04:00</x:v>
      </x:c>
      <x:c r="G263" s="3" t="str">
        <x:v>05:00</x:v>
      </x:c>
      <x:c r="H263" s="9" t="n">
        <x:v>0.475</x:v>
      </x:c>
      <x:c r="I263" s="9" t="n">
        <x:f>'Physical_Arcs'!K23*H263</x:f>
        <x:v>285.47499999999997</x:v>
      </x:c>
      <x:c r="J263" s="9" t="n">
        <x:f>'Physical_Arcs'!L23*H263</x:f>
        <x:v>2852.375</x:v>
      </x:c>
      <x:c r="K263" s="9" t="n">
        <x:f>'Physical_Arcs'!M23*H263</x:f>
        <x:v>1426.425</x:v>
      </x:c>
      <x:c r="L263" s="9" t="n">
        <x:f>'Physical_Arcs'!U23</x:f>
        <x:v>2</x:v>
      </x:c>
      <x:c r="M263" s="9" t="n">
        <x:f>L263*'Parameters'!$C$6</x:f>
        <x:v>2</x:v>
      </x:c>
      <x:c r="N263" s="3" t="n">
        <x:v>1</x:v>
      </x:c>
    </x:row>
    <x:row r="264" ht="21" customHeight="1">
      <x:c r="A264" s="3" t="n">
        <x:v>263</x:v>
      </x:c>
      <x:c r="B264" s="3" t="n">
        <x:v>23</x:v>
      </x:c>
      <x:c r="C264" s="3" t="n">
        <x:v>4</x:v>
      </x:c>
      <x:c r="D264" s="3" t="n">
        <x:v>3</x:v>
      </x:c>
      <x:c r="E264" s="3" t="n">
        <x:v>5</x:v>
      </x:c>
      <x:c r="F264" s="3" t="str">
        <x:v>04:00</x:v>
      </x:c>
      <x:c r="G264" s="3" t="str">
        <x:v>05:00</x:v>
      </x:c>
      <x:c r="H264" s="9" t="n">
        <x:v>0.475</x:v>
      </x:c>
      <x:c r="I264" s="9" t="n">
        <x:f>'Physical_Arcs'!K24*H264</x:f>
        <x:v>51.775</x:v>
      </x:c>
      <x:c r="J264" s="9" t="n">
        <x:f>'Physical_Arcs'!L24*H264</x:f>
        <x:v>513.475</x:v>
      </x:c>
      <x:c r="K264" s="9" t="n">
        <x:f>'Physical_Arcs'!M24*H264</x:f>
        <x:v>256.97499999999997</x:v>
      </x:c>
      <x:c r="L264" s="9" t="n">
        <x:f>'Physical_Arcs'!U24</x:f>
        <x:v>1.91573</x:v>
      </x:c>
      <x:c r="M264" s="9" t="n">
        <x:f>L264*'Parameters'!$C$6</x:f>
        <x:v>1.91573</x:v>
      </x:c>
      <x:c r="N264" s="3" t="n">
        <x:v>1</x:v>
      </x:c>
    </x:row>
    <x:row r="265" ht="21" customHeight="1">
      <x:c r="A265" s="3" t="n">
        <x:v>264</x:v>
      </x:c>
      <x:c r="B265" s="3" t="n">
        <x:v>24</x:v>
      </x:c>
      <x:c r="C265" s="3" t="n">
        <x:v>4</x:v>
      </x:c>
      <x:c r="D265" s="3" t="n">
        <x:v>10</x:v>
      </x:c>
      <x:c r="E265" s="3" t="n">
        <x:v>5</x:v>
      </x:c>
      <x:c r="F265" s="3" t="str">
        <x:v>04:00</x:v>
      </x:c>
      <x:c r="G265" s="3" t="str">
        <x:v>05:00</x:v>
      </x:c>
      <x:c r="H265" s="9" t="n">
        <x:v>0.475</x:v>
      </x:c>
      <x:c r="I265" s="9" t="n">
        <x:f>'Physical_Arcs'!K25*H265</x:f>
        <x:v>154.375</x:v>
      </x:c>
      <x:c r="J265" s="9" t="n">
        <x:f>'Physical_Arcs'!L25*H265</x:f>
        <x:v>1540.425</x:v>
      </x:c>
      <x:c r="K265" s="9" t="n">
        <x:f>'Physical_Arcs'!M25*H265</x:f>
        <x:v>770.4499999999999</x:v>
      </x:c>
      <x:c r="L265" s="9" t="n">
        <x:f>'Physical_Arcs'!U25</x:f>
        <x:v>1.157303</x:v>
      </x:c>
      <x:c r="M265" s="9" t="n">
        <x:f>L265*'Parameters'!$C$6</x:f>
        <x:v>1.157303</x:v>
      </x:c>
      <x:c r="N265" s="3" t="n">
        <x:v>1</x:v>
      </x:c>
    </x:row>
    <x:row r="266" ht="21" customHeight="1">
      <x:c r="A266" s="3" t="n">
        <x:v>265</x:v>
      </x:c>
      <x:c r="B266" s="3" t="n">
        <x:v>25</x:v>
      </x:c>
      <x:c r="C266" s="3" t="n">
        <x:v>4</x:v>
      </x:c>
      <x:c r="D266" s="3" t="n">
        <x:v>8</x:v>
      </x:c>
      <x:c r="E266" s="3" t="n">
        <x:v>5</x:v>
      </x:c>
      <x:c r="F266" s="3" t="str">
        <x:v>04:00</x:v>
      </x:c>
      <x:c r="G266" s="3" t="str">
        <x:v>05:00</x:v>
      </x:c>
      <x:c r="H266" s="9" t="n">
        <x:v>0.475</x:v>
      </x:c>
      <x:c r="I266" s="9" t="n">
        <x:f>'Physical_Arcs'!K26*H266</x:f>
        <x:v>140.125</x:v>
      </x:c>
      <x:c r="J266" s="9" t="n">
        <x:f>'Physical_Arcs'!L26*H266</x:f>
        <x:v>1397.925</x:v>
      </x:c>
      <x:c r="K266" s="9" t="n">
        <x:f>'Physical_Arcs'!M26*H266</x:f>
        <x:v>699.1999999999999</x:v>
      </x:c>
      <x:c r="L266" s="9" t="n">
        <x:f>'Physical_Arcs'!U26</x:f>
        <x:v>0.516854</x:v>
      </x:c>
      <x:c r="M266" s="9" t="n">
        <x:f>L266*'Parameters'!$C$6</x:f>
        <x:v>0.516854</x:v>
      </x:c>
      <x:c r="N266" s="3" t="n">
        <x:v>1</x:v>
      </x:c>
    </x:row>
    <x:row r="267" ht="21" customHeight="1">
      <x:c r="A267" s="3" t="n">
        <x:v>266</x:v>
      </x:c>
      <x:c r="B267" s="3" t="n">
        <x:v>26</x:v>
      </x:c>
      <x:c r="C267" s="3" t="n">
        <x:v>4</x:v>
      </x:c>
      <x:c r="D267" s="3" t="n">
        <x:v>7</x:v>
      </x:c>
      <x:c r="E267" s="3" t="n">
        <x:v>5</x:v>
      </x:c>
      <x:c r="F267" s="3" t="str">
        <x:v>04:00</x:v>
      </x:c>
      <x:c r="G267" s="3" t="str">
        <x:v>05:00</x:v>
      </x:c>
      <x:c r="H267" s="9" t="n">
        <x:v>0.475</x:v>
      </x:c>
      <x:c r="I267" s="9" t="n">
        <x:f>'Physical_Arcs'!K27*H267</x:f>
        <x:v>256.97499999999997</x:v>
      </x:c>
      <x:c r="J267" s="9" t="n">
        <x:f>'Physical_Arcs'!L27*H267</x:f>
        <x:v>2567.375</x:v>
      </x:c>
      <x:c r="K267" s="9" t="n">
        <x:f>'Physical_Arcs'!M27*H267</x:f>
        <x:v>1283.925</x:v>
      </x:c>
      <x:c r="L267" s="9" t="n">
        <x:f>'Physical_Arcs'!U27</x:f>
        <x:v>0.567416</x:v>
      </x:c>
      <x:c r="M267" s="9" t="n">
        <x:f>L267*'Parameters'!$C$6</x:f>
        <x:v>0.567416</x:v>
      </x:c>
      <x:c r="N267" s="3" t="n">
        <x:v>1</x:v>
      </x:c>
    </x:row>
    <x:row r="268" ht="21" customHeight="1">
      <x:c r="A268" s="3" t="n">
        <x:v>267</x:v>
      </x:c>
      <x:c r="B268" s="3" t="n">
        <x:v>27</x:v>
      </x:c>
      <x:c r="C268" s="3" t="n">
        <x:v>4</x:v>
      </x:c>
      <x:c r="D268" s="3" t="n">
        <x:v>2</x:v>
      </x:c>
      <x:c r="E268" s="3" t="n">
        <x:v>5</x:v>
      </x:c>
      <x:c r="F268" s="3" t="str">
        <x:v>04:00</x:v>
      </x:c>
      <x:c r="G268" s="3" t="str">
        <x:v>05:00</x:v>
      </x:c>
      <x:c r="H268" s="9" t="n">
        <x:v>0.475</x:v>
      </x:c>
      <x:c r="I268" s="9" t="n">
        <x:f>'Physical_Arcs'!K28*H268</x:f>
        <x:v>205.67499999999998</x:v>
      </x:c>
      <x:c r="J268" s="9" t="n">
        <x:f>'Physical_Arcs'!L28*H268</x:f>
        <x:v>2053.9</x:v>
      </x:c>
      <x:c r="K268" s="9" t="n">
        <x:f>'Physical_Arcs'!M28*H268</x:f>
        <x:v>1026.95</x:v>
      </x:c>
      <x:c r="L268" s="9" t="n">
        <x:f>'Physical_Arcs'!U28</x:f>
        <x:v>0.651685</x:v>
      </x:c>
      <x:c r="M268" s="9" t="n">
        <x:f>L268*'Parameters'!$C$6</x:f>
        <x:v>0.651685</x:v>
      </x:c>
      <x:c r="N268" s="3" t="n">
        <x:v>1</x:v>
      </x:c>
    </x:row>
    <x:row r="269" ht="21" customHeight="1">
      <x:c r="A269" s="3" t="n">
        <x:v>268</x:v>
      </x:c>
      <x:c r="B269" s="3" t="n">
        <x:v>28</x:v>
      </x:c>
      <x:c r="C269" s="3" t="n">
        <x:v>4</x:v>
      </x:c>
      <x:c r="D269" s="3" t="n">
        <x:v>6</x:v>
      </x:c>
      <x:c r="E269" s="3" t="n">
        <x:v>5</x:v>
      </x:c>
      <x:c r="F269" s="3" t="str">
        <x:v>04:00</x:v>
      </x:c>
      <x:c r="G269" s="3" t="str">
        <x:v>05:00</x:v>
      </x:c>
      <x:c r="H269" s="9" t="n">
        <x:v>0.475</x:v>
      </x:c>
      <x:c r="I269" s="9" t="n">
        <x:f>'Physical_Arcs'!K29*H269</x:f>
        <x:v>228.475</x:v>
      </x:c>
      <x:c r="J269" s="9" t="n">
        <x:f>'Physical_Arcs'!L29*H269</x:f>
        <x:v>2281.9</x:v>
      </x:c>
      <x:c r="K269" s="9" t="n">
        <x:f>'Physical_Arcs'!M29*H269</x:f>
        <x:v>1140.95</x:v>
      </x:c>
      <x:c r="L269" s="9" t="n">
        <x:f>'Physical_Arcs'!U29</x:f>
        <x:v>0.702247</x:v>
      </x:c>
      <x:c r="M269" s="9" t="n">
        <x:f>L269*'Parameters'!$C$6</x:f>
        <x:v>0.702247</x:v>
      </x:c>
      <x:c r="N269" s="3" t="n">
        <x:v>1</x:v>
      </x:c>
    </x:row>
    <x:row r="270" ht="21" customHeight="1">
      <x:c r="A270" s="3" t="n">
        <x:v>269</x:v>
      </x:c>
      <x:c r="B270" s="3" t="n">
        <x:v>29</x:v>
      </x:c>
      <x:c r="C270" s="3" t="n">
        <x:v>5</x:v>
      </x:c>
      <x:c r="D270" s="3" t="n">
        <x:v>6</x:v>
      </x:c>
      <x:c r="E270" s="3" t="n">
        <x:v>5</x:v>
      </x:c>
      <x:c r="F270" s="3" t="str">
        <x:v>04:00</x:v>
      </x:c>
      <x:c r="G270" s="3" t="str">
        <x:v>05:00</x:v>
      </x:c>
      <x:c r="H270" s="9" t="n">
        <x:v>0.475</x:v>
      </x:c>
      <x:c r="I270" s="9" t="n">
        <x:f>'Physical_Arcs'!K30*H270</x:f>
        <x:v>285.47499999999997</x:v>
      </x:c>
      <x:c r="J270" s="9" t="n">
        <x:f>'Physical_Arcs'!L30*H270</x:f>
        <x:v>2852.375</x:v>
      </x:c>
      <x:c r="K270" s="9" t="n">
        <x:f>'Physical_Arcs'!M30*H270</x:f>
        <x:v>1426.425</x:v>
      </x:c>
      <x:c r="L270" s="9" t="n">
        <x:f>'Physical_Arcs'!U30</x:f>
        <x:v>2</x:v>
      </x:c>
      <x:c r="M270" s="9" t="n">
        <x:f>L270*'Parameters'!$C$6</x:f>
        <x:v>2</x:v>
      </x:c>
      <x:c r="N270" s="3" t="n">
        <x:v>1</x:v>
      </x:c>
    </x:row>
    <x:row r="271" ht="21" customHeight="1">
      <x:c r="A271" s="3" t="n">
        <x:v>270</x:v>
      </x:c>
      <x:c r="B271" s="3" t="n">
        <x:v>30</x:v>
      </x:c>
      <x:c r="C271" s="3" t="n">
        <x:v>5</x:v>
      </x:c>
      <x:c r="D271" s="3" t="n">
        <x:v>2</x:v>
      </x:c>
      <x:c r="E271" s="3" t="n">
        <x:v>5</x:v>
      </x:c>
      <x:c r="F271" s="3" t="str">
        <x:v>04:00</x:v>
      </x:c>
      <x:c r="G271" s="3" t="str">
        <x:v>05:00</x:v>
      </x:c>
      <x:c r="H271" s="9" t="n">
        <x:v>0.475</x:v>
      </x:c>
      <x:c r="I271" s="9" t="n">
        <x:f>'Physical_Arcs'!K31*H271</x:f>
        <x:v>60.324999999999996</x:v>
      </x:c>
      <x:c r="J271" s="9" t="n">
        <x:f>'Physical_Arcs'!L31*H271</x:f>
        <x:v>598.975</x:v>
      </x:c>
      <x:c r="K271" s="9" t="n">
        <x:f>'Physical_Arcs'!M31*H271</x:f>
        <x:v>299.72499999999997</x:v>
      </x:c>
      <x:c r="L271" s="9" t="n">
        <x:f>'Physical_Arcs'!U31</x:f>
        <x:v>0.88764</x:v>
      </x:c>
      <x:c r="M271" s="9" t="n">
        <x:f>L271*'Parameters'!$C$6</x:f>
        <x:v>0.88764</x:v>
      </x:c>
      <x:c r="N271" s="3" t="n">
        <x:v>1</x:v>
      </x:c>
    </x:row>
    <x:row r="272" ht="21" customHeight="1">
      <x:c r="A272" s="3" t="n">
        <x:v>271</x:v>
      </x:c>
      <x:c r="B272" s="3" t="n">
        <x:v>31</x:v>
      </x:c>
      <x:c r="C272" s="3" t="n">
        <x:v>5</x:v>
      </x:c>
      <x:c r="D272" s="3" t="n">
        <x:v>8</x:v>
      </x:c>
      <x:c r="E272" s="3" t="n">
        <x:v>5</x:v>
      </x:c>
      <x:c r="F272" s="3" t="str">
        <x:v>04:00</x:v>
      </x:c>
      <x:c r="G272" s="3" t="str">
        <x:v>05:00</x:v>
      </x:c>
      <x:c r="H272" s="9" t="n">
        <x:v>0.475</x:v>
      </x:c>
      <x:c r="I272" s="9" t="n">
        <x:f>'Physical_Arcs'!K32*H272</x:f>
        <x:v>256.97499999999997</x:v>
      </x:c>
      <x:c r="J272" s="9" t="n">
        <x:f>'Physical_Arcs'!L32*H272</x:f>
        <x:v>2567.375</x:v>
      </x:c>
      <x:c r="K272" s="9" t="n">
        <x:f>'Physical_Arcs'!M32*H272</x:f>
        <x:v>1283.925</x:v>
      </x:c>
      <x:c r="L272" s="9" t="n">
        <x:f>'Physical_Arcs'!U32</x:f>
        <x:v>1.52809</x:v>
      </x:c>
      <x:c r="M272" s="9" t="n">
        <x:f>L272*'Parameters'!$C$6</x:f>
        <x:v>1.52809</x:v>
      </x:c>
      <x:c r="N272" s="3" t="n">
        <x:v>1</x:v>
      </x:c>
    </x:row>
    <x:row r="273" ht="21" customHeight="1">
      <x:c r="A273" s="3" t="n">
        <x:v>272</x:v>
      </x:c>
      <x:c r="B273" s="3" t="n">
        <x:v>32</x:v>
      </x:c>
      <x:c r="C273" s="3" t="n">
        <x:v>5</x:v>
      </x:c>
      <x:c r="D273" s="3" t="n">
        <x:v>3</x:v>
      </x:c>
      <x:c r="E273" s="3" t="n">
        <x:v>5</x:v>
      </x:c>
      <x:c r="F273" s="3" t="str">
        <x:v>04:00</x:v>
      </x:c>
      <x:c r="G273" s="3" t="str">
        <x:v>05:00</x:v>
      </x:c>
      <x:c r="H273" s="9" t="n">
        <x:v>0.475</x:v>
      </x:c>
      <x:c r="I273" s="9" t="n">
        <x:f>'Physical_Arcs'!K33*H273</x:f>
        <x:v>251.27499999999998</x:v>
      </x:c>
      <x:c r="J273" s="9" t="n">
        <x:f>'Physical_Arcs'!L33*H273</x:f>
        <x:v>2510.375</x:v>
      </x:c>
      <x:c r="K273" s="9" t="n">
        <x:f>'Physical_Arcs'!M33*H273</x:f>
        <x:v>1255.425</x:v>
      </x:c>
      <x:c r="L273" s="9" t="n">
        <x:f>'Physical_Arcs'!U33</x:f>
        <x:v>1.308989</x:v>
      </x:c>
      <x:c r="M273" s="9" t="n">
        <x:f>L273*'Parameters'!$C$6</x:f>
        <x:v>1.308989</x:v>
      </x:c>
      <x:c r="N273" s="3" t="n">
        <x:v>1</x:v>
      </x:c>
    </x:row>
    <x:row r="274" ht="21" customHeight="1">
      <x:c r="A274" s="3" t="n">
        <x:v>273</x:v>
      </x:c>
      <x:c r="B274" s="3" t="n">
        <x:v>33</x:v>
      </x:c>
      <x:c r="C274" s="3" t="n">
        <x:v>5</x:v>
      </x:c>
      <x:c r="D274" s="3" t="n">
        <x:v>10</x:v>
      </x:c>
      <x:c r="E274" s="3" t="n">
        <x:v>5</x:v>
      </x:c>
      <x:c r="F274" s="3" t="str">
        <x:v>04:00</x:v>
      </x:c>
      <x:c r="G274" s="3" t="str">
        <x:v>05:00</x:v>
      </x:c>
      <x:c r="H274" s="9" t="n">
        <x:v>0.475</x:v>
      </x:c>
      <x:c r="I274" s="9" t="n">
        <x:f>'Physical_Arcs'!K34*H274</x:f>
        <x:v>276.925</x:v>
      </x:c>
      <x:c r="J274" s="9" t="n">
        <x:f>'Physical_Arcs'!L34*H274</x:f>
        <x:v>2766.875</x:v>
      </x:c>
      <x:c r="K274" s="9" t="n">
        <x:f>'Physical_Arcs'!M34*H274</x:f>
        <x:v>1383.675</x:v>
      </x:c>
      <x:c r="L274" s="9" t="n">
        <x:f>'Physical_Arcs'!U34</x:f>
        <x:v>0.853933</x:v>
      </x:c>
      <x:c r="M274" s="9" t="n">
        <x:f>L274*'Parameters'!$C$6</x:f>
        <x:v>0.853933</x:v>
      </x:c>
      <x:c r="N274" s="3" t="n">
        <x:v>1</x:v>
      </x:c>
    </x:row>
    <x:row r="275" ht="21" customHeight="1">
      <x:c r="A275" s="3" t="n">
        <x:v>274</x:v>
      </x:c>
      <x:c r="B275" s="3" t="n">
        <x:v>34</x:v>
      </x:c>
      <x:c r="C275" s="3" t="n">
        <x:v>6</x:v>
      </x:c>
      <x:c r="D275" s="3" t="n">
        <x:v>7</x:v>
      </x:c>
      <x:c r="E275" s="3" t="n">
        <x:v>5</x:v>
      </x:c>
      <x:c r="F275" s="3" t="str">
        <x:v>04:00</x:v>
      </x:c>
      <x:c r="G275" s="3" t="str">
        <x:v>05:00</x:v>
      </x:c>
      <x:c r="H275" s="9" t="n">
        <x:v>0.475</x:v>
      </x:c>
      <x:c r="I275" s="9" t="n">
        <x:f>'Physical_Arcs'!K35*H275</x:f>
        <x:v>285.47499999999997</x:v>
      </x:c>
      <x:c r="J275" s="9" t="n">
        <x:f>'Physical_Arcs'!L35*H275</x:f>
        <x:v>2852.375</x:v>
      </x:c>
      <x:c r="K275" s="9" t="n">
        <x:f>'Physical_Arcs'!M35*H275</x:f>
        <x:v>1426.425</x:v>
      </x:c>
      <x:c r="L275" s="9" t="n">
        <x:f>'Physical_Arcs'!U35</x:f>
        <x:v>2</x:v>
      </x:c>
      <x:c r="M275" s="9" t="n">
        <x:f>L275*'Parameters'!$C$6</x:f>
        <x:v>2</x:v>
      </x:c>
      <x:c r="N275" s="3" t="n">
        <x:v>1</x:v>
      </x:c>
    </x:row>
    <x:row r="276" ht="21" customHeight="1">
      <x:c r="A276" s="3" t="n">
        <x:v>275</x:v>
      </x:c>
      <x:c r="B276" s="3" t="n">
        <x:v>35</x:v>
      </x:c>
      <x:c r="C276" s="3" t="n">
        <x:v>6</x:v>
      </x:c>
      <x:c r="D276" s="3" t="n">
        <x:v>10</x:v>
      </x:c>
      <x:c r="E276" s="3" t="n">
        <x:v>5</x:v>
      </x:c>
      <x:c r="F276" s="3" t="str">
        <x:v>04:00</x:v>
      </x:c>
      <x:c r="G276" s="3" t="str">
        <x:v>05:00</x:v>
      </x:c>
      <x:c r="H276" s="9" t="n">
        <x:v>0.475</x:v>
      </x:c>
      <x:c r="I276" s="9" t="n">
        <x:f>'Physical_Arcs'!K36*H276</x:f>
        <x:v>145.825</x:v>
      </x:c>
      <x:c r="J276" s="9" t="n">
        <x:f>'Physical_Arcs'!L36*H276</x:f>
        <x:v>1454.925</x:v>
      </x:c>
      <x:c r="K276" s="9" t="n">
        <x:f>'Physical_Arcs'!M36*H276</x:f>
        <x:v>727.6999999999999</x:v>
      </x:c>
      <x:c r="L276" s="9" t="n">
        <x:f>'Physical_Arcs'!U36</x:f>
        <x:v>1.005618</x:v>
      </x:c>
      <x:c r="M276" s="9" t="n">
        <x:f>L276*'Parameters'!$C$6</x:f>
        <x:v>1.005618</x:v>
      </x:c>
      <x:c r="N276" s="3" t="n">
        <x:v>1</x:v>
      </x:c>
    </x:row>
    <x:row r="277" ht="21" customHeight="1">
      <x:c r="A277" s="3" t="n">
        <x:v>276</x:v>
      </x:c>
      <x:c r="B277" s="3" t="n">
        <x:v>36</x:v>
      </x:c>
      <x:c r="C277" s="3" t="n">
        <x:v>6</x:v>
      </x:c>
      <x:c r="D277" s="3" t="n">
        <x:v>8</x:v>
      </x:c>
      <x:c r="E277" s="3" t="n">
        <x:v>5</x:v>
      </x:c>
      <x:c r="F277" s="3" t="str">
        <x:v>04:00</x:v>
      </x:c>
      <x:c r="G277" s="3" t="str">
        <x:v>05:00</x:v>
      </x:c>
      <x:c r="H277" s="9" t="n">
        <x:v>0.475</x:v>
      </x:c>
      <x:c r="I277" s="9" t="n">
        <x:f>'Physical_Arcs'!K37*H277</x:f>
        <x:v>188.575</x:v>
      </x:c>
      <x:c r="J277" s="9" t="n">
        <x:f>'Physical_Arcs'!L37*H277</x:f>
        <x:v>1882.8999999999999</x:v>
      </x:c>
      <x:c r="K277" s="9" t="n">
        <x:f>'Physical_Arcs'!M37*H277</x:f>
        <x:v>941.4499999999999</x:v>
      </x:c>
      <x:c r="L277" s="9" t="n">
        <x:f>'Physical_Arcs'!U37</x:f>
        <x:v>1.544944</x:v>
      </x:c>
      <x:c r="M277" s="9" t="n">
        <x:f>L277*'Parameters'!$C$6</x:f>
        <x:v>1.544944</x:v>
      </x:c>
      <x:c r="N277" s="3" t="n">
        <x:v>1</x:v>
      </x:c>
    </x:row>
    <x:row r="278" ht="21" customHeight="1">
      <x:c r="A278" s="3" t="n">
        <x:v>277</x:v>
      </x:c>
      <x:c r="B278" s="3" t="n">
        <x:v>37</x:v>
      </x:c>
      <x:c r="C278" s="3" t="n">
        <x:v>6</x:v>
      </x:c>
      <x:c r="D278" s="3" t="n">
        <x:v>1</x:v>
      </x:c>
      <x:c r="E278" s="3" t="n">
        <x:v>5</x:v>
      </x:c>
      <x:c r="F278" s="3" t="str">
        <x:v>04:00</x:v>
      </x:c>
      <x:c r="G278" s="3" t="str">
        <x:v>05:00</x:v>
      </x:c>
      <x:c r="H278" s="9" t="n">
        <x:v>0.475</x:v>
      </x:c>
      <x:c r="I278" s="9" t="n">
        <x:f>'Physical_Arcs'!K38*H278</x:f>
        <x:v>43.225</x:v>
      </x:c>
      <x:c r="J278" s="9" t="n">
        <x:f>'Physical_Arcs'!L38*H278</x:f>
        <x:v>427.97499999999997</x:v>
      </x:c>
      <x:c r="K278" s="9" t="n">
        <x:f>'Physical_Arcs'!M38*H278</x:f>
        <x:v>214.225</x:v>
      </x:c>
      <x:c r="L278" s="9" t="n">
        <x:f>'Physical_Arcs'!U38</x:f>
        <x:v>0.870787</x:v>
      </x:c>
      <x:c r="M278" s="9" t="n">
        <x:f>L278*'Parameters'!$C$6</x:f>
        <x:v>0.870787</x:v>
      </x:c>
      <x:c r="N278" s="3" t="n">
        <x:v>1</x:v>
      </x:c>
    </x:row>
    <x:row r="279" ht="21" customHeight="1">
      <x:c r="A279" s="3" t="n">
        <x:v>278</x:v>
      </x:c>
      <x:c r="B279" s="3" t="n">
        <x:v>38</x:v>
      </x:c>
      <x:c r="C279" s="3" t="n">
        <x:v>6</x:v>
      </x:c>
      <x:c r="D279" s="3" t="n">
        <x:v>3</x:v>
      </x:c>
      <x:c r="E279" s="3" t="n">
        <x:v>5</x:v>
      </x:c>
      <x:c r="F279" s="3" t="str">
        <x:v>04:00</x:v>
      </x:c>
      <x:c r="G279" s="3" t="str">
        <x:v>05:00</x:v>
      </x:c>
      <x:c r="H279" s="9" t="n">
        <x:v>0.475</x:v>
      </x:c>
      <x:c r="I279" s="9" t="n">
        <x:f>'Physical_Arcs'!K39*H279</x:f>
        <x:v>83.125</x:v>
      </x:c>
      <x:c r="J279" s="9" t="n">
        <x:f>'Physical_Arcs'!L39*H279</x:f>
        <x:v>827.4499999999999</x:v>
      </x:c>
      <x:c r="K279" s="9" t="n">
        <x:f>'Physical_Arcs'!M39*H279</x:f>
        <x:v>413.72499999999997</x:v>
      </x:c>
      <x:c r="L279" s="9" t="n">
        <x:f>'Physical_Arcs'!U39</x:f>
        <x:v>0.921348</x:v>
      </x:c>
      <x:c r="M279" s="9" t="n">
        <x:f>L279*'Parameters'!$C$6</x:f>
        <x:v>0.921348</x:v>
      </x:c>
      <x:c r="N279" s="3" t="n">
        <x:v>1</x:v>
      </x:c>
    </x:row>
    <x:row r="280" ht="21" customHeight="1">
      <x:c r="A280" s="3" t="n">
        <x:v>279</x:v>
      </x:c>
      <x:c r="B280" s="3" t="n">
        <x:v>39</x:v>
      </x:c>
      <x:c r="C280" s="3" t="n">
        <x:v>7</x:v>
      </x:c>
      <x:c r="D280" s="3" t="n">
        <x:v>8</x:v>
      </x:c>
      <x:c r="E280" s="3" t="n">
        <x:v>5</x:v>
      </x:c>
      <x:c r="F280" s="3" t="str">
        <x:v>04:00</x:v>
      </x:c>
      <x:c r="G280" s="3" t="str">
        <x:v>05:00</x:v>
      </x:c>
      <x:c r="H280" s="9" t="n">
        <x:v>0.475</x:v>
      </x:c>
      <x:c r="I280" s="9" t="n">
        <x:f>'Physical_Arcs'!K40*H280</x:f>
        <x:v>285.47499999999997</x:v>
      </x:c>
      <x:c r="J280" s="9" t="n">
        <x:f>'Physical_Arcs'!L40*H280</x:f>
        <x:v>2852.375</x:v>
      </x:c>
      <x:c r="K280" s="9" t="n">
        <x:f>'Physical_Arcs'!M40*H280</x:f>
        <x:v>1426.425</x:v>
      </x:c>
      <x:c r="L280" s="9" t="n">
        <x:f>'Physical_Arcs'!U40</x:f>
        <x:v>2</x:v>
      </x:c>
      <x:c r="M280" s="9" t="n">
        <x:f>L280*'Parameters'!$C$6</x:f>
        <x:v>2</x:v>
      </x:c>
      <x:c r="N280" s="3" t="n">
        <x:v>1</x:v>
      </x:c>
    </x:row>
    <x:row r="281" ht="21" customHeight="1">
      <x:c r="A281" s="3" t="n">
        <x:v>280</x:v>
      </x:c>
      <x:c r="B281" s="3" t="n">
        <x:v>40</x:v>
      </x:c>
      <x:c r="C281" s="3" t="n">
        <x:v>7</x:v>
      </x:c>
      <x:c r="D281" s="3" t="n">
        <x:v>1</x:v>
      </x:c>
      <x:c r="E281" s="3" t="n">
        <x:v>5</x:v>
      </x:c>
      <x:c r="F281" s="3" t="str">
        <x:v>04:00</x:v>
      </x:c>
      <x:c r="G281" s="3" t="str">
        <x:v>05:00</x:v>
      </x:c>
      <x:c r="H281" s="9" t="n">
        <x:v>0.475</x:v>
      </x:c>
      <x:c r="I281" s="9" t="n">
        <x:f>'Physical_Arcs'!K41*H281</x:f>
        <x:v>137.275</x:v>
      </x:c>
      <x:c r="J281" s="9" t="n">
        <x:f>'Physical_Arcs'!L41*H281</x:f>
        <x:v>1369.425</x:v>
      </x:c>
      <x:c r="K281" s="9" t="n">
        <x:f>'Physical_Arcs'!M41*H281</x:f>
        <x:v>684.9499999999999</x:v>
      </x:c>
      <x:c r="L281" s="9" t="n">
        <x:f>'Physical_Arcs'!U41</x:f>
        <x:v>1.932584</x:v>
      </x:c>
      <x:c r="M281" s="9" t="n">
        <x:f>L281*'Parameters'!$C$6</x:f>
        <x:v>1.932584</x:v>
      </x:c>
      <x:c r="N281" s="3" t="n">
        <x:v>1</x:v>
      </x:c>
    </x:row>
    <x:row r="282" ht="21" customHeight="1">
      <x:c r="A282" s="3" t="n">
        <x:v>281</x:v>
      </x:c>
      <x:c r="B282" s="3" t="n">
        <x:v>41</x:v>
      </x:c>
      <x:c r="C282" s="3" t="n">
        <x:v>7</x:v>
      </x:c>
      <x:c r="D282" s="3" t="n">
        <x:v>9</x:v>
      </x:c>
      <x:c r="E282" s="3" t="n">
        <x:v>5</x:v>
      </x:c>
      <x:c r="F282" s="3" t="str">
        <x:v>04:00</x:v>
      </x:c>
      <x:c r="G282" s="3" t="str">
        <x:v>05:00</x:v>
      </x:c>
      <x:c r="H282" s="9" t="n">
        <x:v>0.475</x:v>
      </x:c>
      <x:c r="I282" s="9" t="n">
        <x:f>'Physical_Arcs'!K42*H282</x:f>
        <x:v>274.075</x:v>
      </x:c>
      <x:c r="J282" s="9" t="n">
        <x:f>'Physical_Arcs'!L42*H282</x:f>
        <x:v>2738.375</x:v>
      </x:c>
      <x:c r="K282" s="9" t="n">
        <x:f>'Physical_Arcs'!M42*H282</x:f>
        <x:v>1369.425</x:v>
      </x:c>
      <x:c r="L282" s="9" t="n">
        <x:f>'Physical_Arcs'!U42</x:f>
        <x:v>0.685393</x:v>
      </x:c>
      <x:c r="M282" s="9" t="n">
        <x:f>L282*'Parameters'!$C$6</x:f>
        <x:v>0.685393</x:v>
      </x:c>
      <x:c r="N282" s="3" t="n">
        <x:v>1</x:v>
      </x:c>
    </x:row>
    <x:row r="283" ht="21" customHeight="1">
      <x:c r="A283" s="3" t="n">
        <x:v>282</x:v>
      </x:c>
      <x:c r="B283" s="3" t="n">
        <x:v>42</x:v>
      </x:c>
      <x:c r="C283" s="3" t="n">
        <x:v>7</x:v>
      </x:c>
      <x:c r="D283" s="3" t="n">
        <x:v>2</x:v>
      </x:c>
      <x:c r="E283" s="3" t="n">
        <x:v>5</x:v>
      </x:c>
      <x:c r="F283" s="3" t="str">
        <x:v>04:00</x:v>
      </x:c>
      <x:c r="G283" s="3" t="str">
        <x:v>05:00</x:v>
      </x:c>
      <x:c r="H283" s="9" t="n">
        <x:v>0.475</x:v>
      </x:c>
      <x:c r="I283" s="9" t="n">
        <x:f>'Physical_Arcs'!K43*H283</x:f>
        <x:v>43.225</x:v>
      </x:c>
      <x:c r="J283" s="9" t="n">
        <x:f>'Physical_Arcs'!L43*H283</x:f>
        <x:v>427.97499999999997</x:v>
      </x:c>
      <x:c r="K283" s="9" t="n">
        <x:f>'Physical_Arcs'!M43*H283</x:f>
        <x:v>214.225</x:v>
      </x:c>
      <x:c r="L283" s="9" t="n">
        <x:f>'Physical_Arcs'!U43</x:f>
        <x:v>1.308989</x:v>
      </x:c>
      <x:c r="M283" s="9" t="n">
        <x:f>L283*'Parameters'!$C$6</x:f>
        <x:v>1.308989</x:v>
      </x:c>
      <x:c r="N283" s="3" t="n">
        <x:v>1</x:v>
      </x:c>
    </x:row>
    <x:row r="284" ht="21" customHeight="1">
      <x:c r="A284" s="3" t="n">
        <x:v>283</x:v>
      </x:c>
      <x:c r="B284" s="3" t="n">
        <x:v>43</x:v>
      </x:c>
      <x:c r="C284" s="3" t="n">
        <x:v>7</x:v>
      </x:c>
      <x:c r="D284" s="3" t="n">
        <x:v>3</x:v>
      </x:c>
      <x:c r="E284" s="3" t="n">
        <x:v>5</x:v>
      </x:c>
      <x:c r="F284" s="3" t="str">
        <x:v>04:00</x:v>
      </x:c>
      <x:c r="G284" s="3" t="str">
        <x:v>05:00</x:v>
      </x:c>
      <x:c r="H284" s="9" t="n">
        <x:v>0.475</x:v>
      </x:c>
      <x:c r="I284" s="9" t="n">
        <x:f>'Physical_Arcs'!K44*H284</x:f>
        <x:v>171.475</x:v>
      </x:c>
      <x:c r="J284" s="9" t="n">
        <x:f>'Physical_Arcs'!L44*H284</x:f>
        <x:v>1711.425</x:v>
      </x:c>
      <x:c r="K284" s="9" t="n">
        <x:f>'Physical_Arcs'!M44*H284</x:f>
        <x:v>855.9499999999999</x:v>
      </x:c>
      <x:c r="L284" s="9" t="n">
        <x:f>'Physical_Arcs'!U44</x:f>
        <x:v>0.955056</x:v>
      </x:c>
      <x:c r="M284" s="9" t="n">
        <x:f>L284*'Parameters'!$C$6</x:f>
        <x:v>0.955056</x:v>
      </x:c>
      <x:c r="N284" s="3" t="n">
        <x:v>1</x:v>
      </x:c>
    </x:row>
    <x:row r="285" ht="21" customHeight="1">
      <x:c r="A285" s="3" t="n">
        <x:v>284</x:v>
      </x:c>
      <x:c r="B285" s="3" t="n">
        <x:v>44</x:v>
      </x:c>
      <x:c r="C285" s="3" t="n">
        <x:v>8</x:v>
      </x:c>
      <x:c r="D285" s="3" t="n">
        <x:v>9</x:v>
      </x:c>
      <x:c r="E285" s="3" t="n">
        <x:v>5</x:v>
      </x:c>
      <x:c r="F285" s="3" t="str">
        <x:v>04:00</x:v>
      </x:c>
      <x:c r="G285" s="3" t="str">
        <x:v>05:00</x:v>
      </x:c>
      <x:c r="H285" s="9" t="n">
        <x:v>0.475</x:v>
      </x:c>
      <x:c r="I285" s="9" t="n">
        <x:f>'Physical_Arcs'!K45*H285</x:f>
        <x:v>285.47499999999997</x:v>
      </x:c>
      <x:c r="J285" s="9" t="n">
        <x:f>'Physical_Arcs'!L45*H285</x:f>
        <x:v>2852.375</x:v>
      </x:c>
      <x:c r="K285" s="9" t="n">
        <x:f>'Physical_Arcs'!M45*H285</x:f>
        <x:v>1426.425</x:v>
      </x:c>
      <x:c r="L285" s="9" t="n">
        <x:f>'Physical_Arcs'!U45</x:f>
        <x:v>2</x:v>
      </x:c>
      <x:c r="M285" s="9" t="n">
        <x:f>L285*'Parameters'!$C$6</x:f>
        <x:v>2</x:v>
      </x:c>
      <x:c r="N285" s="3" t="n">
        <x:v>1</x:v>
      </x:c>
    </x:row>
    <x:row r="286" ht="21" customHeight="1">
      <x:c r="A286" s="3" t="n">
        <x:v>285</x:v>
      </x:c>
      <x:c r="B286" s="3" t="n">
        <x:v>45</x:v>
      </x:c>
      <x:c r="C286" s="3" t="n">
        <x:v>8</x:v>
      </x:c>
      <x:c r="D286" s="3" t="n">
        <x:v>3</x:v>
      </x:c>
      <x:c r="E286" s="3" t="n">
        <x:v>5</x:v>
      </x:c>
      <x:c r="F286" s="3" t="str">
        <x:v>04:00</x:v>
      </x:c>
      <x:c r="G286" s="3" t="str">
        <x:v>05:00</x:v>
      </x:c>
      <x:c r="H286" s="9" t="n">
        <x:v>0.475</x:v>
      </x:c>
      <x:c r="I286" s="9" t="n">
        <x:f>'Physical_Arcs'!K46*H286</x:f>
        <x:v>162.92499999999998</x:v>
      </x:c>
      <x:c r="J286" s="9" t="n">
        <x:f>'Physical_Arcs'!L46*H286</x:f>
        <x:v>1625.925</x:v>
      </x:c>
      <x:c r="K286" s="9" t="n">
        <x:f>'Physical_Arcs'!M46*H286</x:f>
        <x:v>813.1999999999999</x:v>
      </x:c>
      <x:c r="L286" s="9" t="n">
        <x:f>'Physical_Arcs'!U46</x:f>
        <x:v>1.005618</x:v>
      </x:c>
      <x:c r="M286" s="9" t="n">
        <x:f>L286*'Parameters'!$C$6</x:f>
        <x:v>1.005618</x:v>
      </x:c>
      <x:c r="N286" s="3" t="n">
        <x:v>1</x:v>
      </x:c>
    </x:row>
    <x:row r="287" ht="21" customHeight="1">
      <x:c r="A287" s="3" t="n">
        <x:v>286</x:v>
      </x:c>
      <x:c r="B287" s="3" t="n">
        <x:v>46</x:v>
      </x:c>
      <x:c r="C287" s="3" t="n">
        <x:v>8</x:v>
      </x:c>
      <x:c r="D287" s="3" t="n">
        <x:v>7</x:v>
      </x:c>
      <x:c r="E287" s="3" t="n">
        <x:v>5</x:v>
      </x:c>
      <x:c r="F287" s="3" t="str">
        <x:v>04:00</x:v>
      </x:c>
      <x:c r="G287" s="3" t="str">
        <x:v>05:00</x:v>
      </x:c>
      <x:c r="H287" s="9" t="n">
        <x:v>0.475</x:v>
      </x:c>
      <x:c r="I287" s="9" t="n">
        <x:f>'Physical_Arcs'!K47*H287</x:f>
        <x:v>171.475</x:v>
      </x:c>
      <x:c r="J287" s="9" t="n">
        <x:f>'Physical_Arcs'!L47*H287</x:f>
        <x:v>1711.425</x:v>
      </x:c>
      <x:c r="K287" s="9" t="n">
        <x:f>'Physical_Arcs'!M47*H287</x:f>
        <x:v>855.9499999999999</x:v>
      </x:c>
      <x:c r="L287" s="9" t="n">
        <x:f>'Physical_Arcs'!U47</x:f>
        <x:v>1.629213</x:v>
      </x:c>
      <x:c r="M287" s="9" t="n">
        <x:f>L287*'Parameters'!$C$6</x:f>
        <x:v>1.629213</x:v>
      </x:c>
      <x:c r="N287" s="3" t="n">
        <x:v>1</x:v>
      </x:c>
    </x:row>
    <x:row r="288" ht="21" customHeight="1">
      <x:c r="A288" s="3" t="n">
        <x:v>287</x:v>
      </x:c>
      <x:c r="B288" s="3" t="n">
        <x:v>47</x:v>
      </x:c>
      <x:c r="C288" s="3" t="n">
        <x:v>8</x:v>
      </x:c>
      <x:c r="D288" s="3" t="n">
        <x:v>2</x:v>
      </x:c>
      <x:c r="E288" s="3" t="n">
        <x:v>5</x:v>
      </x:c>
      <x:c r="F288" s="3" t="str">
        <x:v>04:00</x:v>
      </x:c>
      <x:c r="G288" s="3" t="str">
        <x:v>05:00</x:v>
      </x:c>
      <x:c r="H288" s="9" t="n">
        <x:v>0.475</x:v>
      </x:c>
      <x:c r="I288" s="9" t="n">
        <x:f>'Physical_Arcs'!K48*H288</x:f>
        <x:v>123.02499999999999</x:v>
      </x:c>
      <x:c r="J288" s="9" t="n">
        <x:f>'Physical_Arcs'!L48*H288</x:f>
        <x:v>1226.45</x:v>
      </x:c>
      <x:c r="K288" s="9" t="n">
        <x:f>'Physical_Arcs'!M48*H288</x:f>
        <x:v>613.225</x:v>
      </x:c>
      <x:c r="L288" s="9" t="n">
        <x:f>'Physical_Arcs'!U48</x:f>
        <x:v>0.820225</x:v>
      </x:c>
      <x:c r="M288" s="9" t="n">
        <x:f>L288*'Parameters'!$C$6</x:f>
        <x:v>0.820225</x:v>
      </x:c>
      <x:c r="N288" s="3" t="n">
        <x:v>1</x:v>
      </x:c>
    </x:row>
    <x:row r="289" ht="21" customHeight="1">
      <x:c r="A289" s="3" t="n">
        <x:v>288</x:v>
      </x:c>
      <x:c r="B289" s="3" t="n">
        <x:v>48</x:v>
      </x:c>
      <x:c r="C289" s="3" t="n">
        <x:v>8</x:v>
      </x:c>
      <x:c r="D289" s="3" t="n">
        <x:v>6</x:v>
      </x:c>
      <x:c r="E289" s="3" t="n">
        <x:v>5</x:v>
      </x:c>
      <x:c r="F289" s="3" t="str">
        <x:v>04:00</x:v>
      </x:c>
      <x:c r="G289" s="3" t="str">
        <x:v>05:00</x:v>
      </x:c>
      <x:c r="H289" s="9" t="n">
        <x:v>0.475</x:v>
      </x:c>
      <x:c r="I289" s="9" t="n">
        <x:f>'Physical_Arcs'!K49*H289</x:f>
        <x:v>162.92499999999998</x:v>
      </x:c>
      <x:c r="J289" s="9" t="n">
        <x:f>'Physical_Arcs'!L49*H289</x:f>
        <x:v>1625.925</x:v>
      </x:c>
      <x:c r="K289" s="9" t="n">
        <x:f>'Physical_Arcs'!M49*H289</x:f>
        <x:v>813.1999999999999</x:v>
      </x:c>
      <x:c r="L289" s="9" t="n">
        <x:f>'Physical_Arcs'!U49</x:f>
        <x:v>1.022472</x:v>
      </x:c>
      <x:c r="M289" s="9" t="n">
        <x:f>L289*'Parameters'!$C$6</x:f>
        <x:v>1.022472</x:v>
      </x:c>
      <x:c r="N289" s="3" t="n">
        <x:v>1</x:v>
      </x:c>
    </x:row>
    <x:row r="290" ht="21" customHeight="1">
      <x:c r="A290" s="3" t="n">
        <x:v>289</x:v>
      </x:c>
      <x:c r="B290" s="3" t="n">
        <x:v>49</x:v>
      </x:c>
      <x:c r="C290" s="3" t="n">
        <x:v>8</x:v>
      </x:c>
      <x:c r="D290" s="3" t="n">
        <x:v>4</x:v>
      </x:c>
      <x:c r="E290" s="3" t="n">
        <x:v>5</x:v>
      </x:c>
      <x:c r="F290" s="3" t="str">
        <x:v>04:00</x:v>
      </x:c>
      <x:c r="G290" s="3" t="str">
        <x:v>05:00</x:v>
      </x:c>
      <x:c r="H290" s="9" t="n">
        <x:v>0.475</x:v>
      </x:c>
      <x:c r="I290" s="9" t="n">
        <x:f>'Physical_Arcs'!K50*H290</x:f>
        <x:v>108.77499999999999</x:v>
      </x:c>
      <x:c r="J290" s="9" t="n">
        <x:f>'Physical_Arcs'!L50*H290</x:f>
        <x:v>1083.95</x:v>
      </x:c>
      <x:c r="K290" s="9" t="n">
        <x:f>'Physical_Arcs'!M50*H290</x:f>
        <x:v>541.975</x:v>
      </x:c>
      <x:c r="L290" s="9" t="n">
        <x:f>'Physical_Arcs'!U50</x:f>
        <x:v>1.376404</x:v>
      </x:c>
      <x:c r="M290" s="9" t="n">
        <x:f>L290*'Parameters'!$C$6</x:f>
        <x:v>1.376404</x:v>
      </x:c>
      <x:c r="N290" s="3" t="n">
        <x:v>1</x:v>
      </x:c>
    </x:row>
    <x:row r="291" ht="21" customHeight="1">
      <x:c r="A291" s="3" t="n">
        <x:v>290</x:v>
      </x:c>
      <x:c r="B291" s="3" t="n">
        <x:v>50</x:v>
      </x:c>
      <x:c r="C291" s="3" t="n">
        <x:v>8</x:v>
      </x:c>
      <x:c r="D291" s="3" t="n">
        <x:v>5</x:v>
      </x:c>
      <x:c r="E291" s="3" t="n">
        <x:v>5</x:v>
      </x:c>
      <x:c r="F291" s="3" t="str">
        <x:v>04:00</x:v>
      </x:c>
      <x:c r="G291" s="3" t="str">
        <x:v>05:00</x:v>
      </x:c>
      <x:c r="H291" s="9" t="n">
        <x:v>0.475</x:v>
      </x:c>
      <x:c r="I291" s="9" t="n">
        <x:f>'Physical_Arcs'!K51*H291</x:f>
        <x:v>137.275</x:v>
      </x:c>
      <x:c r="J291" s="9" t="n">
        <x:f>'Physical_Arcs'!L51*H291</x:f>
        <x:v>1369.425</x:v>
      </x:c>
      <x:c r="K291" s="9" t="n">
        <x:f>'Physical_Arcs'!M51*H291</x:f>
        <x:v>684.9499999999999</x:v>
      </x:c>
      <x:c r="L291" s="9" t="n">
        <x:f>'Physical_Arcs'!U51</x:f>
        <x:v>1.224719</x:v>
      </x:c>
      <x:c r="M291" s="9" t="n">
        <x:f>L291*'Parameters'!$C$6</x:f>
        <x:v>1.224719</x:v>
      </x:c>
      <x:c r="N291" s="3" t="n">
        <x:v>1</x:v>
      </x:c>
    </x:row>
    <x:row r="292" ht="21" customHeight="1">
      <x:c r="A292" s="3" t="n">
        <x:v>291</x:v>
      </x:c>
      <x:c r="B292" s="3" t="n">
        <x:v>51</x:v>
      </x:c>
      <x:c r="C292" s="3" t="n">
        <x:v>8</x:v>
      </x:c>
      <x:c r="D292" s="3" t="n">
        <x:v>1</x:v>
      </x:c>
      <x:c r="E292" s="3" t="n">
        <x:v>5</x:v>
      </x:c>
      <x:c r="F292" s="3" t="str">
        <x:v>04:00</x:v>
      </x:c>
      <x:c r="G292" s="3" t="str">
        <x:v>05:00</x:v>
      </x:c>
      <x:c r="H292" s="9" t="n">
        <x:v>0.475</x:v>
      </x:c>
      <x:c r="I292" s="9" t="n">
        <x:f>'Physical_Arcs'!K52*H292</x:f>
        <x:v>117.32499999999999</x:v>
      </x:c>
      <x:c r="J292" s="9" t="n">
        <x:f>'Physical_Arcs'!L52*H292</x:f>
        <x:v>1169.45</x:v>
      </x:c>
      <x:c r="K292" s="9" t="n">
        <x:f>'Physical_Arcs'!M52*H292</x:f>
        <x:v>584.725</x:v>
      </x:c>
      <x:c r="L292" s="9" t="n">
        <x:f>'Physical_Arcs'!U52</x:f>
        <x:v>1.949438</x:v>
      </x:c>
      <x:c r="M292" s="9" t="n">
        <x:f>L292*'Parameters'!$C$6</x:f>
        <x:v>1.949438</x:v>
      </x:c>
      <x:c r="N292" s="3" t="n">
        <x:v>1</x:v>
      </x:c>
    </x:row>
    <x:row r="293" ht="21" customHeight="1">
      <x:c r="A293" s="3" t="n">
        <x:v>292</x:v>
      </x:c>
      <x:c r="B293" s="3" t="n">
        <x:v>52</x:v>
      </x:c>
      <x:c r="C293" s="3" t="n">
        <x:v>9</x:v>
      </x:c>
      <x:c r="D293" s="3" t="n">
        <x:v>10</x:v>
      </x:c>
      <x:c r="E293" s="3" t="n">
        <x:v>5</x:v>
      </x:c>
      <x:c r="F293" s="3" t="str">
        <x:v>04:00</x:v>
      </x:c>
      <x:c r="G293" s="3" t="str">
        <x:v>05:00</x:v>
      </x:c>
      <x:c r="H293" s="9" t="n">
        <x:v>0.475</x:v>
      </x:c>
      <x:c r="I293" s="9" t="n">
        <x:f>'Physical_Arcs'!K53*H293</x:f>
        <x:v>285.47499999999997</x:v>
      </x:c>
      <x:c r="J293" s="9" t="n">
        <x:f>'Physical_Arcs'!L53*H293</x:f>
        <x:v>2852.375</x:v>
      </x:c>
      <x:c r="K293" s="9" t="n">
        <x:f>'Physical_Arcs'!M53*H293</x:f>
        <x:v>1426.425</x:v>
      </x:c>
      <x:c r="L293" s="9" t="n">
        <x:f>'Physical_Arcs'!U53</x:f>
        <x:v>2</x:v>
      </x:c>
      <x:c r="M293" s="9" t="n">
        <x:f>L293*'Parameters'!$C$6</x:f>
        <x:v>2</x:v>
      </x:c>
      <x:c r="N293" s="3" t="n">
        <x:v>1</x:v>
      </x:c>
    </x:row>
    <x:row r="294" ht="21" customHeight="1">
      <x:c r="A294" s="3" t="n">
        <x:v>293</x:v>
      </x:c>
      <x:c r="B294" s="3" t="n">
        <x:v>53</x:v>
      </x:c>
      <x:c r="C294" s="3" t="n">
        <x:v>9</x:v>
      </x:c>
      <x:c r="D294" s="3" t="n">
        <x:v>6</x:v>
      </x:c>
      <x:c r="E294" s="3" t="n">
        <x:v>5</x:v>
      </x:c>
      <x:c r="F294" s="3" t="str">
        <x:v>04:00</x:v>
      </x:c>
      <x:c r="G294" s="3" t="str">
        <x:v>05:00</x:v>
      </x:c>
      <x:c r="H294" s="9" t="n">
        <x:v>0.475</x:v>
      </x:c>
      <x:c r="I294" s="9" t="n">
        <x:f>'Physical_Arcs'!K54*H294</x:f>
        <x:v>142.975</x:v>
      </x:c>
      <x:c r="J294" s="9" t="n">
        <x:f>'Physical_Arcs'!L54*H294</x:f>
        <x:v>1426.425</x:v>
      </x:c>
      <x:c r="K294" s="9" t="n">
        <x:f>'Physical_Arcs'!M54*H294</x:f>
        <x:v>713.4499999999999</x:v>
      </x:c>
      <x:c r="L294" s="9" t="n">
        <x:f>'Physical_Arcs'!U54</x:f>
        <x:v>1.157303</x:v>
      </x:c>
      <x:c r="M294" s="9" t="n">
        <x:f>L294*'Parameters'!$C$6</x:f>
        <x:v>1.157303</x:v>
      </x:c>
      <x:c r="N294" s="3" t="n">
        <x:v>1</x:v>
      </x:c>
    </x:row>
    <x:row r="295" ht="21" customHeight="1">
      <x:c r="A295" s="3" t="n">
        <x:v>294</x:v>
      </x:c>
      <x:c r="B295" s="3" t="n">
        <x:v>54</x:v>
      </x:c>
      <x:c r="C295" s="3" t="n">
        <x:v>9</x:v>
      </x:c>
      <x:c r="D295" s="3" t="n">
        <x:v>2</x:v>
      </x:c>
      <x:c r="E295" s="3" t="n">
        <x:v>5</x:v>
      </x:c>
      <x:c r="F295" s="3" t="str">
        <x:v>04:00</x:v>
      </x:c>
      <x:c r="G295" s="3" t="str">
        <x:v>05:00</x:v>
      </x:c>
      <x:c r="H295" s="9" t="n">
        <x:v>0.475</x:v>
      </x:c>
      <x:c r="I295" s="9" t="n">
        <x:f>'Physical_Arcs'!K55*H295</x:f>
        <x:v>234.17499999999998</x:v>
      </x:c>
      <x:c r="J295" s="9" t="n">
        <x:f>'Physical_Arcs'!L55*H295</x:f>
        <x:v>2338.9</x:v>
      </x:c>
      <x:c r="K295" s="9" t="n">
        <x:f>'Physical_Arcs'!M55*H295</x:f>
        <x:v>1169.45</x:v>
      </x:c>
      <x:c r="L295" s="9" t="n">
        <x:f>'Physical_Arcs'!U55</x:f>
        <x:v>0.904494</x:v>
      </x:c>
      <x:c r="M295" s="9" t="n">
        <x:f>L295*'Parameters'!$C$6</x:f>
        <x:v>0.904494</x:v>
      </x:c>
      <x:c r="N295" s="3" t="n">
        <x:v>1</x:v>
      </x:c>
    </x:row>
    <x:row r="296" ht="21" customHeight="1">
      <x:c r="A296" s="3" t="n">
        <x:v>295</x:v>
      </x:c>
      <x:c r="B296" s="3" t="n">
        <x:v>55</x:v>
      </x:c>
      <x:c r="C296" s="3" t="n">
        <x:v>9</x:v>
      </x:c>
      <x:c r="D296" s="3" t="n">
        <x:v>7</x:v>
      </x:c>
      <x:c r="E296" s="3" t="n">
        <x:v>5</x:v>
      </x:c>
      <x:c r="F296" s="3" t="str">
        <x:v>04:00</x:v>
      </x:c>
      <x:c r="G296" s="3" t="str">
        <x:v>05:00</x:v>
      </x:c>
      <x:c r="H296" s="9" t="n">
        <x:v>0.475</x:v>
      </x:c>
      <x:c r="I296" s="9" t="n">
        <x:f>'Physical_Arcs'!K56*H296</x:f>
        <x:v>103.07499999999999</x:v>
      </x:c>
      <x:c r="J296" s="9" t="n">
        <x:f>'Physical_Arcs'!L56*H296</x:f>
        <x:v>1026.95</x:v>
      </x:c>
      <x:c r="K296" s="9" t="n">
        <x:f>'Physical_Arcs'!M56*H296</x:f>
        <x:v>513.475</x:v>
      </x:c>
      <x:c r="L296" s="9" t="n">
        <x:f>'Physical_Arcs'!U56</x:f>
        <x:v>0.88764</x:v>
      </x:c>
      <x:c r="M296" s="9" t="n">
        <x:f>L296*'Parameters'!$C$6</x:f>
        <x:v>0.88764</x:v>
      </x:c>
      <x:c r="N296" s="3" t="n">
        <x:v>1</x:v>
      </x:c>
    </x:row>
    <x:row r="297" ht="21" customHeight="1">
      <x:c r="A297" s="3" t="n">
        <x:v>296</x:v>
      </x:c>
      <x:c r="B297" s="3" t="n">
        <x:v>56</x:v>
      </x:c>
      <x:c r="C297" s="3" t="n">
        <x:v>9</x:v>
      </x:c>
      <x:c r="D297" s="3" t="n">
        <x:v>3</x:v>
      </x:c>
      <x:c r="E297" s="3" t="n">
        <x:v>5</x:v>
      </x:c>
      <x:c r="F297" s="3" t="str">
        <x:v>04:00</x:v>
      </x:c>
      <x:c r="G297" s="3" t="str">
        <x:v>05:00</x:v>
      </x:c>
      <x:c r="H297" s="9" t="n">
        <x:v>0.475</x:v>
      </x:c>
      <x:c r="I297" s="9" t="n">
        <x:f>'Physical_Arcs'!K57*H297</x:f>
        <x:v>194.27499999999998</x:v>
      </x:c>
      <x:c r="J297" s="9" t="n">
        <x:f>'Physical_Arcs'!L57*H297</x:f>
        <x:v>1939.8999999999999</x:v>
      </x:c>
      <x:c r="K297" s="9" t="n">
        <x:f>'Physical_Arcs'!M57*H297</x:f>
        <x:v>969.9499999999999</x:v>
      </x:c>
      <x:c r="L297" s="9" t="n">
        <x:f>'Physical_Arcs'!U57</x:f>
        <x:v>1.106742</x:v>
      </x:c>
      <x:c r="M297" s="9" t="n">
        <x:f>L297*'Parameters'!$C$6</x:f>
        <x:v>1.106742</x:v>
      </x:c>
      <x:c r="N297" s="3" t="n">
        <x:v>1</x:v>
      </x:c>
    </x:row>
    <x:row r="298" ht="21" customHeight="1">
      <x:c r="A298" s="3" t="n">
        <x:v>297</x:v>
      </x:c>
      <x:c r="B298" s="3" t="n">
        <x:v>57</x:v>
      </x:c>
      <x:c r="C298" s="3" t="n">
        <x:v>10</x:v>
      </x:c>
      <x:c r="D298" s="3" t="n">
        <x:v>1</x:v>
      </x:c>
      <x:c r="E298" s="3" t="n">
        <x:v>5</x:v>
      </x:c>
      <x:c r="F298" s="3" t="str">
        <x:v>04:00</x:v>
      </x:c>
      <x:c r="G298" s="3" t="str">
        <x:v>05:00</x:v>
      </x:c>
      <x:c r="H298" s="9" t="n">
        <x:v>0.475</x:v>
      </x:c>
      <x:c r="I298" s="9" t="n">
        <x:f>'Physical_Arcs'!K58*H298</x:f>
        <x:v>285.47499999999997</x:v>
      </x:c>
      <x:c r="J298" s="9" t="n">
        <x:f>'Physical_Arcs'!L58*H298</x:f>
        <x:v>2852.375</x:v>
      </x:c>
      <x:c r="K298" s="9" t="n">
        <x:f>'Physical_Arcs'!M58*H298</x:f>
        <x:v>1426.425</x:v>
      </x:c>
      <x:c r="L298" s="9" t="n">
        <x:f>'Physical_Arcs'!U58</x:f>
        <x:v>2</x:v>
      </x:c>
      <x:c r="M298" s="9" t="n">
        <x:f>L298*'Parameters'!$C$6</x:f>
        <x:v>2</x:v>
      </x:c>
      <x:c r="N298" s="3" t="n">
        <x:v>1</x:v>
      </x:c>
    </x:row>
    <x:row r="299" ht="21" customHeight="1">
      <x:c r="A299" s="3" t="n">
        <x:v>298</x:v>
      </x:c>
      <x:c r="B299" s="3" t="n">
        <x:v>58</x:v>
      </x:c>
      <x:c r="C299" s="3" t="n">
        <x:v>10</x:v>
      </x:c>
      <x:c r="D299" s="3" t="n">
        <x:v>6</x:v>
      </x:c>
      <x:c r="E299" s="3" t="n">
        <x:v>5</x:v>
      </x:c>
      <x:c r="F299" s="3" t="str">
        <x:v>04:00</x:v>
      </x:c>
      <x:c r="G299" s="3" t="str">
        <x:v>05:00</x:v>
      </x:c>
      <x:c r="H299" s="9" t="n">
        <x:v>0.475</x:v>
      </x:c>
      <x:c r="I299" s="9" t="n">
        <x:f>'Physical_Arcs'!K59*H299</x:f>
        <x:v>180.025</x:v>
      </x:c>
      <x:c r="J299" s="9" t="n">
        <x:f>'Physical_Arcs'!L59*H299</x:f>
        <x:v>1796.925</x:v>
      </x:c>
      <x:c r="K299" s="9" t="n">
        <x:f>'Physical_Arcs'!M59*H299</x:f>
        <x:v>898.6999999999999</x:v>
      </x:c>
      <x:c r="L299" s="9" t="n">
        <x:f>'Physical_Arcs'!U59</x:f>
        <x:v>1.123596</x:v>
      </x:c>
      <x:c r="M299" s="9" t="n">
        <x:f>L299*'Parameters'!$C$6</x:f>
        <x:v>1.123596</x:v>
      </x:c>
      <x:c r="N299" s="3" t="n">
        <x:v>1</x:v>
      </x:c>
    </x:row>
    <x:row r="300" ht="21" customHeight="1">
      <x:c r="A300" s="3" t="n">
        <x:v>299</x:v>
      </x:c>
      <x:c r="B300" s="3" t="n">
        <x:v>59</x:v>
      </x:c>
      <x:c r="C300" s="3" t="n">
        <x:v>10</x:v>
      </x:c>
      <x:c r="D300" s="3" t="n">
        <x:v>4</x:v>
      </x:c>
      <x:c r="E300" s="3" t="n">
        <x:v>5</x:v>
      </x:c>
      <x:c r="F300" s="3" t="str">
        <x:v>04:00</x:v>
      </x:c>
      <x:c r="G300" s="3" t="str">
        <x:v>05:00</x:v>
      </x:c>
      <x:c r="H300" s="9" t="n">
        <x:v>0.475</x:v>
      </x:c>
      <x:c r="I300" s="9" t="n">
        <x:f>'Physical_Arcs'!K60*H300</x:f>
        <x:v>256.97499999999997</x:v>
      </x:c>
      <x:c r="J300" s="9" t="n">
        <x:f>'Physical_Arcs'!L60*H300</x:f>
        <x:v>2567.375</x:v>
      </x:c>
      <x:c r="K300" s="9" t="n">
        <x:f>'Physical_Arcs'!M60*H300</x:f>
        <x:v>1283.925</x:v>
      </x:c>
      <x:c r="L300" s="9" t="n">
        <x:f>'Physical_Arcs'!U60</x:f>
        <x:v>1.949438</x:v>
      </x:c>
      <x:c r="M300" s="9" t="n">
        <x:f>L300*'Parameters'!$C$6</x:f>
        <x:v>1.949438</x:v>
      </x:c>
      <x:c r="N300" s="3" t="n">
        <x:v>1</x:v>
      </x:c>
    </x:row>
    <x:row r="301" ht="21" customHeight="1">
      <x:c r="A301" s="3" t="n">
        <x:v>300</x:v>
      </x:c>
      <x:c r="B301" s="3" t="n">
        <x:v>60</x:v>
      </x:c>
      <x:c r="C301" s="3" t="n">
        <x:v>10</x:v>
      </x:c>
      <x:c r="D301" s="3" t="n">
        <x:v>9</x:v>
      </x:c>
      <x:c r="E301" s="3" t="n">
        <x:v>5</x:v>
      </x:c>
      <x:c r="F301" s="3" t="str">
        <x:v>04:00</x:v>
      </x:c>
      <x:c r="G301" s="3" t="str">
        <x:v>05:00</x:v>
      </x:c>
      <x:c r="H301" s="9" t="n">
        <x:v>0.475</x:v>
      </x:c>
      <x:c r="I301" s="9" t="n">
        <x:f>'Physical_Arcs'!K61*H301</x:f>
        <x:v>94.52499999999999</x:v>
      </x:c>
      <x:c r="J301" s="9" t="n">
        <x:f>'Physical_Arcs'!L61*H301</x:f>
        <x:v>941.4499999999999</x:v>
      </x:c>
      <x:c r="K301" s="9" t="n">
        <x:f>'Physical_Arcs'!M61*H301</x:f>
        <x:v>470.72499999999997</x:v>
      </x:c>
      <x:c r="L301" s="9" t="n">
        <x:f>'Physical_Arcs'!U61</x:f>
        <x:v>1.494382</x:v>
      </x:c>
      <x:c r="M301" s="9" t="n">
        <x:f>L301*'Parameters'!$C$6</x:f>
        <x:v>1.494382</x:v>
      </x:c>
      <x:c r="N301" s="3" t="n">
        <x:v>1</x:v>
      </x:c>
    </x:row>
    <x:row r="302" ht="21" customHeight="1">
      <x:c r="A302" s="3" t="n">
        <x:v>301</x:v>
      </x:c>
      <x:c r="B302" s="3" t="n">
        <x:v>1</x:v>
      </x:c>
      <x:c r="C302" s="3" t="n">
        <x:v>1</x:v>
      </x:c>
      <x:c r="D302" s="3" t="n">
        <x:v>2</x:v>
      </x:c>
      <x:c r="E302" s="3" t="n">
        <x:v>6</x:v>
      </x:c>
      <x:c r="F302" s="3" t="str">
        <x:v>05:00</x:v>
      </x:c>
      <x:c r="G302" s="3" t="str">
        <x:v>06:00</x:v>
      </x:c>
      <x:c r="H302" s="9" t="n">
        <x:v>0.475</x:v>
      </x:c>
      <x:c r="I302" s="9" t="n">
        <x:f>'Physical_Arcs'!K2*H302</x:f>
        <x:v>285.47499999999997</x:v>
      </x:c>
      <x:c r="J302" s="9" t="n">
        <x:f>'Physical_Arcs'!L2*H302</x:f>
        <x:v>2852.375</x:v>
      </x:c>
      <x:c r="K302" s="9" t="n">
        <x:f>'Physical_Arcs'!M2*H302</x:f>
        <x:v>1426.425</x:v>
      </x:c>
      <x:c r="L302" s="9" t="n">
        <x:f>'Physical_Arcs'!U2</x:f>
        <x:v>2</x:v>
      </x:c>
      <x:c r="M302" s="9" t="n">
        <x:f>L302*'Parameters'!$C$6</x:f>
        <x:v>2</x:v>
      </x:c>
      <x:c r="N302" s="3" t="n">
        <x:v>1</x:v>
      </x:c>
    </x:row>
    <x:row r="303" ht="21" customHeight="1">
      <x:c r="A303" s="3" t="n">
        <x:v>302</x:v>
      </x:c>
      <x:c r="B303" s="3" t="n">
        <x:v>2</x:v>
      </x:c>
      <x:c r="C303" s="3" t="n">
        <x:v>1</x:v>
      </x:c>
      <x:c r="D303" s="3" t="n">
        <x:v>10</x:v>
      </x:c>
      <x:c r="E303" s="3" t="n">
        <x:v>6</x:v>
      </x:c>
      <x:c r="F303" s="3" t="str">
        <x:v>05:00</x:v>
      </x:c>
      <x:c r="G303" s="3" t="str">
        <x:v>06:00</x:v>
      </x:c>
      <x:c r="H303" s="9" t="n">
        <x:v>0.475</x:v>
      </x:c>
      <x:c r="I303" s="9" t="n">
        <x:f>'Physical_Arcs'!K3*H303</x:f>
        <x:v>117.32499999999999</x:v>
      </x:c>
      <x:c r="J303" s="9" t="n">
        <x:f>'Physical_Arcs'!L3*H303</x:f>
        <x:v>1169.45</x:v>
      </x:c>
      <x:c r="K303" s="9" t="n">
        <x:f>'Physical_Arcs'!M3*H303</x:f>
        <x:v>584.725</x:v>
      </x:c>
      <x:c r="L303" s="9" t="n">
        <x:f>'Physical_Arcs'!U3</x:f>
        <x:v>1.224719</x:v>
      </x:c>
      <x:c r="M303" s="9" t="n">
        <x:f>L303*'Parameters'!$C$6</x:f>
        <x:v>1.224719</x:v>
      </x:c>
      <x:c r="N303" s="3" t="n">
        <x:v>1</x:v>
      </x:c>
    </x:row>
    <x:row r="304" ht="21" customHeight="1">
      <x:c r="A304" s="3" t="n">
        <x:v>303</x:v>
      </x:c>
      <x:c r="B304" s="3" t="n">
        <x:v>3</x:v>
      </x:c>
      <x:c r="C304" s="3" t="n">
        <x:v>1</x:v>
      </x:c>
      <x:c r="D304" s="3" t="n">
        <x:v>8</x:v>
      </x:c>
      <x:c r="E304" s="3" t="n">
        <x:v>6</x:v>
      </x:c>
      <x:c r="F304" s="3" t="str">
        <x:v>05:00</x:v>
      </x:c>
      <x:c r="G304" s="3" t="str">
        <x:v>06:00</x:v>
      </x:c>
      <x:c r="H304" s="9" t="n">
        <x:v>0.475</x:v>
      </x:c>
      <x:c r="I304" s="9" t="n">
        <x:f>'Physical_Arcs'!K4*H304</x:f>
        <x:v>180.025</x:v>
      </x:c>
      <x:c r="J304" s="9" t="n">
        <x:f>'Physical_Arcs'!L4*H304</x:f>
        <x:v>1796.925</x:v>
      </x:c>
      <x:c r="K304" s="9" t="n">
        <x:f>'Physical_Arcs'!M4*H304</x:f>
        <x:v>898.6999999999999</x:v>
      </x:c>
      <x:c r="L304" s="9" t="n">
        <x:f>'Physical_Arcs'!U4</x:f>
        <x:v>1.073034</x:v>
      </x:c>
      <x:c r="M304" s="9" t="n">
        <x:f>L304*'Parameters'!$C$6</x:f>
        <x:v>1.073034</x:v>
      </x:c>
      <x:c r="N304" s="3" t="n">
        <x:v>1</x:v>
      </x:c>
    </x:row>
    <x:row r="305" ht="21" customHeight="1">
      <x:c r="A305" s="3" t="n">
        <x:v>304</x:v>
      </x:c>
      <x:c r="B305" s="3" t="n">
        <x:v>4</x:v>
      </x:c>
      <x:c r="C305" s="3" t="n">
        <x:v>1</x:v>
      </x:c>
      <x:c r="D305" s="3" t="n">
        <x:v>7</x:v>
      </x:c>
      <x:c r="E305" s="3" t="n">
        <x:v>6</x:v>
      </x:c>
      <x:c r="F305" s="3" t="str">
        <x:v>05:00</x:v>
      </x:c>
      <x:c r="G305" s="3" t="str">
        <x:v>06:00</x:v>
      </x:c>
      <x:c r="H305" s="9" t="n">
        <x:v>0.475</x:v>
      </x:c>
      <x:c r="I305" s="9" t="n">
        <x:f>'Physical_Arcs'!K5*H305</x:f>
        <x:v>177.17499999999998</x:v>
      </x:c>
      <x:c r="J305" s="9" t="n">
        <x:f>'Physical_Arcs'!L5*H305</x:f>
        <x:v>1768.425</x:v>
      </x:c>
      <x:c r="K305" s="9" t="n">
        <x:f>'Physical_Arcs'!M5*H305</x:f>
        <x:v>884.4499999999999</x:v>
      </x:c>
      <x:c r="L305" s="9" t="n">
        <x:f>'Physical_Arcs'!U5</x:f>
        <x:v>0.617978</x:v>
      </x:c>
      <x:c r="M305" s="9" t="n">
        <x:f>L305*'Parameters'!$C$6</x:f>
        <x:v>0.617978</x:v>
      </x:c>
      <x:c r="N305" s="3" t="n">
        <x:v>1</x:v>
      </x:c>
    </x:row>
    <x:row r="306" ht="21" customHeight="1">
      <x:c r="A306" s="3" t="n">
        <x:v>305</x:v>
      </x:c>
      <x:c r="B306" s="3" t="n">
        <x:v>5</x:v>
      </x:c>
      <x:c r="C306" s="3" t="n">
        <x:v>1</x:v>
      </x:c>
      <x:c r="D306" s="3" t="n">
        <x:v>4</x:v>
      </x:c>
      <x:c r="E306" s="3" t="n">
        <x:v>6</x:v>
      </x:c>
      <x:c r="F306" s="3" t="str">
        <x:v>05:00</x:v>
      </x:c>
      <x:c r="G306" s="3" t="str">
        <x:v>06:00</x:v>
      </x:c>
      <x:c r="H306" s="9" t="n">
        <x:v>0.475</x:v>
      </x:c>
      <x:c r="I306" s="9" t="n">
        <x:f>'Physical_Arcs'!K6*H306</x:f>
        <x:v>117.32499999999999</x:v>
      </x:c>
      <x:c r="J306" s="9" t="n">
        <x:f>'Physical_Arcs'!L6*H306</x:f>
        <x:v>1169.45</x:v>
      </x:c>
      <x:c r="K306" s="9" t="n">
        <x:f>'Physical_Arcs'!M6*H306</x:f>
        <x:v>584.725</x:v>
      </x:c>
      <x:c r="L306" s="9" t="n">
        <x:f>'Physical_Arcs'!U6</x:f>
        <x:v>0.533708</x:v>
      </x:c>
      <x:c r="M306" s="9" t="n">
        <x:f>L306*'Parameters'!$C$6</x:f>
        <x:v>0.533708</x:v>
      </x:c>
      <x:c r="N306" s="3" t="n">
        <x:v>1</x:v>
      </x:c>
    </x:row>
    <x:row r="307" ht="21" customHeight="1">
      <x:c r="A307" s="3" t="n">
        <x:v>306</x:v>
      </x:c>
      <x:c r="B307" s="3" t="n">
        <x:v>6</x:v>
      </x:c>
      <x:c r="C307" s="3" t="n">
        <x:v>1</x:v>
      </x:c>
      <x:c r="D307" s="3" t="n">
        <x:v>9</x:v>
      </x:c>
      <x:c r="E307" s="3" t="n">
        <x:v>6</x:v>
      </x:c>
      <x:c r="F307" s="3" t="str">
        <x:v>05:00</x:v>
      </x:c>
      <x:c r="G307" s="3" t="str">
        <x:v>06:00</x:v>
      </x:c>
      <x:c r="H307" s="9" t="n">
        <x:v>0.475</x:v>
      </x:c>
      <x:c r="I307" s="9" t="n">
        <x:f>'Physical_Arcs'!K7*H307</x:f>
        <x:v>197.125</x:v>
      </x:c>
      <x:c r="J307" s="9" t="n">
        <x:f>'Physical_Arcs'!L7*H307</x:f>
        <x:v>1968.3999999999999</x:v>
      </x:c>
      <x:c r="K307" s="9" t="n">
        <x:f>'Physical_Arcs'!M7*H307</x:f>
        <x:v>984.1999999999999</x:v>
      </x:c>
      <x:c r="L307" s="9" t="n">
        <x:f>'Physical_Arcs'!U7</x:f>
        <x:v>1.544944</x:v>
      </x:c>
      <x:c r="M307" s="9" t="n">
        <x:f>L307*'Parameters'!$C$6</x:f>
        <x:v>1.544944</x:v>
      </x:c>
      <x:c r="N307" s="3" t="n">
        <x:v>1</x:v>
      </x:c>
    </x:row>
    <x:row r="308" ht="21" customHeight="1">
      <x:c r="A308" s="3" t="n">
        <x:v>307</x:v>
      </x:c>
      <x:c r="B308" s="3" t="n">
        <x:v>7</x:v>
      </x:c>
      <x:c r="C308" s="3" t="n">
        <x:v>1</x:v>
      </x:c>
      <x:c r="D308" s="3" t="n">
        <x:v>5</x:v>
      </x:c>
      <x:c r="E308" s="3" t="n">
        <x:v>6</x:v>
      </x:c>
      <x:c r="F308" s="3" t="str">
        <x:v>05:00</x:v>
      </x:c>
      <x:c r="G308" s="3" t="str">
        <x:v>06:00</x:v>
      </x:c>
      <x:c r="H308" s="9" t="n">
        <x:v>0.475</x:v>
      </x:c>
      <x:c r="I308" s="9" t="n">
        <x:f>'Physical_Arcs'!K8*H308</x:f>
        <x:v>199.975</x:v>
      </x:c>
      <x:c r="J308" s="9" t="n">
        <x:f>'Physical_Arcs'!L8*H308</x:f>
        <x:v>1996.8999999999999</x:v>
      </x:c>
      <x:c r="K308" s="9" t="n">
        <x:f>'Physical_Arcs'!M8*H308</x:f>
        <x:v>998.4499999999999</x:v>
      </x:c>
      <x:c r="L308" s="9" t="n">
        <x:f>'Physical_Arcs'!U8</x:f>
        <x:v>1.275281</x:v>
      </x:c>
      <x:c r="M308" s="9" t="n">
        <x:f>L308*'Parameters'!$C$6</x:f>
        <x:v>1.275281</x:v>
      </x:c>
      <x:c r="N308" s="3" t="n">
        <x:v>1</x:v>
      </x:c>
    </x:row>
    <x:row r="309" ht="21" customHeight="1">
      <x:c r="A309" s="3" t="n">
        <x:v>308</x:v>
      </x:c>
      <x:c r="B309" s="3" t="n">
        <x:v>8</x:v>
      </x:c>
      <x:c r="C309" s="3" t="n">
        <x:v>1</x:v>
      </x:c>
      <x:c r="D309" s="3" t="n">
        <x:v>3</x:v>
      </x:c>
      <x:c r="E309" s="3" t="n">
        <x:v>6</x:v>
      </x:c>
      <x:c r="F309" s="3" t="str">
        <x:v>05:00</x:v>
      </x:c>
      <x:c r="G309" s="3" t="str">
        <x:v>06:00</x:v>
      </x:c>
      <x:c r="H309" s="9" t="n">
        <x:v>0.475</x:v>
      </x:c>
      <x:c r="I309" s="9" t="n">
        <x:f>'Physical_Arcs'!K9*H309</x:f>
        <x:v>245.575</x:v>
      </x:c>
      <x:c r="J309" s="9" t="n">
        <x:f>'Physical_Arcs'!L9*H309</x:f>
        <x:v>2452.9</x:v>
      </x:c>
      <x:c r="K309" s="9" t="n">
        <x:f>'Physical_Arcs'!M9*H309</x:f>
        <x:v>1226.45</x:v>
      </x:c>
      <x:c r="L309" s="9" t="n">
        <x:f>'Physical_Arcs'!U9</x:f>
        <x:v>1.410112</x:v>
      </x:c>
      <x:c r="M309" s="9" t="n">
        <x:f>L309*'Parameters'!$C$6</x:f>
        <x:v>1.410112</x:v>
      </x:c>
      <x:c r="N309" s="3" t="n">
        <x:v>1</x:v>
      </x:c>
    </x:row>
    <x:row r="310" ht="21" customHeight="1">
      <x:c r="A310" s="3" t="n">
        <x:v>309</x:v>
      </x:c>
      <x:c r="B310" s="3" t="n">
        <x:v>9</x:v>
      </x:c>
      <x:c r="C310" s="3" t="n">
        <x:v>1</x:v>
      </x:c>
      <x:c r="D310" s="3" t="n">
        <x:v>6</x:v>
      </x:c>
      <x:c r="E310" s="3" t="n">
        <x:v>6</x:v>
      </x:c>
      <x:c r="F310" s="3" t="str">
        <x:v>05:00</x:v>
      </x:c>
      <x:c r="G310" s="3" t="str">
        <x:v>06:00</x:v>
      </x:c>
      <x:c r="H310" s="9" t="n">
        <x:v>0.475</x:v>
      </x:c>
      <x:c r="I310" s="9" t="n">
        <x:f>'Physical_Arcs'!K10*H310</x:f>
        <x:v>37.525</x:v>
      </x:c>
      <x:c r="J310" s="9" t="n">
        <x:f>'Physical_Arcs'!L10*H310</x:f>
        <x:v>370.97499999999997</x:v>
      </x:c>
      <x:c r="K310" s="9" t="n">
        <x:f>'Physical_Arcs'!M10*H310</x:f>
        <x:v>185.725</x:v>
      </x:c>
      <x:c r="L310" s="9" t="n">
        <x:f>'Physical_Arcs'!U10</x:f>
        <x:v>1.342697</x:v>
      </x:c>
      <x:c r="M310" s="9" t="n">
        <x:f>L310*'Parameters'!$C$6</x:f>
        <x:v>1.342697</x:v>
      </x:c>
      <x:c r="N310" s="3" t="n">
        <x:v>1</x:v>
      </x:c>
    </x:row>
    <x:row r="311" ht="21" customHeight="1">
      <x:c r="A311" s="3" t="n">
        <x:v>310</x:v>
      </x:c>
      <x:c r="B311" s="3" t="n">
        <x:v>10</x:v>
      </x:c>
      <x:c r="C311" s="3" t="n">
        <x:v>2</x:v>
      </x:c>
      <x:c r="D311" s="3" t="n">
        <x:v>3</x:v>
      </x:c>
      <x:c r="E311" s="3" t="n">
        <x:v>6</x:v>
      </x:c>
      <x:c r="F311" s="3" t="str">
        <x:v>05:00</x:v>
      </x:c>
      <x:c r="G311" s="3" t="str">
        <x:v>06:00</x:v>
      </x:c>
      <x:c r="H311" s="9" t="n">
        <x:v>0.475</x:v>
      </x:c>
      <x:c r="I311" s="9" t="n">
        <x:f>'Physical_Arcs'!K11*H311</x:f>
        <x:v>285.47499999999997</x:v>
      </x:c>
      <x:c r="J311" s="9" t="n">
        <x:f>'Physical_Arcs'!L11*H311</x:f>
        <x:v>2852.375</x:v>
      </x:c>
      <x:c r="K311" s="9" t="n">
        <x:f>'Physical_Arcs'!M11*H311</x:f>
        <x:v>1426.425</x:v>
      </x:c>
      <x:c r="L311" s="9" t="n">
        <x:f>'Physical_Arcs'!U11</x:f>
        <x:v>2</x:v>
      </x:c>
      <x:c r="M311" s="9" t="n">
        <x:f>L311*'Parameters'!$C$6</x:f>
        <x:v>2</x:v>
      </x:c>
      <x:c r="N311" s="3" t="n">
        <x:v>1</x:v>
      </x:c>
    </x:row>
    <x:row r="312" ht="21" customHeight="1">
      <x:c r="A312" s="3" t="n">
        <x:v>311</x:v>
      </x:c>
      <x:c r="B312" s="3" t="n">
        <x:v>11</x:v>
      </x:c>
      <x:c r="C312" s="3" t="n">
        <x:v>2</x:v>
      </x:c>
      <x:c r="D312" s="3" t="n">
        <x:v>4</x:v>
      </x:c>
      <x:c r="E312" s="3" t="n">
        <x:v>6</x:v>
      </x:c>
      <x:c r="F312" s="3" t="str">
        <x:v>05:00</x:v>
      </x:c>
      <x:c r="G312" s="3" t="str">
        <x:v>06:00</x:v>
      </x:c>
      <x:c r="H312" s="9" t="n">
        <x:v>0.475</x:v>
      </x:c>
      <x:c r="I312" s="9" t="n">
        <x:f>'Physical_Arcs'!K12*H312</x:f>
        <x:v>211.375</x:v>
      </x:c>
      <x:c r="J312" s="9" t="n">
        <x:f>'Physical_Arcs'!L12*H312</x:f>
        <x:v>2110.9</x:v>
      </x:c>
      <x:c r="K312" s="9" t="n">
        <x:f>'Physical_Arcs'!M12*H312</x:f>
        <x:v>1055.45</x:v>
      </x:c>
      <x:c r="L312" s="9" t="n">
        <x:f>'Physical_Arcs'!U12</x:f>
        <x:v>0.533708</x:v>
      </x:c>
      <x:c r="M312" s="9" t="n">
        <x:f>L312*'Parameters'!$C$6</x:f>
        <x:v>0.533708</x:v>
      </x:c>
      <x:c r="N312" s="3" t="n">
        <x:v>1</x:v>
      </x:c>
    </x:row>
    <x:row r="313" ht="21" customHeight="1">
      <x:c r="A313" s="3" t="n">
        <x:v>312</x:v>
      </x:c>
      <x:c r="B313" s="3" t="n">
        <x:v>12</x:v>
      </x:c>
      <x:c r="C313" s="3" t="n">
        <x:v>2</x:v>
      </x:c>
      <x:c r="D313" s="3" t="n">
        <x:v>7</x:v>
      </x:c>
      <x:c r="E313" s="3" t="n">
        <x:v>6</x:v>
      </x:c>
      <x:c r="F313" s="3" t="str">
        <x:v>05:00</x:v>
      </x:c>
      <x:c r="G313" s="3" t="str">
        <x:v>06:00</x:v>
      </x:c>
      <x:c r="H313" s="9" t="n">
        <x:v>0.475</x:v>
      </x:c>
      <x:c r="I313" s="9" t="n">
        <x:f>'Physical_Arcs'!K13*H313</x:f>
        <x:v>162.92499999999998</x:v>
      </x:c>
      <x:c r="J313" s="9" t="n">
        <x:f>'Physical_Arcs'!L13*H313</x:f>
        <x:v>1625.925</x:v>
      </x:c>
      <x:c r="K313" s="9" t="n">
        <x:f>'Physical_Arcs'!M13*H313</x:f>
        <x:v>813.1999999999999</x:v>
      </x:c>
      <x:c r="L313" s="9" t="n">
        <x:f>'Physical_Arcs'!U13</x:f>
        <x:v>1.865169</x:v>
      </x:c>
      <x:c r="M313" s="9" t="n">
        <x:f>L313*'Parameters'!$C$6</x:f>
        <x:v>1.865169</x:v>
      </x:c>
      <x:c r="N313" s="3" t="n">
        <x:v>1</x:v>
      </x:c>
    </x:row>
    <x:row r="314" ht="21" customHeight="1">
      <x:c r="A314" s="3" t="n">
        <x:v>313</x:v>
      </x:c>
      <x:c r="B314" s="3" t="n">
        <x:v>13</x:v>
      </x:c>
      <x:c r="C314" s="3" t="n">
        <x:v>2</x:v>
      </x:c>
      <x:c r="D314" s="3" t="n">
        <x:v>9</x:v>
      </x:c>
      <x:c r="E314" s="3" t="n">
        <x:v>6</x:v>
      </x:c>
      <x:c r="F314" s="3" t="str">
        <x:v>05:00</x:v>
      </x:c>
      <x:c r="G314" s="3" t="str">
        <x:v>06:00</x:v>
      </x:c>
      <x:c r="H314" s="9" t="n">
        <x:v>0.475</x:v>
      </x:c>
      <x:c r="I314" s="9" t="n">
        <x:f>'Physical_Arcs'!K14*H314</x:f>
        <x:v>85.975</x:v>
      </x:c>
      <x:c r="J314" s="9" t="n">
        <x:f>'Physical_Arcs'!L14*H314</x:f>
        <x:v>855.9499999999999</x:v>
      </x:c>
      <x:c r="K314" s="9" t="n">
        <x:f>'Physical_Arcs'!M14*H314</x:f>
        <x:v>427.97499999999997</x:v>
      </x:c>
      <x:c r="L314" s="9" t="n">
        <x:f>'Physical_Arcs'!U14</x:f>
        <x:v>0.533708</x:v>
      </x:c>
      <x:c r="M314" s="9" t="n">
        <x:f>L314*'Parameters'!$C$6</x:f>
        <x:v>0.533708</x:v>
      </x:c>
      <x:c r="N314" s="3" t="n">
        <x:v>1</x:v>
      </x:c>
    </x:row>
    <x:row r="315" ht="21" customHeight="1">
      <x:c r="A315" s="3" t="n">
        <x:v>314</x:v>
      </x:c>
      <x:c r="B315" s="3" t="n">
        <x:v>14</x:v>
      </x:c>
      <x:c r="C315" s="3" t="n">
        <x:v>2</x:v>
      </x:c>
      <x:c r="D315" s="3" t="n">
        <x:v>8</x:v>
      </x:c>
      <x:c r="E315" s="3" t="n">
        <x:v>6</x:v>
      </x:c>
      <x:c r="F315" s="3" t="str">
        <x:v>05:00</x:v>
      </x:c>
      <x:c r="G315" s="3" t="str">
        <x:v>06:00</x:v>
      </x:c>
      <x:c r="H315" s="9" t="n">
        <x:v>0.475</x:v>
      </x:c>
      <x:c r="I315" s="9" t="n">
        <x:f>'Physical_Arcs'!K15*H315</x:f>
        <x:v>174.325</x:v>
      </x:c>
      <x:c r="J315" s="9" t="n">
        <x:f>'Physical_Arcs'!L15*H315</x:f>
        <x:v>1739.925</x:v>
      </x:c>
      <x:c r="K315" s="9" t="n">
        <x:f>'Physical_Arcs'!M15*H315</x:f>
        <x:v>870.1999999999999</x:v>
      </x:c>
      <x:c r="L315" s="9" t="n">
        <x:f>'Physical_Arcs'!U15</x:f>
        <x:v>1.882022</x:v>
      </x:c>
      <x:c r="M315" s="9" t="n">
        <x:f>L315*'Parameters'!$C$6</x:f>
        <x:v>1.882022</x:v>
      </x:c>
      <x:c r="N315" s="3" t="n">
        <x:v>1</x:v>
      </x:c>
    </x:row>
    <x:row r="316" ht="21" customHeight="1">
      <x:c r="A316" s="3" t="n">
        <x:v>315</x:v>
      </x:c>
      <x:c r="B316" s="3" t="n">
        <x:v>15</x:v>
      </x:c>
      <x:c r="C316" s="3" t="n">
        <x:v>2</x:v>
      </x:c>
      <x:c r="D316" s="3" t="n">
        <x:v>10</x:v>
      </x:c>
      <x:c r="E316" s="3" t="n">
        <x:v>6</x:v>
      </x:c>
      <x:c r="F316" s="3" t="str">
        <x:v>05:00</x:v>
      </x:c>
      <x:c r="G316" s="3" t="str">
        <x:v>06:00</x:v>
      </x:c>
      <x:c r="H316" s="9" t="n">
        <x:v>0.475</x:v>
      </x:c>
      <x:c r="I316" s="9" t="n">
        <x:f>'Physical_Arcs'!K16*H316</x:f>
        <x:v>245.575</x:v>
      </x:c>
      <x:c r="J316" s="9" t="n">
        <x:f>'Physical_Arcs'!L16*H316</x:f>
        <x:v>2452.9</x:v>
      </x:c>
      <x:c r="K316" s="9" t="n">
        <x:f>'Physical_Arcs'!M16*H316</x:f>
        <x:v>1226.45</x:v>
      </x:c>
      <x:c r="L316" s="9" t="n">
        <x:f>'Physical_Arcs'!U16</x:f>
        <x:v>1.426966</x:v>
      </x:c>
      <x:c r="M316" s="9" t="n">
        <x:f>L316*'Parameters'!$C$6</x:f>
        <x:v>1.426966</x:v>
      </x:c>
      <x:c r="N316" s="3" t="n">
        <x:v>1</x:v>
      </x:c>
    </x:row>
    <x:row r="317" ht="21" customHeight="1">
      <x:c r="A317" s="3" t="n">
        <x:v>316</x:v>
      </x:c>
      <x:c r="B317" s="3" t="n">
        <x:v>16</x:v>
      </x:c>
      <x:c r="C317" s="3" t="n">
        <x:v>3</x:v>
      </x:c>
      <x:c r="D317" s="3" t="n">
        <x:v>4</x:v>
      </x:c>
      <x:c r="E317" s="3" t="n">
        <x:v>6</x:v>
      </x:c>
      <x:c r="F317" s="3" t="str">
        <x:v>05:00</x:v>
      </x:c>
      <x:c r="G317" s="3" t="str">
        <x:v>06:00</x:v>
      </x:c>
      <x:c r="H317" s="9" t="n">
        <x:v>0.475</x:v>
      </x:c>
      <x:c r="I317" s="9" t="n">
        <x:f>'Physical_Arcs'!K17*H317</x:f>
        <x:v>285.47499999999997</x:v>
      </x:c>
      <x:c r="J317" s="9" t="n">
        <x:f>'Physical_Arcs'!L17*H317</x:f>
        <x:v>2852.375</x:v>
      </x:c>
      <x:c r="K317" s="9" t="n">
        <x:f>'Physical_Arcs'!M17*H317</x:f>
        <x:v>1426.425</x:v>
      </x:c>
      <x:c r="L317" s="9" t="n">
        <x:f>'Physical_Arcs'!U17</x:f>
        <x:v>2</x:v>
      </x:c>
      <x:c r="M317" s="9" t="n">
        <x:f>L317*'Parameters'!$C$6</x:f>
        <x:v>2</x:v>
      </x:c>
      <x:c r="N317" s="3" t="n">
        <x:v>1</x:v>
      </x:c>
    </x:row>
    <x:row r="318" ht="21" customHeight="1">
      <x:c r="A318" s="3" t="n">
        <x:v>317</x:v>
      </x:c>
      <x:c r="B318" s="3" t="n">
        <x:v>17</x:v>
      </x:c>
      <x:c r="C318" s="3" t="n">
        <x:v>3</x:v>
      </x:c>
      <x:c r="D318" s="3" t="n">
        <x:v>2</x:v>
      </x:c>
      <x:c r="E318" s="3" t="n">
        <x:v>6</x:v>
      </x:c>
      <x:c r="F318" s="3" t="str">
        <x:v>05:00</x:v>
      </x:c>
      <x:c r="G318" s="3" t="str">
        <x:v>06:00</x:v>
      </x:c>
      <x:c r="H318" s="9" t="n">
        <x:v>0.475</x:v>
      </x:c>
      <x:c r="I318" s="9" t="n">
        <x:f>'Physical_Arcs'!K18*H318</x:f>
        <x:v>265.525</x:v>
      </x:c>
      <x:c r="J318" s="9" t="n">
        <x:f>'Physical_Arcs'!L18*H318</x:f>
        <x:v>2652.875</x:v>
      </x:c>
      <x:c r="K318" s="9" t="n">
        <x:f>'Physical_Arcs'!M18*H318</x:f>
        <x:v>1326.675</x:v>
      </x:c>
      <x:c r="L318" s="9" t="n">
        <x:f>'Physical_Arcs'!U18</x:f>
        <x:v>0.769663</x:v>
      </x:c>
      <x:c r="M318" s="9" t="n">
        <x:f>L318*'Parameters'!$C$6</x:f>
        <x:v>0.769663</x:v>
      </x:c>
      <x:c r="N318" s="3" t="n">
        <x:v>1</x:v>
      </x:c>
    </x:row>
    <x:row r="319" ht="21" customHeight="1">
      <x:c r="A319" s="3" t="n">
        <x:v>318</x:v>
      </x:c>
      <x:c r="B319" s="3" t="n">
        <x:v>18</x:v>
      </x:c>
      <x:c r="C319" s="3" t="n">
        <x:v>3</x:v>
      </x:c>
      <x:c r="D319" s="3" t="n">
        <x:v>1</x:v>
      </x:c>
      <x:c r="E319" s="3" t="n">
        <x:v>6</x:v>
      </x:c>
      <x:c r="F319" s="3" t="str">
        <x:v>05:00</x:v>
      </x:c>
      <x:c r="G319" s="3" t="str">
        <x:v>06:00</x:v>
      </x:c>
      <x:c r="H319" s="9" t="n">
        <x:v>0.475</x:v>
      </x:c>
      <x:c r="I319" s="9" t="n">
        <x:f>'Physical_Arcs'!K19*H319</x:f>
        <x:v>68.875</x:v>
      </x:c>
      <x:c r="J319" s="9" t="n">
        <x:f>'Physical_Arcs'!L19*H319</x:f>
        <x:v>684.9499999999999</x:v>
      </x:c>
      <x:c r="K319" s="9" t="n">
        <x:f>'Physical_Arcs'!M19*H319</x:f>
        <x:v>342.47499999999997</x:v>
      </x:c>
      <x:c r="L319" s="9" t="n">
        <x:f>'Physical_Arcs'!U19</x:f>
        <x:v>1.595506</x:v>
      </x:c>
      <x:c r="M319" s="9" t="n">
        <x:f>L319*'Parameters'!$C$6</x:f>
        <x:v>1.595506</x:v>
      </x:c>
      <x:c r="N319" s="3" t="n">
        <x:v>1</x:v>
      </x:c>
    </x:row>
    <x:row r="320" ht="21" customHeight="1">
      <x:c r="A320" s="3" t="n">
        <x:v>319</x:v>
      </x:c>
      <x:c r="B320" s="3" t="n">
        <x:v>19</x:v>
      </x:c>
      <x:c r="C320" s="3" t="n">
        <x:v>3</x:v>
      </x:c>
      <x:c r="D320" s="3" t="n">
        <x:v>7</x:v>
      </x:c>
      <x:c r="E320" s="3" t="n">
        <x:v>6</x:v>
      </x:c>
      <x:c r="F320" s="3" t="str">
        <x:v>05:00</x:v>
      </x:c>
      <x:c r="G320" s="3" t="str">
        <x:v>06:00</x:v>
      </x:c>
      <x:c r="H320" s="9" t="n">
        <x:v>0.475</x:v>
      </x:c>
      <x:c r="I320" s="9" t="n">
        <x:f>'Physical_Arcs'!K20*H320</x:f>
        <x:v>114.475</x:v>
      </x:c>
      <x:c r="J320" s="9" t="n">
        <x:f>'Physical_Arcs'!L20*H320</x:f>
        <x:v>1140.95</x:v>
      </x:c>
      <x:c r="K320" s="9" t="n">
        <x:f>'Physical_Arcs'!M20*H320</x:f>
        <x:v>570.475</x:v>
      </x:c>
      <x:c r="L320" s="9" t="n">
        <x:f>'Physical_Arcs'!U20</x:f>
        <x:v>0.5</x:v>
      </x:c>
      <x:c r="M320" s="9" t="n">
        <x:f>L320*'Parameters'!$C$6</x:f>
        <x:v>0.5</x:v>
      </x:c>
      <x:c r="N320" s="3" t="n">
        <x:v>1</x:v>
      </x:c>
    </x:row>
    <x:row r="321" ht="21" customHeight="1">
      <x:c r="A321" s="3" t="n">
        <x:v>320</x:v>
      </x:c>
      <x:c r="B321" s="3" t="n">
        <x:v>20</x:v>
      </x:c>
      <x:c r="C321" s="3" t="n">
        <x:v>3</x:v>
      </x:c>
      <x:c r="D321" s="3" t="n">
        <x:v>10</x:v>
      </x:c>
      <x:c r="E321" s="3" t="n">
        <x:v>6</x:v>
      </x:c>
      <x:c r="F321" s="3" t="str">
        <x:v>05:00</x:v>
      </x:c>
      <x:c r="G321" s="3" t="str">
        <x:v>06:00</x:v>
      </x:c>
      <x:c r="H321" s="9" t="n">
        <x:v>0.475</x:v>
      </x:c>
      <x:c r="I321" s="9" t="n">
        <x:f>'Physical_Arcs'!K21*H321</x:f>
        <x:v>248.42499999999998</x:v>
      </x:c>
      <x:c r="J321" s="9" t="n">
        <x:f>'Physical_Arcs'!L21*H321</x:f>
        <x:v>2481.875</x:v>
      </x:c>
      <x:c r="K321" s="9" t="n">
        <x:f>'Physical_Arcs'!M21*H321</x:f>
        <x:v>1241.175</x:v>
      </x:c>
      <x:c r="L321" s="9" t="n">
        <x:f>'Physical_Arcs'!U21</x:f>
        <x:v>0.735955</x:v>
      </x:c>
      <x:c r="M321" s="9" t="n">
        <x:f>L321*'Parameters'!$C$6</x:f>
        <x:v>0.735955</x:v>
      </x:c>
      <x:c r="N321" s="3" t="n">
        <x:v>1</x:v>
      </x:c>
    </x:row>
    <x:row r="322" ht="21" customHeight="1">
      <x:c r="A322" s="3" t="n">
        <x:v>321</x:v>
      </x:c>
      <x:c r="B322" s="3" t="n">
        <x:v>21</x:v>
      </x:c>
      <x:c r="C322" s="3" t="n">
        <x:v>3</x:v>
      </x:c>
      <x:c r="D322" s="3" t="n">
        <x:v>9</x:v>
      </x:c>
      <x:c r="E322" s="3" t="n">
        <x:v>6</x:v>
      </x:c>
      <x:c r="F322" s="3" t="str">
        <x:v>05:00</x:v>
      </x:c>
      <x:c r="G322" s="3" t="str">
        <x:v>06:00</x:v>
      </x:c>
      <x:c r="H322" s="9" t="n">
        <x:v>0.475</x:v>
      </x:c>
      <x:c r="I322" s="9" t="n">
        <x:f>'Physical_Arcs'!K22*H322</x:f>
        <x:v>34.675</x:v>
      </x:c>
      <x:c r="J322" s="9" t="n">
        <x:f>'Physical_Arcs'!L22*H322</x:f>
        <x:v>342.47499999999997</x:v>
      </x:c>
      <x:c r="K322" s="9" t="n">
        <x:f>'Physical_Arcs'!M22*H322</x:f>
        <x:v>171.475</x:v>
      </x:c>
      <x:c r="L322" s="9" t="n">
        <x:f>'Physical_Arcs'!U22</x:f>
        <x:v>0.837079</x:v>
      </x:c>
      <x:c r="M322" s="9" t="n">
        <x:f>L322*'Parameters'!$C$6</x:f>
        <x:v>0.837079</x:v>
      </x:c>
      <x:c r="N322" s="3" t="n">
        <x:v>1</x:v>
      </x:c>
    </x:row>
    <x:row r="323" ht="21" customHeight="1">
      <x:c r="A323" s="3" t="n">
        <x:v>322</x:v>
      </x:c>
      <x:c r="B323" s="3" t="n">
        <x:v>22</x:v>
      </x:c>
      <x:c r="C323" s="3" t="n">
        <x:v>4</x:v>
      </x:c>
      <x:c r="D323" s="3" t="n">
        <x:v>5</x:v>
      </x:c>
      <x:c r="E323" s="3" t="n">
        <x:v>6</x:v>
      </x:c>
      <x:c r="F323" s="3" t="str">
        <x:v>05:00</x:v>
      </x:c>
      <x:c r="G323" s="3" t="str">
        <x:v>06:00</x:v>
      </x:c>
      <x:c r="H323" s="9" t="n">
        <x:v>0.475</x:v>
      </x:c>
      <x:c r="I323" s="9" t="n">
        <x:f>'Physical_Arcs'!K23*H323</x:f>
        <x:v>285.47499999999997</x:v>
      </x:c>
      <x:c r="J323" s="9" t="n">
        <x:f>'Physical_Arcs'!L23*H323</x:f>
        <x:v>2852.375</x:v>
      </x:c>
      <x:c r="K323" s="9" t="n">
        <x:f>'Physical_Arcs'!M23*H323</x:f>
        <x:v>1426.425</x:v>
      </x:c>
      <x:c r="L323" s="9" t="n">
        <x:f>'Physical_Arcs'!U23</x:f>
        <x:v>2</x:v>
      </x:c>
      <x:c r="M323" s="9" t="n">
        <x:f>L323*'Parameters'!$C$6</x:f>
        <x:v>2</x:v>
      </x:c>
      <x:c r="N323" s="3" t="n">
        <x:v>1</x:v>
      </x:c>
    </x:row>
    <x:row r="324" ht="21" customHeight="1">
      <x:c r="A324" s="3" t="n">
        <x:v>323</x:v>
      </x:c>
      <x:c r="B324" s="3" t="n">
        <x:v>23</x:v>
      </x:c>
      <x:c r="C324" s="3" t="n">
        <x:v>4</x:v>
      </x:c>
      <x:c r="D324" s="3" t="n">
        <x:v>3</x:v>
      </x:c>
      <x:c r="E324" s="3" t="n">
        <x:v>6</x:v>
      </x:c>
      <x:c r="F324" s="3" t="str">
        <x:v>05:00</x:v>
      </x:c>
      <x:c r="G324" s="3" t="str">
        <x:v>06:00</x:v>
      </x:c>
      <x:c r="H324" s="9" t="n">
        <x:v>0.475</x:v>
      </x:c>
      <x:c r="I324" s="9" t="n">
        <x:f>'Physical_Arcs'!K24*H324</x:f>
        <x:v>51.775</x:v>
      </x:c>
      <x:c r="J324" s="9" t="n">
        <x:f>'Physical_Arcs'!L24*H324</x:f>
        <x:v>513.475</x:v>
      </x:c>
      <x:c r="K324" s="9" t="n">
        <x:f>'Physical_Arcs'!M24*H324</x:f>
        <x:v>256.97499999999997</x:v>
      </x:c>
      <x:c r="L324" s="9" t="n">
        <x:f>'Physical_Arcs'!U24</x:f>
        <x:v>1.91573</x:v>
      </x:c>
      <x:c r="M324" s="9" t="n">
        <x:f>L324*'Parameters'!$C$6</x:f>
        <x:v>1.91573</x:v>
      </x:c>
      <x:c r="N324" s="3" t="n">
        <x:v>1</x:v>
      </x:c>
    </x:row>
    <x:row r="325" ht="21" customHeight="1">
      <x:c r="A325" s="3" t="n">
        <x:v>324</x:v>
      </x:c>
      <x:c r="B325" s="3" t="n">
        <x:v>24</x:v>
      </x:c>
      <x:c r="C325" s="3" t="n">
        <x:v>4</x:v>
      </x:c>
      <x:c r="D325" s="3" t="n">
        <x:v>10</x:v>
      </x:c>
      <x:c r="E325" s="3" t="n">
        <x:v>6</x:v>
      </x:c>
      <x:c r="F325" s="3" t="str">
        <x:v>05:00</x:v>
      </x:c>
      <x:c r="G325" s="3" t="str">
        <x:v>06:00</x:v>
      </x:c>
      <x:c r="H325" s="9" t="n">
        <x:v>0.475</x:v>
      </x:c>
      <x:c r="I325" s="9" t="n">
        <x:f>'Physical_Arcs'!K25*H325</x:f>
        <x:v>154.375</x:v>
      </x:c>
      <x:c r="J325" s="9" t="n">
        <x:f>'Physical_Arcs'!L25*H325</x:f>
        <x:v>1540.425</x:v>
      </x:c>
      <x:c r="K325" s="9" t="n">
        <x:f>'Physical_Arcs'!M25*H325</x:f>
        <x:v>770.4499999999999</x:v>
      </x:c>
      <x:c r="L325" s="9" t="n">
        <x:f>'Physical_Arcs'!U25</x:f>
        <x:v>1.157303</x:v>
      </x:c>
      <x:c r="M325" s="9" t="n">
        <x:f>L325*'Parameters'!$C$6</x:f>
        <x:v>1.157303</x:v>
      </x:c>
      <x:c r="N325" s="3" t="n">
        <x:v>1</x:v>
      </x:c>
    </x:row>
    <x:row r="326" ht="21" customHeight="1">
      <x:c r="A326" s="3" t="n">
        <x:v>325</x:v>
      </x:c>
      <x:c r="B326" s="3" t="n">
        <x:v>25</x:v>
      </x:c>
      <x:c r="C326" s="3" t="n">
        <x:v>4</x:v>
      </x:c>
      <x:c r="D326" s="3" t="n">
        <x:v>8</x:v>
      </x:c>
      <x:c r="E326" s="3" t="n">
        <x:v>6</x:v>
      </x:c>
      <x:c r="F326" s="3" t="str">
        <x:v>05:00</x:v>
      </x:c>
      <x:c r="G326" s="3" t="str">
        <x:v>06:00</x:v>
      </x:c>
      <x:c r="H326" s="9" t="n">
        <x:v>0.475</x:v>
      </x:c>
      <x:c r="I326" s="9" t="n">
        <x:f>'Physical_Arcs'!K26*H326</x:f>
        <x:v>140.125</x:v>
      </x:c>
      <x:c r="J326" s="9" t="n">
        <x:f>'Physical_Arcs'!L26*H326</x:f>
        <x:v>1397.925</x:v>
      </x:c>
      <x:c r="K326" s="9" t="n">
        <x:f>'Physical_Arcs'!M26*H326</x:f>
        <x:v>699.1999999999999</x:v>
      </x:c>
      <x:c r="L326" s="9" t="n">
        <x:f>'Physical_Arcs'!U26</x:f>
        <x:v>0.516854</x:v>
      </x:c>
      <x:c r="M326" s="9" t="n">
        <x:f>L326*'Parameters'!$C$6</x:f>
        <x:v>0.516854</x:v>
      </x:c>
      <x:c r="N326" s="3" t="n">
        <x:v>1</x:v>
      </x:c>
    </x:row>
    <x:row r="327" ht="21" customHeight="1">
      <x:c r="A327" s="3" t="n">
        <x:v>326</x:v>
      </x:c>
      <x:c r="B327" s="3" t="n">
        <x:v>26</x:v>
      </x:c>
      <x:c r="C327" s="3" t="n">
        <x:v>4</x:v>
      </x:c>
      <x:c r="D327" s="3" t="n">
        <x:v>7</x:v>
      </x:c>
      <x:c r="E327" s="3" t="n">
        <x:v>6</x:v>
      </x:c>
      <x:c r="F327" s="3" t="str">
        <x:v>05:00</x:v>
      </x:c>
      <x:c r="G327" s="3" t="str">
        <x:v>06:00</x:v>
      </x:c>
      <x:c r="H327" s="9" t="n">
        <x:v>0.475</x:v>
      </x:c>
      <x:c r="I327" s="9" t="n">
        <x:f>'Physical_Arcs'!K27*H327</x:f>
        <x:v>256.97499999999997</x:v>
      </x:c>
      <x:c r="J327" s="9" t="n">
        <x:f>'Physical_Arcs'!L27*H327</x:f>
        <x:v>2567.375</x:v>
      </x:c>
      <x:c r="K327" s="9" t="n">
        <x:f>'Physical_Arcs'!M27*H327</x:f>
        <x:v>1283.925</x:v>
      </x:c>
      <x:c r="L327" s="9" t="n">
        <x:f>'Physical_Arcs'!U27</x:f>
        <x:v>0.567416</x:v>
      </x:c>
      <x:c r="M327" s="9" t="n">
        <x:f>L327*'Parameters'!$C$6</x:f>
        <x:v>0.567416</x:v>
      </x:c>
      <x:c r="N327" s="3" t="n">
        <x:v>1</x:v>
      </x:c>
    </x:row>
    <x:row r="328" ht="21" customHeight="1">
      <x:c r="A328" s="3" t="n">
        <x:v>327</x:v>
      </x:c>
      <x:c r="B328" s="3" t="n">
        <x:v>27</x:v>
      </x:c>
      <x:c r="C328" s="3" t="n">
        <x:v>4</x:v>
      </x:c>
      <x:c r="D328" s="3" t="n">
        <x:v>2</x:v>
      </x:c>
      <x:c r="E328" s="3" t="n">
        <x:v>6</x:v>
      </x:c>
      <x:c r="F328" s="3" t="str">
        <x:v>05:00</x:v>
      </x:c>
      <x:c r="G328" s="3" t="str">
        <x:v>06:00</x:v>
      </x:c>
      <x:c r="H328" s="9" t="n">
        <x:v>0.475</x:v>
      </x:c>
      <x:c r="I328" s="9" t="n">
        <x:f>'Physical_Arcs'!K28*H328</x:f>
        <x:v>205.67499999999998</x:v>
      </x:c>
      <x:c r="J328" s="9" t="n">
        <x:f>'Physical_Arcs'!L28*H328</x:f>
        <x:v>2053.9</x:v>
      </x:c>
      <x:c r="K328" s="9" t="n">
        <x:f>'Physical_Arcs'!M28*H328</x:f>
        <x:v>1026.95</x:v>
      </x:c>
      <x:c r="L328" s="9" t="n">
        <x:f>'Physical_Arcs'!U28</x:f>
        <x:v>0.651685</x:v>
      </x:c>
      <x:c r="M328" s="9" t="n">
        <x:f>L328*'Parameters'!$C$6</x:f>
        <x:v>0.651685</x:v>
      </x:c>
      <x:c r="N328" s="3" t="n">
        <x:v>1</x:v>
      </x:c>
    </x:row>
    <x:row r="329" ht="21" customHeight="1">
      <x:c r="A329" s="3" t="n">
        <x:v>328</x:v>
      </x:c>
      <x:c r="B329" s="3" t="n">
        <x:v>28</x:v>
      </x:c>
      <x:c r="C329" s="3" t="n">
        <x:v>4</x:v>
      </x:c>
      <x:c r="D329" s="3" t="n">
        <x:v>6</x:v>
      </x:c>
      <x:c r="E329" s="3" t="n">
        <x:v>6</x:v>
      </x:c>
      <x:c r="F329" s="3" t="str">
        <x:v>05:00</x:v>
      </x:c>
      <x:c r="G329" s="3" t="str">
        <x:v>06:00</x:v>
      </x:c>
      <x:c r="H329" s="9" t="n">
        <x:v>0.475</x:v>
      </x:c>
      <x:c r="I329" s="9" t="n">
        <x:f>'Physical_Arcs'!K29*H329</x:f>
        <x:v>228.475</x:v>
      </x:c>
      <x:c r="J329" s="9" t="n">
        <x:f>'Physical_Arcs'!L29*H329</x:f>
        <x:v>2281.9</x:v>
      </x:c>
      <x:c r="K329" s="9" t="n">
        <x:f>'Physical_Arcs'!M29*H329</x:f>
        <x:v>1140.95</x:v>
      </x:c>
      <x:c r="L329" s="9" t="n">
        <x:f>'Physical_Arcs'!U29</x:f>
        <x:v>0.702247</x:v>
      </x:c>
      <x:c r="M329" s="9" t="n">
        <x:f>L329*'Parameters'!$C$6</x:f>
        <x:v>0.702247</x:v>
      </x:c>
      <x:c r="N329" s="3" t="n">
        <x:v>1</x:v>
      </x:c>
    </x:row>
    <x:row r="330" ht="21" customHeight="1">
      <x:c r="A330" s="3" t="n">
        <x:v>329</x:v>
      </x:c>
      <x:c r="B330" s="3" t="n">
        <x:v>29</x:v>
      </x:c>
      <x:c r="C330" s="3" t="n">
        <x:v>5</x:v>
      </x:c>
      <x:c r="D330" s="3" t="n">
        <x:v>6</x:v>
      </x:c>
      <x:c r="E330" s="3" t="n">
        <x:v>6</x:v>
      </x:c>
      <x:c r="F330" s="3" t="str">
        <x:v>05:00</x:v>
      </x:c>
      <x:c r="G330" s="3" t="str">
        <x:v>06:00</x:v>
      </x:c>
      <x:c r="H330" s="9" t="n">
        <x:v>0.475</x:v>
      </x:c>
      <x:c r="I330" s="9" t="n">
        <x:f>'Physical_Arcs'!K30*H330</x:f>
        <x:v>285.47499999999997</x:v>
      </x:c>
      <x:c r="J330" s="9" t="n">
        <x:f>'Physical_Arcs'!L30*H330</x:f>
        <x:v>2852.375</x:v>
      </x:c>
      <x:c r="K330" s="9" t="n">
        <x:f>'Physical_Arcs'!M30*H330</x:f>
        <x:v>1426.425</x:v>
      </x:c>
      <x:c r="L330" s="9" t="n">
        <x:f>'Physical_Arcs'!U30</x:f>
        <x:v>2</x:v>
      </x:c>
      <x:c r="M330" s="9" t="n">
        <x:f>L330*'Parameters'!$C$6</x:f>
        <x:v>2</x:v>
      </x:c>
      <x:c r="N330" s="3" t="n">
        <x:v>1</x:v>
      </x:c>
    </x:row>
    <x:row r="331" ht="21" customHeight="1">
      <x:c r="A331" s="3" t="n">
        <x:v>330</x:v>
      </x:c>
      <x:c r="B331" s="3" t="n">
        <x:v>30</x:v>
      </x:c>
      <x:c r="C331" s="3" t="n">
        <x:v>5</x:v>
      </x:c>
      <x:c r="D331" s="3" t="n">
        <x:v>2</x:v>
      </x:c>
      <x:c r="E331" s="3" t="n">
        <x:v>6</x:v>
      </x:c>
      <x:c r="F331" s="3" t="str">
        <x:v>05:00</x:v>
      </x:c>
      <x:c r="G331" s="3" t="str">
        <x:v>06:00</x:v>
      </x:c>
      <x:c r="H331" s="9" t="n">
        <x:v>0.475</x:v>
      </x:c>
      <x:c r="I331" s="9" t="n">
        <x:f>'Physical_Arcs'!K31*H331</x:f>
        <x:v>60.324999999999996</x:v>
      </x:c>
      <x:c r="J331" s="9" t="n">
        <x:f>'Physical_Arcs'!L31*H331</x:f>
        <x:v>598.975</x:v>
      </x:c>
      <x:c r="K331" s="9" t="n">
        <x:f>'Physical_Arcs'!M31*H331</x:f>
        <x:v>299.72499999999997</x:v>
      </x:c>
      <x:c r="L331" s="9" t="n">
        <x:f>'Physical_Arcs'!U31</x:f>
        <x:v>0.88764</x:v>
      </x:c>
      <x:c r="M331" s="9" t="n">
        <x:f>L331*'Parameters'!$C$6</x:f>
        <x:v>0.88764</x:v>
      </x:c>
      <x:c r="N331" s="3" t="n">
        <x:v>1</x:v>
      </x:c>
    </x:row>
    <x:row r="332" ht="21" customHeight="1">
      <x:c r="A332" s="3" t="n">
        <x:v>331</x:v>
      </x:c>
      <x:c r="B332" s="3" t="n">
        <x:v>31</x:v>
      </x:c>
      <x:c r="C332" s="3" t="n">
        <x:v>5</x:v>
      </x:c>
      <x:c r="D332" s="3" t="n">
        <x:v>8</x:v>
      </x:c>
      <x:c r="E332" s="3" t="n">
        <x:v>6</x:v>
      </x:c>
      <x:c r="F332" s="3" t="str">
        <x:v>05:00</x:v>
      </x:c>
      <x:c r="G332" s="3" t="str">
        <x:v>06:00</x:v>
      </x:c>
      <x:c r="H332" s="9" t="n">
        <x:v>0.475</x:v>
      </x:c>
      <x:c r="I332" s="9" t="n">
        <x:f>'Physical_Arcs'!K32*H332</x:f>
        <x:v>256.97499999999997</x:v>
      </x:c>
      <x:c r="J332" s="9" t="n">
        <x:f>'Physical_Arcs'!L32*H332</x:f>
        <x:v>2567.375</x:v>
      </x:c>
      <x:c r="K332" s="9" t="n">
        <x:f>'Physical_Arcs'!M32*H332</x:f>
        <x:v>1283.925</x:v>
      </x:c>
      <x:c r="L332" s="9" t="n">
        <x:f>'Physical_Arcs'!U32</x:f>
        <x:v>1.52809</x:v>
      </x:c>
      <x:c r="M332" s="9" t="n">
        <x:f>L332*'Parameters'!$C$6</x:f>
        <x:v>1.52809</x:v>
      </x:c>
      <x:c r="N332" s="3" t="n">
        <x:v>1</x:v>
      </x:c>
    </x:row>
    <x:row r="333" ht="21" customHeight="1">
      <x:c r="A333" s="3" t="n">
        <x:v>332</x:v>
      </x:c>
      <x:c r="B333" s="3" t="n">
        <x:v>32</x:v>
      </x:c>
      <x:c r="C333" s="3" t="n">
        <x:v>5</x:v>
      </x:c>
      <x:c r="D333" s="3" t="n">
        <x:v>3</x:v>
      </x:c>
      <x:c r="E333" s="3" t="n">
        <x:v>6</x:v>
      </x:c>
      <x:c r="F333" s="3" t="str">
        <x:v>05:00</x:v>
      </x:c>
      <x:c r="G333" s="3" t="str">
        <x:v>06:00</x:v>
      </x:c>
      <x:c r="H333" s="9" t="n">
        <x:v>0.475</x:v>
      </x:c>
      <x:c r="I333" s="9" t="n">
        <x:f>'Physical_Arcs'!K33*H333</x:f>
        <x:v>251.27499999999998</x:v>
      </x:c>
      <x:c r="J333" s="9" t="n">
        <x:f>'Physical_Arcs'!L33*H333</x:f>
        <x:v>2510.375</x:v>
      </x:c>
      <x:c r="K333" s="9" t="n">
        <x:f>'Physical_Arcs'!M33*H333</x:f>
        <x:v>1255.425</x:v>
      </x:c>
      <x:c r="L333" s="9" t="n">
        <x:f>'Physical_Arcs'!U33</x:f>
        <x:v>1.308989</x:v>
      </x:c>
      <x:c r="M333" s="9" t="n">
        <x:f>L333*'Parameters'!$C$6</x:f>
        <x:v>1.308989</x:v>
      </x:c>
      <x:c r="N333" s="3" t="n">
        <x:v>1</x:v>
      </x:c>
    </x:row>
    <x:row r="334" ht="21" customHeight="1">
      <x:c r="A334" s="3" t="n">
        <x:v>333</x:v>
      </x:c>
      <x:c r="B334" s="3" t="n">
        <x:v>33</x:v>
      </x:c>
      <x:c r="C334" s="3" t="n">
        <x:v>5</x:v>
      </x:c>
      <x:c r="D334" s="3" t="n">
        <x:v>10</x:v>
      </x:c>
      <x:c r="E334" s="3" t="n">
        <x:v>6</x:v>
      </x:c>
      <x:c r="F334" s="3" t="str">
        <x:v>05:00</x:v>
      </x:c>
      <x:c r="G334" s="3" t="str">
        <x:v>06:00</x:v>
      </x:c>
      <x:c r="H334" s="9" t="n">
        <x:v>0.475</x:v>
      </x:c>
      <x:c r="I334" s="9" t="n">
        <x:f>'Physical_Arcs'!K34*H334</x:f>
        <x:v>276.925</x:v>
      </x:c>
      <x:c r="J334" s="9" t="n">
        <x:f>'Physical_Arcs'!L34*H334</x:f>
        <x:v>2766.875</x:v>
      </x:c>
      <x:c r="K334" s="9" t="n">
        <x:f>'Physical_Arcs'!M34*H334</x:f>
        <x:v>1383.675</x:v>
      </x:c>
      <x:c r="L334" s="9" t="n">
        <x:f>'Physical_Arcs'!U34</x:f>
        <x:v>0.853933</x:v>
      </x:c>
      <x:c r="M334" s="9" t="n">
        <x:f>L334*'Parameters'!$C$6</x:f>
        <x:v>0.853933</x:v>
      </x:c>
      <x:c r="N334" s="3" t="n">
        <x:v>1</x:v>
      </x:c>
    </x:row>
    <x:row r="335" ht="21" customHeight="1">
      <x:c r="A335" s="3" t="n">
        <x:v>334</x:v>
      </x:c>
      <x:c r="B335" s="3" t="n">
        <x:v>34</x:v>
      </x:c>
      <x:c r="C335" s="3" t="n">
        <x:v>6</x:v>
      </x:c>
      <x:c r="D335" s="3" t="n">
        <x:v>7</x:v>
      </x:c>
      <x:c r="E335" s="3" t="n">
        <x:v>6</x:v>
      </x:c>
      <x:c r="F335" s="3" t="str">
        <x:v>05:00</x:v>
      </x:c>
      <x:c r="G335" s="3" t="str">
        <x:v>06:00</x:v>
      </x:c>
      <x:c r="H335" s="9" t="n">
        <x:v>0.475</x:v>
      </x:c>
      <x:c r="I335" s="9" t="n">
        <x:f>'Physical_Arcs'!K35*H335</x:f>
        <x:v>285.47499999999997</x:v>
      </x:c>
      <x:c r="J335" s="9" t="n">
        <x:f>'Physical_Arcs'!L35*H335</x:f>
        <x:v>2852.375</x:v>
      </x:c>
      <x:c r="K335" s="9" t="n">
        <x:f>'Physical_Arcs'!M35*H335</x:f>
        <x:v>1426.425</x:v>
      </x:c>
      <x:c r="L335" s="9" t="n">
        <x:f>'Physical_Arcs'!U35</x:f>
        <x:v>2</x:v>
      </x:c>
      <x:c r="M335" s="9" t="n">
        <x:f>L335*'Parameters'!$C$6</x:f>
        <x:v>2</x:v>
      </x:c>
      <x:c r="N335" s="3" t="n">
        <x:v>1</x:v>
      </x:c>
    </x:row>
    <x:row r="336" ht="21" customHeight="1">
      <x:c r="A336" s="3" t="n">
        <x:v>335</x:v>
      </x:c>
      <x:c r="B336" s="3" t="n">
        <x:v>35</x:v>
      </x:c>
      <x:c r="C336" s="3" t="n">
        <x:v>6</x:v>
      </x:c>
      <x:c r="D336" s="3" t="n">
        <x:v>10</x:v>
      </x:c>
      <x:c r="E336" s="3" t="n">
        <x:v>6</x:v>
      </x:c>
      <x:c r="F336" s="3" t="str">
        <x:v>05:00</x:v>
      </x:c>
      <x:c r="G336" s="3" t="str">
        <x:v>06:00</x:v>
      </x:c>
      <x:c r="H336" s="9" t="n">
        <x:v>0.475</x:v>
      </x:c>
      <x:c r="I336" s="9" t="n">
        <x:f>'Physical_Arcs'!K36*H336</x:f>
        <x:v>145.825</x:v>
      </x:c>
      <x:c r="J336" s="9" t="n">
        <x:f>'Physical_Arcs'!L36*H336</x:f>
        <x:v>1454.925</x:v>
      </x:c>
      <x:c r="K336" s="9" t="n">
        <x:f>'Physical_Arcs'!M36*H336</x:f>
        <x:v>727.6999999999999</x:v>
      </x:c>
      <x:c r="L336" s="9" t="n">
        <x:f>'Physical_Arcs'!U36</x:f>
        <x:v>1.005618</x:v>
      </x:c>
      <x:c r="M336" s="9" t="n">
        <x:f>L336*'Parameters'!$C$6</x:f>
        <x:v>1.005618</x:v>
      </x:c>
      <x:c r="N336" s="3" t="n">
        <x:v>1</x:v>
      </x:c>
    </x:row>
    <x:row r="337" ht="21" customHeight="1">
      <x:c r="A337" s="3" t="n">
        <x:v>336</x:v>
      </x:c>
      <x:c r="B337" s="3" t="n">
        <x:v>36</x:v>
      </x:c>
      <x:c r="C337" s="3" t="n">
        <x:v>6</x:v>
      </x:c>
      <x:c r="D337" s="3" t="n">
        <x:v>8</x:v>
      </x:c>
      <x:c r="E337" s="3" t="n">
        <x:v>6</x:v>
      </x:c>
      <x:c r="F337" s="3" t="str">
        <x:v>05:00</x:v>
      </x:c>
      <x:c r="G337" s="3" t="str">
        <x:v>06:00</x:v>
      </x:c>
      <x:c r="H337" s="9" t="n">
        <x:v>0.475</x:v>
      </x:c>
      <x:c r="I337" s="9" t="n">
        <x:f>'Physical_Arcs'!K37*H337</x:f>
        <x:v>188.575</x:v>
      </x:c>
      <x:c r="J337" s="9" t="n">
        <x:f>'Physical_Arcs'!L37*H337</x:f>
        <x:v>1882.8999999999999</x:v>
      </x:c>
      <x:c r="K337" s="9" t="n">
        <x:f>'Physical_Arcs'!M37*H337</x:f>
        <x:v>941.4499999999999</x:v>
      </x:c>
      <x:c r="L337" s="9" t="n">
        <x:f>'Physical_Arcs'!U37</x:f>
        <x:v>1.544944</x:v>
      </x:c>
      <x:c r="M337" s="9" t="n">
        <x:f>L337*'Parameters'!$C$6</x:f>
        <x:v>1.544944</x:v>
      </x:c>
      <x:c r="N337" s="3" t="n">
        <x:v>1</x:v>
      </x:c>
    </x:row>
    <x:row r="338" ht="21" customHeight="1">
      <x:c r="A338" s="3" t="n">
        <x:v>337</x:v>
      </x:c>
      <x:c r="B338" s="3" t="n">
        <x:v>37</x:v>
      </x:c>
      <x:c r="C338" s="3" t="n">
        <x:v>6</x:v>
      </x:c>
      <x:c r="D338" s="3" t="n">
        <x:v>1</x:v>
      </x:c>
      <x:c r="E338" s="3" t="n">
        <x:v>6</x:v>
      </x:c>
      <x:c r="F338" s="3" t="str">
        <x:v>05:00</x:v>
      </x:c>
      <x:c r="G338" s="3" t="str">
        <x:v>06:00</x:v>
      </x:c>
      <x:c r="H338" s="9" t="n">
        <x:v>0.475</x:v>
      </x:c>
      <x:c r="I338" s="9" t="n">
        <x:f>'Physical_Arcs'!K38*H338</x:f>
        <x:v>43.225</x:v>
      </x:c>
      <x:c r="J338" s="9" t="n">
        <x:f>'Physical_Arcs'!L38*H338</x:f>
        <x:v>427.97499999999997</x:v>
      </x:c>
      <x:c r="K338" s="9" t="n">
        <x:f>'Physical_Arcs'!M38*H338</x:f>
        <x:v>214.225</x:v>
      </x:c>
      <x:c r="L338" s="9" t="n">
        <x:f>'Physical_Arcs'!U38</x:f>
        <x:v>0.870787</x:v>
      </x:c>
      <x:c r="M338" s="9" t="n">
        <x:f>L338*'Parameters'!$C$6</x:f>
        <x:v>0.870787</x:v>
      </x:c>
      <x:c r="N338" s="3" t="n">
        <x:v>1</x:v>
      </x:c>
    </x:row>
    <x:row r="339" ht="21" customHeight="1">
      <x:c r="A339" s="3" t="n">
        <x:v>338</x:v>
      </x:c>
      <x:c r="B339" s="3" t="n">
        <x:v>38</x:v>
      </x:c>
      <x:c r="C339" s="3" t="n">
        <x:v>6</x:v>
      </x:c>
      <x:c r="D339" s="3" t="n">
        <x:v>3</x:v>
      </x:c>
      <x:c r="E339" s="3" t="n">
        <x:v>6</x:v>
      </x:c>
      <x:c r="F339" s="3" t="str">
        <x:v>05:00</x:v>
      </x:c>
      <x:c r="G339" s="3" t="str">
        <x:v>06:00</x:v>
      </x:c>
      <x:c r="H339" s="9" t="n">
        <x:v>0.475</x:v>
      </x:c>
      <x:c r="I339" s="9" t="n">
        <x:f>'Physical_Arcs'!K39*H339</x:f>
        <x:v>83.125</x:v>
      </x:c>
      <x:c r="J339" s="9" t="n">
        <x:f>'Physical_Arcs'!L39*H339</x:f>
        <x:v>827.4499999999999</x:v>
      </x:c>
      <x:c r="K339" s="9" t="n">
        <x:f>'Physical_Arcs'!M39*H339</x:f>
        <x:v>413.72499999999997</x:v>
      </x:c>
      <x:c r="L339" s="9" t="n">
        <x:f>'Physical_Arcs'!U39</x:f>
        <x:v>0.921348</x:v>
      </x:c>
      <x:c r="M339" s="9" t="n">
        <x:f>L339*'Parameters'!$C$6</x:f>
        <x:v>0.921348</x:v>
      </x:c>
      <x:c r="N339" s="3" t="n">
        <x:v>1</x:v>
      </x:c>
    </x:row>
    <x:row r="340" ht="21" customHeight="1">
      <x:c r="A340" s="3" t="n">
        <x:v>339</x:v>
      </x:c>
      <x:c r="B340" s="3" t="n">
        <x:v>39</x:v>
      </x:c>
      <x:c r="C340" s="3" t="n">
        <x:v>7</x:v>
      </x:c>
      <x:c r="D340" s="3" t="n">
        <x:v>8</x:v>
      </x:c>
      <x:c r="E340" s="3" t="n">
        <x:v>6</x:v>
      </x:c>
      <x:c r="F340" s="3" t="str">
        <x:v>05:00</x:v>
      </x:c>
      <x:c r="G340" s="3" t="str">
        <x:v>06:00</x:v>
      </x:c>
      <x:c r="H340" s="9" t="n">
        <x:v>0.475</x:v>
      </x:c>
      <x:c r="I340" s="9" t="n">
        <x:f>'Physical_Arcs'!K40*H340</x:f>
        <x:v>285.47499999999997</x:v>
      </x:c>
      <x:c r="J340" s="9" t="n">
        <x:f>'Physical_Arcs'!L40*H340</x:f>
        <x:v>2852.375</x:v>
      </x:c>
      <x:c r="K340" s="9" t="n">
        <x:f>'Physical_Arcs'!M40*H340</x:f>
        <x:v>1426.425</x:v>
      </x:c>
      <x:c r="L340" s="9" t="n">
        <x:f>'Physical_Arcs'!U40</x:f>
        <x:v>2</x:v>
      </x:c>
      <x:c r="M340" s="9" t="n">
        <x:f>L340*'Parameters'!$C$6</x:f>
        <x:v>2</x:v>
      </x:c>
      <x:c r="N340" s="3" t="n">
        <x:v>1</x:v>
      </x:c>
    </x:row>
    <x:row r="341" ht="21" customHeight="1">
      <x:c r="A341" s="3" t="n">
        <x:v>340</x:v>
      </x:c>
      <x:c r="B341" s="3" t="n">
        <x:v>40</x:v>
      </x:c>
      <x:c r="C341" s="3" t="n">
        <x:v>7</x:v>
      </x:c>
      <x:c r="D341" s="3" t="n">
        <x:v>1</x:v>
      </x:c>
      <x:c r="E341" s="3" t="n">
        <x:v>6</x:v>
      </x:c>
      <x:c r="F341" s="3" t="str">
        <x:v>05:00</x:v>
      </x:c>
      <x:c r="G341" s="3" t="str">
        <x:v>06:00</x:v>
      </x:c>
      <x:c r="H341" s="9" t="n">
        <x:v>0.475</x:v>
      </x:c>
      <x:c r="I341" s="9" t="n">
        <x:f>'Physical_Arcs'!K41*H341</x:f>
        <x:v>137.275</x:v>
      </x:c>
      <x:c r="J341" s="9" t="n">
        <x:f>'Physical_Arcs'!L41*H341</x:f>
        <x:v>1369.425</x:v>
      </x:c>
      <x:c r="K341" s="9" t="n">
        <x:f>'Physical_Arcs'!M41*H341</x:f>
        <x:v>684.9499999999999</x:v>
      </x:c>
      <x:c r="L341" s="9" t="n">
        <x:f>'Physical_Arcs'!U41</x:f>
        <x:v>1.932584</x:v>
      </x:c>
      <x:c r="M341" s="9" t="n">
        <x:f>L341*'Parameters'!$C$6</x:f>
        <x:v>1.932584</x:v>
      </x:c>
      <x:c r="N341" s="3" t="n">
        <x:v>1</x:v>
      </x:c>
    </x:row>
    <x:row r="342" ht="21" customHeight="1">
      <x:c r="A342" s="3" t="n">
        <x:v>341</x:v>
      </x:c>
      <x:c r="B342" s="3" t="n">
        <x:v>41</x:v>
      </x:c>
      <x:c r="C342" s="3" t="n">
        <x:v>7</x:v>
      </x:c>
      <x:c r="D342" s="3" t="n">
        <x:v>9</x:v>
      </x:c>
      <x:c r="E342" s="3" t="n">
        <x:v>6</x:v>
      </x:c>
      <x:c r="F342" s="3" t="str">
        <x:v>05:00</x:v>
      </x:c>
      <x:c r="G342" s="3" t="str">
        <x:v>06:00</x:v>
      </x:c>
      <x:c r="H342" s="9" t="n">
        <x:v>0.475</x:v>
      </x:c>
      <x:c r="I342" s="9" t="n">
        <x:f>'Physical_Arcs'!K42*H342</x:f>
        <x:v>274.075</x:v>
      </x:c>
      <x:c r="J342" s="9" t="n">
        <x:f>'Physical_Arcs'!L42*H342</x:f>
        <x:v>2738.375</x:v>
      </x:c>
      <x:c r="K342" s="9" t="n">
        <x:f>'Physical_Arcs'!M42*H342</x:f>
        <x:v>1369.425</x:v>
      </x:c>
      <x:c r="L342" s="9" t="n">
        <x:f>'Physical_Arcs'!U42</x:f>
        <x:v>0.685393</x:v>
      </x:c>
      <x:c r="M342" s="9" t="n">
        <x:f>L342*'Parameters'!$C$6</x:f>
        <x:v>0.685393</x:v>
      </x:c>
      <x:c r="N342" s="3" t="n">
        <x:v>1</x:v>
      </x:c>
    </x:row>
    <x:row r="343" ht="21" customHeight="1">
      <x:c r="A343" s="3" t="n">
        <x:v>342</x:v>
      </x:c>
      <x:c r="B343" s="3" t="n">
        <x:v>42</x:v>
      </x:c>
      <x:c r="C343" s="3" t="n">
        <x:v>7</x:v>
      </x:c>
      <x:c r="D343" s="3" t="n">
        <x:v>2</x:v>
      </x:c>
      <x:c r="E343" s="3" t="n">
        <x:v>6</x:v>
      </x:c>
      <x:c r="F343" s="3" t="str">
        <x:v>05:00</x:v>
      </x:c>
      <x:c r="G343" s="3" t="str">
        <x:v>06:00</x:v>
      </x:c>
      <x:c r="H343" s="9" t="n">
        <x:v>0.475</x:v>
      </x:c>
      <x:c r="I343" s="9" t="n">
        <x:f>'Physical_Arcs'!K43*H343</x:f>
        <x:v>43.225</x:v>
      </x:c>
      <x:c r="J343" s="9" t="n">
        <x:f>'Physical_Arcs'!L43*H343</x:f>
        <x:v>427.97499999999997</x:v>
      </x:c>
      <x:c r="K343" s="9" t="n">
        <x:f>'Physical_Arcs'!M43*H343</x:f>
        <x:v>214.225</x:v>
      </x:c>
      <x:c r="L343" s="9" t="n">
        <x:f>'Physical_Arcs'!U43</x:f>
        <x:v>1.308989</x:v>
      </x:c>
      <x:c r="M343" s="9" t="n">
        <x:f>L343*'Parameters'!$C$6</x:f>
        <x:v>1.308989</x:v>
      </x:c>
      <x:c r="N343" s="3" t="n">
        <x:v>1</x:v>
      </x:c>
    </x:row>
    <x:row r="344" ht="21" customHeight="1">
      <x:c r="A344" s="3" t="n">
        <x:v>343</x:v>
      </x:c>
      <x:c r="B344" s="3" t="n">
        <x:v>43</x:v>
      </x:c>
      <x:c r="C344" s="3" t="n">
        <x:v>7</x:v>
      </x:c>
      <x:c r="D344" s="3" t="n">
        <x:v>3</x:v>
      </x:c>
      <x:c r="E344" s="3" t="n">
        <x:v>6</x:v>
      </x:c>
      <x:c r="F344" s="3" t="str">
        <x:v>05:00</x:v>
      </x:c>
      <x:c r="G344" s="3" t="str">
        <x:v>06:00</x:v>
      </x:c>
      <x:c r="H344" s="9" t="n">
        <x:v>0.475</x:v>
      </x:c>
      <x:c r="I344" s="9" t="n">
        <x:f>'Physical_Arcs'!K44*H344</x:f>
        <x:v>171.475</x:v>
      </x:c>
      <x:c r="J344" s="9" t="n">
        <x:f>'Physical_Arcs'!L44*H344</x:f>
        <x:v>1711.425</x:v>
      </x:c>
      <x:c r="K344" s="9" t="n">
        <x:f>'Physical_Arcs'!M44*H344</x:f>
        <x:v>855.9499999999999</x:v>
      </x:c>
      <x:c r="L344" s="9" t="n">
        <x:f>'Physical_Arcs'!U44</x:f>
        <x:v>0.955056</x:v>
      </x:c>
      <x:c r="M344" s="9" t="n">
        <x:f>L344*'Parameters'!$C$6</x:f>
        <x:v>0.955056</x:v>
      </x:c>
      <x:c r="N344" s="3" t="n">
        <x:v>1</x:v>
      </x:c>
    </x:row>
    <x:row r="345" ht="21" customHeight="1">
      <x:c r="A345" s="3" t="n">
        <x:v>344</x:v>
      </x:c>
      <x:c r="B345" s="3" t="n">
        <x:v>44</x:v>
      </x:c>
      <x:c r="C345" s="3" t="n">
        <x:v>8</x:v>
      </x:c>
      <x:c r="D345" s="3" t="n">
        <x:v>9</x:v>
      </x:c>
      <x:c r="E345" s="3" t="n">
        <x:v>6</x:v>
      </x:c>
      <x:c r="F345" s="3" t="str">
        <x:v>05:00</x:v>
      </x:c>
      <x:c r="G345" s="3" t="str">
        <x:v>06:00</x:v>
      </x:c>
      <x:c r="H345" s="9" t="n">
        <x:v>0.475</x:v>
      </x:c>
      <x:c r="I345" s="9" t="n">
        <x:f>'Physical_Arcs'!K45*H345</x:f>
        <x:v>285.47499999999997</x:v>
      </x:c>
      <x:c r="J345" s="9" t="n">
        <x:f>'Physical_Arcs'!L45*H345</x:f>
        <x:v>2852.375</x:v>
      </x:c>
      <x:c r="K345" s="9" t="n">
        <x:f>'Physical_Arcs'!M45*H345</x:f>
        <x:v>1426.425</x:v>
      </x:c>
      <x:c r="L345" s="9" t="n">
        <x:f>'Physical_Arcs'!U45</x:f>
        <x:v>2</x:v>
      </x:c>
      <x:c r="M345" s="9" t="n">
        <x:f>L345*'Parameters'!$C$6</x:f>
        <x:v>2</x:v>
      </x:c>
      <x:c r="N345" s="3" t="n">
        <x:v>1</x:v>
      </x:c>
    </x:row>
    <x:row r="346" ht="21" customHeight="1">
      <x:c r="A346" s="3" t="n">
        <x:v>345</x:v>
      </x:c>
      <x:c r="B346" s="3" t="n">
        <x:v>45</x:v>
      </x:c>
      <x:c r="C346" s="3" t="n">
        <x:v>8</x:v>
      </x:c>
      <x:c r="D346" s="3" t="n">
        <x:v>3</x:v>
      </x:c>
      <x:c r="E346" s="3" t="n">
        <x:v>6</x:v>
      </x:c>
      <x:c r="F346" s="3" t="str">
        <x:v>05:00</x:v>
      </x:c>
      <x:c r="G346" s="3" t="str">
        <x:v>06:00</x:v>
      </x:c>
      <x:c r="H346" s="9" t="n">
        <x:v>0.475</x:v>
      </x:c>
      <x:c r="I346" s="9" t="n">
        <x:f>'Physical_Arcs'!K46*H346</x:f>
        <x:v>162.92499999999998</x:v>
      </x:c>
      <x:c r="J346" s="9" t="n">
        <x:f>'Physical_Arcs'!L46*H346</x:f>
        <x:v>1625.925</x:v>
      </x:c>
      <x:c r="K346" s="9" t="n">
        <x:f>'Physical_Arcs'!M46*H346</x:f>
        <x:v>813.1999999999999</x:v>
      </x:c>
      <x:c r="L346" s="9" t="n">
        <x:f>'Physical_Arcs'!U46</x:f>
        <x:v>1.005618</x:v>
      </x:c>
      <x:c r="M346" s="9" t="n">
        <x:f>L346*'Parameters'!$C$6</x:f>
        <x:v>1.005618</x:v>
      </x:c>
      <x:c r="N346" s="3" t="n">
        <x:v>1</x:v>
      </x:c>
    </x:row>
    <x:row r="347" ht="21" customHeight="1">
      <x:c r="A347" s="3" t="n">
        <x:v>346</x:v>
      </x:c>
      <x:c r="B347" s="3" t="n">
        <x:v>46</x:v>
      </x:c>
      <x:c r="C347" s="3" t="n">
        <x:v>8</x:v>
      </x:c>
      <x:c r="D347" s="3" t="n">
        <x:v>7</x:v>
      </x:c>
      <x:c r="E347" s="3" t="n">
        <x:v>6</x:v>
      </x:c>
      <x:c r="F347" s="3" t="str">
        <x:v>05:00</x:v>
      </x:c>
      <x:c r="G347" s="3" t="str">
        <x:v>06:00</x:v>
      </x:c>
      <x:c r="H347" s="9" t="n">
        <x:v>0.475</x:v>
      </x:c>
      <x:c r="I347" s="9" t="n">
        <x:f>'Physical_Arcs'!K47*H347</x:f>
        <x:v>171.475</x:v>
      </x:c>
      <x:c r="J347" s="9" t="n">
        <x:f>'Physical_Arcs'!L47*H347</x:f>
        <x:v>1711.425</x:v>
      </x:c>
      <x:c r="K347" s="9" t="n">
        <x:f>'Physical_Arcs'!M47*H347</x:f>
        <x:v>855.9499999999999</x:v>
      </x:c>
      <x:c r="L347" s="9" t="n">
        <x:f>'Physical_Arcs'!U47</x:f>
        <x:v>1.629213</x:v>
      </x:c>
      <x:c r="M347" s="9" t="n">
        <x:f>L347*'Parameters'!$C$6</x:f>
        <x:v>1.629213</x:v>
      </x:c>
      <x:c r="N347" s="3" t="n">
        <x:v>1</x:v>
      </x:c>
    </x:row>
    <x:row r="348" ht="21" customHeight="1">
      <x:c r="A348" s="3" t="n">
        <x:v>347</x:v>
      </x:c>
      <x:c r="B348" s="3" t="n">
        <x:v>47</x:v>
      </x:c>
      <x:c r="C348" s="3" t="n">
        <x:v>8</x:v>
      </x:c>
      <x:c r="D348" s="3" t="n">
        <x:v>2</x:v>
      </x:c>
      <x:c r="E348" s="3" t="n">
        <x:v>6</x:v>
      </x:c>
      <x:c r="F348" s="3" t="str">
        <x:v>05:00</x:v>
      </x:c>
      <x:c r="G348" s="3" t="str">
        <x:v>06:00</x:v>
      </x:c>
      <x:c r="H348" s="9" t="n">
        <x:v>0.475</x:v>
      </x:c>
      <x:c r="I348" s="9" t="n">
        <x:f>'Physical_Arcs'!K48*H348</x:f>
        <x:v>123.02499999999999</x:v>
      </x:c>
      <x:c r="J348" s="9" t="n">
        <x:f>'Physical_Arcs'!L48*H348</x:f>
        <x:v>1226.45</x:v>
      </x:c>
      <x:c r="K348" s="9" t="n">
        <x:f>'Physical_Arcs'!M48*H348</x:f>
        <x:v>613.225</x:v>
      </x:c>
      <x:c r="L348" s="9" t="n">
        <x:f>'Physical_Arcs'!U48</x:f>
        <x:v>0.820225</x:v>
      </x:c>
      <x:c r="M348" s="9" t="n">
        <x:f>L348*'Parameters'!$C$6</x:f>
        <x:v>0.820225</x:v>
      </x:c>
      <x:c r="N348" s="3" t="n">
        <x:v>1</x:v>
      </x:c>
    </x:row>
    <x:row r="349" ht="21" customHeight="1">
      <x:c r="A349" s="3" t="n">
        <x:v>348</x:v>
      </x:c>
      <x:c r="B349" s="3" t="n">
        <x:v>48</x:v>
      </x:c>
      <x:c r="C349" s="3" t="n">
        <x:v>8</x:v>
      </x:c>
      <x:c r="D349" s="3" t="n">
        <x:v>6</x:v>
      </x:c>
      <x:c r="E349" s="3" t="n">
        <x:v>6</x:v>
      </x:c>
      <x:c r="F349" s="3" t="str">
        <x:v>05:00</x:v>
      </x:c>
      <x:c r="G349" s="3" t="str">
        <x:v>06:00</x:v>
      </x:c>
      <x:c r="H349" s="9" t="n">
        <x:v>0.475</x:v>
      </x:c>
      <x:c r="I349" s="9" t="n">
        <x:f>'Physical_Arcs'!K49*H349</x:f>
        <x:v>162.92499999999998</x:v>
      </x:c>
      <x:c r="J349" s="9" t="n">
        <x:f>'Physical_Arcs'!L49*H349</x:f>
        <x:v>1625.925</x:v>
      </x:c>
      <x:c r="K349" s="9" t="n">
        <x:f>'Physical_Arcs'!M49*H349</x:f>
        <x:v>813.1999999999999</x:v>
      </x:c>
      <x:c r="L349" s="9" t="n">
        <x:f>'Physical_Arcs'!U49</x:f>
        <x:v>1.022472</x:v>
      </x:c>
      <x:c r="M349" s="9" t="n">
        <x:f>L349*'Parameters'!$C$6</x:f>
        <x:v>1.022472</x:v>
      </x:c>
      <x:c r="N349" s="3" t="n">
        <x:v>1</x:v>
      </x:c>
    </x:row>
    <x:row r="350" ht="21" customHeight="1">
      <x:c r="A350" s="3" t="n">
        <x:v>349</x:v>
      </x:c>
      <x:c r="B350" s="3" t="n">
        <x:v>49</x:v>
      </x:c>
      <x:c r="C350" s="3" t="n">
        <x:v>8</x:v>
      </x:c>
      <x:c r="D350" s="3" t="n">
        <x:v>4</x:v>
      </x:c>
      <x:c r="E350" s="3" t="n">
        <x:v>6</x:v>
      </x:c>
      <x:c r="F350" s="3" t="str">
        <x:v>05:00</x:v>
      </x:c>
      <x:c r="G350" s="3" t="str">
        <x:v>06:00</x:v>
      </x:c>
      <x:c r="H350" s="9" t="n">
        <x:v>0.475</x:v>
      </x:c>
      <x:c r="I350" s="9" t="n">
        <x:f>'Physical_Arcs'!K50*H350</x:f>
        <x:v>108.77499999999999</x:v>
      </x:c>
      <x:c r="J350" s="9" t="n">
        <x:f>'Physical_Arcs'!L50*H350</x:f>
        <x:v>1083.95</x:v>
      </x:c>
      <x:c r="K350" s="9" t="n">
        <x:f>'Physical_Arcs'!M50*H350</x:f>
        <x:v>541.975</x:v>
      </x:c>
      <x:c r="L350" s="9" t="n">
        <x:f>'Physical_Arcs'!U50</x:f>
        <x:v>1.376404</x:v>
      </x:c>
      <x:c r="M350" s="9" t="n">
        <x:f>L350*'Parameters'!$C$6</x:f>
        <x:v>1.376404</x:v>
      </x:c>
      <x:c r="N350" s="3" t="n">
        <x:v>1</x:v>
      </x:c>
    </x:row>
    <x:row r="351" ht="21" customHeight="1">
      <x:c r="A351" s="3" t="n">
        <x:v>350</x:v>
      </x:c>
      <x:c r="B351" s="3" t="n">
        <x:v>50</x:v>
      </x:c>
      <x:c r="C351" s="3" t="n">
        <x:v>8</x:v>
      </x:c>
      <x:c r="D351" s="3" t="n">
        <x:v>5</x:v>
      </x:c>
      <x:c r="E351" s="3" t="n">
        <x:v>6</x:v>
      </x:c>
      <x:c r="F351" s="3" t="str">
        <x:v>05:00</x:v>
      </x:c>
      <x:c r="G351" s="3" t="str">
        <x:v>06:00</x:v>
      </x:c>
      <x:c r="H351" s="9" t="n">
        <x:v>0.475</x:v>
      </x:c>
      <x:c r="I351" s="9" t="n">
        <x:f>'Physical_Arcs'!K51*H351</x:f>
        <x:v>137.275</x:v>
      </x:c>
      <x:c r="J351" s="9" t="n">
        <x:f>'Physical_Arcs'!L51*H351</x:f>
        <x:v>1369.425</x:v>
      </x:c>
      <x:c r="K351" s="9" t="n">
        <x:f>'Physical_Arcs'!M51*H351</x:f>
        <x:v>684.9499999999999</x:v>
      </x:c>
      <x:c r="L351" s="9" t="n">
        <x:f>'Physical_Arcs'!U51</x:f>
        <x:v>1.224719</x:v>
      </x:c>
      <x:c r="M351" s="9" t="n">
        <x:f>L351*'Parameters'!$C$6</x:f>
        <x:v>1.224719</x:v>
      </x:c>
      <x:c r="N351" s="3" t="n">
        <x:v>1</x:v>
      </x:c>
    </x:row>
    <x:row r="352" ht="21" customHeight="1">
      <x:c r="A352" s="3" t="n">
        <x:v>351</x:v>
      </x:c>
      <x:c r="B352" s="3" t="n">
        <x:v>51</x:v>
      </x:c>
      <x:c r="C352" s="3" t="n">
        <x:v>8</x:v>
      </x:c>
      <x:c r="D352" s="3" t="n">
        <x:v>1</x:v>
      </x:c>
      <x:c r="E352" s="3" t="n">
        <x:v>6</x:v>
      </x:c>
      <x:c r="F352" s="3" t="str">
        <x:v>05:00</x:v>
      </x:c>
      <x:c r="G352" s="3" t="str">
        <x:v>06:00</x:v>
      </x:c>
      <x:c r="H352" s="9" t="n">
        <x:v>0.475</x:v>
      </x:c>
      <x:c r="I352" s="9" t="n">
        <x:f>'Physical_Arcs'!K52*H352</x:f>
        <x:v>117.32499999999999</x:v>
      </x:c>
      <x:c r="J352" s="9" t="n">
        <x:f>'Physical_Arcs'!L52*H352</x:f>
        <x:v>1169.45</x:v>
      </x:c>
      <x:c r="K352" s="9" t="n">
        <x:f>'Physical_Arcs'!M52*H352</x:f>
        <x:v>584.725</x:v>
      </x:c>
      <x:c r="L352" s="9" t="n">
        <x:f>'Physical_Arcs'!U52</x:f>
        <x:v>1.949438</x:v>
      </x:c>
      <x:c r="M352" s="9" t="n">
        <x:f>L352*'Parameters'!$C$6</x:f>
        <x:v>1.949438</x:v>
      </x:c>
      <x:c r="N352" s="3" t="n">
        <x:v>1</x:v>
      </x:c>
    </x:row>
    <x:row r="353" ht="21" customHeight="1">
      <x:c r="A353" s="3" t="n">
        <x:v>352</x:v>
      </x:c>
      <x:c r="B353" s="3" t="n">
        <x:v>52</x:v>
      </x:c>
      <x:c r="C353" s="3" t="n">
        <x:v>9</x:v>
      </x:c>
      <x:c r="D353" s="3" t="n">
        <x:v>10</x:v>
      </x:c>
      <x:c r="E353" s="3" t="n">
        <x:v>6</x:v>
      </x:c>
      <x:c r="F353" s="3" t="str">
        <x:v>05:00</x:v>
      </x:c>
      <x:c r="G353" s="3" t="str">
        <x:v>06:00</x:v>
      </x:c>
      <x:c r="H353" s="9" t="n">
        <x:v>0.475</x:v>
      </x:c>
      <x:c r="I353" s="9" t="n">
        <x:f>'Physical_Arcs'!K53*H353</x:f>
        <x:v>285.47499999999997</x:v>
      </x:c>
      <x:c r="J353" s="9" t="n">
        <x:f>'Physical_Arcs'!L53*H353</x:f>
        <x:v>2852.375</x:v>
      </x:c>
      <x:c r="K353" s="9" t="n">
        <x:f>'Physical_Arcs'!M53*H353</x:f>
        <x:v>1426.425</x:v>
      </x:c>
      <x:c r="L353" s="9" t="n">
        <x:f>'Physical_Arcs'!U53</x:f>
        <x:v>2</x:v>
      </x:c>
      <x:c r="M353" s="9" t="n">
        <x:f>L353*'Parameters'!$C$6</x:f>
        <x:v>2</x:v>
      </x:c>
      <x:c r="N353" s="3" t="n">
        <x:v>1</x:v>
      </x:c>
    </x:row>
    <x:row r="354" ht="21" customHeight="1">
      <x:c r="A354" s="3" t="n">
        <x:v>353</x:v>
      </x:c>
      <x:c r="B354" s="3" t="n">
        <x:v>53</x:v>
      </x:c>
      <x:c r="C354" s="3" t="n">
        <x:v>9</x:v>
      </x:c>
      <x:c r="D354" s="3" t="n">
        <x:v>6</x:v>
      </x:c>
      <x:c r="E354" s="3" t="n">
        <x:v>6</x:v>
      </x:c>
      <x:c r="F354" s="3" t="str">
        <x:v>05:00</x:v>
      </x:c>
      <x:c r="G354" s="3" t="str">
        <x:v>06:00</x:v>
      </x:c>
      <x:c r="H354" s="9" t="n">
        <x:v>0.475</x:v>
      </x:c>
      <x:c r="I354" s="9" t="n">
        <x:f>'Physical_Arcs'!K54*H354</x:f>
        <x:v>142.975</x:v>
      </x:c>
      <x:c r="J354" s="9" t="n">
        <x:f>'Physical_Arcs'!L54*H354</x:f>
        <x:v>1426.425</x:v>
      </x:c>
      <x:c r="K354" s="9" t="n">
        <x:f>'Physical_Arcs'!M54*H354</x:f>
        <x:v>713.4499999999999</x:v>
      </x:c>
      <x:c r="L354" s="9" t="n">
        <x:f>'Physical_Arcs'!U54</x:f>
        <x:v>1.157303</x:v>
      </x:c>
      <x:c r="M354" s="9" t="n">
        <x:f>L354*'Parameters'!$C$6</x:f>
        <x:v>1.157303</x:v>
      </x:c>
      <x:c r="N354" s="3" t="n">
        <x:v>1</x:v>
      </x:c>
    </x:row>
    <x:row r="355" ht="21" customHeight="1">
      <x:c r="A355" s="3" t="n">
        <x:v>354</x:v>
      </x:c>
      <x:c r="B355" s="3" t="n">
        <x:v>54</x:v>
      </x:c>
      <x:c r="C355" s="3" t="n">
        <x:v>9</x:v>
      </x:c>
      <x:c r="D355" s="3" t="n">
        <x:v>2</x:v>
      </x:c>
      <x:c r="E355" s="3" t="n">
        <x:v>6</x:v>
      </x:c>
      <x:c r="F355" s="3" t="str">
        <x:v>05:00</x:v>
      </x:c>
      <x:c r="G355" s="3" t="str">
        <x:v>06:00</x:v>
      </x:c>
      <x:c r="H355" s="9" t="n">
        <x:v>0.475</x:v>
      </x:c>
      <x:c r="I355" s="9" t="n">
        <x:f>'Physical_Arcs'!K55*H355</x:f>
        <x:v>234.17499999999998</x:v>
      </x:c>
      <x:c r="J355" s="9" t="n">
        <x:f>'Physical_Arcs'!L55*H355</x:f>
        <x:v>2338.9</x:v>
      </x:c>
      <x:c r="K355" s="9" t="n">
        <x:f>'Physical_Arcs'!M55*H355</x:f>
        <x:v>1169.45</x:v>
      </x:c>
      <x:c r="L355" s="9" t="n">
        <x:f>'Physical_Arcs'!U55</x:f>
        <x:v>0.904494</x:v>
      </x:c>
      <x:c r="M355" s="9" t="n">
        <x:f>L355*'Parameters'!$C$6</x:f>
        <x:v>0.904494</x:v>
      </x:c>
      <x:c r="N355" s="3" t="n">
        <x:v>1</x:v>
      </x:c>
    </x:row>
    <x:row r="356" ht="21" customHeight="1">
      <x:c r="A356" s="3" t="n">
        <x:v>355</x:v>
      </x:c>
      <x:c r="B356" s="3" t="n">
        <x:v>55</x:v>
      </x:c>
      <x:c r="C356" s="3" t="n">
        <x:v>9</x:v>
      </x:c>
      <x:c r="D356" s="3" t="n">
        <x:v>7</x:v>
      </x:c>
      <x:c r="E356" s="3" t="n">
        <x:v>6</x:v>
      </x:c>
      <x:c r="F356" s="3" t="str">
        <x:v>05:00</x:v>
      </x:c>
      <x:c r="G356" s="3" t="str">
        <x:v>06:00</x:v>
      </x:c>
      <x:c r="H356" s="9" t="n">
        <x:v>0.475</x:v>
      </x:c>
      <x:c r="I356" s="9" t="n">
        <x:f>'Physical_Arcs'!K56*H356</x:f>
        <x:v>103.07499999999999</x:v>
      </x:c>
      <x:c r="J356" s="9" t="n">
        <x:f>'Physical_Arcs'!L56*H356</x:f>
        <x:v>1026.95</x:v>
      </x:c>
      <x:c r="K356" s="9" t="n">
        <x:f>'Physical_Arcs'!M56*H356</x:f>
        <x:v>513.475</x:v>
      </x:c>
      <x:c r="L356" s="9" t="n">
        <x:f>'Physical_Arcs'!U56</x:f>
        <x:v>0.88764</x:v>
      </x:c>
      <x:c r="M356" s="9" t="n">
        <x:f>L356*'Parameters'!$C$6</x:f>
        <x:v>0.88764</x:v>
      </x:c>
      <x:c r="N356" s="3" t="n">
        <x:v>1</x:v>
      </x:c>
    </x:row>
    <x:row r="357" ht="21" customHeight="1">
      <x:c r="A357" s="3" t="n">
        <x:v>356</x:v>
      </x:c>
      <x:c r="B357" s="3" t="n">
        <x:v>56</x:v>
      </x:c>
      <x:c r="C357" s="3" t="n">
        <x:v>9</x:v>
      </x:c>
      <x:c r="D357" s="3" t="n">
        <x:v>3</x:v>
      </x:c>
      <x:c r="E357" s="3" t="n">
        <x:v>6</x:v>
      </x:c>
      <x:c r="F357" s="3" t="str">
        <x:v>05:00</x:v>
      </x:c>
      <x:c r="G357" s="3" t="str">
        <x:v>06:00</x:v>
      </x:c>
      <x:c r="H357" s="9" t="n">
        <x:v>0.475</x:v>
      </x:c>
      <x:c r="I357" s="9" t="n">
        <x:f>'Physical_Arcs'!K57*H357</x:f>
        <x:v>194.27499999999998</x:v>
      </x:c>
      <x:c r="J357" s="9" t="n">
        <x:f>'Physical_Arcs'!L57*H357</x:f>
        <x:v>1939.8999999999999</x:v>
      </x:c>
      <x:c r="K357" s="9" t="n">
        <x:f>'Physical_Arcs'!M57*H357</x:f>
        <x:v>969.9499999999999</x:v>
      </x:c>
      <x:c r="L357" s="9" t="n">
        <x:f>'Physical_Arcs'!U57</x:f>
        <x:v>1.106742</x:v>
      </x:c>
      <x:c r="M357" s="9" t="n">
        <x:f>L357*'Parameters'!$C$6</x:f>
        <x:v>1.106742</x:v>
      </x:c>
      <x:c r="N357" s="3" t="n">
        <x:v>1</x:v>
      </x:c>
    </x:row>
    <x:row r="358" ht="21" customHeight="1">
      <x:c r="A358" s="3" t="n">
        <x:v>357</x:v>
      </x:c>
      <x:c r="B358" s="3" t="n">
        <x:v>57</x:v>
      </x:c>
      <x:c r="C358" s="3" t="n">
        <x:v>10</x:v>
      </x:c>
      <x:c r="D358" s="3" t="n">
        <x:v>1</x:v>
      </x:c>
      <x:c r="E358" s="3" t="n">
        <x:v>6</x:v>
      </x:c>
      <x:c r="F358" s="3" t="str">
        <x:v>05:00</x:v>
      </x:c>
      <x:c r="G358" s="3" t="str">
        <x:v>06:00</x:v>
      </x:c>
      <x:c r="H358" s="9" t="n">
        <x:v>0.475</x:v>
      </x:c>
      <x:c r="I358" s="9" t="n">
        <x:f>'Physical_Arcs'!K58*H358</x:f>
        <x:v>285.47499999999997</x:v>
      </x:c>
      <x:c r="J358" s="9" t="n">
        <x:f>'Physical_Arcs'!L58*H358</x:f>
        <x:v>2852.375</x:v>
      </x:c>
      <x:c r="K358" s="9" t="n">
        <x:f>'Physical_Arcs'!M58*H358</x:f>
        <x:v>1426.425</x:v>
      </x:c>
      <x:c r="L358" s="9" t="n">
        <x:f>'Physical_Arcs'!U58</x:f>
        <x:v>2</x:v>
      </x:c>
      <x:c r="M358" s="9" t="n">
        <x:f>L358*'Parameters'!$C$6</x:f>
        <x:v>2</x:v>
      </x:c>
      <x:c r="N358" s="3" t="n">
        <x:v>1</x:v>
      </x:c>
    </x:row>
    <x:row r="359" ht="21" customHeight="1">
      <x:c r="A359" s="3" t="n">
        <x:v>358</x:v>
      </x:c>
      <x:c r="B359" s="3" t="n">
        <x:v>58</x:v>
      </x:c>
      <x:c r="C359" s="3" t="n">
        <x:v>10</x:v>
      </x:c>
      <x:c r="D359" s="3" t="n">
        <x:v>6</x:v>
      </x:c>
      <x:c r="E359" s="3" t="n">
        <x:v>6</x:v>
      </x:c>
      <x:c r="F359" s="3" t="str">
        <x:v>05:00</x:v>
      </x:c>
      <x:c r="G359" s="3" t="str">
        <x:v>06:00</x:v>
      </x:c>
      <x:c r="H359" s="9" t="n">
        <x:v>0.475</x:v>
      </x:c>
      <x:c r="I359" s="9" t="n">
        <x:f>'Physical_Arcs'!K59*H359</x:f>
        <x:v>180.025</x:v>
      </x:c>
      <x:c r="J359" s="9" t="n">
        <x:f>'Physical_Arcs'!L59*H359</x:f>
        <x:v>1796.925</x:v>
      </x:c>
      <x:c r="K359" s="9" t="n">
        <x:f>'Physical_Arcs'!M59*H359</x:f>
        <x:v>898.6999999999999</x:v>
      </x:c>
      <x:c r="L359" s="9" t="n">
        <x:f>'Physical_Arcs'!U59</x:f>
        <x:v>1.123596</x:v>
      </x:c>
      <x:c r="M359" s="9" t="n">
        <x:f>L359*'Parameters'!$C$6</x:f>
        <x:v>1.123596</x:v>
      </x:c>
      <x:c r="N359" s="3" t="n">
        <x:v>1</x:v>
      </x:c>
    </x:row>
    <x:row r="360" ht="21" customHeight="1">
      <x:c r="A360" s="3" t="n">
        <x:v>359</x:v>
      </x:c>
      <x:c r="B360" s="3" t="n">
        <x:v>59</x:v>
      </x:c>
      <x:c r="C360" s="3" t="n">
        <x:v>10</x:v>
      </x:c>
      <x:c r="D360" s="3" t="n">
        <x:v>4</x:v>
      </x:c>
      <x:c r="E360" s="3" t="n">
        <x:v>6</x:v>
      </x:c>
      <x:c r="F360" s="3" t="str">
        <x:v>05:00</x:v>
      </x:c>
      <x:c r="G360" s="3" t="str">
        <x:v>06:00</x:v>
      </x:c>
      <x:c r="H360" s="9" t="n">
        <x:v>0.475</x:v>
      </x:c>
      <x:c r="I360" s="9" t="n">
        <x:f>'Physical_Arcs'!K60*H360</x:f>
        <x:v>256.97499999999997</x:v>
      </x:c>
      <x:c r="J360" s="9" t="n">
        <x:f>'Physical_Arcs'!L60*H360</x:f>
        <x:v>2567.375</x:v>
      </x:c>
      <x:c r="K360" s="9" t="n">
        <x:f>'Physical_Arcs'!M60*H360</x:f>
        <x:v>1283.925</x:v>
      </x:c>
      <x:c r="L360" s="9" t="n">
        <x:f>'Physical_Arcs'!U60</x:f>
        <x:v>1.949438</x:v>
      </x:c>
      <x:c r="M360" s="9" t="n">
        <x:f>L360*'Parameters'!$C$6</x:f>
        <x:v>1.949438</x:v>
      </x:c>
      <x:c r="N360" s="3" t="n">
        <x:v>1</x:v>
      </x:c>
    </x:row>
    <x:row r="361" ht="21" customHeight="1">
      <x:c r="A361" s="3" t="n">
        <x:v>360</x:v>
      </x:c>
      <x:c r="B361" s="3" t="n">
        <x:v>60</x:v>
      </x:c>
      <x:c r="C361" s="3" t="n">
        <x:v>10</x:v>
      </x:c>
      <x:c r="D361" s="3" t="n">
        <x:v>9</x:v>
      </x:c>
      <x:c r="E361" s="3" t="n">
        <x:v>6</x:v>
      </x:c>
      <x:c r="F361" s="3" t="str">
        <x:v>05:00</x:v>
      </x:c>
      <x:c r="G361" s="3" t="str">
        <x:v>06:00</x:v>
      </x:c>
      <x:c r="H361" s="9" t="n">
        <x:v>0.475</x:v>
      </x:c>
      <x:c r="I361" s="9" t="n">
        <x:f>'Physical_Arcs'!K61*H361</x:f>
        <x:v>94.52499999999999</x:v>
      </x:c>
      <x:c r="J361" s="9" t="n">
        <x:f>'Physical_Arcs'!L61*H361</x:f>
        <x:v>941.4499999999999</x:v>
      </x:c>
      <x:c r="K361" s="9" t="n">
        <x:f>'Physical_Arcs'!M61*H361</x:f>
        <x:v>470.72499999999997</x:v>
      </x:c>
      <x:c r="L361" s="9" t="n">
        <x:f>'Physical_Arcs'!U61</x:f>
        <x:v>1.494382</x:v>
      </x:c>
      <x:c r="M361" s="9" t="n">
        <x:f>L361*'Parameters'!$C$6</x:f>
        <x:v>1.494382</x:v>
      </x:c>
      <x:c r="N36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214b20f2bb2498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5afda31e0d8b46a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5</x:v>
      </x:c>
      <x:c r="E2" s="3" t="n">
        <x:v>10</x:v>
      </x:c>
      <x:c r="F2" s="3" t="n">
        <x:v>6</x:v>
      </x:c>
      <x:c r="G2" s="3" t="n">
        <x:v>71</x:v>
      </x:c>
      <x:c r="H2" s="9" t="n">
        <x:v>-1.332612</x:v>
      </x:c>
      <x:c r="I2" s="9" t="n">
        <x:v>-0.586204</x:v>
      </x:c>
      <x:c r="J2" s="9" t="n">
        <x:v>0.75975274</x:v>
      </x:c>
      <x:c r="K2" s="9" t="n">
        <x:v>53.942445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2</x:v>
      </x:c>
      <x:c r="E3" s="3" t="n">
        <x:v>5</x:v>
      </x:c>
      <x:c r="F3" s="3" t="n">
        <x:v>8</x:v>
      </x:c>
      <x:c r="G3" s="3" t="n">
        <x:v>32</x:v>
      </x:c>
      <x:c r="H3" s="9" t="n">
        <x:v>-1.332612</x:v>
      </x:c>
      <x:c r="I3" s="9" t="n">
        <x:v>-0.709566</x:v>
      </x:c>
      <x:c r="J3" s="9" t="n">
        <x:v>0.75043788</x:v>
      </x:c>
      <x:c r="K3" s="9" t="n">
        <x:v>24.014012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8</x:v>
      </x:c>
      <x:c r="E4" s="3" t="n">
        <x:v>9</x:v>
      </x:c>
      <x:c r="F4" s="3" t="n">
        <x:v>6</x:v>
      </x:c>
      <x:c r="G4" s="3" t="n">
        <x:v>78</x:v>
      </x:c>
      <x:c r="H4" s="9" t="n">
        <x:v>-1.332612</x:v>
      </x:c>
      <x:c r="I4" s="9" t="n">
        <x:v>0.786299</x:v>
      </x:c>
      <x:c r="J4" s="9" t="n">
        <x:v>0.87152397</x:v>
      </x:c>
      <x:c r="K4" s="9" t="n">
        <x:v>67.97887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1</x:v>
      </x:c>
      <x:c r="E5" s="3" t="n">
        <x:v>5</x:v>
      </x:c>
      <x:c r="F5" s="3" t="n">
        <x:v>6</x:v>
      </x:c>
      <x:c r="G5" s="3" t="n">
        <x:v>40</x:v>
      </x:c>
      <x:c r="H5" s="9" t="n">
        <x:v>-1.332612</x:v>
      </x:c>
      <x:c r="I5" s="9" t="n">
        <x:v>-0.863099</x:v>
      </x:c>
      <x:c r="J5" s="9" t="n">
        <x:v>0.73900417</x:v>
      </x:c>
      <x:c r="K5" s="9" t="n">
        <x:v>29.560167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4</x:v>
      </x:c>
      <x:c r="E6" s="3" t="n">
        <x:v>3</x:v>
      </x:c>
      <x:c r="F6" s="3" t="n">
        <x:v>4</x:v>
      </x:c>
      <x:c r="G6" s="3" t="n">
        <x:v>53</x:v>
      </x:c>
      <x:c r="H6" s="9" t="n">
        <x:v>-1.332612</x:v>
      </x:c>
      <x:c r="I6" s="9" t="n">
        <x:v>-1.019275</x:v>
      </x:c>
      <x:c r="J6" s="9" t="n">
        <x:v>0.72755236</x:v>
      </x:c>
      <x:c r="K6" s="9" t="n">
        <x:v>38.560275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1</x:v>
      </x:c>
      <x:c r="E7" s="3" t="n">
        <x:v>1</x:v>
      </x:c>
      <x:c r="F7" s="3" t="n">
        <x:v>4</x:v>
      </x:c>
      <x:c r="G7" s="3" t="n">
        <x:v>80</x:v>
      </x:c>
      <x:c r="H7" s="9" t="n">
        <x:v>-1.332612</x:v>
      </x:c>
      <x:c r="I7" s="9" t="n">
        <x:v>-1.247977</x:v>
      </x:c>
      <x:c r="J7" s="9" t="n">
        <x:v>0.71110192</x:v>
      </x:c>
      <x:c r="K7" s="9" t="n">
        <x:v>56.888153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7</x:v>
      </x:c>
      <x:c r="E8" s="3" t="n">
        <x:v>8</x:v>
      </x:c>
      <x:c r="F8" s="3" t="n">
        <x:v>7</x:v>
      </x:c>
      <x:c r="G8" s="3" t="n">
        <x:v>57</x:v>
      </x:c>
      <x:c r="H8" s="9" t="n">
        <x:v>-1.332612</x:v>
      </x:c>
      <x:c r="I8" s="9" t="n">
        <x:v>0.805874</x:v>
      </x:c>
      <x:c r="J8" s="9" t="n">
        <x:v>0.87323167</x:v>
      </x:c>
      <x:c r="K8" s="9" t="n">
        <x:v>49.774205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3</x:v>
      </x:c>
      <x:c r="E9" s="3" t="n">
        <x:v>8</x:v>
      </x:c>
      <x:c r="F9" s="3" t="n">
        <x:v>2</x:v>
      </x:c>
      <x:c r="G9" s="3" t="n">
        <x:v>72</x:v>
      </x:c>
      <x:c r="H9" s="9" t="n">
        <x:v>-1.332612</x:v>
      </x:c>
      <x:c r="I9" s="9" t="n">
        <x:v>-0.85966</x:v>
      </x:c>
      <x:c r="J9" s="9" t="n">
        <x:v>0.73925836</x:v>
      </x:c>
      <x:c r="K9" s="9" t="n">
        <x:v>53.226602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6</x:v>
      </x:c>
      <x:c r="E10" s="3" t="n">
        <x:v>10</x:v>
      </x:c>
      <x:c r="F10" s="3" t="n">
        <x:v>7</x:v>
      </x:c>
      <x:c r="G10" s="3" t="n">
        <x:v>57</x:v>
      </x:c>
      <x:c r="H10" s="9" t="n">
        <x:v>-1.332612</x:v>
      </x:c>
      <x:c r="I10" s="9" t="n">
        <x:v>-0.011643</x:v>
      </x:c>
      <x:c r="J10" s="9" t="n">
        <x:v>0.80468365</x:v>
      </x:c>
      <x:c r="K10" s="9" t="n">
        <x:v>45.866968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6</x:v>
      </x:c>
      <x:c r="E11" s="3" t="n">
        <x:v>7</x:v>
      </x:c>
      <x:c r="F11" s="3" t="n">
        <x:v>9</x:v>
      </x:c>
      <x:c r="G11" s="3" t="n">
        <x:v>73</x:v>
      </x:c>
      <x:c r="H11" s="9" t="n">
        <x:v>-1.332612</x:v>
      </x:c>
      <x:c r="I11" s="9" t="n">
        <x:v>-0.077601</x:v>
      </x:c>
      <x:c r="J11" s="9" t="n">
        <x:v>0.79939355</x:v>
      </x:c>
      <x:c r="K11" s="9" t="n">
        <x:v>58.355729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2</x:v>
      </x:c>
      <x:c r="B12" s="3" t="n">
        <x:v>1</x:v>
      </x:c>
      <x:c r="C12" s="3" t="n">
        <x:v>1</x:v>
      </x:c>
      <x:c r="D12" s="3" t="n">
        <x:v>5</x:v>
      </x:c>
      <x:c r="E12" s="3" t="n">
        <x:v>10</x:v>
      </x:c>
      <x:c r="F12" s="3" t="n">
        <x:v>6</x:v>
      </x:c>
      <x:c r="G12" s="3" t="n">
        <x:v>71</x:v>
      </x:c>
      <x:c r="H12" s="9" t="n">
        <x:v>1.696009</x:v>
      </x:c>
      <x:c r="I12" s="9" t="n">
        <x:v>1.48718</x:v>
      </x:c>
      <x:c r="J12" s="9" t="n">
        <x:v>1.47236404</x:v>
      </x:c>
      <x:c r="K12" s="9" t="n">
        <x:v>104.537847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2</x:v>
      </x:c>
      <x:c r="B13" s="3" t="n">
        <x:v>2</x:v>
      </x:c>
      <x:c r="C13" s="3" t="n">
        <x:v>2</x:v>
      </x:c>
      <x:c r="D13" s="3" t="n">
        <x:v>2</x:v>
      </x:c>
      <x:c r="E13" s="3" t="n">
        <x:v>5</x:v>
      </x:c>
      <x:c r="F13" s="3" t="n">
        <x:v>8</x:v>
      </x:c>
      <x:c r="G13" s="3" t="n">
        <x:v>32</x:v>
      </x:c>
      <x:c r="H13" s="9" t="n">
        <x:v>1.696009</x:v>
      </x:c>
      <x:c r="I13" s="9" t="n">
        <x:v>-0.501684</x:v>
      </x:c>
      <x:c r="J13" s="9" t="n">
        <x:v>1.20681291</x:v>
      </x:c>
      <x:c r="K13" s="9" t="n">
        <x:v>38.618013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2</x:v>
      </x:c>
      <x:c r="B14" s="3" t="n">
        <x:v>3</x:v>
      </x:c>
      <x:c r="C14" s="3" t="n">
        <x:v>3</x:v>
      </x:c>
      <x:c r="D14" s="3" t="n">
        <x:v>8</x:v>
      </x:c>
      <x:c r="E14" s="3" t="n">
        <x:v>9</x:v>
      </x:c>
      <x:c r="F14" s="3" t="n">
        <x:v>6</x:v>
      </x:c>
      <x:c r="G14" s="3" t="n">
        <x:v>78</x:v>
      </x:c>
      <x:c r="H14" s="9" t="n">
        <x:v>1.696009</x:v>
      </x:c>
      <x:c r="I14" s="9" t="n">
        <x:v>0.446378</x:v>
      </x:c>
      <x:c r="J14" s="9" t="n">
        <x:v>1.3268253</x:v>
      </x:c>
      <x:c r="K14" s="9" t="n">
        <x:v>103.492374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2</x:v>
      </x:c>
      <x:c r="B15" s="3" t="n">
        <x:v>4</x:v>
      </x:c>
      <x:c r="C15" s="3" t="n">
        <x:v>4</x:v>
      </x:c>
      <x:c r="D15" s="3" t="n">
        <x:v>1</x:v>
      </x:c>
      <x:c r="E15" s="3" t="n">
        <x:v>5</x:v>
      </x:c>
      <x:c r="F15" s="3" t="n">
        <x:v>6</x:v>
      </x:c>
      <x:c r="G15" s="3" t="n">
        <x:v>40</x:v>
      </x:c>
      <x:c r="H15" s="9" t="n">
        <x:v>1.696009</x:v>
      </x:c>
      <x:c r="I15" s="9" t="n">
        <x:v>-0.888165</x:v>
      </x:c>
      <x:c r="J15" s="9" t="n">
        <x:v>1.16106163</x:v>
      </x:c>
      <x:c r="K15" s="9" t="n">
        <x:v>46.442465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2</x:v>
      </x:c>
      <x:c r="B16" s="3" t="n">
        <x:v>5</x:v>
      </x:c>
      <x:c r="C16" s="3" t="n">
        <x:v>5</x:v>
      </x:c>
      <x:c r="D16" s="3" t="n">
        <x:v>4</x:v>
      </x:c>
      <x:c r="E16" s="3" t="n">
        <x:v>3</x:v>
      </x:c>
      <x:c r="F16" s="3" t="n">
        <x:v>4</x:v>
      </x:c>
      <x:c r="G16" s="3" t="n">
        <x:v>53</x:v>
      </x:c>
      <x:c r="H16" s="9" t="n">
        <x:v>1.696009</x:v>
      </x:c>
      <x:c r="I16" s="9" t="n">
        <x:v>1.047419</x:v>
      </x:c>
      <x:c r="J16" s="9" t="n">
        <x:v>1.40901831</x:v>
      </x:c>
      <x:c r="K16" s="9" t="n">
        <x:v>74.677971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2</x:v>
      </x:c>
      <x:c r="B17" s="3" t="n">
        <x:v>6</x:v>
      </x:c>
      <x:c r="C17" s="3" t="n">
        <x:v>6</x:v>
      </x:c>
      <x:c r="D17" s="3" t="n">
        <x:v>1</x:v>
      </x:c>
      <x:c r="E17" s="3" t="n">
        <x:v>1</x:v>
      </x:c>
      <x:c r="F17" s="3" t="n">
        <x:v>4</x:v>
      </x:c>
      <x:c r="G17" s="3" t="n">
        <x:v>80</x:v>
      </x:c>
      <x:c r="H17" s="9" t="n">
        <x:v>1.696009</x:v>
      </x:c>
      <x:c r="I17" s="9" t="n">
        <x:v>0.174554</x:v>
      </x:c>
      <x:c r="J17" s="9" t="n">
        <x:v>1.29124475</x:v>
      </x:c>
      <x:c r="K17" s="9" t="n">
        <x:v>103.29958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2</x:v>
      </x:c>
      <x:c r="B18" s="3" t="n">
        <x:v>7</x:v>
      </x:c>
      <x:c r="C18" s="3" t="n">
        <x:v>7</x:v>
      </x:c>
      <x:c r="D18" s="3" t="n">
        <x:v>7</x:v>
      </x:c>
      <x:c r="E18" s="3" t="n">
        <x:v>8</x:v>
      </x:c>
      <x:c r="F18" s="3" t="n">
        <x:v>7</x:v>
      </x:c>
      <x:c r="G18" s="3" t="n">
        <x:v>57</x:v>
      </x:c>
      <x:c r="H18" s="9" t="n">
        <x:v>1.696009</x:v>
      </x:c>
      <x:c r="I18" s="9" t="n">
        <x:v>-1.766124</x:v>
      </x:c>
      <x:c r="J18" s="9" t="n">
        <x:v>1.06347188</x:v>
      </x:c>
      <x:c r="K18" s="9" t="n">
        <x:v>60.617897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2</x:v>
      </x:c>
      <x:c r="B19" s="3" t="n">
        <x:v>8</x:v>
      </x:c>
      <x:c r="C19" s="3" t="n">
        <x:v>8</x:v>
      </x:c>
      <x:c r="D19" s="3" t="n">
        <x:v>3</x:v>
      </x:c>
      <x:c r="E19" s="3" t="n">
        <x:v>8</x:v>
      </x:c>
      <x:c r="F19" s="3" t="n">
        <x:v>2</x:v>
      </x:c>
      <x:c r="G19" s="3" t="n">
        <x:v>72</x:v>
      </x:c>
      <x:c r="H19" s="9" t="n">
        <x:v>1.696009</x:v>
      </x:c>
      <x:c r="I19" s="9" t="n">
        <x:v>-0.588892</x:v>
      </x:c>
      <x:c r="J19" s="9" t="n">
        <x:v>1.19633425</x:v>
      </x:c>
      <x:c r="K19" s="9" t="n">
        <x:v>86.136066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2</x:v>
      </x:c>
      <x:c r="B20" s="3" t="n">
        <x:v>9</x:v>
      </x:c>
      <x:c r="C20" s="3" t="n">
        <x:v>9</x:v>
      </x:c>
      <x:c r="D20" s="3" t="n">
        <x:v>6</x:v>
      </x:c>
      <x:c r="E20" s="3" t="n">
        <x:v>10</x:v>
      </x:c>
      <x:c r="F20" s="3" t="n">
        <x:v>7</x:v>
      </x:c>
      <x:c r="G20" s="3" t="n">
        <x:v>57</x:v>
      </x:c>
      <x:c r="H20" s="9" t="n">
        <x:v>1.696009</x:v>
      </x:c>
      <x:c r="I20" s="9" t="n">
        <x:v>2.398415</x:v>
      </x:c>
      <x:c r="J20" s="9" t="n">
        <x:v>1.61283384</x:v>
      </x:c>
      <x:c r="K20" s="9" t="n">
        <x:v>91.931529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2</x:v>
      </x:c>
      <x:c r="B21" s="3" t="n">
        <x:v>10</x:v>
      </x:c>
      <x:c r="C21" s="3" t="n">
        <x:v>10</x:v>
      </x:c>
      <x:c r="D21" s="3" t="n">
        <x:v>6</x:v>
      </x:c>
      <x:c r="E21" s="3" t="n">
        <x:v>7</x:v>
      </x:c>
      <x:c r="F21" s="3" t="n">
        <x:v>9</x:v>
      </x:c>
      <x:c r="G21" s="3" t="n">
        <x:v>73</x:v>
      </x:c>
      <x:c r="H21" s="9" t="n">
        <x:v>1.696009</x:v>
      </x:c>
      <x:c r="I21" s="9" t="n">
        <x:v>1.003939</x:v>
      </x:c>
      <x:c r="J21" s="9" t="n">
        <x:v>1.40290517</x:v>
      </x:c>
      <x:c r="K21" s="9" t="n">
        <x:v>102.412077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3</x:v>
      </x:c>
      <x:c r="B22" s="3" t="n">
        <x:v>1</x:v>
      </x:c>
      <x:c r="C22" s="3" t="n">
        <x:v>1</x:v>
      </x:c>
      <x:c r="D22" s="3" t="n">
        <x:v>5</x:v>
      </x:c>
      <x:c r="E22" s="3" t="n">
        <x:v>10</x:v>
      </x:c>
      <x:c r="F22" s="3" t="n">
        <x:v>6</x:v>
      </x:c>
      <x:c r="G22" s="3" t="n">
        <x:v>71</x:v>
      </x:c>
      <x:c r="H22" s="9" t="n">
        <x:v>0.087883</x:v>
      </x:c>
      <x:c r="I22" s="9" t="n">
        <x:v>0.594935</x:v>
      </x:c>
      <x:c r="J22" s="9" t="n">
        <x:v>1.05804829</x:v>
      </x:c>
      <x:c r="K22" s="9" t="n">
        <x:v>75.121429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3</x:v>
      </x:c>
      <x:c r="B23" s="3" t="n">
        <x:v>2</x:v>
      </x:c>
      <x:c r="C23" s="3" t="n">
        <x:v>2</x:v>
      </x:c>
      <x:c r="D23" s="3" t="n">
        <x:v>2</x:v>
      </x:c>
      <x:c r="E23" s="3" t="n">
        <x:v>5</x:v>
      </x:c>
      <x:c r="F23" s="3" t="n">
        <x:v>8</x:v>
      </x:c>
      <x:c r="G23" s="3" t="n">
        <x:v>32</x:v>
      </x:c>
      <x:c r="H23" s="9" t="n">
        <x:v>0.087883</x:v>
      </x:c>
      <x:c r="I23" s="9" t="n">
        <x:v>1.500815</x:v>
      </x:c>
      <x:c r="J23" s="9" t="n">
        <x:v>1.15837006</x:v>
      </x:c>
      <x:c r="K23" s="9" t="n">
        <x:v>37.067842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3</x:v>
      </x:c>
      <x:c r="B24" s="3" t="n">
        <x:v>3</x:v>
      </x:c>
      <x:c r="C24" s="3" t="n">
        <x:v>3</x:v>
      </x:c>
      <x:c r="D24" s="3" t="n">
        <x:v>8</x:v>
      </x:c>
      <x:c r="E24" s="3" t="n">
        <x:v>9</x:v>
      </x:c>
      <x:c r="F24" s="3" t="n">
        <x:v>6</x:v>
      </x:c>
      <x:c r="G24" s="3" t="n">
        <x:v>78</x:v>
      </x:c>
      <x:c r="H24" s="9" t="n">
        <x:v>0.087883</x:v>
      </x:c>
      <x:c r="I24" s="9" t="n">
        <x:v>-0.545226</x:v>
      </x:c>
      <x:c r="J24" s="9" t="n">
        <x:v>0.94403673</x:v>
      </x:c>
      <x:c r="K24" s="9" t="n">
        <x:v>73.634865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3</x:v>
      </x:c>
      <x:c r="B25" s="3" t="n">
        <x:v>4</x:v>
      </x:c>
      <x:c r="C25" s="3" t="n">
        <x:v>4</x:v>
      </x:c>
      <x:c r="D25" s="3" t="n">
        <x:v>1</x:v>
      </x:c>
      <x:c r="E25" s="3" t="n">
        <x:v>5</x:v>
      </x:c>
      <x:c r="F25" s="3" t="n">
        <x:v>6</x:v>
      </x:c>
      <x:c r="G25" s="3" t="n">
        <x:v>40</x:v>
      </x:c>
      <x:c r="H25" s="9" t="n">
        <x:v>0.087883</x:v>
      </x:c>
      <x:c r="I25" s="9" t="n">
        <x:v>-2.092066</x:v>
      </x:c>
      <x:c r="J25" s="9" t="n">
        <x:v>0.80874297</x:v>
      </x:c>
      <x:c r="K25" s="9" t="n">
        <x:v>32.349719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3</x:v>
      </x:c>
      <x:c r="B26" s="3" t="n">
        <x:v>5</x:v>
      </x:c>
      <x:c r="C26" s="3" t="n">
        <x:v>5</x:v>
      </x:c>
      <x:c r="D26" s="3" t="n">
        <x:v>4</x:v>
      </x:c>
      <x:c r="E26" s="3" t="n">
        <x:v>3</x:v>
      </x:c>
      <x:c r="F26" s="3" t="n">
        <x:v>4</x:v>
      </x:c>
      <x:c r="G26" s="3" t="n">
        <x:v>53</x:v>
      </x:c>
      <x:c r="H26" s="9" t="n">
        <x:v>0.087883</x:v>
      </x:c>
      <x:c r="I26" s="9" t="n">
        <x:v>-0.277571</x:v>
      </x:c>
      <x:c r="J26" s="9" t="n">
        <x:v>0.9696456</x:v>
      </x:c>
      <x:c r="K26" s="9" t="n">
        <x:v>51.391217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3</x:v>
      </x:c>
      <x:c r="B27" s="3" t="n">
        <x:v>6</x:v>
      </x:c>
      <x:c r="C27" s="3" t="n">
        <x:v>6</x:v>
      </x:c>
      <x:c r="D27" s="3" t="n">
        <x:v>1</x:v>
      </x:c>
      <x:c r="E27" s="3" t="n">
        <x:v>1</x:v>
      </x:c>
      <x:c r="F27" s="3" t="n">
        <x:v>4</x:v>
      </x:c>
      <x:c r="G27" s="3" t="n">
        <x:v>80</x:v>
      </x:c>
      <x:c r="H27" s="9" t="n">
        <x:v>0.087883</x:v>
      </x:c>
      <x:c r="I27" s="9" t="n">
        <x:v>0.30135</x:v>
      </x:c>
      <x:c r="J27" s="9" t="n">
        <x:v>1.02743709</x:v>
      </x:c>
      <x:c r="K27" s="9" t="n">
        <x:v>82.194968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3</x:v>
      </x:c>
      <x:c r="B28" s="3" t="n">
        <x:v>7</x:v>
      </x:c>
      <x:c r="C28" s="3" t="n">
        <x:v>7</x:v>
      </x:c>
      <x:c r="D28" s="3" t="n">
        <x:v>7</x:v>
      </x:c>
      <x:c r="E28" s="3" t="n">
        <x:v>8</x:v>
      </x:c>
      <x:c r="F28" s="3" t="n">
        <x:v>7</x:v>
      </x:c>
      <x:c r="G28" s="3" t="n">
        <x:v>57</x:v>
      </x:c>
      <x:c r="H28" s="9" t="n">
        <x:v>0.087883</x:v>
      </x:c>
      <x:c r="I28" s="9" t="n">
        <x:v>0.640249</x:v>
      </x:c>
      <x:c r="J28" s="9" t="n">
        <x:v>1.06285357</x:v>
      </x:c>
      <x:c r="K28" s="9" t="n">
        <x:v>60.582653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3</x:v>
      </x:c>
      <x:c r="B29" s="3" t="n">
        <x:v>8</x:v>
      </x:c>
      <x:c r="C29" s="3" t="n">
        <x:v>8</x:v>
      </x:c>
      <x:c r="D29" s="3" t="n">
        <x:v>3</x:v>
      </x:c>
      <x:c r="E29" s="3" t="n">
        <x:v>8</x:v>
      </x:c>
      <x:c r="F29" s="3" t="n">
        <x:v>2</x:v>
      </x:c>
      <x:c r="G29" s="3" t="n">
        <x:v>72</x:v>
      </x:c>
      <x:c r="H29" s="9" t="n">
        <x:v>0.087883</x:v>
      </x:c>
      <x:c r="I29" s="9" t="n">
        <x:v>-1.142615</x:v>
      </x:c>
      <x:c r="J29" s="9" t="n">
        <x:v>0.8892925</x:v>
      </x:c>
      <x:c r="K29" s="9" t="n">
        <x:v>64.02906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3</x:v>
      </x:c>
      <x:c r="B30" s="3" t="n">
        <x:v>9</x:v>
      </x:c>
      <x:c r="C30" s="3" t="n">
        <x:v>9</x:v>
      </x:c>
      <x:c r="D30" s="3" t="n">
        <x:v>6</x:v>
      </x:c>
      <x:c r="E30" s="3" t="n">
        <x:v>10</x:v>
      </x:c>
      <x:c r="F30" s="3" t="n">
        <x:v>7</x:v>
      </x:c>
      <x:c r="G30" s="3" t="n">
        <x:v>57</x:v>
      </x:c>
      <x:c r="H30" s="9" t="n">
        <x:v>0.087883</x:v>
      </x:c>
      <x:c r="I30" s="9" t="n">
        <x:v>1.419571</x:v>
      </x:c>
      <x:c r="J30" s="9" t="n">
        <x:v>1.14899717</x:v>
      </x:c>
      <x:c r="K30" s="9" t="n">
        <x:v>65.492839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3</x:v>
      </x:c>
      <x:c r="B31" s="3" t="n">
        <x:v>10</x:v>
      </x:c>
      <x:c r="C31" s="3" t="n">
        <x:v>10</x:v>
      </x:c>
      <x:c r="D31" s="3" t="n">
        <x:v>6</x:v>
      </x:c>
      <x:c r="E31" s="3" t="n">
        <x:v>7</x:v>
      </x:c>
      <x:c r="F31" s="3" t="n">
        <x:v>9</x:v>
      </x:c>
      <x:c r="G31" s="3" t="n">
        <x:v>73</x:v>
      </x:c>
      <x:c r="H31" s="9" t="n">
        <x:v>0.087883</x:v>
      </x:c>
      <x:c r="I31" s="9" t="n">
        <x:v>1.777847</x:v>
      </x:c>
      <x:c r="J31" s="9" t="n">
        <x:v>1.19090936</x:v>
      </x:c>
      <x:c r="K31" s="9" t="n">
        <x:v>86.936383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4</x:v>
      </x:c>
      <x:c r="B32" s="3" t="n">
        <x:v>1</x:v>
      </x:c>
      <x:c r="C32" s="3" t="n">
        <x:v>1</x:v>
      </x:c>
      <x:c r="D32" s="3" t="n">
        <x:v>5</x:v>
      </x:c>
      <x:c r="E32" s="3" t="n">
        <x:v>10</x:v>
      </x:c>
      <x:c r="F32" s="3" t="n">
        <x:v>6</x:v>
      </x:c>
      <x:c r="G32" s="3" t="n">
        <x:v>71</x:v>
      </x:c>
      <x:c r="H32" s="9" t="n">
        <x:v>0.536196</x:v>
      </x:c>
      <x:c r="I32" s="9" t="n">
        <x:v>-0.204326</x:v>
      </x:c>
      <x:c r="J32" s="9" t="n">
        <x:v>1.04471788</x:v>
      </x:c>
      <x:c r="K32" s="9" t="n">
        <x:v>74.174969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4</x:v>
      </x:c>
      <x:c r="B33" s="3" t="n">
        <x:v>2</x:v>
      </x:c>
      <x:c r="C33" s="3" t="n">
        <x:v>2</x:v>
      </x:c>
      <x:c r="D33" s="3" t="n">
        <x:v>2</x:v>
      </x:c>
      <x:c r="E33" s="3" t="n">
        <x:v>5</x:v>
      </x:c>
      <x:c r="F33" s="3" t="n">
        <x:v>8</x:v>
      </x:c>
      <x:c r="G33" s="3" t="n">
        <x:v>32</x:v>
      </x:c>
      <x:c r="H33" s="9" t="n">
        <x:v>0.536196</x:v>
      </x:c>
      <x:c r="I33" s="9" t="n">
        <x:v>1.020594</x:v>
      </x:c>
      <x:c r="J33" s="9" t="n">
        <x:v>1.18085508</x:v>
      </x:c>
      <x:c r="K33" s="9" t="n">
        <x:v>37.787363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4</x:v>
      </x:c>
      <x:c r="B34" s="3" t="n">
        <x:v>3</x:v>
      </x:c>
      <x:c r="C34" s="3" t="n">
        <x:v>3</x:v>
      </x:c>
      <x:c r="D34" s="3" t="n">
        <x:v>8</x:v>
      </x:c>
      <x:c r="E34" s="3" t="n">
        <x:v>9</x:v>
      </x:c>
      <x:c r="F34" s="3" t="n">
        <x:v>6</x:v>
      </x:c>
      <x:c r="G34" s="3" t="n">
        <x:v>78</x:v>
      </x:c>
      <x:c r="H34" s="9" t="n">
        <x:v>0.536196</x:v>
      </x:c>
      <x:c r="I34" s="9" t="n">
        <x:v>-1.511011</x:v>
      </x:c>
      <x:c r="J34" s="9" t="n">
        <x:v>0.91674897</x:v>
      </x:c>
      <x:c r="K34" s="9" t="n">
        <x:v>71.50642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4</x:v>
      </x:c>
      <x:c r="B35" s="3" t="n">
        <x:v>4</x:v>
      </x:c>
      <x:c r="C35" s="3" t="n">
        <x:v>4</x:v>
      </x:c>
      <x:c r="D35" s="3" t="n">
        <x:v>1</x:v>
      </x:c>
      <x:c r="E35" s="3" t="n">
        <x:v>5</x:v>
      </x:c>
      <x:c r="F35" s="3" t="n">
        <x:v>6</x:v>
      </x:c>
      <x:c r="G35" s="3" t="n">
        <x:v>40</x:v>
      </x:c>
      <x:c r="H35" s="9" t="n">
        <x:v>0.536196</x:v>
      </x:c>
      <x:c r="I35" s="9" t="n">
        <x:v>-0.323001</x:v>
      </x:c>
      <x:c r="J35" s="9" t="n">
        <x:v>1.03239298</x:v>
      </x:c>
      <x:c r="K35" s="9" t="n">
        <x:v>41.295719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4</x:v>
      </x:c>
      <x:c r="B36" s="3" t="n">
        <x:v>5</x:v>
      </x:c>
      <x:c r="C36" s="3" t="n">
        <x:v>5</x:v>
      </x:c>
      <x:c r="D36" s="3" t="n">
        <x:v>4</x:v>
      </x:c>
      <x:c r="E36" s="3" t="n">
        <x:v>3</x:v>
      </x:c>
      <x:c r="F36" s="3" t="n">
        <x:v>4</x:v>
      </x:c>
      <x:c r="G36" s="3" t="n">
        <x:v>53</x:v>
      </x:c>
      <x:c r="H36" s="9" t="n">
        <x:v>0.536196</x:v>
      </x:c>
      <x:c r="I36" s="9" t="n">
        <x:v>-0.008694</x:v>
      </x:c>
      <x:c r="J36" s="9" t="n">
        <x:v>1.06535712</x:v>
      </x:c>
      <x:c r="K36" s="9" t="n">
        <x:v>56.463927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4</x:v>
      </x:c>
      <x:c r="B37" s="3" t="n">
        <x:v>6</x:v>
      </x:c>
      <x:c r="C37" s="3" t="n">
        <x:v>6</x:v>
      </x:c>
      <x:c r="D37" s="3" t="n">
        <x:v>1</x:v>
      </x:c>
      <x:c r="E37" s="3" t="n">
        <x:v>1</x:v>
      </x:c>
      <x:c r="F37" s="3" t="n">
        <x:v>4</x:v>
      </x:c>
      <x:c r="G37" s="3" t="n">
        <x:v>80</x:v>
      </x:c>
      <x:c r="H37" s="9" t="n">
        <x:v>0.536196</x:v>
      </x:c>
      <x:c r="I37" s="9" t="n">
        <x:v>-1.507788</x:v>
      </x:c>
      <x:c r="J37" s="9" t="n">
        <x:v>0.91704447</x:v>
      </x:c>
      <x:c r="K37" s="9" t="n">
        <x:v>73.363558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4</x:v>
      </x:c>
      <x:c r="B38" s="3" t="n">
        <x:v>7</x:v>
      </x:c>
      <x:c r="C38" s="3" t="n">
        <x:v>7</x:v>
      </x:c>
      <x:c r="D38" s="3" t="n">
        <x:v>7</x:v>
      </x:c>
      <x:c r="E38" s="3" t="n">
        <x:v>8</x:v>
      </x:c>
      <x:c r="F38" s="3" t="n">
        <x:v>7</x:v>
      </x:c>
      <x:c r="G38" s="3" t="n">
        <x:v>57</x:v>
      </x:c>
      <x:c r="H38" s="9" t="n">
        <x:v>0.536196</x:v>
      </x:c>
      <x:c r="I38" s="9" t="n">
        <x:v>-0.059705</x:v>
      </x:c>
      <x:c r="J38" s="9" t="n">
        <x:v>1.05993649</x:v>
      </x:c>
      <x:c r="K38" s="9" t="n">
        <x:v>60.41638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4</x:v>
      </x:c>
      <x:c r="B39" s="3" t="n">
        <x:v>8</x:v>
      </x:c>
      <x:c r="C39" s="3" t="n">
        <x:v>8</x:v>
      </x:c>
      <x:c r="D39" s="3" t="n">
        <x:v>3</x:v>
      </x:c>
      <x:c r="E39" s="3" t="n">
        <x:v>8</x:v>
      </x:c>
      <x:c r="F39" s="3" t="n">
        <x:v>2</x:v>
      </x:c>
      <x:c r="G39" s="3" t="n">
        <x:v>72</x:v>
      </x:c>
      <x:c r="H39" s="9" t="n">
        <x:v>0.536196</x:v>
      </x:c>
      <x:c r="I39" s="9" t="n">
        <x:v>0.284251</x:v>
      </x:c>
      <x:c r="J39" s="9" t="n">
        <x:v>1.09702784</x:v>
      </x:c>
      <x:c r="K39" s="9" t="n">
        <x:v>78.986005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4</x:v>
      </x:c>
      <x:c r="B40" s="3" t="n">
        <x:v>9</x:v>
      </x:c>
      <x:c r="C40" s="3" t="n">
        <x:v>9</x:v>
      </x:c>
      <x:c r="D40" s="3" t="n">
        <x:v>6</x:v>
      </x:c>
      <x:c r="E40" s="3" t="n">
        <x:v>10</x:v>
      </x:c>
      <x:c r="F40" s="3" t="n">
        <x:v>7</x:v>
      </x:c>
      <x:c r="G40" s="3" t="n">
        <x:v>57</x:v>
      </x:c>
      <x:c r="H40" s="9" t="n">
        <x:v>0.536196</x:v>
      </x:c>
      <x:c r="I40" s="9" t="n">
        <x:v>0.285129</x:v>
      </x:c>
      <x:c r="J40" s="9" t="n">
        <x:v>1.09712421</x:v>
      </x:c>
      <x:c r="K40" s="9" t="n">
        <x:v>62.53608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4</x:v>
      </x:c>
      <x:c r="B41" s="3" t="n">
        <x:v>10</x:v>
      </x:c>
      <x:c r="C41" s="3" t="n">
        <x:v>10</x:v>
      </x:c>
      <x:c r="D41" s="3" t="n">
        <x:v>6</x:v>
      </x:c>
      <x:c r="E41" s="3" t="n">
        <x:v>7</x:v>
      </x:c>
      <x:c r="F41" s="3" t="n">
        <x:v>9</x:v>
      </x:c>
      <x:c r="G41" s="3" t="n">
        <x:v>73</x:v>
      </x:c>
      <x:c r="H41" s="9" t="n">
        <x:v>0.536196</x:v>
      </x:c>
      <x:c r="I41" s="9" t="n">
        <x:v>-1.523605</x:v>
      </x:c>
      <x:c r="J41" s="9" t="n">
        <x:v>0.9155951</x:v>
      </x:c>
      <x:c r="K41" s="9" t="n">
        <x:v>66.838442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5</x:v>
      </x:c>
      <x:c r="B42" s="3" t="n">
        <x:v>1</x:v>
      </x:c>
      <x:c r="C42" s="3" t="n">
        <x:v>1</x:v>
      </x:c>
      <x:c r="D42" s="3" t="n">
        <x:v>5</x:v>
      </x:c>
      <x:c r="E42" s="3" t="n">
        <x:v>10</x:v>
      </x:c>
      <x:c r="F42" s="3" t="n">
        <x:v>6</x:v>
      </x:c>
      <x:c r="G42" s="3" t="n">
        <x:v>71</x:v>
      </x:c>
      <x:c r="H42" s="9" t="n">
        <x:v>-1.133125</x:v>
      </x:c>
      <x:c r="I42" s="9" t="n">
        <x:v>-0.187274</x:v>
      </x:c>
      <x:c r="J42" s="9" t="n">
        <x:v>0.8146912</x:v>
      </x:c>
      <x:c r="K42" s="9" t="n">
        <x:v>57.843075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5</x:v>
      </x:c>
      <x:c r="B43" s="3" t="n">
        <x:v>2</x:v>
      </x:c>
      <x:c r="C43" s="3" t="n">
        <x:v>2</x:v>
      </x:c>
      <x:c r="D43" s="3" t="n">
        <x:v>2</x:v>
      </x:c>
      <x:c r="E43" s="3" t="n">
        <x:v>5</x:v>
      </x:c>
      <x:c r="F43" s="3" t="n">
        <x:v>8</x:v>
      </x:c>
      <x:c r="G43" s="3" t="n">
        <x:v>32</x:v>
      </x:c>
      <x:c r="H43" s="9" t="n">
        <x:v>-1.133125</x:v>
      </x:c>
      <x:c r="I43" s="9" t="n">
        <x:v>0.681397</x:v>
      </x:c>
      <x:c r="J43" s="9" t="n">
        <x:v>0.88862586</x:v>
      </x:c>
      <x:c r="K43" s="9" t="n">
        <x:v>28.436027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5</x:v>
      </x:c>
      <x:c r="B44" s="3" t="n">
        <x:v>3</x:v>
      </x:c>
      <x:c r="C44" s="3" t="n">
        <x:v>3</x:v>
      </x:c>
      <x:c r="D44" s="3" t="n">
        <x:v>8</x:v>
      </x:c>
      <x:c r="E44" s="3" t="n">
        <x:v>9</x:v>
      </x:c>
      <x:c r="F44" s="3" t="n">
        <x:v>6</x:v>
      </x:c>
      <x:c r="G44" s="3" t="n">
        <x:v>78</x:v>
      </x:c>
      <x:c r="H44" s="9" t="n">
        <x:v>-1.133125</x:v>
      </x:c>
      <x:c r="I44" s="9" t="n">
        <x:v>-0.951567</x:v>
      </x:c>
      <x:c r="J44" s="9" t="n">
        <x:v>0.75474493</x:v>
      </x:c>
      <x:c r="K44" s="9" t="n">
        <x:v>58.870104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5</x:v>
      </x:c>
      <x:c r="B45" s="3" t="n">
        <x:v>4</x:v>
      </x:c>
      <x:c r="C45" s="3" t="n">
        <x:v>4</x:v>
      </x:c>
      <x:c r="D45" s="3" t="n">
        <x:v>1</x:v>
      </x:c>
      <x:c r="E45" s="3" t="n">
        <x:v>5</x:v>
      </x:c>
      <x:c r="F45" s="3" t="n">
        <x:v>6</x:v>
      </x:c>
      <x:c r="G45" s="3" t="n">
        <x:v>40</x:v>
      </x:c>
      <x:c r="H45" s="9" t="n">
        <x:v>-1.133125</x:v>
      </x:c>
      <x:c r="I45" s="9" t="n">
        <x:v>-1.920341</x:v>
      </x:c>
      <x:c r="J45" s="9" t="n">
        <x:v>0.68505726</x:v>
      </x:c>
      <x:c r="K45" s="9" t="n">
        <x:v>27.40229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5</x:v>
      </x:c>
      <x:c r="B46" s="3" t="n">
        <x:v>5</x:v>
      </x:c>
      <x:c r="C46" s="3" t="n">
        <x:v>5</x:v>
      </x:c>
      <x:c r="D46" s="3" t="n">
        <x:v>4</x:v>
      </x:c>
      <x:c r="E46" s="3" t="n">
        <x:v>3</x:v>
      </x:c>
      <x:c r="F46" s="3" t="n">
        <x:v>4</x:v>
      </x:c>
      <x:c r="G46" s="3" t="n">
        <x:v>53</x:v>
      </x:c>
      <x:c r="H46" s="9" t="n">
        <x:v>-1.133125</x:v>
      </x:c>
      <x:c r="I46" s="9" t="n">
        <x:v>-0.994014</x:v>
      </x:c>
      <x:c r="J46" s="9" t="n">
        <x:v>0.75154802</x:v>
      </x:c>
      <x:c r="K46" s="9" t="n">
        <x:v>39.832045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5</x:v>
      </x:c>
      <x:c r="B47" s="3" t="n">
        <x:v>6</x:v>
      </x:c>
      <x:c r="C47" s="3" t="n">
        <x:v>6</x:v>
      </x:c>
      <x:c r="D47" s="3" t="n">
        <x:v>1</x:v>
      </x:c>
      <x:c r="E47" s="3" t="n">
        <x:v>1</x:v>
      </x:c>
      <x:c r="F47" s="3" t="n">
        <x:v>4</x:v>
      </x:c>
      <x:c r="G47" s="3" t="n">
        <x:v>80</x:v>
      </x:c>
      <x:c r="H47" s="9" t="n">
        <x:v>-1.133125</x:v>
      </x:c>
      <x:c r="I47" s="9" t="n">
        <x:v>-0.717589</x:v>
      </x:c>
      <x:c r="J47" s="9" t="n">
        <x:v>0.77261252</x:v>
      </x:c>
      <x:c r="K47" s="9" t="n">
        <x:v>61.809002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5</x:v>
      </x:c>
      <x:c r="B48" s="3" t="n">
        <x:v>7</x:v>
      </x:c>
      <x:c r="C48" s="3" t="n">
        <x:v>7</x:v>
      </x:c>
      <x:c r="D48" s="3" t="n">
        <x:v>7</x:v>
      </x:c>
      <x:c r="E48" s="3" t="n">
        <x:v>8</x:v>
      </x:c>
      <x:c r="F48" s="3" t="n">
        <x:v>7</x:v>
      </x:c>
      <x:c r="G48" s="3" t="n">
        <x:v>57</x:v>
      </x:c>
      <x:c r="H48" s="9" t="n">
        <x:v>-1.133125</x:v>
      </x:c>
      <x:c r="I48" s="9" t="n">
        <x:v>0.224575</x:v>
      </x:c>
      <x:c r="J48" s="9" t="n">
        <x:v>0.84894466</x:v>
      </x:c>
      <x:c r="K48" s="9" t="n">
        <x:v>48.389845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5</x:v>
      </x:c>
      <x:c r="B49" s="3" t="n">
        <x:v>8</x:v>
      </x:c>
      <x:c r="C49" s="3" t="n">
        <x:v>8</x:v>
      </x:c>
      <x:c r="D49" s="3" t="n">
        <x:v>3</x:v>
      </x:c>
      <x:c r="E49" s="3" t="n">
        <x:v>8</x:v>
      </x:c>
      <x:c r="F49" s="3" t="n">
        <x:v>2</x:v>
      </x:c>
      <x:c r="G49" s="3" t="n">
        <x:v>72</x:v>
      </x:c>
      <x:c r="H49" s="9" t="n">
        <x:v>-1.133125</x:v>
      </x:c>
      <x:c r="I49" s="9" t="n">
        <x:v>0.569025</x:v>
      </x:c>
      <x:c r="J49" s="9" t="n">
        <x:v>0.87869603</x:v>
      </x:c>
      <x:c r="K49" s="9" t="n">
        <x:v>63.266114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5</x:v>
      </x:c>
      <x:c r="B50" s="3" t="n">
        <x:v>9</x:v>
      </x:c>
      <x:c r="C50" s="3" t="n">
        <x:v>9</x:v>
      </x:c>
      <x:c r="D50" s="3" t="n">
        <x:v>6</x:v>
      </x:c>
      <x:c r="E50" s="3" t="n">
        <x:v>10</x:v>
      </x:c>
      <x:c r="F50" s="3" t="n">
        <x:v>7</x:v>
      </x:c>
      <x:c r="G50" s="3" t="n">
        <x:v>57</x:v>
      </x:c>
      <x:c r="H50" s="9" t="n">
        <x:v>-1.133125</x:v>
      </x:c>
      <x:c r="I50" s="9" t="n">
        <x:v>0.413631</x:v>
      </x:c>
      <x:c r="J50" s="9" t="n">
        <x:v>0.86514715</x:v>
      </x:c>
      <x:c r="K50" s="9" t="n">
        <x:v>49.313387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5</x:v>
      </x:c>
      <x:c r="B51" s="3" t="n">
        <x:v>10</x:v>
      </x:c>
      <x:c r="C51" s="3" t="n">
        <x:v>10</x:v>
      </x:c>
      <x:c r="D51" s="3" t="n">
        <x:v>6</x:v>
      </x:c>
      <x:c r="E51" s="3" t="n">
        <x:v>7</x:v>
      </x:c>
      <x:c r="F51" s="3" t="n">
        <x:v>9</x:v>
      </x:c>
      <x:c r="G51" s="3" t="n">
        <x:v>73</x:v>
      </x:c>
      <x:c r="H51" s="9" t="n">
        <x:v>-1.133125</x:v>
      </x:c>
      <x:c r="I51" s="9" t="n">
        <x:v>-1.249444</x:v>
      </x:c>
      <x:c r="J51" s="9" t="n">
        <x:v>0.73259436</x:v>
      </x:c>
      <x:c r="K51" s="9" t="n">
        <x:v>53.479388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6</x:v>
      </x:c>
      <x:c r="B52" s="3" t="n">
        <x:v>1</x:v>
      </x:c>
      <x:c r="C52" s="3" t="n">
        <x:v>1</x:v>
      </x:c>
      <x:c r="D52" s="3" t="n">
        <x:v>5</x:v>
      </x:c>
      <x:c r="E52" s="3" t="n">
        <x:v>10</x:v>
      </x:c>
      <x:c r="F52" s="3" t="n">
        <x:v>6</x:v>
      </x:c>
      <x:c r="G52" s="3" t="n">
        <x:v>71</x:v>
      </x:c>
      <x:c r="H52" s="9" t="n">
        <x:v>0.848955</x:v>
      </x:c>
      <x:c r="I52" s="9" t="n">
        <x:v>0.861302</x:v>
      </x:c>
      <x:c r="J52" s="9" t="n">
        <x:v>1.21801609</x:v>
      </x:c>
      <x:c r="K52" s="9" t="n">
        <x:v>86.479142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6</x:v>
      </x:c>
      <x:c r="B53" s="3" t="n">
        <x:v>2</x:v>
      </x:c>
      <x:c r="C53" s="3" t="n">
        <x:v>2</x:v>
      </x:c>
      <x:c r="D53" s="3" t="n">
        <x:v>2</x:v>
      </x:c>
      <x:c r="E53" s="3" t="n">
        <x:v>5</x:v>
      </x:c>
      <x:c r="F53" s="3" t="n">
        <x:v>8</x:v>
      </x:c>
      <x:c r="G53" s="3" t="n">
        <x:v>32</x:v>
      </x:c>
      <x:c r="H53" s="9" t="n">
        <x:v>0.848955</x:v>
      </x:c>
      <x:c r="I53" s="9" t="n">
        <x:v>-0.092048</x:v>
      </x:c>
      <x:c r="J53" s="9" t="n">
        <x:v>1.10725992</x:v>
      </x:c>
      <x:c r="K53" s="9" t="n">
        <x:v>35.432318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6</x:v>
      </x:c>
      <x:c r="B54" s="3" t="n">
        <x:v>3</x:v>
      </x:c>
      <x:c r="C54" s="3" t="n">
        <x:v>3</x:v>
      </x:c>
      <x:c r="D54" s="3" t="n">
        <x:v>8</x:v>
      </x:c>
      <x:c r="E54" s="3" t="n">
        <x:v>9</x:v>
      </x:c>
      <x:c r="F54" s="3" t="n">
        <x:v>6</x:v>
      </x:c>
      <x:c r="G54" s="3" t="n">
        <x:v>78</x:v>
      </x:c>
      <x:c r="H54" s="9" t="n">
        <x:v>0.848955</x:v>
      </x:c>
      <x:c r="I54" s="9" t="n">
        <x:v>-1.854945</x:v>
      </x:c>
      <x:c r="J54" s="9" t="n">
        <x:v>0.92829912</x:v>
      </x:c>
      <x:c r="K54" s="9" t="n">
        <x:v>72.407331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6</x:v>
      </x:c>
      <x:c r="B55" s="3" t="n">
        <x:v>4</x:v>
      </x:c>
      <x:c r="C55" s="3" t="n">
        <x:v>4</x:v>
      </x:c>
      <x:c r="D55" s="3" t="n">
        <x:v>1</x:v>
      </x:c>
      <x:c r="E55" s="3" t="n">
        <x:v>5</x:v>
      </x:c>
      <x:c r="F55" s="3" t="n">
        <x:v>6</x:v>
      </x:c>
      <x:c r="G55" s="3" t="n">
        <x:v>40</x:v>
      </x:c>
      <x:c r="H55" s="9" t="n">
        <x:v>0.848955</x:v>
      </x:c>
      <x:c r="I55" s="9" t="n">
        <x:v>1.875946</x:v>
      </x:c>
      <x:c r="J55" s="9" t="n">
        <x:v>1.34808862</x:v>
      </x:c>
      <x:c r="K55" s="9" t="n">
        <x:v>53.923545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6</x:v>
      </x:c>
      <x:c r="B56" s="3" t="n">
        <x:v>5</x:v>
      </x:c>
      <x:c r="C56" s="3" t="n">
        <x:v>5</x:v>
      </x:c>
      <x:c r="D56" s="3" t="n">
        <x:v>4</x:v>
      </x:c>
      <x:c r="E56" s="3" t="n">
        <x:v>3</x:v>
      </x:c>
      <x:c r="F56" s="3" t="n">
        <x:v>4</x:v>
      </x:c>
      <x:c r="G56" s="3" t="n">
        <x:v>53</x:v>
      </x:c>
      <x:c r="H56" s="9" t="n">
        <x:v>0.848955</x:v>
      </x:c>
      <x:c r="I56" s="9" t="n">
        <x:v>-0.029939</x:v>
      </x:c>
      <x:c r="J56" s="9" t="n">
        <x:v>1.11415831</x:v>
      </x:c>
      <x:c r="K56" s="9" t="n">
        <x:v>59.05039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6</x:v>
      </x:c>
      <x:c r="B57" s="3" t="n">
        <x:v>6</x:v>
      </x:c>
      <x:c r="C57" s="3" t="n">
        <x:v>6</x:v>
      </x:c>
      <x:c r="D57" s="3" t="n">
        <x:v>1</x:v>
      </x:c>
      <x:c r="E57" s="3" t="n">
        <x:v>1</x:v>
      </x:c>
      <x:c r="F57" s="3" t="n">
        <x:v>4</x:v>
      </x:c>
      <x:c r="G57" s="3" t="n">
        <x:v>80</x:v>
      </x:c>
      <x:c r="H57" s="9" t="n">
        <x:v>0.848955</x:v>
      </x:c>
      <x:c r="I57" s="9" t="n">
        <x:v>1.36391</x:v>
      </x:c>
      <x:c r="J57" s="9" t="n">
        <x:v>1.28079905</x:v>
      </x:c>
      <x:c r="K57" s="9" t="n">
        <x:v>102.463924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6</x:v>
      </x:c>
      <x:c r="B58" s="3" t="n">
        <x:v>7</x:v>
      </x:c>
      <x:c r="C58" s="3" t="n">
        <x:v>7</x:v>
      </x:c>
      <x:c r="D58" s="3" t="n">
        <x:v>7</x:v>
      </x:c>
      <x:c r="E58" s="3" t="n">
        <x:v>8</x:v>
      </x:c>
      <x:c r="F58" s="3" t="n">
        <x:v>7</x:v>
      </x:c>
      <x:c r="G58" s="3" t="n">
        <x:v>57</x:v>
      </x:c>
      <x:c r="H58" s="9" t="n">
        <x:v>0.848955</x:v>
      </x:c>
      <x:c r="I58" s="9" t="n">
        <x:v>0.828038</x:v>
      </x:c>
      <x:c r="J58" s="9" t="n">
        <x:v>1.21397124</x:v>
      </x:c>
      <x:c r="K58" s="9" t="n">
        <x:v>69.196361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6</x:v>
      </x:c>
      <x:c r="B59" s="3" t="n">
        <x:v>8</x:v>
      </x:c>
      <x:c r="C59" s="3" t="n">
        <x:v>8</x:v>
      </x:c>
      <x:c r="D59" s="3" t="n">
        <x:v>3</x:v>
      </x:c>
      <x:c r="E59" s="3" t="n">
        <x:v>8</x:v>
      </x:c>
      <x:c r="F59" s="3" t="n">
        <x:v>2</x:v>
      </x:c>
      <x:c r="G59" s="3" t="n">
        <x:v>72</x:v>
      </x:c>
      <x:c r="H59" s="9" t="n">
        <x:v>0.848955</x:v>
      </x:c>
      <x:c r="I59" s="9" t="n">
        <x:v>-0.356176</x:v>
      </x:c>
      <x:c r="J59" s="9" t="n">
        <x:v>1.07839686</x:v>
      </x:c>
      <x:c r="K59" s="9" t="n">
        <x:v>77.644574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6</x:v>
      </x:c>
      <x:c r="B60" s="3" t="n">
        <x:v>9</x:v>
      </x:c>
      <x:c r="C60" s="3" t="n">
        <x:v>9</x:v>
      </x:c>
      <x:c r="D60" s="3" t="n">
        <x:v>6</x:v>
      </x:c>
      <x:c r="E60" s="3" t="n">
        <x:v>10</x:v>
      </x:c>
      <x:c r="F60" s="3" t="n">
        <x:v>7</x:v>
      </x:c>
      <x:c r="G60" s="3" t="n">
        <x:v>57</x:v>
      </x:c>
      <x:c r="H60" s="9" t="n">
        <x:v>0.848955</x:v>
      </x:c>
      <x:c r="I60" s="9" t="n">
        <x:v>-0.404171</x:v>
      </x:c>
      <x:c r="J60" s="9" t="n">
        <x:v>1.07323357</x:v>
      </x:c>
      <x:c r="K60" s="9" t="n">
        <x:v>61.174314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6</x:v>
      </x:c>
      <x:c r="B61" s="3" t="n">
        <x:v>10</x:v>
      </x:c>
      <x:c r="C61" s="3" t="n">
        <x:v>10</x:v>
      </x:c>
      <x:c r="D61" s="3" t="n">
        <x:v>6</x:v>
      </x:c>
      <x:c r="E61" s="3" t="n">
        <x:v>7</x:v>
      </x:c>
      <x:c r="F61" s="3" t="n">
        <x:v>9</x:v>
      </x:c>
      <x:c r="G61" s="3" t="n">
        <x:v>73</x:v>
      </x:c>
      <x:c r="H61" s="9" t="n">
        <x:v>0.848955</x:v>
      </x:c>
      <x:c r="I61" s="9" t="n">
        <x:v>-1.414402</x:v>
      </x:c>
      <x:c r="J61" s="9" t="n">
        <x:v>0.97010883</x:v>
      </x:c>
      <x:c r="K61" s="9" t="n">
        <x:v>70.817945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7</x:v>
      </x:c>
      <x:c r="B62" s="3" t="n">
        <x:v>1</x:v>
      </x:c>
      <x:c r="C62" s="3" t="n">
        <x:v>1</x:v>
      </x:c>
      <x:c r="D62" s="3" t="n">
        <x:v>5</x:v>
      </x:c>
      <x:c r="E62" s="3" t="n">
        <x:v>10</x:v>
      </x:c>
      <x:c r="F62" s="3" t="n">
        <x:v>6</x:v>
      </x:c>
      <x:c r="G62" s="3" t="n">
        <x:v>71</x:v>
      </x:c>
      <x:c r="H62" s="9" t="n">
        <x:v>0.863225</x:v>
      </x:c>
      <x:c r="I62" s="9" t="n">
        <x:v>-0.177595</x:v>
      </x:c>
      <x:c r="J62" s="9" t="n">
        <x:v>1.10018048</x:v>
      </x:c>
      <x:c r="K62" s="9" t="n">
        <x:v>78.112814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7</x:v>
      </x:c>
      <x:c r="B63" s="3" t="n">
        <x:v>2</x:v>
      </x:c>
      <x:c r="C63" s="3" t="n">
        <x:v>2</x:v>
      </x:c>
      <x:c r="D63" s="3" t="n">
        <x:v>2</x:v>
      </x:c>
      <x:c r="E63" s="3" t="n">
        <x:v>5</x:v>
      </x:c>
      <x:c r="F63" s="3" t="n">
        <x:v>8</x:v>
      </x:c>
      <x:c r="G63" s="3" t="n">
        <x:v>32</x:v>
      </x:c>
      <x:c r="H63" s="9" t="n">
        <x:v>0.863225</x:v>
      </x:c>
      <x:c r="I63" s="9" t="n">
        <x:v>-0.884908</x:v>
      </x:c>
      <x:c r="J63" s="9" t="n">
        <x:v>1.02505154</x:v>
      </x:c>
      <x:c r="K63" s="9" t="n">
        <x:v>32.801649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7</x:v>
      </x:c>
      <x:c r="B64" s="3" t="n">
        <x:v>3</x:v>
      </x:c>
      <x:c r="C64" s="3" t="n">
        <x:v>3</x:v>
      </x:c>
      <x:c r="D64" s="3" t="n">
        <x:v>8</x:v>
      </x:c>
      <x:c r="E64" s="3" t="n">
        <x:v>9</x:v>
      </x:c>
      <x:c r="F64" s="3" t="n">
        <x:v>6</x:v>
      </x:c>
      <x:c r="G64" s="3" t="n">
        <x:v>78</x:v>
      </x:c>
      <x:c r="H64" s="9" t="n">
        <x:v>0.863225</x:v>
      </x:c>
      <x:c r="I64" s="9" t="n">
        <x:v>0.758032</x:v>
      </x:c>
      <x:c r="J64" s="9" t="n">
        <x:v>1.2080856</x:v>
      </x:c>
      <x:c r="K64" s="9" t="n">
        <x:v>94.230677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7</x:v>
      </x:c>
      <x:c r="B65" s="3" t="n">
        <x:v>4</x:v>
      </x:c>
      <x:c r="C65" s="3" t="n">
        <x:v>4</x:v>
      </x:c>
      <x:c r="D65" s="3" t="n">
        <x:v>1</x:v>
      </x:c>
      <x:c r="E65" s="3" t="n">
        <x:v>5</x:v>
      </x:c>
      <x:c r="F65" s="3" t="n">
        <x:v>6</x:v>
      </x:c>
      <x:c r="G65" s="3" t="n">
        <x:v>40</x:v>
      </x:c>
      <x:c r="H65" s="9" t="n">
        <x:v>0.863225</x:v>
      </x:c>
      <x:c r="I65" s="9" t="n">
        <x:v>0.671721</x:v>
      </x:c>
      <x:c r="J65" s="9" t="n">
        <x:v>1.19770335</x:v>
      </x:c>
      <x:c r="K65" s="9" t="n">
        <x:v>47.908134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7</x:v>
      </x:c>
      <x:c r="B66" s="3" t="n">
        <x:v>5</x:v>
      </x:c>
      <x:c r="C66" s="3" t="n">
        <x:v>5</x:v>
      </x:c>
      <x:c r="D66" s="3" t="n">
        <x:v>4</x:v>
      </x:c>
      <x:c r="E66" s="3" t="n">
        <x:v>3</x:v>
      </x:c>
      <x:c r="F66" s="3" t="n">
        <x:v>4</x:v>
      </x:c>
      <x:c r="G66" s="3" t="n">
        <x:v>53</x:v>
      </x:c>
      <x:c r="H66" s="9" t="n">
        <x:v>0.863225</x:v>
      </x:c>
      <x:c r="I66" s="9" t="n">
        <x:v>-1.174308</x:v>
      </x:c>
      <x:c r="J66" s="9" t="n">
        <x:v>0.9958117</x:v>
      </x:c>
      <x:c r="K66" s="9" t="n">
        <x:v>52.77802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7</x:v>
      </x:c>
      <x:c r="B67" s="3" t="n">
        <x:v>6</x:v>
      </x:c>
      <x:c r="C67" s="3" t="n">
        <x:v>6</x:v>
      </x:c>
      <x:c r="D67" s="3" t="n">
        <x:v>1</x:v>
      </x:c>
      <x:c r="E67" s="3" t="n">
        <x:v>1</x:v>
      </x:c>
      <x:c r="F67" s="3" t="n">
        <x:v>4</x:v>
      </x:c>
      <x:c r="G67" s="3" t="n">
        <x:v>80</x:v>
      </x:c>
      <x:c r="H67" s="9" t="n">
        <x:v>0.863225</x:v>
      </x:c>
      <x:c r="I67" s="9" t="n">
        <x:v>-1.950017</x:v>
      </x:c>
      <x:c r="J67" s="9" t="n">
        <x:v>0.92148569</x:v>
      </x:c>
      <x:c r="K67" s="9" t="n">
        <x:v>73.718856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7</x:v>
      </x:c>
      <x:c r="B68" s="3" t="n">
        <x:v>7</x:v>
      </x:c>
      <x:c r="C68" s="3" t="n">
        <x:v>7</x:v>
      </x:c>
      <x:c r="D68" s="3" t="n">
        <x:v>7</x:v>
      </x:c>
      <x:c r="E68" s="3" t="n">
        <x:v>8</x:v>
      </x:c>
      <x:c r="F68" s="3" t="n">
        <x:v>7</x:v>
      </x:c>
      <x:c r="G68" s="3" t="n">
        <x:v>57</x:v>
      </x:c>
      <x:c r="H68" s="9" t="n">
        <x:v>0.863225</x:v>
      </x:c>
      <x:c r="I68" s="9" t="n">
        <x:v>1.338782</x:v>
      </x:c>
      <x:c r="J68" s="9" t="n">
        <x:v>1.28032244</x:v>
      </x:c>
      <x:c r="K68" s="9" t="n">
        <x:v>72.978379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7</x:v>
      </x:c>
      <x:c r="B69" s="3" t="n">
        <x:v>8</x:v>
      </x:c>
      <x:c r="C69" s="3" t="n">
        <x:v>8</x:v>
      </x:c>
      <x:c r="D69" s="3" t="n">
        <x:v>3</x:v>
      </x:c>
      <x:c r="E69" s="3" t="n">
        <x:v>8</x:v>
      </x:c>
      <x:c r="F69" s="3" t="n">
        <x:v>2</x:v>
      </x:c>
      <x:c r="G69" s="3" t="n">
        <x:v>72</x:v>
      </x:c>
      <x:c r="H69" s="9" t="n">
        <x:v>0.863225</x:v>
      </x:c>
      <x:c r="I69" s="9" t="n">
        <x:v>0.068943</x:v>
      </x:c>
      <x:c r="J69" s="9" t="n">
        <x:v>1.12764122</x:v>
      </x:c>
      <x:c r="K69" s="9" t="n">
        <x:v>81.190168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7</x:v>
      </x:c>
      <x:c r="B70" s="3" t="n">
        <x:v>9</x:v>
      </x:c>
      <x:c r="C70" s="3" t="n">
        <x:v>9</x:v>
      </x:c>
      <x:c r="D70" s="3" t="n">
        <x:v>6</x:v>
      </x:c>
      <x:c r="E70" s="3" t="n">
        <x:v>10</x:v>
      </x:c>
      <x:c r="F70" s="3" t="n">
        <x:v>7</x:v>
      </x:c>
      <x:c r="G70" s="3" t="n">
        <x:v>57</x:v>
      </x:c>
      <x:c r="H70" s="9" t="n">
        <x:v>0.863225</x:v>
      </x:c>
      <x:c r="I70" s="9" t="n">
        <x:v>-0.043697</x:v>
      </x:c>
      <x:c r="J70" s="9" t="n">
        <x:v>1.11501078</x:v>
      </x:c>
      <x:c r="K70" s="9" t="n">
        <x:v>63.555614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7</x:v>
      </x:c>
      <x:c r="B71" s="3" t="n">
        <x:v>10</x:v>
      </x:c>
      <x:c r="C71" s="3" t="n">
        <x:v>10</x:v>
      </x:c>
      <x:c r="D71" s="3" t="n">
        <x:v>6</x:v>
      </x:c>
      <x:c r="E71" s="3" t="n">
        <x:v>7</x:v>
      </x:c>
      <x:c r="F71" s="3" t="n">
        <x:v>9</x:v>
      </x:c>
      <x:c r="G71" s="3" t="n">
        <x:v>73</x:v>
      </x:c>
      <x:c r="H71" s="9" t="n">
        <x:v>0.863225</x:v>
      </x:c>
      <x:c r="I71" s="9" t="n">
        <x:v>0.985056</x:v>
      </x:c>
      <x:c r="J71" s="9" t="n">
        <x:v>1.23582569</x:v>
      </x:c>
      <x:c r="K71" s="9" t="n">
        <x:v>90.215275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8</x:v>
      </x:c>
      <x:c r="B72" s="3" t="n">
        <x:v>1</x:v>
      </x:c>
      <x:c r="C72" s="3" t="n">
        <x:v>1</x:v>
      </x:c>
      <x:c r="D72" s="3" t="n">
        <x:v>5</x:v>
      </x:c>
      <x:c r="E72" s="3" t="n">
        <x:v>10</x:v>
      </x:c>
      <x:c r="F72" s="3" t="n">
        <x:v>6</x:v>
      </x:c>
      <x:c r="G72" s="3" t="n">
        <x:v>71</x:v>
      </x:c>
      <x:c r="H72" s="9" t="n">
        <x:v>-0.373887</x:v>
      </x:c>
      <x:c r="I72" s="9" t="n">
        <x:v>0.174445</x:v>
      </x:c>
      <x:c r="J72" s="9" t="n">
        <x:v>0.94659062</x:v>
      </x:c>
      <x:c r="K72" s="9" t="n">
        <x:v>67.207934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8</x:v>
      </x:c>
      <x:c r="B73" s="3" t="n">
        <x:v>2</x:v>
      </x:c>
      <x:c r="C73" s="3" t="n">
        <x:v>2</x:v>
      </x:c>
      <x:c r="D73" s="3" t="n">
        <x:v>2</x:v>
      </x:c>
      <x:c r="E73" s="3" t="n">
        <x:v>5</x:v>
      </x:c>
      <x:c r="F73" s="3" t="n">
        <x:v>8</x:v>
      </x:c>
      <x:c r="G73" s="3" t="n">
        <x:v>32</x:v>
      </x:c>
      <x:c r="H73" s="9" t="n">
        <x:v>-0.373887</x:v>
      </x:c>
      <x:c r="I73" s="9" t="n">
        <x:v>-0.631835</x:v>
      </x:c>
      <x:c r="J73" s="9" t="n">
        <x:v>0.87326472</x:v>
      </x:c>
      <x:c r="K73" s="9" t="n">
        <x:v>27.944471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8</x:v>
      </x:c>
      <x:c r="B74" s="3" t="n">
        <x:v>3</x:v>
      </x:c>
      <x:c r="C74" s="3" t="n">
        <x:v>3</x:v>
      </x:c>
      <x:c r="D74" s="3" t="n">
        <x:v>8</x:v>
      </x:c>
      <x:c r="E74" s="3" t="n">
        <x:v>9</x:v>
      </x:c>
      <x:c r="F74" s="3" t="n">
        <x:v>6</x:v>
      </x:c>
      <x:c r="G74" s="3" t="n">
        <x:v>78</x:v>
      </x:c>
      <x:c r="H74" s="9" t="n">
        <x:v>-0.373887</x:v>
      </x:c>
      <x:c r="I74" s="9" t="n">
        <x:v>0.025115</x:v>
      </x:c>
      <x:c r="J74" s="9" t="n">
        <x:v>0.9325602</x:v>
      </x:c>
      <x:c r="K74" s="9" t="n">
        <x:v>72.739696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8</x:v>
      </x:c>
      <x:c r="B75" s="3" t="n">
        <x:v>4</x:v>
      </x:c>
      <x:c r="C75" s="3" t="n">
        <x:v>4</x:v>
      </x:c>
      <x:c r="D75" s="3" t="n">
        <x:v>1</x:v>
      </x:c>
      <x:c r="E75" s="3" t="n">
        <x:v>5</x:v>
      </x:c>
      <x:c r="F75" s="3" t="n">
        <x:v>6</x:v>
      </x:c>
      <x:c r="G75" s="3" t="n">
        <x:v>40</x:v>
      </x:c>
      <x:c r="H75" s="9" t="n">
        <x:v>-0.373887</x:v>
      </x:c>
      <x:c r="I75" s="9" t="n">
        <x:v>0.012948</x:v>
      </x:c>
      <x:c r="J75" s="9" t="n">
        <x:v>0.93142629</x:v>
      </x:c>
      <x:c r="K75" s="9" t="n">
        <x:v>37.257052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8</x:v>
      </x:c>
      <x:c r="B76" s="3" t="n">
        <x:v>5</x:v>
      </x:c>
      <x:c r="C76" s="3" t="n">
        <x:v>5</x:v>
      </x:c>
      <x:c r="D76" s="3" t="n">
        <x:v>4</x:v>
      </x:c>
      <x:c r="E76" s="3" t="n">
        <x:v>3</x:v>
      </x:c>
      <x:c r="F76" s="3" t="n">
        <x:v>4</x:v>
      </x:c>
      <x:c r="G76" s="3" t="n">
        <x:v>53</x:v>
      </x:c>
      <x:c r="H76" s="9" t="n">
        <x:v>-0.373887</x:v>
      </x:c>
      <x:c r="I76" s="9" t="n">
        <x:v>-0.221851</x:v>
      </x:c>
      <x:c r="J76" s="9" t="n">
        <x:v>0.9098112</x:v>
      </x:c>
      <x:c r="K76" s="9" t="n">
        <x:v>48.219994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8</x:v>
      </x:c>
      <x:c r="B77" s="3" t="n">
        <x:v>6</x:v>
      </x:c>
      <x:c r="C77" s="3" t="n">
        <x:v>6</x:v>
      </x:c>
      <x:c r="D77" s="3" t="n">
        <x:v>1</x:v>
      </x:c>
      <x:c r="E77" s="3" t="n">
        <x:v>1</x:v>
      </x:c>
      <x:c r="F77" s="3" t="n">
        <x:v>4</x:v>
      </x:c>
      <x:c r="G77" s="3" t="n">
        <x:v>80</x:v>
      </x:c>
      <x:c r="H77" s="9" t="n">
        <x:v>-0.373887</x:v>
      </x:c>
      <x:c r="I77" s="9" t="n">
        <x:v>1.882775</x:v>
      </x:c>
      <x:c r="J77" s="9" t="n">
        <x:v>1.1229335</x:v>
      </x:c>
      <x:c r="K77" s="9" t="n">
        <x:v>89.83468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8</x:v>
      </x:c>
      <x:c r="B78" s="3" t="n">
        <x:v>7</x:v>
      </x:c>
      <x:c r="C78" s="3" t="n">
        <x:v>7</x:v>
      </x:c>
      <x:c r="D78" s="3" t="n">
        <x:v>7</x:v>
      </x:c>
      <x:c r="E78" s="3" t="n">
        <x:v>8</x:v>
      </x:c>
      <x:c r="F78" s="3" t="n">
        <x:v>7</x:v>
      </x:c>
      <x:c r="G78" s="3" t="n">
        <x:v>57</x:v>
      </x:c>
      <x:c r="H78" s="9" t="n">
        <x:v>-0.373887</x:v>
      </x:c>
      <x:c r="I78" s="9" t="n">
        <x:v>0.013983</x:v>
      </x:c>
      <x:c r="J78" s="9" t="n">
        <x:v>0.93152273</x:v>
      </x:c>
      <x:c r="K78" s="9" t="n">
        <x:v>53.096796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8</x:v>
      </x:c>
      <x:c r="B79" s="3" t="n">
        <x:v>8</x:v>
      </x:c>
      <x:c r="C79" s="3" t="n">
        <x:v>8</x:v>
      </x:c>
      <x:c r="D79" s="3" t="n">
        <x:v>3</x:v>
      </x:c>
      <x:c r="E79" s="3" t="n">
        <x:v>8</x:v>
      </x:c>
      <x:c r="F79" s="3" t="n">
        <x:v>2</x:v>
      </x:c>
      <x:c r="G79" s="3" t="n">
        <x:v>72</x:v>
      </x:c>
      <x:c r="H79" s="9" t="n">
        <x:v>-0.373887</x:v>
      </x:c>
      <x:c r="I79" s="9" t="n">
        <x:v>-0.316272</x:v>
      </x:c>
      <x:c r="J79" s="9" t="n">
        <x:v>0.90126117</x:v>
      </x:c>
      <x:c r="K79" s="9" t="n">
        <x:v>64.890804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8</x:v>
      </x:c>
      <x:c r="B80" s="3" t="n">
        <x:v>9</x:v>
      </x:c>
      <x:c r="C80" s="3" t="n">
        <x:v>9</x:v>
      </x:c>
      <x:c r="D80" s="3" t="n">
        <x:v>6</x:v>
      </x:c>
      <x:c r="E80" s="3" t="n">
        <x:v>10</x:v>
      </x:c>
      <x:c r="F80" s="3" t="n">
        <x:v>7</x:v>
      </x:c>
      <x:c r="G80" s="3" t="n">
        <x:v>57</x:v>
      </x:c>
      <x:c r="H80" s="9" t="n">
        <x:v>-0.373887</x:v>
      </x:c>
      <x:c r="I80" s="9" t="n">
        <x:v>-0.091432</x:v>
      </x:c>
      <x:c r="J80" s="9" t="n">
        <x:v>0.92175462</x:v>
      </x:c>
      <x:c r="K80" s="9" t="n">
        <x:v>52.540013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8</x:v>
      </x:c>
      <x:c r="B81" s="3" t="n">
        <x:v>10</x:v>
      </x:c>
      <x:c r="C81" s="3" t="n">
        <x:v>10</x:v>
      </x:c>
      <x:c r="D81" s="3" t="n">
        <x:v>6</x:v>
      </x:c>
      <x:c r="E81" s="3" t="n">
        <x:v>7</x:v>
      </x:c>
      <x:c r="F81" s="3" t="n">
        <x:v>9</x:v>
      </x:c>
      <x:c r="G81" s="3" t="n">
        <x:v>73</x:v>
      </x:c>
      <x:c r="H81" s="9" t="n">
        <x:v>-0.373887</x:v>
      </x:c>
      <x:c r="I81" s="9" t="n">
        <x:v>2.304037</x:v>
      </x:c>
      <x:c r="J81" s="9" t="n">
        <x:v>1.17124897</x:v>
      </x:c>
      <x:c r="K81" s="9" t="n">
        <x:v>85.501175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9</x:v>
      </x:c>
      <x:c r="B82" s="3" t="n">
        <x:v>1</x:v>
      </x:c>
      <x:c r="C82" s="3" t="n">
        <x:v>1</x:v>
      </x:c>
      <x:c r="D82" s="3" t="n">
        <x:v>5</x:v>
      </x:c>
      <x:c r="E82" s="3" t="n">
        <x:v>10</x:v>
      </x:c>
      <x:c r="F82" s="3" t="n">
        <x:v>6</x:v>
      </x:c>
      <x:c r="G82" s="3" t="n">
        <x:v>71</x:v>
      </x:c>
      <x:c r="H82" s="9" t="n">
        <x:v>0.467135</x:v>
      </x:c>
      <x:c r="I82" s="9" t="n">
        <x:v>0.280332</x:v>
      </x:c>
      <x:c r="J82" s="9" t="n">
        <x:v>1.08529669</x:v>
      </x:c>
      <x:c r="K82" s="9" t="n">
        <x:v>77.056065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9</x:v>
      </x:c>
      <x:c r="B83" s="3" t="n">
        <x:v>2</x:v>
      </x:c>
      <x:c r="C83" s="3" t="n">
        <x:v>2</x:v>
      </x:c>
      <x:c r="D83" s="3" t="n">
        <x:v>2</x:v>
      </x:c>
      <x:c r="E83" s="3" t="n">
        <x:v>5</x:v>
      </x:c>
      <x:c r="F83" s="3" t="n">
        <x:v>8</x:v>
      </x:c>
      <x:c r="G83" s="3" t="n">
        <x:v>32</x:v>
      </x:c>
      <x:c r="H83" s="9" t="n">
        <x:v>0.467135</x:v>
      </x:c>
      <x:c r="I83" s="9" t="n">
        <x:v>-0.752891</x:v>
      </x:c>
      <x:c r="J83" s="9" t="n">
        <x:v>0.9787599</x:v>
      </x:c>
      <x:c r="K83" s="9" t="n">
        <x:v>31.320317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9</x:v>
      </x:c>
      <x:c r="B84" s="3" t="n">
        <x:v>3</x:v>
      </x:c>
      <x:c r="C84" s="3" t="n">
        <x:v>3</x:v>
      </x:c>
      <x:c r="D84" s="3" t="n">
        <x:v>8</x:v>
      </x:c>
      <x:c r="E84" s="3" t="n">
        <x:v>9</x:v>
      </x:c>
      <x:c r="F84" s="3" t="n">
        <x:v>6</x:v>
      </x:c>
      <x:c r="G84" s="3" t="n">
        <x:v>78</x:v>
      </x:c>
      <x:c r="H84" s="9" t="n">
        <x:v>0.467135</x:v>
      </x:c>
      <x:c r="I84" s="9" t="n">
        <x:v>-0.148493</x:v>
      </x:c>
      <x:c r="J84" s="9" t="n">
        <x:v>1.03974021</x:v>
      </x:c>
      <x:c r="K84" s="9" t="n">
        <x:v>81.099736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9</x:v>
      </x:c>
      <x:c r="B85" s="3" t="n">
        <x:v>4</x:v>
      </x:c>
      <x:c r="C85" s="3" t="n">
        <x:v>4</x:v>
      </x:c>
      <x:c r="D85" s="3" t="n">
        <x:v>1</x:v>
      </x:c>
      <x:c r="E85" s="3" t="n">
        <x:v>5</x:v>
      </x:c>
      <x:c r="F85" s="3" t="n">
        <x:v>6</x:v>
      </x:c>
      <x:c r="G85" s="3" t="n">
        <x:v>40</x:v>
      </x:c>
      <x:c r="H85" s="9" t="n">
        <x:v>0.467135</x:v>
      </x:c>
      <x:c r="I85" s="9" t="n">
        <x:v>1.149029</x:v>
      </x:c>
      <x:c r="J85" s="9" t="n">
        <x:v>1.18379231</x:v>
      </x:c>
      <x:c r="K85" s="9" t="n">
        <x:v>47.351692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9</x:v>
      </x:c>
      <x:c r="B86" s="3" t="n">
        <x:v>5</x:v>
      </x:c>
      <x:c r="C86" s="3" t="n">
        <x:v>5</x:v>
      </x:c>
      <x:c r="D86" s="3" t="n">
        <x:v>4</x:v>
      </x:c>
      <x:c r="E86" s="3" t="n">
        <x:v>3</x:v>
      </x:c>
      <x:c r="F86" s="3" t="n">
        <x:v>4</x:v>
      </x:c>
      <x:c r="G86" s="3" t="n">
        <x:v>53</x:v>
      </x:c>
      <x:c r="H86" s="9" t="n">
        <x:v>0.467135</x:v>
      </x:c>
      <x:c r="I86" s="9" t="n">
        <x:v>-0.83288</x:v>
      </x:c>
      <x:c r="J86" s="9" t="n">
        <x:v>0.97096219</x:v>
      </x:c>
      <x:c r="K86" s="9" t="n">
        <x:v>51.460996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9</x:v>
      </x:c>
      <x:c r="B87" s="3" t="n">
        <x:v>6</x:v>
      </x:c>
      <x:c r="C87" s="3" t="n">
        <x:v>6</x:v>
      </x:c>
      <x:c r="D87" s="3" t="n">
        <x:v>1</x:v>
      </x:c>
      <x:c r="E87" s="3" t="n">
        <x:v>1</x:v>
      </x:c>
      <x:c r="F87" s="3" t="n">
        <x:v>4</x:v>
      </x:c>
      <x:c r="G87" s="3" t="n">
        <x:v>80</x:v>
      </x:c>
      <x:c r="H87" s="9" t="n">
        <x:v>0.467135</x:v>
      </x:c>
      <x:c r="I87" s="9" t="n">
        <x:v>-0.335911</x:v>
      </x:c>
      <x:c r="J87" s="9" t="n">
        <x:v>1.02043512</x:v>
      </x:c>
      <x:c r="K87" s="9" t="n">
        <x:v>81.63481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9</x:v>
      </x:c>
      <x:c r="B88" s="3" t="n">
        <x:v>7</x:v>
      </x:c>
      <x:c r="C88" s="3" t="n">
        <x:v>7</x:v>
      </x:c>
      <x:c r="D88" s="3" t="n">
        <x:v>7</x:v>
      </x:c>
      <x:c r="E88" s="3" t="n">
        <x:v>8</x:v>
      </x:c>
      <x:c r="F88" s="3" t="n">
        <x:v>7</x:v>
      </x:c>
      <x:c r="G88" s="3" t="n">
        <x:v>57</x:v>
      </x:c>
      <x:c r="H88" s="9" t="n">
        <x:v>0.467135</x:v>
      </x:c>
      <x:c r="I88" s="9" t="n">
        <x:v>-1.797297</x:v>
      </x:c>
      <x:c r="J88" s="9" t="n">
        <x:v>0.88169464</x:v>
      </x:c>
      <x:c r="K88" s="9" t="n">
        <x:v>50.256595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9</x:v>
      </x:c>
      <x:c r="B89" s="3" t="n">
        <x:v>8</x:v>
      </x:c>
      <x:c r="C89" s="3" t="n">
        <x:v>8</x:v>
      </x:c>
      <x:c r="D89" s="3" t="n">
        <x:v>3</x:v>
      </x:c>
      <x:c r="E89" s="3" t="n">
        <x:v>8</x:v>
      </x:c>
      <x:c r="F89" s="3" t="n">
        <x:v>2</x:v>
      </x:c>
      <x:c r="G89" s="3" t="n">
        <x:v>72</x:v>
      </x:c>
      <x:c r="H89" s="9" t="n">
        <x:v>0.467135</x:v>
      </x:c>
      <x:c r="I89" s="9" t="n">
        <x:v>-1.459057</x:v>
      </x:c>
      <x:c r="J89" s="9" t="n">
        <x:v>0.9120272</x:v>
      </x:c>
      <x:c r="K89" s="9" t="n">
        <x:v>65.665959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9</x:v>
      </x:c>
      <x:c r="B90" s="3" t="n">
        <x:v>9</x:v>
      </x:c>
      <x:c r="C90" s="3" t="n">
        <x:v>9</x:v>
      </x:c>
      <x:c r="D90" s="3" t="n">
        <x:v>6</x:v>
      </x:c>
      <x:c r="E90" s="3" t="n">
        <x:v>10</x:v>
      </x:c>
      <x:c r="F90" s="3" t="n">
        <x:v>7</x:v>
      </x:c>
      <x:c r="G90" s="3" t="n">
        <x:v>57</x:v>
      </x:c>
      <x:c r="H90" s="9" t="n">
        <x:v>0.467135</x:v>
      </x:c>
      <x:c r="I90" s="9" t="n">
        <x:v>0.567935</x:v>
      </x:c>
      <x:c r="J90" s="9" t="n">
        <x:v>1.11696337</x:v>
      </x:c>
      <x:c r="K90" s="9" t="n">
        <x:v>63.666912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9</x:v>
      </x:c>
      <x:c r="B91" s="3" t="n">
        <x:v>10</x:v>
      </x:c>
      <x:c r="C91" s="3" t="n">
        <x:v>10</x:v>
      </x:c>
      <x:c r="D91" s="3" t="n">
        <x:v>6</x:v>
      </x:c>
      <x:c r="E91" s="3" t="n">
        <x:v>7</x:v>
      </x:c>
      <x:c r="F91" s="3" t="n">
        <x:v>9</x:v>
      </x:c>
      <x:c r="G91" s="3" t="n">
        <x:v>73</x:v>
      </x:c>
      <x:c r="H91" s="9" t="n">
        <x:v>0.467135</x:v>
      </x:c>
      <x:c r="I91" s="9" t="n">
        <x:v>-0.172527</x:v>
      </x:c>
      <x:c r="J91" s="9" t="n">
        <x:v>1.03724435</x:v>
      </x:c>
      <x:c r="K91" s="9" t="n">
        <x:v>75.718837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10</x:v>
      </x:c>
      <x:c r="B92" s="3" t="n">
        <x:v>1</x:v>
      </x:c>
      <x:c r="C92" s="3" t="n">
        <x:v>1</x:v>
      </x:c>
      <x:c r="D92" s="3" t="n">
        <x:v>5</x:v>
      </x:c>
      <x:c r="E92" s="3" t="n">
        <x:v>10</x:v>
      </x:c>
      <x:c r="F92" s="3" t="n">
        <x:v>6</x:v>
      </x:c>
      <x:c r="G92" s="3" t="n">
        <x:v>71</x:v>
      </x:c>
      <x:c r="H92" s="9" t="n">
        <x:v>1.167522</x:v>
      </x:c>
      <x:c r="I92" s="9" t="n">
        <x:v>-0.626303</x:v>
      </x:c>
      <x:c r="J92" s="9" t="n">
        <x:v>1.10103213</x:v>
      </x:c>
      <x:c r="K92" s="9" t="n">
        <x:v>78.173281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10</x:v>
      </x:c>
      <x:c r="B93" s="3" t="n">
        <x:v>2</x:v>
      </x:c>
      <x:c r="C93" s="3" t="n">
        <x:v>2</x:v>
      </x:c>
      <x:c r="D93" s="3" t="n">
        <x:v>2</x:v>
      </x:c>
      <x:c r="E93" s="3" t="n">
        <x:v>5</x:v>
      </x:c>
      <x:c r="F93" s="3" t="n">
        <x:v>8</x:v>
      </x:c>
      <x:c r="G93" s="3" t="n">
        <x:v>32</x:v>
      </x:c>
      <x:c r="H93" s="9" t="n">
        <x:v>1.167522</x:v>
      </x:c>
      <x:c r="I93" s="9" t="n">
        <x:v>-0.397081</x:v>
      </x:c>
      <x:c r="J93" s="9" t="n">
        <x:v>1.12656162</x:v>
      </x:c>
      <x:c r="K93" s="9" t="n">
        <x:v>36.049972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10</x:v>
      </x:c>
      <x:c r="B94" s="3" t="n">
        <x:v>3</x:v>
      </x:c>
      <x:c r="C94" s="3" t="n">
        <x:v>3</x:v>
      </x:c>
      <x:c r="D94" s="3" t="n">
        <x:v>8</x:v>
      </x:c>
      <x:c r="E94" s="3" t="n">
        <x:v>9</x:v>
      </x:c>
      <x:c r="F94" s="3" t="n">
        <x:v>6</x:v>
      </x:c>
      <x:c r="G94" s="3" t="n">
        <x:v>78</x:v>
      </x:c>
      <x:c r="H94" s="9" t="n">
        <x:v>1.167522</x:v>
      </x:c>
      <x:c r="I94" s="9" t="n">
        <x:v>1.558983</x:v>
      </x:c>
      <x:c r="J94" s="9" t="n">
        <x:v>1.36995318</x:v>
      </x:c>
      <x:c r="K94" s="9" t="n">
        <x:v>106.856348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10</x:v>
      </x:c>
      <x:c r="B95" s="3" t="n">
        <x:v>4</x:v>
      </x:c>
      <x:c r="C95" s="3" t="n">
        <x:v>4</x:v>
      </x:c>
      <x:c r="D95" s="3" t="n">
        <x:v>1</x:v>
      </x:c>
      <x:c r="E95" s="3" t="n">
        <x:v>5</x:v>
      </x:c>
      <x:c r="F95" s="3" t="n">
        <x:v>6</x:v>
      </x:c>
      <x:c r="G95" s="3" t="n">
        <x:v>40</x:v>
      </x:c>
      <x:c r="H95" s="9" t="n">
        <x:v>1.167522</x:v>
      </x:c>
      <x:c r="I95" s="9" t="n">
        <x:v>1.296016</x:v>
      </x:c>
      <x:c r="J95" s="9" t="n">
        <x:v>1.33439755</x:v>
      </x:c>
      <x:c r="K95" s="9" t="n">
        <x:v>53.375902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10</x:v>
      </x:c>
      <x:c r="B96" s="3" t="n">
        <x:v>5</x:v>
      </x:c>
      <x:c r="C96" s="3" t="n">
        <x:v>5</x:v>
      </x:c>
      <x:c r="D96" s="3" t="n">
        <x:v>4</x:v>
      </x:c>
      <x:c r="E96" s="3" t="n">
        <x:v>3</x:v>
      </x:c>
      <x:c r="F96" s="3" t="n">
        <x:v>4</x:v>
      </x:c>
      <x:c r="G96" s="3" t="n">
        <x:v>53</x:v>
      </x:c>
      <x:c r="H96" s="9" t="n">
        <x:v>1.167522</x:v>
      </x:c>
      <x:c r="I96" s="9" t="n">
        <x:v>0.971073</x:v>
      </x:c>
      <x:c r="J96" s="9" t="n">
        <x:v>1.29173415</x:v>
      </x:c>
      <x:c r="K96" s="9" t="n">
        <x:v>68.46191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10</x:v>
      </x:c>
      <x:c r="B97" s="3" t="n">
        <x:v>6</x:v>
      </x:c>
      <x:c r="C97" s="3" t="n">
        <x:v>6</x:v>
      </x:c>
      <x:c r="D97" s="3" t="n">
        <x:v>1</x:v>
      </x:c>
      <x:c r="E97" s="3" t="n">
        <x:v>1</x:v>
      </x:c>
      <x:c r="F97" s="3" t="n">
        <x:v>4</x:v>
      </x:c>
      <x:c r="G97" s="3" t="n">
        <x:v>80</x:v>
      </x:c>
      <x:c r="H97" s="9" t="n">
        <x:v>1.167522</x:v>
      </x:c>
      <x:c r="I97" s="9" t="n">
        <x:v>-1.240916</x:v>
      </x:c>
      <x:c r="J97" s="9" t="n">
        <x:v>1.03539885</x:v>
      </x:c>
      <x:c r="K97" s="9" t="n">
        <x:v>82.831908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10</x:v>
      </x:c>
      <x:c r="B98" s="3" t="n">
        <x:v>7</x:v>
      </x:c>
      <x:c r="C98" s="3" t="n">
        <x:v>7</x:v>
      </x:c>
      <x:c r="D98" s="3" t="n">
        <x:v>7</x:v>
      </x:c>
      <x:c r="E98" s="3" t="n">
        <x:v>8</x:v>
      </x:c>
      <x:c r="F98" s="3" t="n">
        <x:v>7</x:v>
      </x:c>
      <x:c r="G98" s="3" t="n">
        <x:v>57</x:v>
      </x:c>
      <x:c r="H98" s="9" t="n">
        <x:v>1.167522</x:v>
      </x:c>
      <x:c r="I98" s="9" t="n">
        <x:v>0.24075</x:v>
      </x:c>
      <x:c r="J98" s="9" t="n">
        <x:v>1.20075827</x:v>
      </x:c>
      <x:c r="K98" s="9" t="n">
        <x:v>68.443222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10</x:v>
      </x:c>
      <x:c r="B99" s="3" t="n">
        <x:v>8</x:v>
      </x:c>
      <x:c r="C99" s="3" t="n">
        <x:v>8</x:v>
      </x:c>
      <x:c r="D99" s="3" t="n">
        <x:v>3</x:v>
      </x:c>
      <x:c r="E99" s="3" t="n">
        <x:v>8</x:v>
      </x:c>
      <x:c r="F99" s="3" t="n">
        <x:v>2</x:v>
      </x:c>
      <x:c r="G99" s="3" t="n">
        <x:v>72</x:v>
      </x:c>
      <x:c r="H99" s="9" t="n">
        <x:v>1.167522</x:v>
      </x:c>
      <x:c r="I99" s="9" t="n">
        <x:v>-1.600742</x:v>
      </x:c>
      <x:c r="J99" s="9" t="n">
        <x:v>0.99880484</x:v>
      </x:c>
      <x:c r="K99" s="9" t="n">
        <x:v>71.913948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10</x:v>
      </x:c>
      <x:c r="B100" s="3" t="n">
        <x:v>9</x:v>
      </x:c>
      <x:c r="C100" s="3" t="n">
        <x:v>9</x:v>
      </x:c>
      <x:c r="D100" s="3" t="n">
        <x:v>6</x:v>
      </x:c>
      <x:c r="E100" s="3" t="n">
        <x:v>10</x:v>
      </x:c>
      <x:c r="F100" s="3" t="n">
        <x:v>7</x:v>
      </x:c>
      <x:c r="G100" s="3" t="n">
        <x:v>57</x:v>
      </x:c>
      <x:c r="H100" s="9" t="n">
        <x:v>1.167522</x:v>
      </x:c>
      <x:c r="I100" s="9" t="n">
        <x:v>0.578758</x:v>
      </x:c>
      <x:c r="J100" s="9" t="n">
        <x:v>1.24203859</x:v>
      </x:c>
      <x:c r="K100" s="9" t="n">
        <x:v>70.7962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10</x:v>
      </x:c>
      <x:c r="B101" s="3" t="n">
        <x:v>10</x:v>
      </x:c>
      <x:c r="C101" s="3" t="n">
        <x:v>10</x:v>
      </x:c>
      <x:c r="D101" s="3" t="n">
        <x:v>6</x:v>
      </x:c>
      <x:c r="E101" s="3" t="n">
        <x:v>7</x:v>
      </x:c>
      <x:c r="F101" s="3" t="n">
        <x:v>9</x:v>
      </x:c>
      <x:c r="G101" s="3" t="n">
        <x:v>73</x:v>
      </x:c>
      <x:c r="H101" s="9" t="n">
        <x:v>1.167522</x:v>
      </x:c>
      <x:c r="I101" s="9" t="n">
        <x:v>0.531558</x:v>
      </x:c>
      <x:c r="J101" s="9" t="n">
        <x:v>1.23619008</x:v>
      </x:c>
      <x:c r="K101" s="9" t="n">
        <x:v>90.241876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11</x:v>
      </x:c>
      <x:c r="B102" s="3" t="n">
        <x:v>1</x:v>
      </x:c>
      <x:c r="C102" s="3" t="n">
        <x:v>1</x:v>
      </x:c>
      <x:c r="D102" s="3" t="n">
        <x:v>5</x:v>
      </x:c>
      <x:c r="E102" s="3" t="n">
        <x:v>10</x:v>
      </x:c>
      <x:c r="F102" s="3" t="n">
        <x:v>6</x:v>
      </x:c>
      <x:c r="G102" s="3" t="n">
        <x:v>71</x:v>
      </x:c>
      <x:c r="H102" s="9" t="n">
        <x:v>1.25327</x:v>
      </x:c>
      <x:c r="I102" s="9" t="n">
        <x:v>-1.050565</x:v>
      </x:c>
      <x:c r="J102" s="9" t="n">
        <x:v>1.06895751</x:v>
      </x:c>
      <x:c r="K102" s="9" t="n">
        <x:v>75.895983</x:v>
      </x:c>
      <x:c r="L102" s="3" t="n">
        <x:v>0</x:v>
      </x:c>
      <x:c r="M102" s="3" t="n">
        <x:v>1</x:v>
      </x:c>
      <x:c r="N102" s="3" t="n">
        <x:v>1</x:v>
      </x:c>
    </x:row>
    <x:row r="103" ht="21" customHeight="1">
      <x:c r="A103" s="3" t="n">
        <x:v>11</x:v>
      </x:c>
      <x:c r="B103" s="3" t="n">
        <x:v>2</x:v>
      </x:c>
      <x:c r="C103" s="3" t="n">
        <x:v>2</x:v>
      </x:c>
      <x:c r="D103" s="3" t="n">
        <x:v>2</x:v>
      </x:c>
      <x:c r="E103" s="3" t="n">
        <x:v>5</x:v>
      </x:c>
      <x:c r="F103" s="3" t="n">
        <x:v>8</x:v>
      </x:c>
      <x:c r="G103" s="3" t="n">
        <x:v>32</x:v>
      </x:c>
      <x:c r="H103" s="9" t="n">
        <x:v>1.25327</x:v>
      </x:c>
      <x:c r="I103" s="9" t="n">
        <x:v>-0.072424</x:v>
      </x:c>
      <x:c r="J103" s="9" t="n">
        <x:v>1.1788012</x:v>
      </x:c>
      <x:c r="K103" s="9" t="n">
        <x:v>37.721638</x:v>
      </x:c>
      <x:c r="L103" s="3" t="n">
        <x:v>0</x:v>
      </x:c>
      <x:c r="M103" s="3" t="n">
        <x:v>1</x:v>
      </x:c>
      <x:c r="N103" s="3" t="n">
        <x:v>1</x:v>
      </x:c>
    </x:row>
    <x:row r="104" ht="21" customHeight="1">
      <x:c r="A104" s="3" t="n">
        <x:v>11</x:v>
      </x:c>
      <x:c r="B104" s="3" t="n">
        <x:v>3</x:v>
      </x:c>
      <x:c r="C104" s="3" t="n">
        <x:v>3</x:v>
      </x:c>
      <x:c r="D104" s="3" t="n">
        <x:v>8</x:v>
      </x:c>
      <x:c r="E104" s="3" t="n">
        <x:v>9</x:v>
      </x:c>
      <x:c r="F104" s="3" t="n">
        <x:v>6</x:v>
      </x:c>
      <x:c r="G104" s="3" t="n">
        <x:v>78</x:v>
      </x:c>
      <x:c r="H104" s="9" t="n">
        <x:v>1.25327</x:v>
      </x:c>
      <x:c r="I104" s="9" t="n">
        <x:v>1.127042</x:v>
      </x:c>
      <x:c r="J104" s="9" t="n">
        <x:v>1.32902372</x:v>
      </x:c>
      <x:c r="K104" s="9" t="n">
        <x:v>103.663851</x:v>
      </x:c>
      <x:c r="L104" s="3" t="n">
        <x:v>0</x:v>
      </x:c>
      <x:c r="M104" s="3" t="n">
        <x:v>1</x:v>
      </x:c>
      <x:c r="N104" s="3" t="n">
        <x:v>1</x:v>
      </x:c>
    </x:row>
    <x:row r="105" ht="21" customHeight="1">
      <x:c r="A105" s="3" t="n">
        <x:v>11</x:v>
      </x:c>
      <x:c r="B105" s="3" t="n">
        <x:v>4</x:v>
      </x:c>
      <x:c r="C105" s="3" t="n">
        <x:v>4</x:v>
      </x:c>
      <x:c r="D105" s="3" t="n">
        <x:v>1</x:v>
      </x:c>
      <x:c r="E105" s="3" t="n">
        <x:v>5</x:v>
      </x:c>
      <x:c r="F105" s="3" t="n">
        <x:v>6</x:v>
      </x:c>
      <x:c r="G105" s="3" t="n">
        <x:v>40</x:v>
      </x:c>
      <x:c r="H105" s="9" t="n">
        <x:v>1.25327</x:v>
      </x:c>
      <x:c r="I105" s="9" t="n">
        <x:v>-0.516143</x:v>
      </x:c>
      <x:c r="J105" s="9" t="n">
        <x:v>1.12763909</x:v>
      </x:c>
      <x:c r="K105" s="9" t="n">
        <x:v>45.105564</x:v>
      </x:c>
      <x:c r="L105" s="3" t="n">
        <x:v>0</x:v>
      </x:c>
      <x:c r="M105" s="3" t="n">
        <x:v>1</x:v>
      </x:c>
      <x:c r="N105" s="3" t="n">
        <x:v>1</x:v>
      </x:c>
    </x:row>
    <x:row r="106" ht="21" customHeight="1">
      <x:c r="A106" s="3" t="n">
        <x:v>11</x:v>
      </x:c>
      <x:c r="B106" s="3" t="n">
        <x:v>5</x:v>
      </x:c>
      <x:c r="C106" s="3" t="n">
        <x:v>5</x:v>
      </x:c>
      <x:c r="D106" s="3" t="n">
        <x:v>4</x:v>
      </x:c>
      <x:c r="E106" s="3" t="n">
        <x:v>3</x:v>
      </x:c>
      <x:c r="F106" s="3" t="n">
        <x:v>4</x:v>
      </x:c>
      <x:c r="G106" s="3" t="n">
        <x:v>53</x:v>
      </x:c>
      <x:c r="H106" s="9" t="n">
        <x:v>1.25327</x:v>
      </x:c>
      <x:c r="I106" s="9" t="n">
        <x:v>1.69245</x:v>
      </x:c>
      <x:c r="J106" s="9" t="n">
        <x:v>1.40633274</x:v>
      </x:c>
      <x:c r="K106" s="9" t="n">
        <x:v>74.535635</x:v>
      </x:c>
      <x:c r="L106" s="3" t="n">
        <x:v>0</x:v>
      </x:c>
      <x:c r="M106" s="3" t="n">
        <x:v>1</x:v>
      </x:c>
      <x:c r="N106" s="3" t="n">
        <x:v>1</x:v>
      </x:c>
    </x:row>
    <x:row r="107" ht="21" customHeight="1">
      <x:c r="A107" s="3" t="n">
        <x:v>11</x:v>
      </x:c>
      <x:c r="B107" s="3" t="n">
        <x:v>6</x:v>
      </x:c>
      <x:c r="C107" s="3" t="n">
        <x:v>6</x:v>
      </x:c>
      <x:c r="D107" s="3" t="n">
        <x:v>1</x:v>
      </x:c>
      <x:c r="E107" s="3" t="n">
        <x:v>1</x:v>
      </x:c>
      <x:c r="F107" s="3" t="n">
        <x:v>4</x:v>
      </x:c>
      <x:c r="G107" s="3" t="n">
        <x:v>80</x:v>
      </x:c>
      <x:c r="H107" s="9" t="n">
        <x:v>1.25327</x:v>
      </x:c>
      <x:c r="I107" s="9" t="n">
        <x:v>-0.958842</x:v>
      </x:c>
      <x:c r="J107" s="9" t="n">
        <x:v>1.07880749</x:v>
      </x:c>
      <x:c r="K107" s="9" t="n">
        <x:v>86.304599</x:v>
      </x:c>
      <x:c r="L107" s="3" t="n">
        <x:v>0</x:v>
      </x:c>
      <x:c r="M107" s="3" t="n">
        <x:v>1</x:v>
      </x:c>
      <x:c r="N107" s="3" t="n">
        <x:v>1</x:v>
      </x:c>
    </x:row>
    <x:row r="108" ht="21" customHeight="1">
      <x:c r="A108" s="3" t="n">
        <x:v>11</x:v>
      </x:c>
      <x:c r="B108" s="3" t="n">
        <x:v>7</x:v>
      </x:c>
      <x:c r="C108" s="3" t="n">
        <x:v>7</x:v>
      </x:c>
      <x:c r="D108" s="3" t="n">
        <x:v>7</x:v>
      </x:c>
      <x:c r="E108" s="3" t="n">
        <x:v>8</x:v>
      </x:c>
      <x:c r="F108" s="3" t="n">
        <x:v>7</x:v>
      </x:c>
      <x:c r="G108" s="3" t="n">
        <x:v>57</x:v>
      </x:c>
      <x:c r="H108" s="9" t="n">
        <x:v>1.25327</x:v>
      </x:c>
      <x:c r="I108" s="9" t="n">
        <x:v>-0.385987</x:v>
      </x:c>
      <x:c r="J108" s="9" t="n">
        <x:v>1.14241194</x:v>
      </x:c>
      <x:c r="K108" s="9" t="n">
        <x:v>65.11748</x:v>
      </x:c>
      <x:c r="L108" s="3" t="n">
        <x:v>0</x:v>
      </x:c>
      <x:c r="M108" s="3" t="n">
        <x:v>1</x:v>
      </x:c>
      <x:c r="N108" s="3" t="n">
        <x:v>1</x:v>
      </x:c>
    </x:row>
    <x:row r="109" ht="21" customHeight="1">
      <x:c r="A109" s="3" t="n">
        <x:v>11</x:v>
      </x:c>
      <x:c r="B109" s="3" t="n">
        <x:v>8</x:v>
      </x:c>
      <x:c r="C109" s="3" t="n">
        <x:v>8</x:v>
      </x:c>
      <x:c r="D109" s="3" t="n">
        <x:v>3</x:v>
      </x:c>
      <x:c r="E109" s="3" t="n">
        <x:v>8</x:v>
      </x:c>
      <x:c r="F109" s="3" t="n">
        <x:v>2</x:v>
      </x:c>
      <x:c r="G109" s="3" t="n">
        <x:v>72</x:v>
      </x:c>
      <x:c r="H109" s="9" t="n">
        <x:v>1.25327</x:v>
      </x:c>
      <x:c r="I109" s="9" t="n">
        <x:v>-2.201904</x:v>
      </x:c>
      <x:c r="J109" s="9" t="n">
        <x:v>0.95270505</x:v>
      </x:c>
      <x:c r="K109" s="9" t="n">
        <x:v>68.594763</x:v>
      </x:c>
      <x:c r="L109" s="3" t="n">
        <x:v>0</x:v>
      </x:c>
      <x:c r="M109" s="3" t="n">
        <x:v>1</x:v>
      </x:c>
      <x:c r="N109" s="3" t="n">
        <x:v>1</x:v>
      </x:c>
    </x:row>
    <x:row r="110" ht="21" customHeight="1">
      <x:c r="A110" s="3" t="n">
        <x:v>11</x:v>
      </x:c>
      <x:c r="B110" s="3" t="n">
        <x:v>9</x:v>
      </x:c>
      <x:c r="C110" s="3" t="n">
        <x:v>9</x:v>
      </x:c>
      <x:c r="D110" s="3" t="n">
        <x:v>6</x:v>
      </x:c>
      <x:c r="E110" s="3" t="n">
        <x:v>10</x:v>
      </x:c>
      <x:c r="F110" s="3" t="n">
        <x:v>7</x:v>
      </x:c>
      <x:c r="G110" s="3" t="n">
        <x:v>57</x:v>
      </x:c>
      <x:c r="H110" s="9" t="n">
        <x:v>1.25327</x:v>
      </x:c>
      <x:c r="I110" s="9" t="n">
        <x:v>-0.192482</x:v>
      </x:c>
      <x:c r="J110" s="9" t="n">
        <x:v>1.16473339</x:v>
      </x:c>
      <x:c r="K110" s="9" t="n">
        <x:v>66.389803</x:v>
      </x:c>
      <x:c r="L110" s="3" t="n">
        <x:v>0</x:v>
      </x:c>
      <x:c r="M110" s="3" t="n">
        <x:v>1</x:v>
      </x:c>
      <x:c r="N110" s="3" t="n">
        <x:v>1</x:v>
      </x:c>
    </x:row>
    <x:row r="111" ht="21" customHeight="1">
      <x:c r="A111" s="3" t="n">
        <x:v>11</x:v>
      </x:c>
      <x:c r="B111" s="3" t="n">
        <x:v>10</x:v>
      </x:c>
      <x:c r="C111" s="3" t="n">
        <x:v>10</x:v>
      </x:c>
      <x:c r="D111" s="3" t="n">
        <x:v>6</x:v>
      </x:c>
      <x:c r="E111" s="3" t="n">
        <x:v>7</x:v>
      </x:c>
      <x:c r="F111" s="3" t="n">
        <x:v>9</x:v>
      </x:c>
      <x:c r="G111" s="3" t="n">
        <x:v>73</x:v>
      </x:c>
      <x:c r="H111" s="9" t="n">
        <x:v>1.25327</x:v>
      </x:c>
      <x:c r="I111" s="9" t="n">
        <x:v>1.509283</x:v>
      </x:c>
      <x:c r="J111" s="9" t="n">
        <x:v>1.3808079</x:v>
      </x:c>
      <x:c r="K111" s="9" t="n">
        <x:v>100.798976</x:v>
      </x:c>
      <x:c r="L111" s="3" t="n">
        <x:v>0</x:v>
      </x:c>
      <x:c r="M111" s="3" t="n">
        <x:v>1</x:v>
      </x:c>
      <x:c r="N111" s="3" t="n">
        <x:v>1</x:v>
      </x:c>
    </x:row>
    <x:row r="112" ht="21" customHeight="1">
      <x:c r="A112" s="3" t="n">
        <x:v>12</x:v>
      </x:c>
      <x:c r="B112" s="3" t="n">
        <x:v>1</x:v>
      </x:c>
      <x:c r="C112" s="3" t="n">
        <x:v>1</x:v>
      </x:c>
      <x:c r="D112" s="3" t="n">
        <x:v>5</x:v>
      </x:c>
      <x:c r="E112" s="3" t="n">
        <x:v>10</x:v>
      </x:c>
      <x:c r="F112" s="3" t="n">
        <x:v>6</x:v>
      </x:c>
      <x:c r="G112" s="3" t="n">
        <x:v>71</x:v>
      </x:c>
      <x:c r="H112" s="9" t="n">
        <x:v>-0.55021</x:v>
      </x:c>
      <x:c r="I112" s="9" t="n">
        <x:v>0.227345</x:v>
      </x:c>
      <x:c r="J112" s="9" t="n">
        <x:v>0.92677261</x:v>
      </x:c>
      <x:c r="K112" s="9" t="n">
        <x:v>65.800855</x:v>
      </x:c>
      <x:c r="L112" s="3" t="n">
        <x:v>0</x:v>
      </x:c>
      <x:c r="M112" s="3" t="n">
        <x:v>1</x:v>
      </x:c>
      <x:c r="N112" s="3" t="n">
        <x:v>1</x:v>
      </x:c>
    </x:row>
    <x:row r="113" ht="21" customHeight="1">
      <x:c r="A113" s="3" t="n">
        <x:v>12</x:v>
      </x:c>
      <x:c r="B113" s="3" t="n">
        <x:v>2</x:v>
      </x:c>
      <x:c r="C113" s="3" t="n">
        <x:v>2</x:v>
      </x:c>
      <x:c r="D113" s="3" t="n">
        <x:v>2</x:v>
      </x:c>
      <x:c r="E113" s="3" t="n">
        <x:v>5</x:v>
      </x:c>
      <x:c r="F113" s="3" t="n">
        <x:v>8</x:v>
      </x:c>
      <x:c r="G113" s="3" t="n">
        <x:v>32</x:v>
      </x:c>
      <x:c r="H113" s="9" t="n">
        <x:v>-0.55021</x:v>
      </x:c>
      <x:c r="I113" s="9" t="n">
        <x:v>0.219178</x:v>
      </x:c>
      <x:c r="J113" s="9" t="n">
        <x:v>0.92601598</x:v>
      </x:c>
      <x:c r="K113" s="9" t="n">
        <x:v>29.632511</x:v>
      </x:c>
      <x:c r="L113" s="3" t="n">
        <x:v>0</x:v>
      </x:c>
      <x:c r="M113" s="3" t="n">
        <x:v>1</x:v>
      </x:c>
      <x:c r="N113" s="3" t="n">
        <x:v>1</x:v>
      </x:c>
    </x:row>
    <x:row r="114" ht="21" customHeight="1">
      <x:c r="A114" s="3" t="n">
        <x:v>12</x:v>
      </x:c>
      <x:c r="B114" s="3" t="n">
        <x:v>3</x:v>
      </x:c>
      <x:c r="C114" s="3" t="n">
        <x:v>3</x:v>
      </x:c>
      <x:c r="D114" s="3" t="n">
        <x:v>8</x:v>
      </x:c>
      <x:c r="E114" s="3" t="n">
        <x:v>9</x:v>
      </x:c>
      <x:c r="F114" s="3" t="n">
        <x:v>6</x:v>
      </x:c>
      <x:c r="G114" s="3" t="n">
        <x:v>78</x:v>
      </x:c>
      <x:c r="H114" s="9" t="n">
        <x:v>-0.55021</x:v>
      </x:c>
      <x:c r="I114" s="9" t="n">
        <x:v>1.106808</x:v>
      </x:c>
      <x:c r="J114" s="9" t="n">
        <x:v>1.01197033</x:v>
      </x:c>
      <x:c r="K114" s="9" t="n">
        <x:v>78.933686</x:v>
      </x:c>
      <x:c r="L114" s="3" t="n">
        <x:v>0</x:v>
      </x:c>
      <x:c r="M114" s="3" t="n">
        <x:v>1</x:v>
      </x:c>
      <x:c r="N114" s="3" t="n">
        <x:v>1</x:v>
      </x:c>
    </x:row>
    <x:row r="115" ht="21" customHeight="1">
      <x:c r="A115" s="3" t="n">
        <x:v>12</x:v>
      </x:c>
      <x:c r="B115" s="3" t="n">
        <x:v>4</x:v>
      </x:c>
      <x:c r="C115" s="3" t="n">
        <x:v>4</x:v>
      </x:c>
      <x:c r="D115" s="3" t="n">
        <x:v>1</x:v>
      </x:c>
      <x:c r="E115" s="3" t="n">
        <x:v>5</x:v>
      </x:c>
      <x:c r="F115" s="3" t="n">
        <x:v>6</x:v>
      </x:c>
      <x:c r="G115" s="3" t="n">
        <x:v>40</x:v>
      </x:c>
      <x:c r="H115" s="9" t="n">
        <x:v>-0.55021</x:v>
      </x:c>
      <x:c r="I115" s="9" t="n">
        <x:v>0.280032</x:v>
      </x:c>
      <x:c r="J115" s="9" t="n">
        <x:v>0.93166838</x:v>
      </x:c>
      <x:c r="K115" s="9" t="n">
        <x:v>37.266735</x:v>
      </x:c>
      <x:c r="L115" s="3" t="n">
        <x:v>0</x:v>
      </x:c>
      <x:c r="M115" s="3" t="n">
        <x:v>1</x:v>
      </x:c>
      <x:c r="N115" s="3" t="n">
        <x:v>1</x:v>
      </x:c>
    </x:row>
    <x:row r="116" ht="21" customHeight="1">
      <x:c r="A116" s="3" t="n">
        <x:v>12</x:v>
      </x:c>
      <x:c r="B116" s="3" t="n">
        <x:v>5</x:v>
      </x:c>
      <x:c r="C116" s="3" t="n">
        <x:v>5</x:v>
      </x:c>
      <x:c r="D116" s="3" t="n">
        <x:v>4</x:v>
      </x:c>
      <x:c r="E116" s="3" t="n">
        <x:v>3</x:v>
      </x:c>
      <x:c r="F116" s="3" t="n">
        <x:v>4</x:v>
      </x:c>
      <x:c r="G116" s="3" t="n">
        <x:v>53</x:v>
      </x:c>
      <x:c r="H116" s="9" t="n">
        <x:v>-0.55021</x:v>
      </x:c>
      <x:c r="I116" s="9" t="n">
        <x:v>0.371961</x:v>
      </x:c>
      <x:c r="J116" s="9" t="n">
        <x:v>0.94027259</x:v>
      </x:c>
      <x:c r="K116" s="9" t="n">
        <x:v>49.834447</x:v>
      </x:c>
      <x:c r="L116" s="3" t="n">
        <x:v>0</x:v>
      </x:c>
      <x:c r="M116" s="3" t="n">
        <x:v>1</x:v>
      </x:c>
      <x:c r="N116" s="3" t="n">
        <x:v>1</x:v>
      </x:c>
    </x:row>
    <x:row r="117" ht="21" customHeight="1">
      <x:c r="A117" s="3" t="n">
        <x:v>12</x:v>
      </x:c>
      <x:c r="B117" s="3" t="n">
        <x:v>6</x:v>
      </x:c>
      <x:c r="C117" s="3" t="n">
        <x:v>6</x:v>
      </x:c>
      <x:c r="D117" s="3" t="n">
        <x:v>1</x:v>
      </x:c>
      <x:c r="E117" s="3" t="n">
        <x:v>1</x:v>
      </x:c>
      <x:c r="F117" s="3" t="n">
        <x:v>4</x:v>
      </x:c>
      <x:c r="G117" s="3" t="n">
        <x:v>80</x:v>
      </x:c>
      <x:c r="H117" s="9" t="n">
        <x:v>-0.55021</x:v>
      </x:c>
      <x:c r="I117" s="9" t="n">
        <x:v>0.89817</x:v>
      </x:c>
      <x:c r="J117" s="9" t="n">
        <x:v>0.9910755</x:v>
      </x:c>
      <x:c r="K117" s="9" t="n">
        <x:v>79.28604</x:v>
      </x:c>
      <x:c r="L117" s="3" t="n">
        <x:v>0</x:v>
      </x:c>
      <x:c r="M117" s="3" t="n">
        <x:v>1</x:v>
      </x:c>
      <x:c r="N117" s="3" t="n">
        <x:v>1</x:v>
      </x:c>
    </x:row>
    <x:row r="118" ht="21" customHeight="1">
      <x:c r="A118" s="3" t="n">
        <x:v>12</x:v>
      </x:c>
      <x:c r="B118" s="3" t="n">
        <x:v>7</x:v>
      </x:c>
      <x:c r="C118" s="3" t="n">
        <x:v>7</x:v>
      </x:c>
      <x:c r="D118" s="3" t="n">
        <x:v>7</x:v>
      </x:c>
      <x:c r="E118" s="3" t="n">
        <x:v>8</x:v>
      </x:c>
      <x:c r="F118" s="3" t="n">
        <x:v>7</x:v>
      </x:c>
      <x:c r="G118" s="3" t="n">
        <x:v>57</x:v>
      </x:c>
      <x:c r="H118" s="9" t="n">
        <x:v>-0.55021</x:v>
      </x:c>
      <x:c r="I118" s="9" t="n">
        <x:v>0.358144</x:v>
      </x:c>
      <x:c r="J118" s="9" t="n">
        <x:v>0.93897431</x:v>
      </x:c>
      <x:c r="K118" s="9" t="n">
        <x:v>53.521536</x:v>
      </x:c>
      <x:c r="L118" s="3" t="n">
        <x:v>0</x:v>
      </x:c>
      <x:c r="M118" s="3" t="n">
        <x:v>1</x:v>
      </x:c>
      <x:c r="N118" s="3" t="n">
        <x:v>1</x:v>
      </x:c>
    </x:row>
    <x:row r="119" ht="21" customHeight="1">
      <x:c r="A119" s="3" t="n">
        <x:v>12</x:v>
      </x:c>
      <x:c r="B119" s="3" t="n">
        <x:v>8</x:v>
      </x:c>
      <x:c r="C119" s="3" t="n">
        <x:v>8</x:v>
      </x:c>
      <x:c r="D119" s="3" t="n">
        <x:v>3</x:v>
      </x:c>
      <x:c r="E119" s="3" t="n">
        <x:v>8</x:v>
      </x:c>
      <x:c r="F119" s="3" t="n">
        <x:v>2</x:v>
      </x:c>
      <x:c r="G119" s="3" t="n">
        <x:v>72</x:v>
      </x:c>
      <x:c r="H119" s="9" t="n">
        <x:v>-0.55021</x:v>
      </x:c>
      <x:c r="I119" s="9" t="n">
        <x:v>-0.174583</x:v>
      </x:c>
      <x:c r="J119" s="9" t="n">
        <x:v>0.89026171</x:v>
      </x:c>
      <x:c r="K119" s="9" t="n">
        <x:v>64.098843</x:v>
      </x:c>
      <x:c r="L119" s="3" t="n">
        <x:v>0</x:v>
      </x:c>
      <x:c r="M119" s="3" t="n">
        <x:v>1</x:v>
      </x:c>
      <x:c r="N119" s="3" t="n">
        <x:v>1</x:v>
      </x:c>
    </x:row>
    <x:row r="120" ht="21" customHeight="1">
      <x:c r="A120" s="3" t="n">
        <x:v>12</x:v>
      </x:c>
      <x:c r="B120" s="3" t="n">
        <x:v>9</x:v>
      </x:c>
      <x:c r="C120" s="3" t="n">
        <x:v>9</x:v>
      </x:c>
      <x:c r="D120" s="3" t="n">
        <x:v>6</x:v>
      </x:c>
      <x:c r="E120" s="3" t="n">
        <x:v>10</x:v>
      </x:c>
      <x:c r="F120" s="3" t="n">
        <x:v>7</x:v>
      </x:c>
      <x:c r="G120" s="3" t="n">
        <x:v>57</x:v>
      </x:c>
      <x:c r="H120" s="9" t="n">
        <x:v>-0.55021</x:v>
      </x:c>
      <x:c r="I120" s="9" t="n">
        <x:v>0.364907</x:v>
      </x:c>
      <x:c r="J120" s="9" t="n">
        <x:v>0.93960952</x:v>
      </x:c>
      <x:c r="K120" s="9" t="n">
        <x:v>53.557743</x:v>
      </x:c>
      <x:c r="L120" s="3" t="n">
        <x:v>0</x:v>
      </x:c>
      <x:c r="M120" s="3" t="n">
        <x:v>1</x:v>
      </x:c>
      <x:c r="N120" s="3" t="n">
        <x:v>1</x:v>
      </x:c>
    </x:row>
    <x:row r="121" ht="21" customHeight="1">
      <x:c r="A121" s="3" t="n">
        <x:v>12</x:v>
      </x:c>
      <x:c r="B121" s="3" t="n">
        <x:v>10</x:v>
      </x:c>
      <x:c r="C121" s="3" t="n">
        <x:v>10</x:v>
      </x:c>
      <x:c r="D121" s="3" t="n">
        <x:v>6</x:v>
      </x:c>
      <x:c r="E121" s="3" t="n">
        <x:v>7</x:v>
      </x:c>
      <x:c r="F121" s="3" t="n">
        <x:v>9</x:v>
      </x:c>
      <x:c r="G121" s="3" t="n">
        <x:v>73</x:v>
      </x:c>
      <x:c r="H121" s="9" t="n">
        <x:v>-0.55021</x:v>
      </x:c>
      <x:c r="I121" s="9" t="n">
        <x:v>0.445797</x:v>
      </x:c>
      <x:c r="J121" s="9" t="n">
        <x:v>0.9472409</x:v>
      </x:c>
      <x:c r="K121" s="9" t="n">
        <x:v>69.148586</x:v>
      </x:c>
      <x:c r="L121" s="3" t="n">
        <x:v>0</x:v>
      </x:c>
      <x:c r="M121" s="3" t="n">
        <x:v>1</x:v>
      </x:c>
      <x:c r="N121" s="3" t="n">
        <x:v>1</x:v>
      </x:c>
    </x:row>
    <x:row r="122" ht="21" customHeight="1">
      <x:c r="A122" s="3" t="n">
        <x:v>13</x:v>
      </x:c>
      <x:c r="B122" s="3" t="n">
        <x:v>1</x:v>
      </x:c>
      <x:c r="C122" s="3" t="n">
        <x:v>1</x:v>
      </x:c>
      <x:c r="D122" s="3" t="n">
        <x:v>5</x:v>
      </x:c>
      <x:c r="E122" s="3" t="n">
        <x:v>10</x:v>
      </x:c>
      <x:c r="F122" s="3" t="n">
        <x:v>6</x:v>
      </x:c>
      <x:c r="G122" s="3" t="n">
        <x:v>71</x:v>
      </x:c>
      <x:c r="H122" s="9" t="n">
        <x:v>-0.665761</x:v>
      </x:c>
      <x:c r="I122" s="9" t="n">
        <x:v>-2.044166</x:v>
      </x:c>
      <x:c r="J122" s="9" t="n">
        <x:v>0.72576375</x:v>
      </x:c>
      <x:c r="K122" s="9" t="n">
        <x:v>51.529226</x:v>
      </x:c>
      <x:c r="L122" s="3" t="n">
        <x:v>0</x:v>
      </x:c>
      <x:c r="M122" s="3" t="n">
        <x:v>1</x:v>
      </x:c>
      <x:c r="N122" s="3" t="n">
        <x:v>1</x:v>
      </x:c>
    </x:row>
    <x:row r="123" ht="21" customHeight="1">
      <x:c r="A123" s="3" t="n">
        <x:v>13</x:v>
      </x:c>
      <x:c r="B123" s="3" t="n">
        <x:v>2</x:v>
      </x:c>
      <x:c r="C123" s="3" t="n">
        <x:v>2</x:v>
      </x:c>
      <x:c r="D123" s="3" t="n">
        <x:v>2</x:v>
      </x:c>
      <x:c r="E123" s="3" t="n">
        <x:v>5</x:v>
      </x:c>
      <x:c r="F123" s="3" t="n">
        <x:v>8</x:v>
      </x:c>
      <x:c r="G123" s="3" t="n">
        <x:v>32</x:v>
      </x:c>
      <x:c r="H123" s="9" t="n">
        <x:v>-0.665761</x:v>
      </x:c>
      <x:c r="I123" s="9" t="n">
        <x:v>-0.070325</x:v>
      </x:c>
      <x:c r="J123" s="9" t="n">
        <x:v>0.88413395</x:v>
      </x:c>
      <x:c r="K123" s="9" t="n">
        <x:v>28.292286</x:v>
      </x:c>
      <x:c r="L123" s="3" t="n">
        <x:v>0</x:v>
      </x:c>
      <x:c r="M123" s="3" t="n">
        <x:v>1</x:v>
      </x:c>
      <x:c r="N123" s="3" t="n">
        <x:v>1</x:v>
      </x:c>
    </x:row>
    <x:row r="124" ht="21" customHeight="1">
      <x:c r="A124" s="3" t="n">
        <x:v>13</x:v>
      </x:c>
      <x:c r="B124" s="3" t="n">
        <x:v>3</x:v>
      </x:c>
      <x:c r="C124" s="3" t="n">
        <x:v>3</x:v>
      </x:c>
      <x:c r="D124" s="3" t="n">
        <x:v>8</x:v>
      </x:c>
      <x:c r="E124" s="3" t="n">
        <x:v>9</x:v>
      </x:c>
      <x:c r="F124" s="3" t="n">
        <x:v>6</x:v>
      </x:c>
      <x:c r="G124" s="3" t="n">
        <x:v>78</x:v>
      </x:c>
      <x:c r="H124" s="9" t="n">
        <x:v>-0.665761</x:v>
      </x:c>
      <x:c r="I124" s="9" t="n">
        <x:v>0.543309</x:v>
      </x:c>
      <x:c r="J124" s="9" t="n">
        <x:v>0.94008661</x:v>
      </x:c>
      <x:c r="K124" s="9" t="n">
        <x:v>73.326755</x:v>
      </x:c>
      <x:c r="L124" s="3" t="n">
        <x:v>0</x:v>
      </x:c>
      <x:c r="M124" s="3" t="n">
        <x:v>1</x:v>
      </x:c>
      <x:c r="N124" s="3" t="n">
        <x:v>1</x:v>
      </x:c>
    </x:row>
    <x:row r="125" ht="21" customHeight="1">
      <x:c r="A125" s="3" t="n">
        <x:v>13</x:v>
      </x:c>
      <x:c r="B125" s="3" t="n">
        <x:v>4</x:v>
      </x:c>
      <x:c r="C125" s="3" t="n">
        <x:v>4</x:v>
      </x:c>
      <x:c r="D125" s="3" t="n">
        <x:v>1</x:v>
      </x:c>
      <x:c r="E125" s="3" t="n">
        <x:v>5</x:v>
      </x:c>
      <x:c r="F125" s="3" t="n">
        <x:v>6</x:v>
      </x:c>
      <x:c r="G125" s="3" t="n">
        <x:v>40</x:v>
      </x:c>
      <x:c r="H125" s="9" t="n">
        <x:v>-0.665761</x:v>
      </x:c>
      <x:c r="I125" s="9" t="n">
        <x:v>-0.236981</x:v>
      </x:c>
      <x:c r="J125" s="9" t="n">
        <x:v>0.86952148</x:v>
      </x:c>
      <x:c r="K125" s="9" t="n">
        <x:v>34.780859</x:v>
      </x:c>
      <x:c r="L125" s="3" t="n">
        <x:v>0</x:v>
      </x:c>
      <x:c r="M125" s="3" t="n">
        <x:v>1</x:v>
      </x:c>
      <x:c r="N125" s="3" t="n">
        <x:v>1</x:v>
      </x:c>
    </x:row>
    <x:row r="126" ht="21" customHeight="1">
      <x:c r="A126" s="3" t="n">
        <x:v>13</x:v>
      </x:c>
      <x:c r="B126" s="3" t="n">
        <x:v>5</x:v>
      </x:c>
      <x:c r="C126" s="3" t="n">
        <x:v>5</x:v>
      </x:c>
      <x:c r="D126" s="3" t="n">
        <x:v>4</x:v>
      </x:c>
      <x:c r="E126" s="3" t="n">
        <x:v>3</x:v>
      </x:c>
      <x:c r="F126" s="3" t="n">
        <x:v>4</x:v>
      </x:c>
      <x:c r="G126" s="3" t="n">
        <x:v>53</x:v>
      </x:c>
      <x:c r="H126" s="9" t="n">
        <x:v>-0.665761</x:v>
      </x:c>
      <x:c r="I126" s="9" t="n">
        <x:v>-0.159124</x:v>
      </x:c>
      <x:c r="J126" s="9" t="n">
        <x:v>0.87631771</x:v>
      </x:c>
      <x:c r="K126" s="9" t="n">
        <x:v>46.444839</x:v>
      </x:c>
      <x:c r="L126" s="3" t="n">
        <x:v>0</x:v>
      </x:c>
      <x:c r="M126" s="3" t="n">
        <x:v>1</x:v>
      </x:c>
      <x:c r="N126" s="3" t="n">
        <x:v>1</x:v>
      </x:c>
    </x:row>
    <x:row r="127" ht="21" customHeight="1">
      <x:c r="A127" s="3" t="n">
        <x:v>13</x:v>
      </x:c>
      <x:c r="B127" s="3" t="n">
        <x:v>6</x:v>
      </x:c>
      <x:c r="C127" s="3" t="n">
        <x:v>6</x:v>
      </x:c>
      <x:c r="D127" s="3" t="n">
        <x:v>1</x:v>
      </x:c>
      <x:c r="E127" s="3" t="n">
        <x:v>1</x:v>
      </x:c>
      <x:c r="F127" s="3" t="n">
        <x:v>4</x:v>
      </x:c>
      <x:c r="G127" s="3" t="n">
        <x:v>80</x:v>
      </x:c>
      <x:c r="H127" s="9" t="n">
        <x:v>-0.665761</x:v>
      </x:c>
      <x:c r="I127" s="9" t="n">
        <x:v>0.306769</x:v>
      </x:c>
      <x:c r="J127" s="9" t="n">
        <x:v>0.91811073</x:v>
      </x:c>
      <x:c r="K127" s="9" t="n">
        <x:v>73.448858</x:v>
      </x:c>
      <x:c r="L127" s="3" t="n">
        <x:v>0</x:v>
      </x:c>
      <x:c r="M127" s="3" t="n">
        <x:v>1</x:v>
      </x:c>
      <x:c r="N127" s="3" t="n">
        <x:v>1</x:v>
      </x:c>
    </x:row>
    <x:row r="128" ht="21" customHeight="1">
      <x:c r="A128" s="3" t="n">
        <x:v>13</x:v>
      </x:c>
      <x:c r="B128" s="3" t="n">
        <x:v>7</x:v>
      </x:c>
      <x:c r="C128" s="3" t="n">
        <x:v>7</x:v>
      </x:c>
      <x:c r="D128" s="3" t="n">
        <x:v>7</x:v>
      </x:c>
      <x:c r="E128" s="3" t="n">
        <x:v>8</x:v>
      </x:c>
      <x:c r="F128" s="3" t="n">
        <x:v>7</x:v>
      </x:c>
      <x:c r="G128" s="3" t="n">
        <x:v>57</x:v>
      </x:c>
      <x:c r="H128" s="9" t="n">
        <x:v>-0.665761</x:v>
      </x:c>
      <x:c r="I128" s="9" t="n">
        <x:v>0.294801</x:v>
      </x:c>
      <x:c r="J128" s="9" t="n">
        <x:v>0.9170126</x:v>
      </x:c>
      <x:c r="K128" s="9" t="n">
        <x:v>52.269718</x:v>
      </x:c>
      <x:c r="L128" s="3" t="n">
        <x:v>0</x:v>
      </x:c>
      <x:c r="M128" s="3" t="n">
        <x:v>1</x:v>
      </x:c>
      <x:c r="N128" s="3" t="n">
        <x:v>1</x:v>
      </x:c>
    </x:row>
    <x:row r="129" ht="21" customHeight="1">
      <x:c r="A129" s="3" t="n">
        <x:v>13</x:v>
      </x:c>
      <x:c r="B129" s="3" t="n">
        <x:v>8</x:v>
      </x:c>
      <x:c r="C129" s="3" t="n">
        <x:v>8</x:v>
      </x:c>
      <x:c r="D129" s="3" t="n">
        <x:v>3</x:v>
      </x:c>
      <x:c r="E129" s="3" t="n">
        <x:v>8</x:v>
      </x:c>
      <x:c r="F129" s="3" t="n">
        <x:v>2</x:v>
      </x:c>
      <x:c r="G129" s="3" t="n">
        <x:v>72</x:v>
      </x:c>
      <x:c r="H129" s="9" t="n">
        <x:v>-0.665761</x:v>
      </x:c>
      <x:c r="I129" s="9" t="n">
        <x:v>0.789072</x:v>
      </x:c>
      <x:c r="J129" s="9" t="n">
        <x:v>0.96347673</x:v>
      </x:c>
      <x:c r="K129" s="9" t="n">
        <x:v>69.370325</x:v>
      </x:c>
      <x:c r="L129" s="3" t="n">
        <x:v>0</x:v>
      </x:c>
      <x:c r="M129" s="3" t="n">
        <x:v>1</x:v>
      </x:c>
      <x:c r="N129" s="3" t="n">
        <x:v>1</x:v>
      </x:c>
    </x:row>
    <x:row r="130" ht="21" customHeight="1">
      <x:c r="A130" s="3" t="n">
        <x:v>13</x:v>
      </x:c>
      <x:c r="B130" s="3" t="n">
        <x:v>9</x:v>
      </x:c>
      <x:c r="C130" s="3" t="n">
        <x:v>9</x:v>
      </x:c>
      <x:c r="D130" s="3" t="n">
        <x:v>6</x:v>
      </x:c>
      <x:c r="E130" s="3" t="n">
        <x:v>10</x:v>
      </x:c>
      <x:c r="F130" s="3" t="n">
        <x:v>7</x:v>
      </x:c>
      <x:c r="G130" s="3" t="n">
        <x:v>57</x:v>
      </x:c>
      <x:c r="H130" s="9" t="n">
        <x:v>-0.665761</x:v>
      </x:c>
      <x:c r="I130" s="9" t="n">
        <x:v>-1.419602</x:v>
      </x:c>
      <x:c r="J130" s="9" t="n">
        <x:v>0.77253778</x:v>
      </x:c>
      <x:c r="K130" s="9" t="n">
        <x:v>44.034654</x:v>
      </x:c>
      <x:c r="L130" s="3" t="n">
        <x:v>0</x:v>
      </x:c>
      <x:c r="M130" s="3" t="n">
        <x:v>1</x:v>
      </x:c>
      <x:c r="N130" s="3" t="n">
        <x:v>1</x:v>
      </x:c>
    </x:row>
    <x:row r="131" ht="21" customHeight="1">
      <x:c r="A131" s="3" t="n">
        <x:v>13</x:v>
      </x:c>
      <x:c r="B131" s="3" t="n">
        <x:v>10</x:v>
      </x:c>
      <x:c r="C131" s="3" t="n">
        <x:v>10</x:v>
      </x:c>
      <x:c r="D131" s="3" t="n">
        <x:v>6</x:v>
      </x:c>
      <x:c r="E131" s="3" t="n">
        <x:v>7</x:v>
      </x:c>
      <x:c r="F131" s="3" t="n">
        <x:v>9</x:v>
      </x:c>
      <x:c r="G131" s="3" t="n">
        <x:v>73</x:v>
      </x:c>
      <x:c r="H131" s="9" t="n">
        <x:v>-0.665761</x:v>
      </x:c>
      <x:c r="I131" s="9" t="n">
        <x:v>0.749363</x:v>
      </x:c>
      <x:c r="J131" s="9" t="n">
        <x:v>0.95965847</x:v>
      </x:c>
      <x:c r="K131" s="9" t="n">
        <x:v>70.055068</x:v>
      </x:c>
      <x:c r="L131" s="3" t="n">
        <x:v>0</x:v>
      </x:c>
      <x:c r="M131" s="3" t="n">
        <x:v>1</x:v>
      </x:c>
      <x:c r="N131" s="3" t="n">
        <x:v>1</x:v>
      </x:c>
    </x:row>
    <x:row r="132" ht="21" customHeight="1">
      <x:c r="A132" s="3" t="n">
        <x:v>14</x:v>
      </x:c>
      <x:c r="B132" s="3" t="n">
        <x:v>1</x:v>
      </x:c>
      <x:c r="C132" s="3" t="n">
        <x:v>1</x:v>
      </x:c>
      <x:c r="D132" s="3" t="n">
        <x:v>5</x:v>
      </x:c>
      <x:c r="E132" s="3" t="n">
        <x:v>10</x:v>
      </x:c>
      <x:c r="F132" s="3" t="n">
        <x:v>6</x:v>
      </x:c>
      <x:c r="G132" s="3" t="n">
        <x:v>71</x:v>
      </x:c>
      <x:c r="H132" s="9" t="n">
        <x:v>0.129225</x:v>
      </x:c>
      <x:c r="I132" s="9" t="n">
        <x:v>-0.286151</x:v>
      </x:c>
      <x:c r="J132" s="9" t="n">
        <x:v>0.97484054</x:v>
      </x:c>
      <x:c r="K132" s="9" t="n">
        <x:v>69.213678</x:v>
      </x:c>
      <x:c r="L132" s="3" t="n">
        <x:v>0</x:v>
      </x:c>
      <x:c r="M132" s="3" t="n">
        <x:v>1</x:v>
      </x:c>
      <x:c r="N132" s="3" t="n">
        <x:v>1</x:v>
      </x:c>
    </x:row>
    <x:row r="133" ht="21" customHeight="1">
      <x:c r="A133" s="3" t="n">
        <x:v>14</x:v>
      </x:c>
      <x:c r="B133" s="3" t="n">
        <x:v>2</x:v>
      </x:c>
      <x:c r="C133" s="3" t="n">
        <x:v>2</x:v>
      </x:c>
      <x:c r="D133" s="3" t="n">
        <x:v>2</x:v>
      </x:c>
      <x:c r="E133" s="3" t="n">
        <x:v>5</x:v>
      </x:c>
      <x:c r="F133" s="3" t="n">
        <x:v>8</x:v>
      </x:c>
      <x:c r="G133" s="3" t="n">
        <x:v>32</x:v>
      </x:c>
      <x:c r="H133" s="9" t="n">
        <x:v>0.129225</x:v>
      </x:c>
      <x:c r="I133" s="9" t="n">
        <x:v>-1.005144</x:v>
      </x:c>
      <x:c r="J133" s="9" t="n">
        <x:v>0.90721059</x:v>
      </x:c>
      <x:c r="K133" s="9" t="n">
        <x:v>29.030739</x:v>
      </x:c>
      <x:c r="L133" s="3" t="n">
        <x:v>0</x:v>
      </x:c>
      <x:c r="M133" s="3" t="n">
        <x:v>1</x:v>
      </x:c>
      <x:c r="N133" s="3" t="n">
        <x:v>1</x:v>
      </x:c>
    </x:row>
    <x:row r="134" ht="21" customHeight="1">
      <x:c r="A134" s="3" t="n">
        <x:v>14</x:v>
      </x:c>
      <x:c r="B134" s="3" t="n">
        <x:v>3</x:v>
      </x:c>
      <x:c r="C134" s="3" t="n">
        <x:v>3</x:v>
      </x:c>
      <x:c r="D134" s="3" t="n">
        <x:v>8</x:v>
      </x:c>
      <x:c r="E134" s="3" t="n">
        <x:v>9</x:v>
      </x:c>
      <x:c r="F134" s="3" t="n">
        <x:v>6</x:v>
      </x:c>
      <x:c r="G134" s="3" t="n">
        <x:v>78</x:v>
      </x:c>
      <x:c r="H134" s="9" t="n">
        <x:v>0.129225</x:v>
      </x:c>
      <x:c r="I134" s="9" t="n">
        <x:v>0.603028</x:v>
      </x:c>
      <x:c r="J134" s="9" t="n">
        <x:v>1.06549182</x:v>
      </x:c>
      <x:c r="K134" s="9" t="n">
        <x:v>83.108362</x:v>
      </x:c>
      <x:c r="L134" s="3" t="n">
        <x:v>0</x:v>
      </x:c>
      <x:c r="M134" s="3" t="n">
        <x:v>1</x:v>
      </x:c>
      <x:c r="N134" s="3" t="n">
        <x:v>1</x:v>
      </x:c>
    </x:row>
    <x:row r="135" ht="21" customHeight="1">
      <x:c r="A135" s="3" t="n">
        <x:v>14</x:v>
      </x:c>
      <x:c r="B135" s="3" t="n">
        <x:v>4</x:v>
      </x:c>
      <x:c r="C135" s="3" t="n">
        <x:v>4</x:v>
      </x:c>
      <x:c r="D135" s="3" t="n">
        <x:v>1</x:v>
      </x:c>
      <x:c r="E135" s="3" t="n">
        <x:v>5</x:v>
      </x:c>
      <x:c r="F135" s="3" t="n">
        <x:v>6</x:v>
      </x:c>
      <x:c r="G135" s="3" t="n">
        <x:v>40</x:v>
      </x:c>
      <x:c r="H135" s="9" t="n">
        <x:v>0.129225</x:v>
      </x:c>
      <x:c r="I135" s="9" t="n">
        <x:v>0.840693</x:v>
      </x:c>
      <x:c r="J135" s="9" t="n">
        <x:v>1.09111814</x:v>
      </x:c>
      <x:c r="K135" s="9" t="n">
        <x:v>43.644726</x:v>
      </x:c>
      <x:c r="L135" s="3" t="n">
        <x:v>0</x:v>
      </x:c>
      <x:c r="M135" s="3" t="n">
        <x:v>1</x:v>
      </x:c>
      <x:c r="N135" s="3" t="n">
        <x:v>1</x:v>
      </x:c>
    </x:row>
    <x:row r="136" ht="21" customHeight="1">
      <x:c r="A136" s="3" t="n">
        <x:v>14</x:v>
      </x:c>
      <x:c r="B136" s="3" t="n">
        <x:v>5</x:v>
      </x:c>
      <x:c r="C136" s="3" t="n">
        <x:v>5</x:v>
      </x:c>
      <x:c r="D136" s="3" t="n">
        <x:v>4</x:v>
      </x:c>
      <x:c r="E136" s="3" t="n">
        <x:v>3</x:v>
      </x:c>
      <x:c r="F136" s="3" t="n">
        <x:v>4</x:v>
      </x:c>
      <x:c r="G136" s="3" t="n">
        <x:v>53</x:v>
      </x:c>
      <x:c r="H136" s="9" t="n">
        <x:v>0.129225</x:v>
      </x:c>
      <x:c r="I136" s="9" t="n">
        <x:v>0.204281</x:v>
      </x:c>
      <x:c r="J136" s="9" t="n">
        <x:v>1.02384161</x:v>
      </x:c>
      <x:c r="K136" s="9" t="n">
        <x:v>54.263605</x:v>
      </x:c>
      <x:c r="L136" s="3" t="n">
        <x:v>0</x:v>
      </x:c>
      <x:c r="M136" s="3" t="n">
        <x:v>1</x:v>
      </x:c>
      <x:c r="N136" s="3" t="n">
        <x:v>1</x:v>
      </x:c>
    </x:row>
    <x:row r="137" ht="21" customHeight="1">
      <x:c r="A137" s="3" t="n">
        <x:v>14</x:v>
      </x:c>
      <x:c r="B137" s="3" t="n">
        <x:v>6</x:v>
      </x:c>
      <x:c r="C137" s="3" t="n">
        <x:v>6</x:v>
      </x:c>
      <x:c r="D137" s="3" t="n">
        <x:v>1</x:v>
      </x:c>
      <x:c r="E137" s="3" t="n">
        <x:v>1</x:v>
      </x:c>
      <x:c r="F137" s="3" t="n">
        <x:v>4</x:v>
      </x:c>
      <x:c r="G137" s="3" t="n">
        <x:v>80</x:v>
      </x:c>
      <x:c r="H137" s="9" t="n">
        <x:v>0.129225</x:v>
      </x:c>
      <x:c r="I137" s="9" t="n">
        <x:v>1.348447</x:v>
      </x:c>
      <x:c r="J137" s="9" t="n">
        <x:v>1.14795072</x:v>
      </x:c>
      <x:c r="K137" s="9" t="n">
        <x:v>91.836058</x:v>
      </x:c>
      <x:c r="L137" s="3" t="n">
        <x:v>0</x:v>
      </x:c>
      <x:c r="M137" s="3" t="n">
        <x:v>1</x:v>
      </x:c>
      <x:c r="N137" s="3" t="n">
        <x:v>1</x:v>
      </x:c>
    </x:row>
    <x:row r="138" ht="21" customHeight="1">
      <x:c r="A138" s="3" t="n">
        <x:v>14</x:v>
      </x:c>
      <x:c r="B138" s="3" t="n">
        <x:v>7</x:v>
      </x:c>
      <x:c r="C138" s="3" t="n">
        <x:v>7</x:v>
      </x:c>
      <x:c r="D138" s="3" t="n">
        <x:v>7</x:v>
      </x:c>
      <x:c r="E138" s="3" t="n">
        <x:v>8</x:v>
      </x:c>
      <x:c r="F138" s="3" t="n">
        <x:v>7</x:v>
      </x:c>
      <x:c r="G138" s="3" t="n">
        <x:v>57</x:v>
      </x:c>
      <x:c r="H138" s="9" t="n">
        <x:v>0.129225</x:v>
      </x:c>
      <x:c r="I138" s="9" t="n">
        <x:v>-0.158981</x:v>
      </x:c>
      <x:c r="J138" s="9" t="n">
        <x:v>0.98731676</x:v>
      </x:c>
      <x:c r="K138" s="9" t="n">
        <x:v>56.277055</x:v>
      </x:c>
      <x:c r="L138" s="3" t="n">
        <x:v>0</x:v>
      </x:c>
      <x:c r="M138" s="3" t="n">
        <x:v>1</x:v>
      </x:c>
      <x:c r="N138" s="3" t="n">
        <x:v>1</x:v>
      </x:c>
    </x:row>
    <x:row r="139" ht="21" customHeight="1">
      <x:c r="A139" s="3" t="n">
        <x:v>14</x:v>
      </x:c>
      <x:c r="B139" s="3" t="n">
        <x:v>8</x:v>
      </x:c>
      <x:c r="C139" s="3" t="n">
        <x:v>8</x:v>
      </x:c>
      <x:c r="D139" s="3" t="n">
        <x:v>3</x:v>
      </x:c>
      <x:c r="E139" s="3" t="n">
        <x:v>8</x:v>
      </x:c>
      <x:c r="F139" s="3" t="n">
        <x:v>2</x:v>
      </x:c>
      <x:c r="G139" s="3" t="n">
        <x:v>72</x:v>
      </x:c>
      <x:c r="H139" s="9" t="n">
        <x:v>0.129225</x:v>
      </x:c>
      <x:c r="I139" s="9" t="n">
        <x:v>0.060808</x:v>
      </x:c>
      <x:c r="J139" s="9" t="n">
        <x:v>1.00925711</x:v>
      </x:c>
      <x:c r="K139" s="9" t="n">
        <x:v>72.666512</x:v>
      </x:c>
      <x:c r="L139" s="3" t="n">
        <x:v>0</x:v>
      </x:c>
      <x:c r="M139" s="3" t="n">
        <x:v>1</x:v>
      </x:c>
      <x:c r="N139" s="3" t="n">
        <x:v>1</x:v>
      </x:c>
    </x:row>
    <x:row r="140" ht="21" customHeight="1">
      <x:c r="A140" s="3" t="n">
        <x:v>14</x:v>
      </x:c>
      <x:c r="B140" s="3" t="n">
        <x:v>9</x:v>
      </x:c>
      <x:c r="C140" s="3" t="n">
        <x:v>9</x:v>
      </x:c>
      <x:c r="D140" s="3" t="n">
        <x:v>6</x:v>
      </x:c>
      <x:c r="E140" s="3" t="n">
        <x:v>10</x:v>
      </x:c>
      <x:c r="F140" s="3" t="n">
        <x:v>7</x:v>
      </x:c>
      <x:c r="G140" s="3" t="n">
        <x:v>57</x:v>
      </x:c>
      <x:c r="H140" s="9" t="n">
        <x:v>0.129225</x:v>
      </x:c>
      <x:c r="I140" s="9" t="n">
        <x:v>1.138738</x:v>
      </x:c>
      <x:c r="J140" s="9" t="n">
        <x:v>1.12412789</x:v>
      </x:c>
      <x:c r="K140" s="9" t="n">
        <x:v>64.075289</x:v>
      </x:c>
      <x:c r="L140" s="3" t="n">
        <x:v>0</x:v>
      </x:c>
      <x:c r="M140" s="3" t="n">
        <x:v>1</x:v>
      </x:c>
      <x:c r="N140" s="3" t="n">
        <x:v>1</x:v>
      </x:c>
    </x:row>
    <x:row r="141" ht="21" customHeight="1">
      <x:c r="A141" s="3" t="n">
        <x:v>14</x:v>
      </x:c>
      <x:c r="B141" s="3" t="n">
        <x:v>10</x:v>
      </x:c>
      <x:c r="C141" s="3" t="n">
        <x:v>10</x:v>
      </x:c>
      <x:c r="D141" s="3" t="n">
        <x:v>6</x:v>
      </x:c>
      <x:c r="E141" s="3" t="n">
        <x:v>7</x:v>
      </x:c>
      <x:c r="F141" s="3" t="n">
        <x:v>9</x:v>
      </x:c>
      <x:c r="G141" s="3" t="n">
        <x:v>73</x:v>
      </x:c>
      <x:c r="H141" s="9" t="n">
        <x:v>0.129225</x:v>
      </x:c>
      <x:c r="I141" s="9" t="n">
        <x:v>-0.140271</x:v>
      </x:c>
      <x:c r="J141" s="9" t="n">
        <x:v>0.98916569</x:v>
      </x:c>
      <x:c r="K141" s="9" t="n">
        <x:v>72.209095</x:v>
      </x:c>
      <x:c r="L141" s="3" t="n">
        <x:v>0</x:v>
      </x:c>
      <x:c r="M141" s="3" t="n">
        <x:v>1</x:v>
      </x:c>
      <x:c r="N141" s="3" t="n">
        <x:v>1</x:v>
      </x:c>
    </x:row>
    <x:row r="142" ht="21" customHeight="1">
      <x:c r="A142" s="3" t="n">
        <x:v>15</x:v>
      </x:c>
      <x:c r="B142" s="3" t="n">
        <x:v>1</x:v>
      </x:c>
      <x:c r="C142" s="3" t="n">
        <x:v>1</x:v>
      </x:c>
      <x:c r="D142" s="3" t="n">
        <x:v>5</x:v>
      </x:c>
      <x:c r="E142" s="3" t="n">
        <x:v>10</x:v>
      </x:c>
      <x:c r="F142" s="3" t="n">
        <x:v>6</x:v>
      </x:c>
      <x:c r="G142" s="3" t="n">
        <x:v>71</x:v>
      </x:c>
      <x:c r="H142" s="9" t="n">
        <x:v>-0.473849</x:v>
      </x:c>
      <x:c r="I142" s="9" t="n">
        <x:v>-0.663798</x:v>
      </x:c>
      <x:c r="J142" s="9" t="n">
        <x:v>0.85752313</x:v>
      </x:c>
      <x:c r="K142" s="9" t="n">
        <x:v>60.884142</x:v>
      </x:c>
      <x:c r="L142" s="3" t="n">
        <x:v>0</x:v>
      </x:c>
      <x:c r="M142" s="3" t="n">
        <x:v>1</x:v>
      </x:c>
      <x:c r="N142" s="3" t="n">
        <x:v>1</x:v>
      </x:c>
    </x:row>
    <x:row r="143" ht="21" customHeight="1">
      <x:c r="A143" s="3" t="n">
        <x:v>15</x:v>
      </x:c>
      <x:c r="B143" s="3" t="n">
        <x:v>2</x:v>
      </x:c>
      <x:c r="C143" s="3" t="n">
        <x:v>2</x:v>
      </x:c>
      <x:c r="D143" s="3" t="n">
        <x:v>2</x:v>
      </x:c>
      <x:c r="E143" s="3" t="n">
        <x:v>5</x:v>
      </x:c>
      <x:c r="F143" s="3" t="n">
        <x:v>8</x:v>
      </x:c>
      <x:c r="G143" s="3" t="n">
        <x:v>32</x:v>
      </x:c>
      <x:c r="H143" s="9" t="n">
        <x:v>-0.473849</x:v>
      </x:c>
      <x:c r="I143" s="9" t="n">
        <x:v>0.902049</x:v>
      </x:c>
      <x:c r="J143" s="9" t="n">
        <x:v>1.00288173</x:v>
      </x:c>
      <x:c r="K143" s="9" t="n">
        <x:v>32.092215</x:v>
      </x:c>
      <x:c r="L143" s="3" t="n">
        <x:v>0</x:v>
      </x:c>
      <x:c r="M143" s="3" t="n">
        <x:v>1</x:v>
      </x:c>
      <x:c r="N143" s="3" t="n">
        <x:v>1</x:v>
      </x:c>
    </x:row>
    <x:row r="144" ht="21" customHeight="1">
      <x:c r="A144" s="3" t="n">
        <x:v>15</x:v>
      </x:c>
      <x:c r="B144" s="3" t="n">
        <x:v>3</x:v>
      </x:c>
      <x:c r="C144" s="3" t="n">
        <x:v>3</x:v>
      </x:c>
      <x:c r="D144" s="3" t="n">
        <x:v>8</x:v>
      </x:c>
      <x:c r="E144" s="3" t="n">
        <x:v>9</x:v>
      </x:c>
      <x:c r="F144" s="3" t="n">
        <x:v>6</x:v>
      </x:c>
      <x:c r="G144" s="3" t="n">
        <x:v>78</x:v>
      </x:c>
      <x:c r="H144" s="9" t="n">
        <x:v>-0.473849</x:v>
      </x:c>
      <x:c r="I144" s="9" t="n">
        <x:v>0.260266</x:v>
      </x:c>
      <x:c r="J144" s="9" t="n">
        <x:v>0.94054033</x:v>
      </x:c>
      <x:c r="K144" s="9" t="n">
        <x:v>73.362145</x:v>
      </x:c>
      <x:c r="L144" s="3" t="n">
        <x:v>0</x:v>
      </x:c>
      <x:c r="M144" s="3" t="n">
        <x:v>1</x:v>
      </x:c>
      <x:c r="N144" s="3" t="n">
        <x:v>1</x:v>
      </x:c>
    </x:row>
    <x:row r="145" ht="21" customHeight="1">
      <x:c r="A145" s="3" t="n">
        <x:v>15</x:v>
      </x:c>
      <x:c r="B145" s="3" t="n">
        <x:v>4</x:v>
      </x:c>
      <x:c r="C145" s="3" t="n">
        <x:v>4</x:v>
      </x:c>
      <x:c r="D145" s="3" t="n">
        <x:v>1</x:v>
      </x:c>
      <x:c r="E145" s="3" t="n">
        <x:v>5</x:v>
      </x:c>
      <x:c r="F145" s="3" t="n">
        <x:v>6</x:v>
      </x:c>
      <x:c r="G145" s="3" t="n">
        <x:v>40</x:v>
      </x:c>
      <x:c r="H145" s="9" t="n">
        <x:v>-0.473849</x:v>
      </x:c>
      <x:c r="I145" s="9" t="n">
        <x:v>-0.113164</x:v>
      </x:c>
      <x:c r="J145" s="9" t="n">
        <x:v>0.90606545</x:v>
      </x:c>
      <x:c r="K145" s="9" t="n">
        <x:v>36.242618</x:v>
      </x:c>
      <x:c r="L145" s="3" t="n">
        <x:v>0</x:v>
      </x:c>
      <x:c r="M145" s="3" t="n">
        <x:v>1</x:v>
      </x:c>
      <x:c r="N145" s="3" t="n">
        <x:v>1</x:v>
      </x:c>
    </x:row>
    <x:row r="146" ht="21" customHeight="1">
      <x:c r="A146" s="3" t="n">
        <x:v>15</x:v>
      </x:c>
      <x:c r="B146" s="3" t="n">
        <x:v>5</x:v>
      </x:c>
      <x:c r="C146" s="3" t="n">
        <x:v>5</x:v>
      </x:c>
      <x:c r="D146" s="3" t="n">
        <x:v>4</x:v>
      </x:c>
      <x:c r="E146" s="3" t="n">
        <x:v>3</x:v>
      </x:c>
      <x:c r="F146" s="3" t="n">
        <x:v>4</x:v>
      </x:c>
      <x:c r="G146" s="3" t="n">
        <x:v>53</x:v>
      </x:c>
      <x:c r="H146" s="9" t="n">
        <x:v>-0.473849</x:v>
      </x:c>
      <x:c r="I146" s="9" t="n">
        <x:v>0.62003</x:v>
      </x:c>
      <x:c r="J146" s="9" t="n">
        <x:v>0.97499362</x:v>
      </x:c>
      <x:c r="K146" s="9" t="n">
        <x:v>51.674662</x:v>
      </x:c>
      <x:c r="L146" s="3" t="n">
        <x:v>0</x:v>
      </x:c>
      <x:c r="M146" s="3" t="n">
        <x:v>1</x:v>
      </x:c>
      <x:c r="N146" s="3" t="n">
        <x:v>1</x:v>
      </x:c>
    </x:row>
    <x:row r="147" ht="21" customHeight="1">
      <x:c r="A147" s="3" t="n">
        <x:v>15</x:v>
      </x:c>
      <x:c r="B147" s="3" t="n">
        <x:v>6</x:v>
      </x:c>
      <x:c r="C147" s="3" t="n">
        <x:v>6</x:v>
      </x:c>
      <x:c r="D147" s="3" t="n">
        <x:v>1</x:v>
      </x:c>
      <x:c r="E147" s="3" t="n">
        <x:v>1</x:v>
      </x:c>
      <x:c r="F147" s="3" t="n">
        <x:v>4</x:v>
      </x:c>
      <x:c r="G147" s="3" t="n">
        <x:v>80</x:v>
      </x:c>
      <x:c r="H147" s="9" t="n">
        <x:v>-0.473849</x:v>
      </x:c>
      <x:c r="I147" s="9" t="n">
        <x:v>1.629569</x:v>
      </x:c>
      <x:c r="J147" s="9" t="n">
        <x:v>1.07856301</x:v>
      </x:c>
      <x:c r="K147" s="9" t="n">
        <x:v>86.285041</x:v>
      </x:c>
      <x:c r="L147" s="3" t="n">
        <x:v>0</x:v>
      </x:c>
      <x:c r="M147" s="3" t="n">
        <x:v>1</x:v>
      </x:c>
      <x:c r="N147" s="3" t="n">
        <x:v>1</x:v>
      </x:c>
    </x:row>
    <x:row r="148" ht="21" customHeight="1">
      <x:c r="A148" s="3" t="n">
        <x:v>15</x:v>
      </x:c>
      <x:c r="B148" s="3" t="n">
        <x:v>7</x:v>
      </x:c>
      <x:c r="C148" s="3" t="n">
        <x:v>7</x:v>
      </x:c>
      <x:c r="D148" s="3" t="n">
        <x:v>7</x:v>
      </x:c>
      <x:c r="E148" s="3" t="n">
        <x:v>8</x:v>
      </x:c>
      <x:c r="F148" s="3" t="n">
        <x:v>7</x:v>
      </x:c>
      <x:c r="G148" s="3" t="n">
        <x:v>57</x:v>
      </x:c>
      <x:c r="H148" s="9" t="n">
        <x:v>-0.473849</x:v>
      </x:c>
      <x:c r="I148" s="9" t="n">
        <x:v>-1.08971</x:v>
      </x:c>
      <x:c r="J148" s="9" t="n">
        <x:v>0.82176705</x:v>
      </x:c>
      <x:c r="K148" s="9" t="n">
        <x:v>46.840722</x:v>
      </x:c>
      <x:c r="L148" s="3" t="n">
        <x:v>0</x:v>
      </x:c>
      <x:c r="M148" s="3" t="n">
        <x:v>1</x:v>
      </x:c>
      <x:c r="N148" s="3" t="n">
        <x:v>1</x:v>
      </x:c>
    </x:row>
    <x:row r="149" ht="21" customHeight="1">
      <x:c r="A149" s="3" t="n">
        <x:v>15</x:v>
      </x:c>
      <x:c r="B149" s="3" t="n">
        <x:v>8</x:v>
      </x:c>
      <x:c r="C149" s="3" t="n">
        <x:v>8</x:v>
      </x:c>
      <x:c r="D149" s="3" t="n">
        <x:v>3</x:v>
      </x:c>
      <x:c r="E149" s="3" t="n">
        <x:v>8</x:v>
      </x:c>
      <x:c r="F149" s="3" t="n">
        <x:v>2</x:v>
      </x:c>
      <x:c r="G149" s="3" t="n">
        <x:v>72</x:v>
      </x:c>
      <x:c r="H149" s="9" t="n">
        <x:v>-0.473849</x:v>
      </x:c>
      <x:c r="I149" s="9" t="n">
        <x:v>0.838535</x:v>
      </x:c>
      <x:c r="J149" s="9" t="n">
        <x:v>0.99653226</x:v>
      </x:c>
      <x:c r="K149" s="9" t="n">
        <x:v>71.750322</x:v>
      </x:c>
      <x:c r="L149" s="3" t="n">
        <x:v>0</x:v>
      </x:c>
      <x:c r="M149" s="3" t="n">
        <x:v>1</x:v>
      </x:c>
      <x:c r="N149" s="3" t="n">
        <x:v>1</x:v>
      </x:c>
    </x:row>
    <x:row r="150" ht="21" customHeight="1">
      <x:c r="A150" s="3" t="n">
        <x:v>15</x:v>
      </x:c>
      <x:c r="B150" s="3" t="n">
        <x:v>9</x:v>
      </x:c>
      <x:c r="C150" s="3" t="n">
        <x:v>9</x:v>
      </x:c>
      <x:c r="D150" s="3" t="n">
        <x:v>6</x:v>
      </x:c>
      <x:c r="E150" s="3" t="n">
        <x:v>10</x:v>
      </x:c>
      <x:c r="F150" s="3" t="n">
        <x:v>7</x:v>
      </x:c>
      <x:c r="G150" s="3" t="n">
        <x:v>57</x:v>
      </x:c>
      <x:c r="H150" s="9" t="n">
        <x:v>-0.473849</x:v>
      </x:c>
      <x:c r="I150" s="9" t="n">
        <x:v>0.862962</x:v>
      </x:c>
      <x:c r="J150" s="9" t="n">
        <x:v>0.99896939</x:v>
      </x:c>
      <x:c r="K150" s="9" t="n">
        <x:v>56.941255</x:v>
      </x:c>
      <x:c r="L150" s="3" t="n">
        <x:v>0</x:v>
      </x:c>
      <x:c r="M150" s="3" t="n">
        <x:v>1</x:v>
      </x:c>
      <x:c r="N150" s="3" t="n">
        <x:v>1</x:v>
      </x:c>
    </x:row>
    <x:row r="151" ht="21" customHeight="1">
      <x:c r="A151" s="3" t="n">
        <x:v>15</x:v>
      </x:c>
      <x:c r="B151" s="3" t="n">
        <x:v>10</x:v>
      </x:c>
      <x:c r="C151" s="3" t="n">
        <x:v>10</x:v>
      </x:c>
      <x:c r="D151" s="3" t="n">
        <x:v>6</x:v>
      </x:c>
      <x:c r="E151" s="3" t="n">
        <x:v>7</x:v>
      </x:c>
      <x:c r="F151" s="3" t="n">
        <x:v>9</x:v>
      </x:c>
      <x:c r="G151" s="3" t="n">
        <x:v>73</x:v>
      </x:c>
      <x:c r="H151" s="9" t="n">
        <x:v>-0.473849</x:v>
      </x:c>
      <x:c r="I151" s="9" t="n">
        <x:v>-0.888081</x:v>
      </x:c>
      <x:c r="J151" s="9" t="n">
        <x:v>0.83850443</x:v>
      </x:c>
      <x:c r="K151" s="9" t="n">
        <x:v>61.210824</x:v>
      </x:c>
      <x:c r="L151" s="3" t="n">
        <x:v>0</x:v>
      </x:c>
      <x:c r="M151" s="3" t="n">
        <x:v>1</x:v>
      </x:c>
      <x:c r="N151" s="3" t="n">
        <x:v>1</x:v>
      </x:c>
    </x:row>
    <x:row r="152" ht="21" customHeight="1">
      <x:c r="A152" s="3" t="n">
        <x:v>16</x:v>
      </x:c>
      <x:c r="B152" s="3" t="n">
        <x:v>1</x:v>
      </x:c>
      <x:c r="C152" s="3" t="n">
        <x:v>1</x:v>
      </x:c>
      <x:c r="D152" s="3" t="n">
        <x:v>5</x:v>
      </x:c>
      <x:c r="E152" s="3" t="n">
        <x:v>10</x:v>
      </x:c>
      <x:c r="F152" s="3" t="n">
        <x:v>6</x:v>
      </x:c>
      <x:c r="G152" s="3" t="n">
        <x:v>71</x:v>
      </x:c>
      <x:c r="H152" s="9" t="n">
        <x:v>-0.48754</x:v>
      </x:c>
      <x:c r="I152" s="9" t="n">
        <x:v>-1.643901</x:v>
      </x:c>
      <x:c r="J152" s="9" t="n">
        <x:v>0.77586933</x:v>
      </x:c>
      <x:c r="K152" s="9" t="n">
        <x:v>55.086722</x:v>
      </x:c>
      <x:c r="L152" s="3" t="n">
        <x:v>0</x:v>
      </x:c>
      <x:c r="M152" s="3" t="n">
        <x:v>1</x:v>
      </x:c>
      <x:c r="N152" s="3" t="n">
        <x:v>1</x:v>
      </x:c>
    </x:row>
    <x:row r="153" ht="21" customHeight="1">
      <x:c r="A153" s="3" t="n">
        <x:v>16</x:v>
      </x:c>
      <x:c r="B153" s="3" t="n">
        <x:v>2</x:v>
      </x:c>
      <x:c r="C153" s="3" t="n">
        <x:v>2</x:v>
      </x:c>
      <x:c r="D153" s="3" t="n">
        <x:v>2</x:v>
      </x:c>
      <x:c r="E153" s="3" t="n">
        <x:v>5</x:v>
      </x:c>
      <x:c r="F153" s="3" t="n">
        <x:v>8</x:v>
      </x:c>
      <x:c r="G153" s="3" t="n">
        <x:v>32</x:v>
      </x:c>
      <x:c r="H153" s="9" t="n">
        <x:v>-0.48754</x:v>
      </x:c>
      <x:c r="I153" s="9" t="n">
        <x:v>0.291864</x:v>
      </x:c>
      <x:c r="J153" s="9" t="n">
        <x:v>0.94158128</x:v>
      </x:c>
      <x:c r="K153" s="9" t="n">
        <x:v>30.130601</x:v>
      </x:c>
      <x:c r="L153" s="3" t="n">
        <x:v>0</x:v>
      </x:c>
      <x:c r="M153" s="3" t="n">
        <x:v>1</x:v>
      </x:c>
      <x:c r="N153" s="3" t="n">
        <x:v>1</x:v>
      </x:c>
    </x:row>
    <x:row r="154" ht="21" customHeight="1">
      <x:c r="A154" s="3" t="n">
        <x:v>16</x:v>
      </x:c>
      <x:c r="B154" s="3" t="n">
        <x:v>3</x:v>
      </x:c>
      <x:c r="C154" s="3" t="n">
        <x:v>3</x:v>
      </x:c>
      <x:c r="D154" s="3" t="n">
        <x:v>8</x:v>
      </x:c>
      <x:c r="E154" s="3" t="n">
        <x:v>9</x:v>
      </x:c>
      <x:c r="F154" s="3" t="n">
        <x:v>6</x:v>
      </x:c>
      <x:c r="G154" s="3" t="n">
        <x:v>78</x:v>
      </x:c>
      <x:c r="H154" s="9" t="n">
        <x:v>-0.48754</x:v>
      </x:c>
      <x:c r="I154" s="9" t="n">
        <x:v>1.127777</x:v>
      </x:c>
      <x:c r="J154" s="9" t="n">
        <x:v>1.02367245</x:v>
      </x:c>
      <x:c r="K154" s="9" t="n">
        <x:v>79.846451</x:v>
      </x:c>
      <x:c r="L154" s="3" t="n">
        <x:v>0</x:v>
      </x:c>
      <x:c r="M154" s="3" t="n">
        <x:v>1</x:v>
      </x:c>
      <x:c r="N154" s="3" t="n">
        <x:v>1</x:v>
      </x:c>
    </x:row>
    <x:row r="155" ht="21" customHeight="1">
      <x:c r="A155" s="3" t="n">
        <x:v>16</x:v>
      </x:c>
      <x:c r="B155" s="3" t="n">
        <x:v>4</x:v>
      </x:c>
      <x:c r="C155" s="3" t="n">
        <x:v>4</x:v>
      </x:c>
      <x:c r="D155" s="3" t="n">
        <x:v>1</x:v>
      </x:c>
      <x:c r="E155" s="3" t="n">
        <x:v>5</x:v>
      </x:c>
      <x:c r="F155" s="3" t="n">
        <x:v>6</x:v>
      </x:c>
      <x:c r="G155" s="3" t="n">
        <x:v>40</x:v>
      </x:c>
      <x:c r="H155" s="9" t="n">
        <x:v>-0.48754</x:v>
      </x:c>
      <x:c r="I155" s="9" t="n">
        <x:v>-0.851201</x:v>
      </x:c>
      <x:c r="J155" s="9" t="n">
        <x:v>0.83987593</x:v>
      </x:c>
      <x:c r="K155" s="9" t="n">
        <x:v>33.595037</x:v>
      </x:c>
      <x:c r="L155" s="3" t="n">
        <x:v>0</x:v>
      </x:c>
      <x:c r="M155" s="3" t="n">
        <x:v>1</x:v>
      </x:c>
      <x:c r="N155" s="3" t="n">
        <x:v>1</x:v>
      </x:c>
    </x:row>
    <x:row r="156" ht="21" customHeight="1">
      <x:c r="A156" s="3" t="n">
        <x:v>16</x:v>
      </x:c>
      <x:c r="B156" s="3" t="n">
        <x:v>5</x:v>
      </x:c>
      <x:c r="C156" s="3" t="n">
        <x:v>5</x:v>
      </x:c>
      <x:c r="D156" s="3" t="n">
        <x:v>4</x:v>
      </x:c>
      <x:c r="E156" s="3" t="n">
        <x:v>3</x:v>
      </x:c>
      <x:c r="F156" s="3" t="n">
        <x:v>4</x:v>
      </x:c>
      <x:c r="G156" s="3" t="n">
        <x:v>53</x:v>
      </x:c>
      <x:c r="H156" s="9" t="n">
        <x:v>-0.48754</x:v>
      </x:c>
      <x:c r="I156" s="9" t="n">
        <x:v>-0.509656</x:v>
      </x:c>
      <x:c r="J156" s="9" t="n">
        <x:v>0.8690569</x:v>
      </x:c>
      <x:c r="K156" s="9" t="n">
        <x:v>46.060016</x:v>
      </x:c>
      <x:c r="L156" s="3" t="n">
        <x:v>0</x:v>
      </x:c>
      <x:c r="M156" s="3" t="n">
        <x:v>1</x:v>
      </x:c>
      <x:c r="N156" s="3" t="n">
        <x:v>1</x:v>
      </x:c>
    </x:row>
    <x:row r="157" ht="21" customHeight="1">
      <x:c r="A157" s="3" t="n">
        <x:v>16</x:v>
      </x:c>
      <x:c r="B157" s="3" t="n">
        <x:v>6</x:v>
      </x:c>
      <x:c r="C157" s="3" t="n">
        <x:v>6</x:v>
      </x:c>
      <x:c r="D157" s="3" t="n">
        <x:v>1</x:v>
      </x:c>
      <x:c r="E157" s="3" t="n">
        <x:v>1</x:v>
      </x:c>
      <x:c r="F157" s="3" t="n">
        <x:v>4</x:v>
      </x:c>
      <x:c r="G157" s="3" t="n">
        <x:v>80</x:v>
      </x:c>
      <x:c r="H157" s="9" t="n">
        <x:v>-0.48754</x:v>
      </x:c>
      <x:c r="I157" s="9" t="n">
        <x:v>-0.070305</x:v>
      </x:c>
      <x:c r="J157" s="9" t="n">
        <x:v>0.90809024</x:v>
      </x:c>
      <x:c r="K157" s="9" t="n">
        <x:v>72.647219</x:v>
      </x:c>
      <x:c r="L157" s="3" t="n">
        <x:v>0</x:v>
      </x:c>
      <x:c r="M157" s="3" t="n">
        <x:v>1</x:v>
      </x:c>
      <x:c r="N157" s="3" t="n">
        <x:v>1</x:v>
      </x:c>
    </x:row>
    <x:row r="158" ht="21" customHeight="1">
      <x:c r="A158" s="3" t="n">
        <x:v>16</x:v>
      </x:c>
      <x:c r="B158" s="3" t="n">
        <x:v>7</x:v>
      </x:c>
      <x:c r="C158" s="3" t="n">
        <x:v>7</x:v>
      </x:c>
      <x:c r="D158" s="3" t="n">
        <x:v>7</x:v>
      </x:c>
      <x:c r="E158" s="3" t="n">
        <x:v>8</x:v>
      </x:c>
      <x:c r="F158" s="3" t="n">
        <x:v>7</x:v>
      </x:c>
      <x:c r="G158" s="3" t="n">
        <x:v>57</x:v>
      </x:c>
      <x:c r="H158" s="9" t="n">
        <x:v>-0.48754</x:v>
      </x:c>
      <x:c r="I158" s="9" t="n">
        <x:v>2.623478</x:v>
      </x:c>
      <x:c r="J158" s="9" t="n">
        <x:v>1.18882656</x:v>
      </x:c>
      <x:c r="K158" s="9" t="n">
        <x:v>67.763114</x:v>
      </x:c>
      <x:c r="L158" s="3" t="n">
        <x:v>0</x:v>
      </x:c>
      <x:c r="M158" s="3" t="n">
        <x:v>1</x:v>
      </x:c>
      <x:c r="N158" s="3" t="n">
        <x:v>1</x:v>
      </x:c>
    </x:row>
    <x:row r="159" ht="21" customHeight="1">
      <x:c r="A159" s="3" t="n">
        <x:v>16</x:v>
      </x:c>
      <x:c r="B159" s="3" t="n">
        <x:v>8</x:v>
      </x:c>
      <x:c r="C159" s="3" t="n">
        <x:v>8</x:v>
      </x:c>
      <x:c r="D159" s="3" t="n">
        <x:v>3</x:v>
      </x:c>
      <x:c r="E159" s="3" t="n">
        <x:v>8</x:v>
      </x:c>
      <x:c r="F159" s="3" t="n">
        <x:v>2</x:v>
      </x:c>
      <x:c r="G159" s="3" t="n">
        <x:v>72</x:v>
      </x:c>
      <x:c r="H159" s="9" t="n">
        <x:v>-0.48754</x:v>
      </x:c>
      <x:c r="I159" s="9" t="n">
        <x:v>0.212573</x:v>
      </x:c>
      <x:c r="J159" s="9" t="n">
        <x:v>0.9341449</x:v>
      </x:c>
      <x:c r="K159" s="9" t="n">
        <x:v>67.258433</x:v>
      </x:c>
      <x:c r="L159" s="3" t="n">
        <x:v>0</x:v>
      </x:c>
      <x:c r="M159" s="3" t="n">
        <x:v>1</x:v>
      </x:c>
      <x:c r="N159" s="3" t="n">
        <x:v>1</x:v>
      </x:c>
    </x:row>
    <x:row r="160" ht="21" customHeight="1">
      <x:c r="A160" s="3" t="n">
        <x:v>16</x:v>
      </x:c>
      <x:c r="B160" s="3" t="n">
        <x:v>9</x:v>
      </x:c>
      <x:c r="C160" s="3" t="n">
        <x:v>9</x:v>
      </x:c>
      <x:c r="D160" s="3" t="n">
        <x:v>6</x:v>
      </x:c>
      <x:c r="E160" s="3" t="n">
        <x:v>10</x:v>
      </x:c>
      <x:c r="F160" s="3" t="n">
        <x:v>7</x:v>
      </x:c>
      <x:c r="G160" s="3" t="n">
        <x:v>57</x:v>
      </x:c>
      <x:c r="H160" s="9" t="n">
        <x:v>-0.48754</x:v>
      </x:c>
      <x:c r="I160" s="9" t="n">
        <x:v>0.756332</x:v>
      </x:c>
      <x:c r="J160" s="9" t="n">
        <x:v>0.98634621</x:v>
      </x:c>
      <x:c r="K160" s="9" t="n">
        <x:v>56.221734</x:v>
      </x:c>
      <x:c r="L160" s="3" t="n">
        <x:v>0</x:v>
      </x:c>
      <x:c r="M160" s="3" t="n">
        <x:v>1</x:v>
      </x:c>
      <x:c r="N160" s="3" t="n">
        <x:v>1</x:v>
      </x:c>
    </x:row>
    <x:row r="161" ht="21" customHeight="1">
      <x:c r="A161" s="3" t="n">
        <x:v>16</x:v>
      </x:c>
      <x:c r="B161" s="3" t="n">
        <x:v>10</x:v>
      </x:c>
      <x:c r="C161" s="3" t="n">
        <x:v>10</x:v>
      </x:c>
      <x:c r="D161" s="3" t="n">
        <x:v>6</x:v>
      </x:c>
      <x:c r="E161" s="3" t="n">
        <x:v>7</x:v>
      </x:c>
      <x:c r="F161" s="3" t="n">
        <x:v>9</x:v>
      </x:c>
      <x:c r="G161" s="3" t="n">
        <x:v>73</x:v>
      </x:c>
      <x:c r="H161" s="9" t="n">
        <x:v>-0.48754</x:v>
      </x:c>
      <x:c r="I161" s="9" t="n">
        <x:v>-0.165881</x:v>
      </x:c>
      <x:c r="J161" s="9" t="n">
        <x:v>0.89945239</x:v>
      </x:c>
      <x:c r="K161" s="9" t="n">
        <x:v>65.660024</x:v>
      </x:c>
      <x:c r="L161" s="3" t="n">
        <x:v>0</x:v>
      </x:c>
      <x:c r="M161" s="3" t="n">
        <x:v>1</x:v>
      </x:c>
      <x:c r="N161" s="3" t="n">
        <x:v>1</x:v>
      </x:c>
    </x:row>
    <x:row r="162" ht="21" customHeight="1">
      <x:c r="A162" s="3" t="n">
        <x:v>17</x:v>
      </x:c>
      <x:c r="B162" s="3" t="n">
        <x:v>1</x:v>
      </x:c>
      <x:c r="C162" s="3" t="n">
        <x:v>1</x:v>
      </x:c>
      <x:c r="D162" s="3" t="n">
        <x:v>5</x:v>
      </x:c>
      <x:c r="E162" s="3" t="n">
        <x:v>10</x:v>
      </x:c>
      <x:c r="F162" s="3" t="n">
        <x:v>6</x:v>
      </x:c>
      <x:c r="G162" s="3" t="n">
        <x:v>71</x:v>
      </x:c>
      <x:c r="H162" s="9" t="n">
        <x:v>1.256967</x:v>
      </x:c>
      <x:c r="I162" s="9" t="n">
        <x:v>-2.207301</x:v>
      </x:c>
      <x:c r="J162" s="9" t="n">
        <x:v>0.95271912</x:v>
      </x:c>
      <x:c r="K162" s="9" t="n">
        <x:v>67.643057</x:v>
      </x:c>
      <x:c r="L162" s="3" t="n">
        <x:v>0</x:v>
      </x:c>
      <x:c r="M162" s="3" t="n">
        <x:v>1</x:v>
      </x:c>
      <x:c r="N162" s="3" t="n">
        <x:v>1</x:v>
      </x:c>
    </x:row>
    <x:row r="163" ht="21" customHeight="1">
      <x:c r="A163" s="3" t="n">
        <x:v>17</x:v>
      </x:c>
      <x:c r="B163" s="3" t="n">
        <x:v>2</x:v>
      </x:c>
      <x:c r="C163" s="3" t="n">
        <x:v>2</x:v>
      </x:c>
      <x:c r="D163" s="3" t="n">
        <x:v>2</x:v>
      </x:c>
      <x:c r="E163" s="3" t="n">
        <x:v>5</x:v>
      </x:c>
      <x:c r="F163" s="3" t="n">
        <x:v>8</x:v>
      </x:c>
      <x:c r="G163" s="3" t="n">
        <x:v>32</x:v>
      </x:c>
      <x:c r="H163" s="9" t="n">
        <x:v>1.256967</x:v>
      </x:c>
      <x:c r="I163" s="9" t="n">
        <x:v>0.405024</x:v>
      </x:c>
      <x:c r="J163" s="9" t="n">
        <x:v>1.23713403</x:v>
      </x:c>
      <x:c r="K163" s="9" t="n">
        <x:v>39.588289</x:v>
      </x:c>
      <x:c r="L163" s="3" t="n">
        <x:v>0</x:v>
      </x:c>
      <x:c r="M163" s="3" t="n">
        <x:v>1</x:v>
      </x:c>
      <x:c r="N163" s="3" t="n">
        <x:v>1</x:v>
      </x:c>
    </x:row>
    <x:row r="164" ht="21" customHeight="1">
      <x:c r="A164" s="3" t="n">
        <x:v>17</x:v>
      </x:c>
      <x:c r="B164" s="3" t="n">
        <x:v>3</x:v>
      </x:c>
      <x:c r="C164" s="3" t="n">
        <x:v>3</x:v>
      </x:c>
      <x:c r="D164" s="3" t="n">
        <x:v>8</x:v>
      </x:c>
      <x:c r="E164" s="3" t="n">
        <x:v>9</x:v>
      </x:c>
      <x:c r="F164" s="3" t="n">
        <x:v>6</x:v>
      </x:c>
      <x:c r="G164" s="3" t="n">
        <x:v>78</x:v>
      </x:c>
      <x:c r="H164" s="9" t="n">
        <x:v>1.256967</x:v>
      </x:c>
      <x:c r="I164" s="9" t="n">
        <x:v>0.704734</x:v>
      </x:c>
      <x:c r="J164" s="9" t="n">
        <x:v>1.27477332</x:v>
      </x:c>
      <x:c r="K164" s="9" t="n">
        <x:v>99.432319</x:v>
      </x:c>
      <x:c r="L164" s="3" t="n">
        <x:v>0</x:v>
      </x:c>
      <x:c r="M164" s="3" t="n">
        <x:v>1</x:v>
      </x:c>
      <x:c r="N164" s="3" t="n">
        <x:v>1</x:v>
      </x:c>
    </x:row>
    <x:row r="165" ht="21" customHeight="1">
      <x:c r="A165" s="3" t="n">
        <x:v>17</x:v>
      </x:c>
      <x:c r="B165" s="3" t="n">
        <x:v>4</x:v>
      </x:c>
      <x:c r="C165" s="3" t="n">
        <x:v>4</x:v>
      </x:c>
      <x:c r="D165" s="3" t="n">
        <x:v>1</x:v>
      </x:c>
      <x:c r="E165" s="3" t="n">
        <x:v>5</x:v>
      </x:c>
      <x:c r="F165" s="3" t="n">
        <x:v>6</x:v>
      </x:c>
      <x:c r="G165" s="3" t="n">
        <x:v>40</x:v>
      </x:c>
      <x:c r="H165" s="9" t="n">
        <x:v>1.256967</x:v>
      </x:c>
      <x:c r="I165" s="9" t="n">
        <x:v>-0.719866</x:v>
      </x:c>
      <x:c r="J165" s="9" t="n">
        <x:v>1.10551175</x:v>
      </x:c>
      <x:c r="K165" s="9" t="n">
        <x:v>44.22047</x:v>
      </x:c>
      <x:c r="L165" s="3" t="n">
        <x:v>0</x:v>
      </x:c>
      <x:c r="M165" s="3" t="n">
        <x:v>1</x:v>
      </x:c>
      <x:c r="N165" s="3" t="n">
        <x:v>1</x:v>
      </x:c>
    </x:row>
    <x:row r="166" ht="21" customHeight="1">
      <x:c r="A166" s="3" t="n">
        <x:v>17</x:v>
      </x:c>
      <x:c r="B166" s="3" t="n">
        <x:v>5</x:v>
      </x:c>
      <x:c r="C166" s="3" t="n">
        <x:v>5</x:v>
      </x:c>
      <x:c r="D166" s="3" t="n">
        <x:v>4</x:v>
      </x:c>
      <x:c r="E166" s="3" t="n">
        <x:v>3</x:v>
      </x:c>
      <x:c r="F166" s="3" t="n">
        <x:v>4</x:v>
      </x:c>
      <x:c r="G166" s="3" t="n">
        <x:v>53</x:v>
      </x:c>
      <x:c r="H166" s="9" t="n">
        <x:v>1.256967</x:v>
      </x:c>
      <x:c r="I166" s="9" t="n">
        <x:v>0.068342</x:v>
      </x:c>
      <x:c r="J166" s="9" t="n">
        <x:v>1.19617527</x:v>
      </x:c>
      <x:c r="K166" s="9" t="n">
        <x:v>63.39729</x:v>
      </x:c>
      <x:c r="L166" s="3" t="n">
        <x:v>0</x:v>
      </x:c>
      <x:c r="M166" s="3" t="n">
        <x:v>1</x:v>
      </x:c>
      <x:c r="N166" s="3" t="n">
        <x:v>1</x:v>
      </x:c>
    </x:row>
    <x:row r="167" ht="21" customHeight="1">
      <x:c r="A167" s="3" t="n">
        <x:v>17</x:v>
      </x:c>
      <x:c r="B167" s="3" t="n">
        <x:v>6</x:v>
      </x:c>
      <x:c r="C167" s="3" t="n">
        <x:v>6</x:v>
      </x:c>
      <x:c r="D167" s="3" t="n">
        <x:v>1</x:v>
      </x:c>
      <x:c r="E167" s="3" t="n">
        <x:v>1</x:v>
      </x:c>
      <x:c r="F167" s="3" t="n">
        <x:v>4</x:v>
      </x:c>
      <x:c r="G167" s="3" t="n">
        <x:v>80</x:v>
      </x:c>
      <x:c r="H167" s="9" t="n">
        <x:v>1.256967</x:v>
      </x:c>
      <x:c r="I167" s="9" t="n">
        <x:v>0.420914</x:v>
      </x:c>
      <x:c r="J167" s="9" t="n">
        <x:v>1.23910137</x:v>
      </x:c>
      <x:c r="K167" s="9" t="n">
        <x:v>99.12811</x:v>
      </x:c>
      <x:c r="L167" s="3" t="n">
        <x:v>0</x:v>
      </x:c>
      <x:c r="M167" s="3" t="n">
        <x:v>1</x:v>
      </x:c>
      <x:c r="N167" s="3" t="n">
        <x:v>1</x:v>
      </x:c>
    </x:row>
    <x:row r="168" ht="21" customHeight="1">
      <x:c r="A168" s="3" t="n">
        <x:v>17</x:v>
      </x:c>
      <x:c r="B168" s="3" t="n">
        <x:v>7</x:v>
      </x:c>
      <x:c r="C168" s="3" t="n">
        <x:v>7</x:v>
      </x:c>
      <x:c r="D168" s="3" t="n">
        <x:v>7</x:v>
      </x:c>
      <x:c r="E168" s="3" t="n">
        <x:v>8</x:v>
      </x:c>
      <x:c r="F168" s="3" t="n">
        <x:v>7</x:v>
      </x:c>
      <x:c r="G168" s="3" t="n">
        <x:v>57</x:v>
      </x:c>
      <x:c r="H168" s="9" t="n">
        <x:v>1.256967</x:v>
      </x:c>
      <x:c r="I168" s="9" t="n">
        <x:v>0.320922</x:v>
      </x:c>
      <x:c r="J168" s="9" t="n">
        <x:v>1.2267731</x:v>
      </x:c>
      <x:c r="K168" s="9" t="n">
        <x:v>69.926067</x:v>
      </x:c>
      <x:c r="L168" s="3" t="n">
        <x:v>0</x:v>
      </x:c>
      <x:c r="M168" s="3" t="n">
        <x:v>1</x:v>
      </x:c>
      <x:c r="N168" s="3" t="n">
        <x:v>1</x:v>
      </x:c>
    </x:row>
    <x:row r="169" ht="21" customHeight="1">
      <x:c r="A169" s="3" t="n">
        <x:v>17</x:v>
      </x:c>
      <x:c r="B169" s="3" t="n">
        <x:v>8</x:v>
      </x:c>
      <x:c r="C169" s="3" t="n">
        <x:v>8</x:v>
      </x:c>
      <x:c r="D169" s="3" t="n">
        <x:v>3</x:v>
      </x:c>
      <x:c r="E169" s="3" t="n">
        <x:v>8</x:v>
      </x:c>
      <x:c r="F169" s="3" t="n">
        <x:v>2</x:v>
      </x:c>
      <x:c r="G169" s="3" t="n">
        <x:v>72</x:v>
      </x:c>
      <x:c r="H169" s="9" t="n">
        <x:v>1.256967</x:v>
      </x:c>
      <x:c r="I169" s="9" t="n">
        <x:v>-1.124843</x:v>
      </x:c>
      <x:c r="J169" s="9" t="n">
        <x:v>1.06163552</x:v>
      </x:c>
      <x:c r="K169" s="9" t="n">
        <x:v>76.437757</x:v>
      </x:c>
      <x:c r="L169" s="3" t="n">
        <x:v>0</x:v>
      </x:c>
      <x:c r="M169" s="3" t="n">
        <x:v>1</x:v>
      </x:c>
      <x:c r="N169" s="3" t="n">
        <x:v>1</x:v>
      </x:c>
    </x:row>
    <x:row r="170" ht="21" customHeight="1">
      <x:c r="A170" s="3" t="n">
        <x:v>17</x:v>
      </x:c>
      <x:c r="B170" s="3" t="n">
        <x:v>9</x:v>
      </x:c>
      <x:c r="C170" s="3" t="n">
        <x:v>9</x:v>
      </x:c>
      <x:c r="D170" s="3" t="n">
        <x:v>6</x:v>
      </x:c>
      <x:c r="E170" s="3" t="n">
        <x:v>10</x:v>
      </x:c>
      <x:c r="F170" s="3" t="n">
        <x:v>7</x:v>
      </x:c>
      <x:c r="G170" s="3" t="n">
        <x:v>57</x:v>
      </x:c>
      <x:c r="H170" s="9" t="n">
        <x:v>1.256967</x:v>
      </x:c>
      <x:c r="I170" s="9" t="n">
        <x:v>0.660758</x:v>
      </x:c>
      <x:c r="J170" s="9" t="n">
        <x:v>1.2691797</x:v>
      </x:c>
      <x:c r="K170" s="9" t="n">
        <x:v>72.343243</x:v>
      </x:c>
      <x:c r="L170" s="3" t="n">
        <x:v>0</x:v>
      </x:c>
      <x:c r="M170" s="3" t="n">
        <x:v>1</x:v>
      </x:c>
      <x:c r="N170" s="3" t="n">
        <x:v>1</x:v>
      </x:c>
    </x:row>
    <x:row r="171" ht="21" customHeight="1">
      <x:c r="A171" s="3" t="n">
        <x:v>17</x:v>
      </x:c>
      <x:c r="B171" s="3" t="n">
        <x:v>10</x:v>
      </x:c>
      <x:c r="C171" s="3" t="n">
        <x:v>10</x:v>
      </x:c>
      <x:c r="D171" s="3" t="n">
        <x:v>6</x:v>
      </x:c>
      <x:c r="E171" s="3" t="n">
        <x:v>7</x:v>
      </x:c>
      <x:c r="F171" s="3" t="n">
        <x:v>9</x:v>
      </x:c>
      <x:c r="G171" s="3" t="n">
        <x:v>73</x:v>
      </x:c>
      <x:c r="H171" s="9" t="n">
        <x:v>1.256967</x:v>
      </x:c>
      <x:c r="I171" s="9" t="n">
        <x:v>0.849553</x:v>
      </x:c>
      <x:c r="J171" s="9" t="n">
        <x:v>1.29336885</x:v>
      </x:c>
      <x:c r="K171" s="9" t="n">
        <x:v>94.415926</x:v>
      </x:c>
      <x:c r="L171" s="3" t="n">
        <x:v>0</x:v>
      </x:c>
      <x:c r="M171" s="3" t="n">
        <x:v>1</x:v>
      </x:c>
      <x:c r="N171" s="3" t="n">
        <x:v>1</x:v>
      </x:c>
    </x:row>
    <x:row r="172" ht="21" customHeight="1">
      <x:c r="A172" s="3" t="n">
        <x:v>18</x:v>
      </x:c>
      <x:c r="B172" s="3" t="n">
        <x:v>1</x:v>
      </x:c>
      <x:c r="C172" s="3" t="n">
        <x:v>1</x:v>
      </x:c>
      <x:c r="D172" s="3" t="n">
        <x:v>5</x:v>
      </x:c>
      <x:c r="E172" s="3" t="n">
        <x:v>10</x:v>
      </x:c>
      <x:c r="F172" s="3" t="n">
        <x:v>6</x:v>
      </x:c>
      <x:c r="G172" s="3" t="n">
        <x:v>71</x:v>
      </x:c>
      <x:c r="H172" s="9" t="n">
        <x:v>-1.289568</x:v>
      </x:c>
      <x:c r="I172" s="9" t="n">
        <x:v>-1.204419</x:v>
      </x:c>
      <x:c r="J172" s="9" t="n">
        <x:v>0.71883234</x:v>
      </x:c>
      <x:c r="K172" s="9" t="n">
        <x:v>51.037096</x:v>
      </x:c>
      <x:c r="L172" s="3" t="n">
        <x:v>0</x:v>
      </x:c>
      <x:c r="M172" s="3" t="n">
        <x:v>1</x:v>
      </x:c>
      <x:c r="N172" s="3" t="n">
        <x:v>1</x:v>
      </x:c>
    </x:row>
    <x:row r="173" ht="21" customHeight="1">
      <x:c r="A173" s="3" t="n">
        <x:v>18</x:v>
      </x:c>
      <x:c r="B173" s="3" t="n">
        <x:v>2</x:v>
      </x:c>
      <x:c r="C173" s="3" t="n">
        <x:v>2</x:v>
      </x:c>
      <x:c r="D173" s="3" t="n">
        <x:v>2</x:v>
      </x:c>
      <x:c r="E173" s="3" t="n">
        <x:v>5</x:v>
      </x:c>
      <x:c r="F173" s="3" t="n">
        <x:v>8</x:v>
      </x:c>
      <x:c r="G173" s="3" t="n">
        <x:v>32</x:v>
      </x:c>
      <x:c r="H173" s="9" t="n">
        <x:v>-1.289568</x:v>
      </x:c>
      <x:c r="I173" s="9" t="n">
        <x:v>1.048681</x:v>
      </x:c>
      <x:c r="J173" s="9" t="n">
        <x:v>0.90048922</x:v>
      </x:c>
      <x:c r="K173" s="9" t="n">
        <x:v>28.815655</x:v>
      </x:c>
      <x:c r="L173" s="3" t="n">
        <x:v>0</x:v>
      </x:c>
      <x:c r="M173" s="3" t="n">
        <x:v>1</x:v>
      </x:c>
      <x:c r="N173" s="3" t="n">
        <x:v>1</x:v>
      </x:c>
    </x:row>
    <x:row r="174" ht="21" customHeight="1">
      <x:c r="A174" s="3" t="n">
        <x:v>18</x:v>
      </x:c>
      <x:c r="B174" s="3" t="n">
        <x:v>3</x:v>
      </x:c>
      <x:c r="C174" s="3" t="n">
        <x:v>3</x:v>
      </x:c>
      <x:c r="D174" s="3" t="n">
        <x:v>8</x:v>
      </x:c>
      <x:c r="E174" s="3" t="n">
        <x:v>9</x:v>
      </x:c>
      <x:c r="F174" s="3" t="n">
        <x:v>6</x:v>
      </x:c>
      <x:c r="G174" s="3" t="n">
        <x:v>78</x:v>
      </x:c>
      <x:c r="H174" s="9" t="n">
        <x:v>-1.289568</x:v>
      </x:c>
      <x:c r="I174" s="9" t="n">
        <x:v>-0.17301</x:v>
      </x:c>
      <x:c r="J174" s="9" t="n">
        <x:v>0.79693176</x:v>
      </x:c>
      <x:c r="K174" s="9" t="n">
        <x:v>62.160677</x:v>
      </x:c>
      <x:c r="L174" s="3" t="n">
        <x:v>0</x:v>
      </x:c>
      <x:c r="M174" s="3" t="n">
        <x:v>1</x:v>
      </x:c>
      <x:c r="N174" s="3" t="n">
        <x:v>1</x:v>
      </x:c>
    </x:row>
    <x:row r="175" ht="21" customHeight="1">
      <x:c r="A175" s="3" t="n">
        <x:v>18</x:v>
      </x:c>
      <x:c r="B175" s="3" t="n">
        <x:v>4</x:v>
      </x:c>
      <x:c r="C175" s="3" t="n">
        <x:v>4</x:v>
      </x:c>
      <x:c r="D175" s="3" t="n">
        <x:v>1</x:v>
      </x:c>
      <x:c r="E175" s="3" t="n">
        <x:v>5</x:v>
      </x:c>
      <x:c r="F175" s="3" t="n">
        <x:v>6</x:v>
      </x:c>
      <x:c r="G175" s="3" t="n">
        <x:v>40</x:v>
      </x:c>
      <x:c r="H175" s="9" t="n">
        <x:v>-1.289568</x:v>
      </x:c>
      <x:c r="I175" s="9" t="n">
        <x:v>0.083862</x:v>
      </x:c>
      <x:c r="J175" s="9" t="n">
        <x:v>0.81766795</x:v>
      </x:c>
      <x:c r="K175" s="9" t="n">
        <x:v>32.706718</x:v>
      </x:c>
      <x:c r="L175" s="3" t="n">
        <x:v>0</x:v>
      </x:c>
      <x:c r="M175" s="3" t="n">
        <x:v>1</x:v>
      </x:c>
      <x:c r="N175" s="3" t="n">
        <x:v>1</x:v>
      </x:c>
    </x:row>
    <x:row r="176" ht="21" customHeight="1">
      <x:c r="A176" s="3" t="n">
        <x:v>18</x:v>
      </x:c>
      <x:c r="B176" s="3" t="n">
        <x:v>5</x:v>
      </x:c>
      <x:c r="C176" s="3" t="n">
        <x:v>5</x:v>
      </x:c>
      <x:c r="D176" s="3" t="n">
        <x:v>4</x:v>
      </x:c>
      <x:c r="E176" s="3" t="n">
        <x:v>3</x:v>
      </x:c>
      <x:c r="F176" s="3" t="n">
        <x:v>4</x:v>
      </x:c>
      <x:c r="G176" s="3" t="n">
        <x:v>53</x:v>
      </x:c>
      <x:c r="H176" s="9" t="n">
        <x:v>-1.289568</x:v>
      </x:c>
      <x:c r="I176" s="9" t="n">
        <x:v>-0.692426</x:v>
      </x:c>
      <x:c r="J176" s="9" t="n">
        <x:v>0.75659451</x:v>
      </x:c>
      <x:c r="K176" s="9" t="n">
        <x:v>40.099509</x:v>
      </x:c>
      <x:c r="L176" s="3" t="n">
        <x:v>0</x:v>
      </x:c>
      <x:c r="M176" s="3" t="n">
        <x:v>1</x:v>
      </x:c>
      <x:c r="N176" s="3" t="n">
        <x:v>1</x:v>
      </x:c>
    </x:row>
    <x:row r="177" ht="21" customHeight="1">
      <x:c r="A177" s="3" t="n">
        <x:v>18</x:v>
      </x:c>
      <x:c r="B177" s="3" t="n">
        <x:v>6</x:v>
      </x:c>
      <x:c r="C177" s="3" t="n">
        <x:v>6</x:v>
      </x:c>
      <x:c r="D177" s="3" t="n">
        <x:v>1</x:v>
      </x:c>
      <x:c r="E177" s="3" t="n">
        <x:v>1</x:v>
      </x:c>
      <x:c r="F177" s="3" t="n">
        <x:v>4</x:v>
      </x:c>
      <x:c r="G177" s="3" t="n">
        <x:v>80</x:v>
      </x:c>
      <x:c r="H177" s="9" t="n">
        <x:v>-1.289568</x:v>
      </x:c>
      <x:c r="I177" s="9" t="n">
        <x:v>2.068105</x:v>
      </x:c>
      <x:c r="J177" s="9" t="n">
        <x:v>0.99712938</x:v>
      </x:c>
      <x:c r="K177" s="9" t="n">
        <x:v>79.77035</x:v>
      </x:c>
      <x:c r="L177" s="3" t="n">
        <x:v>0</x:v>
      </x:c>
      <x:c r="M177" s="3" t="n">
        <x:v>1</x:v>
      </x:c>
      <x:c r="N177" s="3" t="n">
        <x:v>1</x:v>
      </x:c>
    </x:row>
    <x:row r="178" ht="21" customHeight="1">
      <x:c r="A178" s="3" t="n">
        <x:v>18</x:v>
      </x:c>
      <x:c r="B178" s="3" t="n">
        <x:v>7</x:v>
      </x:c>
      <x:c r="C178" s="3" t="n">
        <x:v>7</x:v>
      </x:c>
      <x:c r="D178" s="3" t="n">
        <x:v>7</x:v>
      </x:c>
      <x:c r="E178" s="3" t="n">
        <x:v>8</x:v>
      </x:c>
      <x:c r="F178" s="3" t="n">
        <x:v>7</x:v>
      </x:c>
      <x:c r="G178" s="3" t="n">
        <x:v>57</x:v>
      </x:c>
      <x:c r="H178" s="9" t="n">
        <x:v>-1.289568</x:v>
      </x:c>
      <x:c r="I178" s="9" t="n">
        <x:v>0.456873</x:v>
      </x:c>
      <x:c r="J178" s="9" t="n">
        <x:v>0.84874384</x:v>
      </x:c>
      <x:c r="K178" s="9" t="n">
        <x:v>48.378399</x:v>
      </x:c>
      <x:c r="L178" s="3" t="n">
        <x:v>0</x:v>
      </x:c>
      <x:c r="M178" s="3" t="n">
        <x:v>1</x:v>
      </x:c>
      <x:c r="N178" s="3" t="n">
        <x:v>1</x:v>
      </x:c>
    </x:row>
    <x:row r="179" ht="21" customHeight="1">
      <x:c r="A179" s="3" t="n">
        <x:v>18</x:v>
      </x:c>
      <x:c r="B179" s="3" t="n">
        <x:v>8</x:v>
      </x:c>
      <x:c r="C179" s="3" t="n">
        <x:v>8</x:v>
      </x:c>
      <x:c r="D179" s="3" t="n">
        <x:v>3</x:v>
      </x:c>
      <x:c r="E179" s="3" t="n">
        <x:v>8</x:v>
      </x:c>
      <x:c r="F179" s="3" t="n">
        <x:v>2</x:v>
      </x:c>
      <x:c r="G179" s="3" t="n">
        <x:v>72</x:v>
      </x:c>
      <x:c r="H179" s="9" t="n">
        <x:v>-1.289568</x:v>
      </x:c>
      <x:c r="I179" s="9" t="n">
        <x:v>-0.191925</x:v>
      </x:c>
      <x:c r="J179" s="9" t="n">
        <x:v>0.79542584</x:v>
      </x:c>
      <x:c r="K179" s="9" t="n">
        <x:v>57.270661</x:v>
      </x:c>
      <x:c r="L179" s="3" t="n">
        <x:v>0</x:v>
      </x:c>
      <x:c r="M179" s="3" t="n">
        <x:v>1</x:v>
      </x:c>
      <x:c r="N179" s="3" t="n">
        <x:v>1</x:v>
      </x:c>
    </x:row>
    <x:row r="180" ht="21" customHeight="1">
      <x:c r="A180" s="3" t="n">
        <x:v>18</x:v>
      </x:c>
      <x:c r="B180" s="3" t="n">
        <x:v>9</x:v>
      </x:c>
      <x:c r="C180" s="3" t="n">
        <x:v>9</x:v>
      </x:c>
      <x:c r="D180" s="3" t="n">
        <x:v>6</x:v>
      </x:c>
      <x:c r="E180" s="3" t="n">
        <x:v>10</x:v>
      </x:c>
      <x:c r="F180" s="3" t="n">
        <x:v>7</x:v>
      </x:c>
      <x:c r="G180" s="3" t="n">
        <x:v>57</x:v>
      </x:c>
      <x:c r="H180" s="9" t="n">
        <x:v>-1.289568</x:v>
      </x:c>
      <x:c r="I180" s="9" t="n">
        <x:v>-0.177116</x:v>
      </x:c>
      <x:c r="J180" s="9" t="n">
        <x:v>0.79660463</x:v>
      </x:c>
      <x:c r="K180" s="9" t="n">
        <x:v>45.406464</x:v>
      </x:c>
      <x:c r="L180" s="3" t="n">
        <x:v>0</x:v>
      </x:c>
      <x:c r="M180" s="3" t="n">
        <x:v>1</x:v>
      </x:c>
      <x:c r="N180" s="3" t="n">
        <x:v>1</x:v>
      </x:c>
    </x:row>
    <x:row r="181" ht="21" customHeight="1">
      <x:c r="A181" s="3" t="n">
        <x:v>18</x:v>
      </x:c>
      <x:c r="B181" s="3" t="n">
        <x:v>10</x:v>
      </x:c>
      <x:c r="C181" s="3" t="n">
        <x:v>10</x:v>
      </x:c>
      <x:c r="D181" s="3" t="n">
        <x:v>6</x:v>
      </x:c>
      <x:c r="E181" s="3" t="n">
        <x:v>7</x:v>
      </x:c>
      <x:c r="F181" s="3" t="n">
        <x:v>9</x:v>
      </x:c>
      <x:c r="G181" s="3" t="n">
        <x:v>73</x:v>
      </x:c>
      <x:c r="H181" s="9" t="n">
        <x:v>-1.289568</x:v>
      </x:c>
      <x:c r="I181" s="9" t="n">
        <x:v>-1.137754</x:v>
      </x:c>
      <x:c r="J181" s="9" t="n">
        <x:v>0.72364046</x:v>
      </x:c>
      <x:c r="K181" s="9" t="n">
        <x:v>52.825754</x:v>
      </x:c>
      <x:c r="L181" s="3" t="n">
        <x:v>0</x:v>
      </x:c>
      <x:c r="M181" s="3" t="n">
        <x:v>1</x:v>
      </x:c>
      <x:c r="N181" s="3" t="n">
        <x:v>1</x:v>
      </x:c>
    </x:row>
    <x:row r="182" ht="21" customHeight="1">
      <x:c r="A182" s="3" t="n">
        <x:v>19</x:v>
      </x:c>
      <x:c r="B182" s="3" t="n">
        <x:v>1</x:v>
      </x:c>
      <x:c r="C182" s="3" t="n">
        <x:v>1</x:v>
      </x:c>
      <x:c r="D182" s="3" t="n">
        <x:v>5</x:v>
      </x:c>
      <x:c r="E182" s="3" t="n">
        <x:v>10</x:v>
      </x:c>
      <x:c r="F182" s="3" t="n">
        <x:v>6</x:v>
      </x:c>
      <x:c r="G182" s="3" t="n">
        <x:v>71</x:v>
      </x:c>
      <x:c r="H182" s="9" t="n">
        <x:v>-0.886487</x:v>
      </x:c>
      <x:c r="I182" s="9" t="n">
        <x:v>-0.895384</x:v>
      </x:c>
      <x:c r="J182" s="9" t="n">
        <x:v>0.78760281</x:v>
      </x:c>
      <x:c r="K182" s="9" t="n">
        <x:v>55.9198</x:v>
      </x:c>
      <x:c r="L182" s="3" t="n">
        <x:v>0</x:v>
      </x:c>
      <x:c r="M182" s="3" t="n">
        <x:v>1</x:v>
      </x:c>
      <x:c r="N182" s="3" t="n">
        <x:v>1</x:v>
      </x:c>
    </x:row>
    <x:row r="183" ht="21" customHeight="1">
      <x:c r="A183" s="3" t="n">
        <x:v>19</x:v>
      </x:c>
      <x:c r="B183" s="3" t="n">
        <x:v>2</x:v>
      </x:c>
      <x:c r="C183" s="3" t="n">
        <x:v>2</x:v>
      </x:c>
      <x:c r="D183" s="3" t="n">
        <x:v>2</x:v>
      </x:c>
      <x:c r="E183" s="3" t="n">
        <x:v>5</x:v>
      </x:c>
      <x:c r="F183" s="3" t="n">
        <x:v>8</x:v>
      </x:c>
      <x:c r="G183" s="3" t="n">
        <x:v>32</x:v>
      </x:c>
      <x:c r="H183" s="9" t="n">
        <x:v>-0.886487</x:v>
      </x:c>
      <x:c r="I183" s="9" t="n">
        <x:v>0.026314</x:v>
      </x:c>
      <x:c r="J183" s="9" t="n">
        <x:v>0.86364662</x:v>
      </x:c>
      <x:c r="K183" s="9" t="n">
        <x:v>27.636692</x:v>
      </x:c>
      <x:c r="L183" s="3" t="n">
        <x:v>0</x:v>
      </x:c>
      <x:c r="M183" s="3" t="n">
        <x:v>1</x:v>
      </x:c>
      <x:c r="N183" s="3" t="n">
        <x:v>1</x:v>
      </x:c>
    </x:row>
    <x:row r="184" ht="21" customHeight="1">
      <x:c r="A184" s="3" t="n">
        <x:v>19</x:v>
      </x:c>
      <x:c r="B184" s="3" t="n">
        <x:v>3</x:v>
      </x:c>
      <x:c r="C184" s="3" t="n">
        <x:v>3</x:v>
      </x:c>
      <x:c r="D184" s="3" t="n">
        <x:v>8</x:v>
      </x:c>
      <x:c r="E184" s="3" t="n">
        <x:v>9</x:v>
      </x:c>
      <x:c r="F184" s="3" t="n">
        <x:v>6</x:v>
      </x:c>
      <x:c r="G184" s="3" t="n">
        <x:v>78</x:v>
      </x:c>
      <x:c r="H184" s="9" t="n">
        <x:v>-0.886487</x:v>
      </x:c>
      <x:c r="I184" s="9" t="n">
        <x:v>0.870373</x:v>
      </x:c>
      <x:c r="J184" s="9" t="n">
        <x:v>0.93970836</x:v>
      </x:c>
      <x:c r="K184" s="9" t="n">
        <x:v>73.297252</x:v>
      </x:c>
      <x:c r="L184" s="3" t="n">
        <x:v>0</x:v>
      </x:c>
      <x:c r="M184" s="3" t="n">
        <x:v>1</x:v>
      </x:c>
      <x:c r="N184" s="3" t="n">
        <x:v>1</x:v>
      </x:c>
    </x:row>
    <x:row r="185" ht="21" customHeight="1">
      <x:c r="A185" s="3" t="n">
        <x:v>19</x:v>
      </x:c>
      <x:c r="B185" s="3" t="n">
        <x:v>4</x:v>
      </x:c>
      <x:c r="C185" s="3" t="n">
        <x:v>4</x:v>
      </x:c>
      <x:c r="D185" s="3" t="n">
        <x:v>1</x:v>
      </x:c>
      <x:c r="E185" s="3" t="n">
        <x:v>5</x:v>
      </x:c>
      <x:c r="F185" s="3" t="n">
        <x:v>6</x:v>
      </x:c>
      <x:c r="G185" s="3" t="n">
        <x:v>40</x:v>
      </x:c>
      <x:c r="H185" s="9" t="n">
        <x:v>-0.886487</x:v>
      </x:c>
      <x:c r="I185" s="9" t="n">
        <x:v>-0.023022</x:v>
      </x:c>
      <x:c r="J185" s="9" t="n">
        <x:v>0.85939622</x:v>
      </x:c>
      <x:c r="K185" s="9" t="n">
        <x:v>34.375849</x:v>
      </x:c>
      <x:c r="L185" s="3" t="n">
        <x:v>0</x:v>
      </x:c>
      <x:c r="M185" s="3" t="n">
        <x:v>1</x:v>
      </x:c>
      <x:c r="N185" s="3" t="n">
        <x:v>1</x:v>
      </x:c>
    </x:row>
    <x:row r="186" ht="21" customHeight="1">
      <x:c r="A186" s="3" t="n">
        <x:v>19</x:v>
      </x:c>
      <x:c r="B186" s="3" t="n">
        <x:v>5</x:v>
      </x:c>
      <x:c r="C186" s="3" t="n">
        <x:v>5</x:v>
      </x:c>
      <x:c r="D186" s="3" t="n">
        <x:v>4</x:v>
      </x:c>
      <x:c r="E186" s="3" t="n">
        <x:v>3</x:v>
      </x:c>
      <x:c r="F186" s="3" t="n">
        <x:v>4</x:v>
      </x:c>
      <x:c r="G186" s="3" t="n">
        <x:v>53</x:v>
      </x:c>
      <x:c r="H186" s="9" t="n">
        <x:v>-0.886487</x:v>
      </x:c>
      <x:c r="I186" s="9" t="n">
        <x:v>0.899109</x:v>
      </x:c>
      <x:c r="J186" s="9" t="n">
        <x:v>0.94241265</x:v>
      </x:c>
      <x:c r="K186" s="9" t="n">
        <x:v>49.947871</x:v>
      </x:c>
      <x:c r="L186" s="3" t="n">
        <x:v>0</x:v>
      </x:c>
      <x:c r="M186" s="3" t="n">
        <x:v>1</x:v>
      </x:c>
      <x:c r="N186" s="3" t="n">
        <x:v>1</x:v>
      </x:c>
    </x:row>
    <x:row r="187" ht="21" customHeight="1">
      <x:c r="A187" s="3" t="n">
        <x:v>19</x:v>
      </x:c>
      <x:c r="B187" s="3" t="n">
        <x:v>6</x:v>
      </x:c>
      <x:c r="C187" s="3" t="n">
        <x:v>6</x:v>
      </x:c>
      <x:c r="D187" s="3" t="n">
        <x:v>1</x:v>
      </x:c>
      <x:c r="E187" s="3" t="n">
        <x:v>1</x:v>
      </x:c>
      <x:c r="F187" s="3" t="n">
        <x:v>4</x:v>
      </x:c>
      <x:c r="G187" s="3" t="n">
        <x:v>80</x:v>
      </x:c>
      <x:c r="H187" s="9" t="n">
        <x:v>-0.886487</x:v>
      </x:c>
      <x:c r="I187" s="9" t="n">
        <x:v>-0.650246</x:v>
      </x:c>
      <x:c r="J187" s="9" t="n">
        <x:v>0.80714853</x:v>
      </x:c>
      <x:c r="K187" s="9" t="n">
        <x:v>64.571883</x:v>
      </x:c>
      <x:c r="L187" s="3" t="n">
        <x:v>0</x:v>
      </x:c>
      <x:c r="M187" s="3" t="n">
        <x:v>1</x:v>
      </x:c>
      <x:c r="N187" s="3" t="n">
        <x:v>1</x:v>
      </x:c>
    </x:row>
    <x:row r="188" ht="21" customHeight="1">
      <x:c r="A188" s="3" t="n">
        <x:v>19</x:v>
      </x:c>
      <x:c r="B188" s="3" t="n">
        <x:v>7</x:v>
      </x:c>
      <x:c r="C188" s="3" t="n">
        <x:v>7</x:v>
      </x:c>
      <x:c r="D188" s="3" t="n">
        <x:v>7</x:v>
      </x:c>
      <x:c r="E188" s="3" t="n">
        <x:v>8</x:v>
      </x:c>
      <x:c r="F188" s="3" t="n">
        <x:v>7</x:v>
      </x:c>
      <x:c r="G188" s="3" t="n">
        <x:v>57</x:v>
      </x:c>
      <x:c r="H188" s="9" t="n">
        <x:v>-0.886487</x:v>
      </x:c>
      <x:c r="I188" s="9" t="n">
        <x:v>0.640605</x:v>
      </x:c>
      <x:c r="J188" s="9" t="n">
        <x:v>0.91836307</x:v>
      </x:c>
      <x:c r="K188" s="9" t="n">
        <x:v>52.346695</x:v>
      </x:c>
      <x:c r="L188" s="3" t="n">
        <x:v>0</x:v>
      </x:c>
      <x:c r="M188" s="3" t="n">
        <x:v>1</x:v>
      </x:c>
      <x:c r="N188" s="3" t="n">
        <x:v>1</x:v>
      </x:c>
    </x:row>
    <x:row r="189" ht="21" customHeight="1">
      <x:c r="A189" s="3" t="n">
        <x:v>19</x:v>
      </x:c>
      <x:c r="B189" s="3" t="n">
        <x:v>8</x:v>
      </x:c>
      <x:c r="C189" s="3" t="n">
        <x:v>8</x:v>
      </x:c>
      <x:c r="D189" s="3" t="n">
        <x:v>3</x:v>
      </x:c>
      <x:c r="E189" s="3" t="n">
        <x:v>8</x:v>
      </x:c>
      <x:c r="F189" s="3" t="n">
        <x:v>2</x:v>
      </x:c>
      <x:c r="G189" s="3" t="n">
        <x:v>72</x:v>
      </x:c>
      <x:c r="H189" s="9" t="n">
        <x:v>-0.886487</x:v>
      </x:c>
      <x:c r="I189" s="9" t="n">
        <x:v>-0.371814</x:v>
      </x:c>
      <x:c r="J189" s="9" t="n">
        <x:v>0.8299379</x:v>
      </x:c>
      <x:c r="K189" s="9" t="n">
        <x:v>59.755529</x:v>
      </x:c>
      <x:c r="L189" s="3" t="n">
        <x:v>0</x:v>
      </x:c>
      <x:c r="M189" s="3" t="n">
        <x:v>1</x:v>
      </x:c>
      <x:c r="N189" s="3" t="n">
        <x:v>1</x:v>
      </x:c>
    </x:row>
    <x:row r="190" ht="21" customHeight="1">
      <x:c r="A190" s="3" t="n">
        <x:v>19</x:v>
      </x:c>
      <x:c r="B190" s="3" t="n">
        <x:v>9</x:v>
      </x:c>
      <x:c r="C190" s="3" t="n">
        <x:v>9</x:v>
      </x:c>
      <x:c r="D190" s="3" t="n">
        <x:v>6</x:v>
      </x:c>
      <x:c r="E190" s="3" t="n">
        <x:v>10</x:v>
      </x:c>
      <x:c r="F190" s="3" t="n">
        <x:v>7</x:v>
      </x:c>
      <x:c r="G190" s="3" t="n">
        <x:v>57</x:v>
      </x:c>
      <x:c r="H190" s="9" t="n">
        <x:v>-0.886487</x:v>
      </x:c>
      <x:c r="I190" s="9" t="n">
        <x:v>-0.822218</x:v>
      </x:c>
      <x:c r="J190" s="9" t="n">
        <x:v>0.79338649</x:v>
      </x:c>
      <x:c r="K190" s="9" t="n">
        <x:v>45.22303</x:v>
      </x:c>
      <x:c r="L190" s="3" t="n">
        <x:v>0</x:v>
      </x:c>
      <x:c r="M190" s="3" t="n">
        <x:v>1</x:v>
      </x:c>
      <x:c r="N190" s="3" t="n">
        <x:v>1</x:v>
      </x:c>
    </x:row>
    <x:row r="191" ht="21" customHeight="1">
      <x:c r="A191" s="3" t="n">
        <x:v>19</x:v>
      </x:c>
      <x:c r="B191" s="3" t="n">
        <x:v>10</x:v>
      </x:c>
      <x:c r="C191" s="3" t="n">
        <x:v>10</x:v>
      </x:c>
      <x:c r="D191" s="3" t="n">
        <x:v>6</x:v>
      </x:c>
      <x:c r="E191" s="3" t="n">
        <x:v>7</x:v>
      </x:c>
      <x:c r="F191" s="3" t="n">
        <x:v>9</x:v>
      </x:c>
      <x:c r="G191" s="3" t="n">
        <x:v>73</x:v>
      </x:c>
      <x:c r="H191" s="9" t="n">
        <x:v>-0.886487</x:v>
      </x:c>
      <x:c r="I191" s="9" t="n">
        <x:v>0.078796</x:v>
      </x:c>
      <x:c r="J191" s="9" t="n">
        <x:v>0.86819114</x:v>
      </x:c>
      <x:c r="K191" s="9" t="n">
        <x:v>63.377954</x:v>
      </x:c>
      <x:c r="L191" s="3" t="n">
        <x:v>0</x:v>
      </x:c>
      <x:c r="M191" s="3" t="n">
        <x:v>1</x:v>
      </x:c>
      <x:c r="N191" s="3" t="n">
        <x:v>1</x:v>
      </x:c>
    </x:row>
    <x:row r="192" ht="21" customHeight="1">
      <x:c r="A192" s="3" t="n">
        <x:v>20</x:v>
      </x:c>
      <x:c r="B192" s="3" t="n">
        <x:v>1</x:v>
      </x:c>
      <x:c r="C192" s="3" t="n">
        <x:v>1</x:v>
      </x:c>
      <x:c r="D192" s="3" t="n">
        <x:v>5</x:v>
      </x:c>
      <x:c r="E192" s="3" t="n">
        <x:v>10</x:v>
      </x:c>
      <x:c r="F192" s="3" t="n">
        <x:v>6</x:v>
      </x:c>
      <x:c r="G192" s="3" t="n">
        <x:v>71</x:v>
      </x:c>
      <x:c r="H192" s="9" t="n">
        <x:v>-0.345004</x:v>
      </x:c>
      <x:c r="I192" s="9" t="n">
        <x:v>0.724217</x:v>
      </x:c>
      <x:c r="J192" s="9" t="n">
        <x:v>1.004431</x:v>
      </x:c>
      <x:c r="K192" s="9" t="n">
        <x:v>71.314601</x:v>
      </x:c>
      <x:c r="L192" s="3" t="n">
        <x:v>0</x:v>
      </x:c>
      <x:c r="M192" s="3" t="n">
        <x:v>1</x:v>
      </x:c>
      <x:c r="N192" s="3" t="n">
        <x:v>1</x:v>
      </x:c>
    </x:row>
    <x:row r="193" ht="21" customHeight="1">
      <x:c r="A193" s="3" t="n">
        <x:v>20</x:v>
      </x:c>
      <x:c r="B193" s="3" t="n">
        <x:v>2</x:v>
      </x:c>
      <x:c r="C193" s="3" t="n">
        <x:v>2</x:v>
      </x:c>
      <x:c r="D193" s="3" t="n">
        <x:v>2</x:v>
      </x:c>
      <x:c r="E193" s="3" t="n">
        <x:v>5</x:v>
      </x:c>
      <x:c r="F193" s="3" t="n">
        <x:v>8</x:v>
      </x:c>
      <x:c r="G193" s="3" t="n">
        <x:v>32</x:v>
      </x:c>
      <x:c r="H193" s="9" t="n">
        <x:v>-0.345004</x:v>
      </x:c>
      <x:c r="I193" s="9" t="n">
        <x:v>-1.75682</x:v>
      </x:c>
      <x:c r="J193" s="9" t="n">
        <x:v>0.78373642</x:v>
      </x:c>
      <x:c r="K193" s="9" t="n">
        <x:v>25.079565</x:v>
      </x:c>
      <x:c r="L193" s="3" t="n">
        <x:v>0</x:v>
      </x:c>
      <x:c r="M193" s="3" t="n">
        <x:v>1</x:v>
      </x:c>
      <x:c r="N193" s="3" t="n">
        <x:v>1</x:v>
      </x:c>
    </x:row>
    <x:row r="194" ht="21" customHeight="1">
      <x:c r="A194" s="3" t="n">
        <x:v>20</x:v>
      </x:c>
      <x:c r="B194" s="3" t="n">
        <x:v>3</x:v>
      </x:c>
      <x:c r="C194" s="3" t="n">
        <x:v>3</x:v>
      </x:c>
      <x:c r="D194" s="3" t="n">
        <x:v>8</x:v>
      </x:c>
      <x:c r="E194" s="3" t="n">
        <x:v>9</x:v>
      </x:c>
      <x:c r="F194" s="3" t="n">
        <x:v>6</x:v>
      </x:c>
      <x:c r="G194" s="3" t="n">
        <x:v>78</x:v>
      </x:c>
      <x:c r="H194" s="9" t="n">
        <x:v>-0.345004</x:v>
      </x:c>
      <x:c r="I194" s="9" t="n">
        <x:v>0.327726</x:v>
      </x:c>
      <x:c r="J194" s="9" t="n">
        <x:v>0.96538534</x:v>
      </x:c>
      <x:c r="K194" s="9" t="n">
        <x:v>75.300057</x:v>
      </x:c>
      <x:c r="L194" s="3" t="n">
        <x:v>0</x:v>
      </x:c>
      <x:c r="M194" s="3" t="n">
        <x:v>1</x:v>
      </x:c>
      <x:c r="N194" s="3" t="n">
        <x:v>1</x:v>
      </x:c>
    </x:row>
    <x:row r="195" ht="21" customHeight="1">
      <x:c r="A195" s="3" t="n">
        <x:v>20</x:v>
      </x:c>
      <x:c r="B195" s="3" t="n">
        <x:v>4</x:v>
      </x:c>
      <x:c r="C195" s="3" t="n">
        <x:v>4</x:v>
      </x:c>
      <x:c r="D195" s="3" t="n">
        <x:v>1</x:v>
      </x:c>
      <x:c r="E195" s="3" t="n">
        <x:v>5</x:v>
      </x:c>
      <x:c r="F195" s="3" t="n">
        <x:v>6</x:v>
      </x:c>
      <x:c r="G195" s="3" t="n">
        <x:v>40</x:v>
      </x:c>
      <x:c r="H195" s="9" t="n">
        <x:v>-0.345004</x:v>
      </x:c>
      <x:c r="I195" s="9" t="n">
        <x:v>-0.989017</x:v>
      </x:c>
      <x:c r="J195" s="9" t="n">
        <x:v>0.84628236</x:v>
      </x:c>
      <x:c r="K195" s="9" t="n">
        <x:v>33.851294</x:v>
      </x:c>
      <x:c r="L195" s="3" t="n">
        <x:v>0</x:v>
      </x:c>
      <x:c r="M195" s="3" t="n">
        <x:v>1</x:v>
      </x:c>
      <x:c r="N195" s="3" t="n">
        <x:v>1</x:v>
      </x:c>
    </x:row>
    <x:row r="196" ht="21" customHeight="1">
      <x:c r="A196" s="3" t="n">
        <x:v>20</x:v>
      </x:c>
      <x:c r="B196" s="3" t="n">
        <x:v>5</x:v>
      </x:c>
      <x:c r="C196" s="3" t="n">
        <x:v>5</x:v>
      </x:c>
      <x:c r="D196" s="3" t="n">
        <x:v>4</x:v>
      </x:c>
      <x:c r="E196" s="3" t="n">
        <x:v>3</x:v>
      </x:c>
      <x:c r="F196" s="3" t="n">
        <x:v>4</x:v>
      </x:c>
      <x:c r="G196" s="3" t="n">
        <x:v>53</x:v>
      </x:c>
      <x:c r="H196" s="9" t="n">
        <x:v>-0.345004</x:v>
      </x:c>
      <x:c r="I196" s="9" t="n">
        <x:v>-1.524053</x:v>
      </x:c>
      <x:c r="J196" s="9" t="n">
        <x:v>0.80219322</x:v>
      </x:c>
      <x:c r="K196" s="9" t="n">
        <x:v>42.516241</x:v>
      </x:c>
      <x:c r="L196" s="3" t="n">
        <x:v>0</x:v>
      </x:c>
      <x:c r="M196" s="3" t="n">
        <x:v>1</x:v>
      </x:c>
      <x:c r="N196" s="3" t="n">
        <x:v>1</x:v>
      </x:c>
    </x:row>
    <x:row r="197" ht="21" customHeight="1">
      <x:c r="A197" s="3" t="n">
        <x:v>20</x:v>
      </x:c>
      <x:c r="B197" s="3" t="n">
        <x:v>6</x:v>
      </x:c>
      <x:c r="C197" s="3" t="n">
        <x:v>6</x:v>
      </x:c>
      <x:c r="D197" s="3" t="n">
        <x:v>1</x:v>
      </x:c>
      <x:c r="E197" s="3" t="n">
        <x:v>1</x:v>
      </x:c>
      <x:c r="F197" s="3" t="n">
        <x:v>4</x:v>
      </x:c>
      <x:c r="G197" s="3" t="n">
        <x:v>80</x:v>
      </x:c>
      <x:c r="H197" s="9" t="n">
        <x:v>-0.345004</x:v>
      </x:c>
      <x:c r="I197" s="9" t="n">
        <x:v>1.479635</x:v>
      </x:c>
      <x:c r="J197" s="9" t="n">
        <x:v>1.08324698</x:v>
      </x:c>
      <x:c r="K197" s="9" t="n">
        <x:v>86.659759</x:v>
      </x:c>
      <x:c r="L197" s="3" t="n">
        <x:v>0</x:v>
      </x:c>
      <x:c r="M197" s="3" t="n">
        <x:v>1</x:v>
      </x:c>
      <x:c r="N197" s="3" t="n">
        <x:v>1</x:v>
      </x:c>
    </x:row>
    <x:row r="198" ht="21" customHeight="1">
      <x:c r="A198" s="3" t="n">
        <x:v>20</x:v>
      </x:c>
      <x:c r="B198" s="3" t="n">
        <x:v>7</x:v>
      </x:c>
      <x:c r="C198" s="3" t="n">
        <x:v>7</x:v>
      </x:c>
      <x:c r="D198" s="3" t="n">
        <x:v>7</x:v>
      </x:c>
      <x:c r="E198" s="3" t="n">
        <x:v>8</x:v>
      </x:c>
      <x:c r="F198" s="3" t="n">
        <x:v>7</x:v>
      </x:c>
      <x:c r="G198" s="3" t="n">
        <x:v>57</x:v>
      </x:c>
      <x:c r="H198" s="9" t="n">
        <x:v>-0.345004</x:v>
      </x:c>
      <x:c r="I198" s="9" t="n">
        <x:v>-0.537126</x:v>
      </x:c>
      <x:c r="J198" s="9" t="n">
        <x:v>0.88540235</x:v>
      </x:c>
      <x:c r="K198" s="9" t="n">
        <x:v>50.467934</x:v>
      </x:c>
      <x:c r="L198" s="3" t="n">
        <x:v>0</x:v>
      </x:c>
      <x:c r="M198" s="3" t="n">
        <x:v>1</x:v>
      </x:c>
      <x:c r="N198" s="3" t="n">
        <x:v>1</x:v>
      </x:c>
    </x:row>
    <x:row r="199" ht="21" customHeight="1">
      <x:c r="A199" s="3" t="n">
        <x:v>20</x:v>
      </x:c>
      <x:c r="B199" s="3" t="n">
        <x:v>8</x:v>
      </x:c>
      <x:c r="C199" s="3" t="n">
        <x:v>8</x:v>
      </x:c>
      <x:c r="D199" s="3" t="n">
        <x:v>3</x:v>
      </x:c>
      <x:c r="E199" s="3" t="n">
        <x:v>8</x:v>
      </x:c>
      <x:c r="F199" s="3" t="n">
        <x:v>2</x:v>
      </x:c>
      <x:c r="G199" s="3" t="n">
        <x:v>72</x:v>
      </x:c>
      <x:c r="H199" s="9" t="n">
        <x:v>-0.345004</x:v>
      </x:c>
      <x:c r="I199" s="9" t="n">
        <x:v>-0.42071</x:v>
      </x:c>
      <x:c r="J199" s="9" t="n">
        <x:v>0.89577007</x:v>
      </x:c>
      <x:c r="K199" s="9" t="n">
        <x:v>64.495445</x:v>
      </x:c>
      <x:c r="L199" s="3" t="n">
        <x:v>0</x:v>
      </x:c>
      <x:c r="M199" s="3" t="n">
        <x:v>1</x:v>
      </x:c>
      <x:c r="N199" s="3" t="n">
        <x:v>1</x:v>
      </x:c>
    </x:row>
    <x:row r="200" ht="21" customHeight="1">
      <x:c r="A200" s="3" t="n">
        <x:v>20</x:v>
      </x:c>
      <x:c r="B200" s="3" t="n">
        <x:v>9</x:v>
      </x:c>
      <x:c r="C200" s="3" t="n">
        <x:v>9</x:v>
      </x:c>
      <x:c r="D200" s="3" t="n">
        <x:v>6</x:v>
      </x:c>
      <x:c r="E200" s="3" t="n">
        <x:v>10</x:v>
      </x:c>
      <x:c r="F200" s="3" t="n">
        <x:v>7</x:v>
      </x:c>
      <x:c r="G200" s="3" t="n">
        <x:v>57</x:v>
      </x:c>
      <x:c r="H200" s="9" t="n">
        <x:v>-0.345004</x:v>
      </x:c>
      <x:c r="I200" s="9" t="n">
        <x:v>0.219549</x:v>
      </x:c>
      <x:c r="J200" s="9" t="n">
        <x:v>0.95499839</x:v>
      </x:c>
      <x:c r="K200" s="9" t="n">
        <x:v>54.434908</x:v>
      </x:c>
      <x:c r="L200" s="3" t="n">
        <x:v>0</x:v>
      </x:c>
      <x:c r="M200" s="3" t="n">
        <x:v>1</x:v>
      </x:c>
      <x:c r="N200" s="3" t="n">
        <x:v>1</x:v>
      </x:c>
    </x:row>
    <x:row r="201" ht="21" customHeight="1">
      <x:c r="A201" s="3" t="n">
        <x:v>20</x:v>
      </x:c>
      <x:c r="B201" s="3" t="n">
        <x:v>10</x:v>
      </x:c>
      <x:c r="C201" s="3" t="n">
        <x:v>10</x:v>
      </x:c>
      <x:c r="D201" s="3" t="n">
        <x:v>6</x:v>
      </x:c>
      <x:c r="E201" s="3" t="n">
        <x:v>7</x:v>
      </x:c>
      <x:c r="F201" s="3" t="n">
        <x:v>9</x:v>
      </x:c>
      <x:c r="G201" s="3" t="n">
        <x:v>73</x:v>
      </x:c>
      <x:c r="H201" s="9" t="n">
        <x:v>-0.345004</x:v>
      </x:c>
      <x:c r="I201" s="9" t="n">
        <x:v>0.565698</x:v>
      </x:c>
      <x:c r="J201" s="9" t="n">
        <x:v>0.98863439</x:v>
      </x:c>
      <x:c r="K201" s="9" t="n">
        <x:v>72.17031</x:v>
      </x:c>
      <x:c r="L201" s="3" t="n">
        <x:v>0</x:v>
      </x:c>
      <x:c r="M201" s="3" t="n">
        <x:v>1</x:v>
      </x:c>
      <x:c r="N201" s="3" t="n">
        <x:v>1</x:v>
      </x:c>
    </x:row>
    <x:row r="202" ht="21" customHeight="1">
      <x:c r="A202" s="3" t="n">
        <x:v>21</x:v>
      </x:c>
      <x:c r="B202" s="3" t="n">
        <x:v>1</x:v>
      </x:c>
      <x:c r="C202" s="3" t="n">
        <x:v>1</x:v>
      </x:c>
      <x:c r="D202" s="3" t="n">
        <x:v>5</x:v>
      </x:c>
      <x:c r="E202" s="3" t="n">
        <x:v>10</x:v>
      </x:c>
      <x:c r="F202" s="3" t="n">
        <x:v>6</x:v>
      </x:c>
      <x:c r="G202" s="3" t="n">
        <x:v>71</x:v>
      </x:c>
      <x:c r="H202" s="9" t="n">
        <x:v>-0.516041</x:v>
      </x:c>
      <x:c r="I202" s="9" t="n">
        <x:v>-1.32745</x:v>
      </x:c>
      <x:c r="J202" s="9" t="n">
        <x:v>0.7973981</x:v>
      </x:c>
      <x:c r="K202" s="9" t="n">
        <x:v>56.615265</x:v>
      </x:c>
      <x:c r="L202" s="3" t="n">
        <x:v>0</x:v>
      </x:c>
      <x:c r="M202" s="3" t="n">
        <x:v>0</x:v>
      </x:c>
      <x:c r="N202" s="3" t="n">
        <x:v>1</x:v>
      </x:c>
    </x:row>
    <x:row r="203" ht="21" customHeight="1">
      <x:c r="A203" s="3" t="n">
        <x:v>21</x:v>
      </x:c>
      <x:c r="B203" s="3" t="n">
        <x:v>2</x:v>
      </x:c>
      <x:c r="C203" s="3" t="n">
        <x:v>2</x:v>
      </x:c>
      <x:c r="D203" s="3" t="n">
        <x:v>2</x:v>
      </x:c>
      <x:c r="E203" s="3" t="n">
        <x:v>5</x:v>
      </x:c>
      <x:c r="F203" s="3" t="n">
        <x:v>8</x:v>
      </x:c>
      <x:c r="G203" s="3" t="n">
        <x:v>32</x:v>
      </x:c>
      <x:c r="H203" s="9" t="n">
        <x:v>-0.516041</x:v>
      </x:c>
      <x:c r="I203" s="9" t="n">
        <x:v>-1.406286</x:v>
      </x:c>
      <x:c r="J203" s="9" t="n">
        <x:v>0.79113648</x:v>
      </x:c>
      <x:c r="K203" s="9" t="n">
        <x:v>25.316367</x:v>
      </x:c>
      <x:c r="L203" s="3" t="n">
        <x:v>0</x:v>
      </x:c>
      <x:c r="M203" s="3" t="n">
        <x:v>0</x:v>
      </x:c>
      <x:c r="N203" s="3" t="n">
        <x:v>1</x:v>
      </x:c>
    </x:row>
    <x:row r="204" ht="21" customHeight="1">
      <x:c r="A204" s="3" t="n">
        <x:v>21</x:v>
      </x:c>
      <x:c r="B204" s="3" t="n">
        <x:v>3</x:v>
      </x:c>
      <x:c r="C204" s="3" t="n">
        <x:v>3</x:v>
      </x:c>
      <x:c r="D204" s="3" t="n">
        <x:v>8</x:v>
      </x:c>
      <x:c r="E204" s="3" t="n">
        <x:v>9</x:v>
      </x:c>
      <x:c r="F204" s="3" t="n">
        <x:v>6</x:v>
      </x:c>
      <x:c r="G204" s="3" t="n">
        <x:v>78</x:v>
      </x:c>
      <x:c r="H204" s="9" t="n">
        <x:v>-0.516041</x:v>
      </x:c>
      <x:c r="I204" s="9" t="n">
        <x:v>1.805027</x:v>
      </x:c>
      <x:c r="J204" s="9" t="n">
        <x:v>1.09072919</x:v>
      </x:c>
      <x:c r="K204" s="9" t="n">
        <x:v>85.076877</x:v>
      </x:c>
      <x:c r="L204" s="3" t="n">
        <x:v>0</x:v>
      </x:c>
      <x:c r="M204" s="3" t="n">
        <x:v>0</x:v>
      </x:c>
      <x:c r="N204" s="3" t="n">
        <x:v>1</x:v>
      </x:c>
    </x:row>
    <x:row r="205" ht="21" customHeight="1">
      <x:c r="A205" s="3" t="n">
        <x:v>21</x:v>
      </x:c>
      <x:c r="B205" s="3" t="n">
        <x:v>4</x:v>
      </x:c>
      <x:c r="C205" s="3" t="n">
        <x:v>4</x:v>
      </x:c>
      <x:c r="D205" s="3" t="n">
        <x:v>1</x:v>
      </x:c>
      <x:c r="E205" s="3" t="n">
        <x:v>5</x:v>
      </x:c>
      <x:c r="F205" s="3" t="n">
        <x:v>6</x:v>
      </x:c>
      <x:c r="G205" s="3" t="n">
        <x:v>40</x:v>
      </x:c>
      <x:c r="H205" s="9" t="n">
        <x:v>-0.516041</x:v>
      </x:c>
      <x:c r="I205" s="9" t="n">
        <x:v>0.452736</x:v>
      </x:c>
      <x:c r="J205" s="9" t="n">
        <x:v>0.95276915</x:v>
      </x:c>
      <x:c r="K205" s="9" t="n">
        <x:v>38.110766</x:v>
      </x:c>
      <x:c r="L205" s="3" t="n">
        <x:v>0</x:v>
      </x:c>
      <x:c r="M205" s="3" t="n">
        <x:v>0</x:v>
      </x:c>
      <x:c r="N205" s="3" t="n">
        <x:v>1</x:v>
      </x:c>
    </x:row>
    <x:row r="206" ht="21" customHeight="1">
      <x:c r="A206" s="3" t="n">
        <x:v>21</x:v>
      </x:c>
      <x:c r="B206" s="3" t="n">
        <x:v>5</x:v>
      </x:c>
      <x:c r="C206" s="3" t="n">
        <x:v>5</x:v>
      </x:c>
      <x:c r="D206" s="3" t="n">
        <x:v>4</x:v>
      </x:c>
      <x:c r="E206" s="3" t="n">
        <x:v>3</x:v>
      </x:c>
      <x:c r="F206" s="3" t="n">
        <x:v>4</x:v>
      </x:c>
      <x:c r="G206" s="3" t="n">
        <x:v>53</x:v>
      </x:c>
      <x:c r="H206" s="9" t="n">
        <x:v>-0.516041</x:v>
      </x:c>
      <x:c r="I206" s="9" t="n">
        <x:v>0.424805</x:v>
      </x:c>
      <x:c r="J206" s="9" t="n">
        <x:v>0.95011166</x:v>
      </x:c>
      <x:c r="K206" s="9" t="n">
        <x:v>50.355918</x:v>
      </x:c>
      <x:c r="L206" s="3" t="n">
        <x:v>0</x:v>
      </x:c>
      <x:c r="M206" s="3" t="n">
        <x:v>0</x:v>
      </x:c>
      <x:c r="N206" s="3" t="n">
        <x:v>1</x:v>
      </x:c>
    </x:row>
    <x:row r="207" ht="21" customHeight="1">
      <x:c r="A207" s="3" t="n">
        <x:v>21</x:v>
      </x:c>
      <x:c r="B207" s="3" t="n">
        <x:v>6</x:v>
      </x:c>
      <x:c r="C207" s="3" t="n">
        <x:v>6</x:v>
      </x:c>
      <x:c r="D207" s="3" t="n">
        <x:v>1</x:v>
      </x:c>
      <x:c r="E207" s="3" t="n">
        <x:v>1</x:v>
      </x:c>
      <x:c r="F207" s="3" t="n">
        <x:v>4</x:v>
      </x:c>
      <x:c r="G207" s="3" t="n">
        <x:v>80</x:v>
      </x:c>
      <x:c r="H207" s="9" t="n">
        <x:v>-0.516041</x:v>
      </x:c>
      <x:c r="I207" s="9" t="n">
        <x:v>-0.328184</x:v>
      </x:c>
      <x:c r="J207" s="9" t="n">
        <x:v>0.88119652</x:v>
      </x:c>
      <x:c r="K207" s="9" t="n">
        <x:v>70.495722</x:v>
      </x:c>
      <x:c r="L207" s="3" t="n">
        <x:v>0</x:v>
      </x:c>
      <x:c r="M207" s="3" t="n">
        <x:v>0</x:v>
      </x:c>
      <x:c r="N207" s="3" t="n">
        <x:v>1</x:v>
      </x:c>
    </x:row>
    <x:row r="208" ht="21" customHeight="1">
      <x:c r="A208" s="3" t="n">
        <x:v>21</x:v>
      </x:c>
      <x:c r="B208" s="3" t="n">
        <x:v>7</x:v>
      </x:c>
      <x:c r="C208" s="3" t="n">
        <x:v>7</x:v>
      </x:c>
      <x:c r="D208" s="3" t="n">
        <x:v>7</x:v>
      </x:c>
      <x:c r="E208" s="3" t="n">
        <x:v>8</x:v>
      </x:c>
      <x:c r="F208" s="3" t="n">
        <x:v>7</x:v>
      </x:c>
      <x:c r="G208" s="3" t="n">
        <x:v>57</x:v>
      </x:c>
      <x:c r="H208" s="9" t="n">
        <x:v>-0.516041</x:v>
      </x:c>
      <x:c r="I208" s="9" t="n">
        <x:v>-0.106149</x:v>
      </x:c>
      <x:c r="J208" s="9" t="n">
        <x:v>0.90098099</x:v>
      </x:c>
      <x:c r="K208" s="9" t="n">
        <x:v>51.355916</x:v>
      </x:c>
      <x:c r="L208" s="3" t="n">
        <x:v>0</x:v>
      </x:c>
      <x:c r="M208" s="3" t="n">
        <x:v>0</x:v>
      </x:c>
      <x:c r="N208" s="3" t="n">
        <x:v>1</x:v>
      </x:c>
    </x:row>
    <x:row r="209" ht="21" customHeight="1">
      <x:c r="A209" s="3" t="n">
        <x:v>21</x:v>
      </x:c>
      <x:c r="B209" s="3" t="n">
        <x:v>8</x:v>
      </x:c>
      <x:c r="C209" s="3" t="n">
        <x:v>8</x:v>
      </x:c>
      <x:c r="D209" s="3" t="n">
        <x:v>3</x:v>
      </x:c>
      <x:c r="E209" s="3" t="n">
        <x:v>8</x:v>
      </x:c>
      <x:c r="F209" s="3" t="n">
        <x:v>2</x:v>
      </x:c>
      <x:c r="G209" s="3" t="n">
        <x:v>72</x:v>
      </x:c>
      <x:c r="H209" s="9" t="n">
        <x:v>-0.516041</x:v>
      </x:c>
      <x:c r="I209" s="9" t="n">
        <x:v>2.094135</x:v>
      </x:c>
      <x:c r="J209" s="9" t="n">
        <x:v>1.12272331</x:v>
      </x:c>
      <x:c r="K209" s="9" t="n">
        <x:v>80.836078</x:v>
      </x:c>
      <x:c r="L209" s="3" t="n">
        <x:v>0</x:v>
      </x:c>
      <x:c r="M209" s="3" t="n">
        <x:v>0</x:v>
      </x:c>
      <x:c r="N209" s="3" t="n">
        <x:v>1</x:v>
      </x:c>
    </x:row>
    <x:row r="210" ht="21" customHeight="1">
      <x:c r="A210" s="3" t="n">
        <x:v>21</x:v>
      </x:c>
      <x:c r="B210" s="3" t="n">
        <x:v>9</x:v>
      </x:c>
      <x:c r="C210" s="3" t="n">
        <x:v>9</x:v>
      </x:c>
      <x:c r="D210" s="3" t="n">
        <x:v>6</x:v>
      </x:c>
      <x:c r="E210" s="3" t="n">
        <x:v>10</x:v>
      </x:c>
      <x:c r="F210" s="3" t="n">
        <x:v>7</x:v>
      </x:c>
      <x:c r="G210" s="3" t="n">
        <x:v>57</x:v>
      </x:c>
      <x:c r="H210" s="9" t="n">
        <x:v>-0.516041</x:v>
      </x:c>
      <x:c r="I210" s="9" t="n">
        <x:v>2.359713</x:v>
      </x:c>
      <x:c r="J210" s="9" t="n">
        <x:v>1.15293986</x:v>
      </x:c>
      <x:c r="K210" s="9" t="n">
        <x:v>65.717572</x:v>
      </x:c>
      <x:c r="L210" s="3" t="n">
        <x:v>0</x:v>
      </x:c>
      <x:c r="M210" s="3" t="n">
        <x:v>0</x:v>
      </x:c>
      <x:c r="N210" s="3" t="n">
        <x:v>1</x:v>
      </x:c>
    </x:row>
    <x:row r="211" ht="21" customHeight="1">
      <x:c r="A211" s="3" t="n">
        <x:v>21</x:v>
      </x:c>
      <x:c r="B211" s="3" t="n">
        <x:v>10</x:v>
      </x:c>
      <x:c r="C211" s="3" t="n">
        <x:v>10</x:v>
      </x:c>
      <x:c r="D211" s="3" t="n">
        <x:v>6</x:v>
      </x:c>
      <x:c r="E211" s="3" t="n">
        <x:v>7</x:v>
      </x:c>
      <x:c r="F211" s="3" t="n">
        <x:v>9</x:v>
      </x:c>
      <x:c r="G211" s="3" t="n">
        <x:v>73</x:v>
      </x:c>
      <x:c r="H211" s="9" t="n">
        <x:v>-0.516041</x:v>
      </x:c>
      <x:c r="I211" s="9" t="n">
        <x:v>0.160789</x:v>
      </x:c>
      <x:c r="J211" s="9" t="n">
        <x:v>0.92535548</x:v>
      </x:c>
      <x:c r="K211" s="9" t="n">
        <x:v>67.55095</x:v>
      </x:c>
      <x:c r="L211" s="3" t="n">
        <x:v>0</x:v>
      </x:c>
      <x:c r="M211" s="3" t="n">
        <x:v>0</x:v>
      </x:c>
      <x:c r="N211" s="3" t="n">
        <x:v>1</x:v>
      </x:c>
    </x:row>
    <x:row r="212" ht="21" customHeight="1">
      <x:c r="A212" s="3" t="n">
        <x:v>22</x:v>
      </x:c>
      <x:c r="B212" s="3" t="n">
        <x:v>1</x:v>
      </x:c>
      <x:c r="C212" s="3" t="n">
        <x:v>1</x:v>
      </x:c>
      <x:c r="D212" s="3" t="n">
        <x:v>5</x:v>
      </x:c>
      <x:c r="E212" s="3" t="n">
        <x:v>10</x:v>
      </x:c>
      <x:c r="F212" s="3" t="n">
        <x:v>6</x:v>
      </x:c>
      <x:c r="G212" s="3" t="n">
        <x:v>71</x:v>
      </x:c>
      <x:c r="H212" s="9" t="n">
        <x:v>0.021931</x:v>
      </x:c>
      <x:c r="I212" s="9" t="n">
        <x:v>1.39299</x:v>
      </x:c>
      <x:c r="J212" s="9" t="n">
        <x:v>1.13466641</x:v>
      </x:c>
      <x:c r="K212" s="9" t="n">
        <x:v>80.561315</x:v>
      </x:c>
      <x:c r="L212" s="3" t="n">
        <x:v>0</x:v>
      </x:c>
      <x:c r="M212" s="3" t="n">
        <x:v>0</x:v>
      </x:c>
      <x:c r="N212" s="3" t="n">
        <x:v>1</x:v>
      </x:c>
    </x:row>
    <x:row r="213" ht="21" customHeight="1">
      <x:c r="A213" s="3" t="n">
        <x:v>22</x:v>
      </x:c>
      <x:c r="B213" s="3" t="n">
        <x:v>2</x:v>
      </x:c>
      <x:c r="C213" s="3" t="n">
        <x:v>2</x:v>
      </x:c>
      <x:c r="D213" s="3" t="n">
        <x:v>2</x:v>
      </x:c>
      <x:c r="E213" s="3" t="n">
        <x:v>5</x:v>
      </x:c>
      <x:c r="F213" s="3" t="n">
        <x:v>8</x:v>
      </x:c>
      <x:c r="G213" s="3" t="n">
        <x:v>32</x:v>
      </x:c>
      <x:c r="H213" s="9" t="n">
        <x:v>0.021931</x:v>
      </x:c>
      <x:c r="I213" s="9" t="n">
        <x:v>-0.751157</x:v>
      </x:c>
      <x:c r="J213" s="9" t="n">
        <x:v>0.91569128</x:v>
      </x:c>
      <x:c r="K213" s="9" t="n">
        <x:v>29.302121</x:v>
      </x:c>
      <x:c r="L213" s="3" t="n">
        <x:v>0</x:v>
      </x:c>
      <x:c r="M213" s="3" t="n">
        <x:v>0</x:v>
      </x:c>
      <x:c r="N213" s="3" t="n">
        <x:v>1</x:v>
      </x:c>
    </x:row>
    <x:row r="214" ht="21" customHeight="1">
      <x:c r="A214" s="3" t="n">
        <x:v>22</x:v>
      </x:c>
      <x:c r="B214" s="3" t="n">
        <x:v>3</x:v>
      </x:c>
      <x:c r="C214" s="3" t="n">
        <x:v>3</x:v>
      </x:c>
      <x:c r="D214" s="3" t="n">
        <x:v>8</x:v>
      </x:c>
      <x:c r="E214" s="3" t="n">
        <x:v>9</x:v>
      </x:c>
      <x:c r="F214" s="3" t="n">
        <x:v>6</x:v>
      </x:c>
      <x:c r="G214" s="3" t="n">
        <x:v>78</x:v>
      </x:c>
      <x:c r="H214" s="9" t="n">
        <x:v>0.021931</x:v>
      </x:c>
      <x:c r="I214" s="9" t="n">
        <x:v>-0.979413</x:v>
      </x:c>
      <x:c r="J214" s="9" t="n">
        <x:v>0.89502677</x:v>
      </x:c>
      <x:c r="K214" s="9" t="n">
        <x:v>69.812088</x:v>
      </x:c>
      <x:c r="L214" s="3" t="n">
        <x:v>0</x:v>
      </x:c>
      <x:c r="M214" s="3" t="n">
        <x:v>0</x:v>
      </x:c>
      <x:c r="N214" s="3" t="n">
        <x:v>1</x:v>
      </x:c>
    </x:row>
    <x:row r="215" ht="21" customHeight="1">
      <x:c r="A215" s="3" t="n">
        <x:v>22</x:v>
      </x:c>
      <x:c r="B215" s="3" t="n">
        <x:v>4</x:v>
      </x:c>
      <x:c r="C215" s="3" t="n">
        <x:v>4</x:v>
      </x:c>
      <x:c r="D215" s="3" t="n">
        <x:v>1</x:v>
      </x:c>
      <x:c r="E215" s="3" t="n">
        <x:v>5</x:v>
      </x:c>
      <x:c r="F215" s="3" t="n">
        <x:v>6</x:v>
      </x:c>
      <x:c r="G215" s="3" t="n">
        <x:v>40</x:v>
      </x:c>
      <x:c r="H215" s="9" t="n">
        <x:v>0.021931</x:v>
      </x:c>
      <x:c r="I215" s="9" t="n">
        <x:v>1.561572</x:v>
      </x:c>
      <x:c r="J215" s="9" t="n">
        <x:v>1.15395694</x:v>
      </x:c>
      <x:c r="K215" s="9" t="n">
        <x:v>46.158278</x:v>
      </x:c>
      <x:c r="L215" s="3" t="n">
        <x:v>0</x:v>
      </x:c>
      <x:c r="M215" s="3" t="n">
        <x:v>0</x:v>
      </x:c>
      <x:c r="N215" s="3" t="n">
        <x:v>1</x:v>
      </x:c>
    </x:row>
    <x:row r="216" ht="21" customHeight="1">
      <x:c r="A216" s="3" t="n">
        <x:v>22</x:v>
      </x:c>
      <x:c r="B216" s="3" t="n">
        <x:v>5</x:v>
      </x:c>
      <x:c r="C216" s="3" t="n">
        <x:v>5</x:v>
      </x:c>
      <x:c r="D216" s="3" t="n">
        <x:v>4</x:v>
      </x:c>
      <x:c r="E216" s="3" t="n">
        <x:v>3</x:v>
      </x:c>
      <x:c r="F216" s="3" t="n">
        <x:v>4</x:v>
      </x:c>
      <x:c r="G216" s="3" t="n">
        <x:v>53</x:v>
      </x:c>
      <x:c r="H216" s="9" t="n">
        <x:v>0.021931</x:v>
      </x:c>
      <x:c r="I216" s="9" t="n">
        <x:v>0.00109</x:v>
      </x:c>
      <x:c r="J216" s="9" t="n">
        <x:v>0.98723094</x:v>
      </x:c>
      <x:c r="K216" s="9" t="n">
        <x:v>52.32324</x:v>
      </x:c>
      <x:c r="L216" s="3" t="n">
        <x:v>0</x:v>
      </x:c>
      <x:c r="M216" s="3" t="n">
        <x:v>0</x:v>
      </x:c>
      <x:c r="N216" s="3" t="n">
        <x:v>1</x:v>
      </x:c>
    </x:row>
    <x:row r="217" ht="21" customHeight="1">
      <x:c r="A217" s="3" t="n">
        <x:v>22</x:v>
      </x:c>
      <x:c r="B217" s="3" t="n">
        <x:v>6</x:v>
      </x:c>
      <x:c r="C217" s="3" t="n">
        <x:v>6</x:v>
      </x:c>
      <x:c r="D217" s="3" t="n">
        <x:v>1</x:v>
      </x:c>
      <x:c r="E217" s="3" t="n">
        <x:v>1</x:v>
      </x:c>
      <x:c r="F217" s="3" t="n">
        <x:v>4</x:v>
      </x:c>
      <x:c r="G217" s="3" t="n">
        <x:v>80</x:v>
      </x:c>
      <x:c r="H217" s="9" t="n">
        <x:v>0.021931</x:v>
      </x:c>
      <x:c r="I217" s="9" t="n">
        <x:v>-0.142279</x:v>
      </x:c>
      <x:c r="J217" s="9" t="n">
        <x:v>0.97317804</x:v>
      </x:c>
      <x:c r="K217" s="9" t="n">
        <x:v>77.854243</x:v>
      </x:c>
      <x:c r="L217" s="3" t="n">
        <x:v>0</x:v>
      </x:c>
      <x:c r="M217" s="3" t="n">
        <x:v>0</x:v>
      </x:c>
      <x:c r="N217" s="3" t="n">
        <x:v>1</x:v>
      </x:c>
    </x:row>
    <x:row r="218" ht="21" customHeight="1">
      <x:c r="A218" s="3" t="n">
        <x:v>22</x:v>
      </x:c>
      <x:c r="B218" s="3" t="n">
        <x:v>7</x:v>
      </x:c>
      <x:c r="C218" s="3" t="n">
        <x:v>7</x:v>
      </x:c>
      <x:c r="D218" s="3" t="n">
        <x:v>7</x:v>
      </x:c>
      <x:c r="E218" s="3" t="n">
        <x:v>8</x:v>
      </x:c>
      <x:c r="F218" s="3" t="n">
        <x:v>7</x:v>
      </x:c>
      <x:c r="G218" s="3" t="n">
        <x:v>57</x:v>
      </x:c>
      <x:c r="H218" s="9" t="n">
        <x:v>0.021931</x:v>
      </x:c>
      <x:c r="I218" s="9" t="n">
        <x:v>0.367622</x:v>
      </x:c>
      <x:c r="J218" s="9" t="n">
        <x:v>1.0240874</x:v>
      </x:c>
      <x:c r="K218" s="9" t="n">
        <x:v>58.372982</x:v>
      </x:c>
      <x:c r="L218" s="3" t="n">
        <x:v>0</x:v>
      </x:c>
      <x:c r="M218" s="3" t="n">
        <x:v>0</x:v>
      </x:c>
      <x:c r="N218" s="3" t="n">
        <x:v>1</x:v>
      </x:c>
    </x:row>
    <x:row r="219" ht="21" customHeight="1">
      <x:c r="A219" s="3" t="n">
        <x:v>22</x:v>
      </x:c>
      <x:c r="B219" s="3" t="n">
        <x:v>8</x:v>
      </x:c>
      <x:c r="C219" s="3" t="n">
        <x:v>8</x:v>
      </x:c>
      <x:c r="D219" s="3" t="n">
        <x:v>3</x:v>
      </x:c>
      <x:c r="E219" s="3" t="n">
        <x:v>8</x:v>
      </x:c>
      <x:c r="F219" s="3" t="n">
        <x:v>2</x:v>
      </x:c>
      <x:c r="G219" s="3" t="n">
        <x:v>72</x:v>
      </x:c>
      <x:c r="H219" s="9" t="n">
        <x:v>0.021931</x:v>
      </x:c>
      <x:c r="I219" s="9" t="n">
        <x:v>-1.032842</x:v>
      </x:c>
      <x:c r="J219" s="9" t="n">
        <x:v>0.89025755</x:v>
      </x:c>
      <x:c r="K219" s="9" t="n">
        <x:v>64.098544</x:v>
      </x:c>
      <x:c r="L219" s="3" t="n">
        <x:v>0</x:v>
      </x:c>
      <x:c r="M219" s="3" t="n">
        <x:v>0</x:v>
      </x:c>
      <x:c r="N219" s="3" t="n">
        <x:v>1</x:v>
      </x:c>
    </x:row>
    <x:row r="220" ht="21" customHeight="1">
      <x:c r="A220" s="3" t="n">
        <x:v>22</x:v>
      </x:c>
      <x:c r="B220" s="3" t="n">
        <x:v>9</x:v>
      </x:c>
      <x:c r="C220" s="3" t="n">
        <x:v>9</x:v>
      </x:c>
      <x:c r="D220" s="3" t="n">
        <x:v>6</x:v>
      </x:c>
      <x:c r="E220" s="3" t="n">
        <x:v>10</x:v>
      </x:c>
      <x:c r="F220" s="3" t="n">
        <x:v>7</x:v>
      </x:c>
      <x:c r="G220" s="3" t="n">
        <x:v>57</x:v>
      </x:c>
      <x:c r="H220" s="9" t="n">
        <x:v>0.021931</x:v>
      </x:c>
      <x:c r="I220" s="9" t="n">
        <x:v>-1.380414</x:v>
      </x:c>
      <x:c r="J220" s="9" t="n">
        <x:v>0.85984621</x:v>
      </x:c>
      <x:c r="K220" s="9" t="n">
        <x:v>49.011234</x:v>
      </x:c>
      <x:c r="L220" s="3" t="n">
        <x:v>0</x:v>
      </x:c>
      <x:c r="M220" s="3" t="n">
        <x:v>0</x:v>
      </x:c>
      <x:c r="N220" s="3" t="n">
        <x:v>1</x:v>
      </x:c>
    </x:row>
    <x:row r="221" ht="21" customHeight="1">
      <x:c r="A221" s="3" t="n">
        <x:v>22</x:v>
      </x:c>
      <x:c r="B221" s="3" t="n">
        <x:v>10</x:v>
      </x:c>
      <x:c r="C221" s="3" t="n">
        <x:v>10</x:v>
      </x:c>
      <x:c r="D221" s="3" t="n">
        <x:v>6</x:v>
      </x:c>
      <x:c r="E221" s="3" t="n">
        <x:v>7</x:v>
      </x:c>
      <x:c r="F221" s="3" t="n">
        <x:v>9</x:v>
      </x:c>
      <x:c r="G221" s="3" t="n">
        <x:v>73</x:v>
      </x:c>
      <x:c r="H221" s="9" t="n">
        <x:v>0.021931</x:v>
      </x:c>
      <x:c r="I221" s="9" t="n">
        <x:v>0.033548</x:v>
      </x:c>
      <x:c r="J221" s="9" t="n">
        <x:v>0.99044047</x:v>
      </x:c>
      <x:c r="K221" s="9" t="n">
        <x:v>72.302155</x:v>
      </x:c>
      <x:c r="L221" s="3" t="n">
        <x:v>0</x:v>
      </x:c>
      <x:c r="M221" s="3" t="n">
        <x:v>0</x:v>
      </x:c>
      <x:c r="N221" s="3" t="n">
        <x:v>1</x:v>
      </x:c>
    </x:row>
    <x:row r="222" ht="21" customHeight="1">
      <x:c r="A222" s="3" t="n">
        <x:v>23</x:v>
      </x:c>
      <x:c r="B222" s="3" t="n">
        <x:v>1</x:v>
      </x:c>
      <x:c r="C222" s="3" t="n">
        <x:v>1</x:v>
      </x:c>
      <x:c r="D222" s="3" t="n">
        <x:v>5</x:v>
      </x:c>
      <x:c r="E222" s="3" t="n">
        <x:v>10</x:v>
      </x:c>
      <x:c r="F222" s="3" t="n">
        <x:v>6</x:v>
      </x:c>
      <x:c r="G222" s="3" t="n">
        <x:v>71</x:v>
      </x:c>
      <x:c r="H222" s="9" t="n">
        <x:v>0.511041</x:v>
      </x:c>
      <x:c r="I222" s="9" t="n">
        <x:v>-0.206862</x:v>
      </x:c>
      <x:c r="J222" s="9" t="n">
        <x:v>1.04051936</x:v>
      </x:c>
      <x:c r="K222" s="9" t="n">
        <x:v>73.876875</x:v>
      </x:c>
      <x:c r="L222" s="3" t="n">
        <x:v>0</x:v>
      </x:c>
      <x:c r="M222" s="3" t="n">
        <x:v>0</x:v>
      </x:c>
      <x:c r="N222" s="3" t="n">
        <x:v>1</x:v>
      </x:c>
    </x:row>
    <x:row r="223" ht="21" customHeight="1">
      <x:c r="A223" s="3" t="n">
        <x:v>23</x:v>
      </x:c>
      <x:c r="B223" s="3" t="n">
        <x:v>2</x:v>
      </x:c>
      <x:c r="C223" s="3" t="n">
        <x:v>2</x:v>
      </x:c>
      <x:c r="D223" s="3" t="n">
        <x:v>2</x:v>
      </x:c>
      <x:c r="E223" s="3" t="n">
        <x:v>5</x:v>
      </x:c>
      <x:c r="F223" s="3" t="n">
        <x:v>8</x:v>
      </x:c>
      <x:c r="G223" s="3" t="n">
        <x:v>32</x:v>
      </x:c>
      <x:c r="H223" s="9" t="n">
        <x:v>0.511041</x:v>
      </x:c>
      <x:c r="I223" s="9" t="n">
        <x:v>0.036698</x:v>
      </x:c>
      <x:c r="J223" s="9" t="n">
        <x:v>1.06617343</x:v>
      </x:c>
      <x:c r="K223" s="9" t="n">
        <x:v>34.11755</x:v>
      </x:c>
      <x:c r="L223" s="3" t="n">
        <x:v>0</x:v>
      </x:c>
      <x:c r="M223" s="3" t="n">
        <x:v>0</x:v>
      </x:c>
      <x:c r="N223" s="3" t="n">
        <x:v>1</x:v>
      </x:c>
    </x:row>
    <x:row r="224" ht="21" customHeight="1">
      <x:c r="A224" s="3" t="n">
        <x:v>23</x:v>
      </x:c>
      <x:c r="B224" s="3" t="n">
        <x:v>3</x:v>
      </x:c>
      <x:c r="C224" s="3" t="n">
        <x:v>3</x:v>
      </x:c>
      <x:c r="D224" s="3" t="n">
        <x:v>8</x:v>
      </x:c>
      <x:c r="E224" s="3" t="n">
        <x:v>9</x:v>
      </x:c>
      <x:c r="F224" s="3" t="n">
        <x:v>6</x:v>
      </x:c>
      <x:c r="G224" s="3" t="n">
        <x:v>78</x:v>
      </x:c>
      <x:c r="H224" s="9" t="n">
        <x:v>0.511041</x:v>
      </x:c>
      <x:c r="I224" s="9" t="n">
        <x:v>1.048053</x:v>
      </x:c>
      <x:c r="J224" s="9" t="n">
        <x:v>1.17964264</x:v>
      </x:c>
      <x:c r="K224" s="9" t="n">
        <x:v>92.012126</x:v>
      </x:c>
      <x:c r="L224" s="3" t="n">
        <x:v>0</x:v>
      </x:c>
      <x:c r="M224" s="3" t="n">
        <x:v>0</x:v>
      </x:c>
      <x:c r="N224" s="3" t="n">
        <x:v>1</x:v>
      </x:c>
    </x:row>
    <x:row r="225" ht="21" customHeight="1">
      <x:c r="A225" s="3" t="n">
        <x:v>23</x:v>
      </x:c>
      <x:c r="B225" s="3" t="n">
        <x:v>4</x:v>
      </x:c>
      <x:c r="C225" s="3" t="n">
        <x:v>4</x:v>
      </x:c>
      <x:c r="D225" s="3" t="n">
        <x:v>1</x:v>
      </x:c>
      <x:c r="E225" s="3" t="n">
        <x:v>5</x:v>
      </x:c>
      <x:c r="F225" s="3" t="n">
        <x:v>6</x:v>
      </x:c>
      <x:c r="G225" s="3" t="n">
        <x:v>40</x:v>
      </x:c>
      <x:c r="H225" s="9" t="n">
        <x:v>0.511041</x:v>
      </x:c>
      <x:c r="I225" s="9" t="n">
        <x:v>2.08505</x:v>
      </x:c>
      <x:c r="J225" s="9" t="n">
        <x:v>1.30853897</x:v>
      </x:c>
      <x:c r="K225" s="9" t="n">
        <x:v>52.341559</x:v>
      </x:c>
      <x:c r="L225" s="3" t="n">
        <x:v>0</x:v>
      </x:c>
      <x:c r="M225" s="3" t="n">
        <x:v>0</x:v>
      </x:c>
      <x:c r="N225" s="3" t="n">
        <x:v>1</x:v>
      </x:c>
    </x:row>
    <x:row r="226" ht="21" customHeight="1">
      <x:c r="A226" s="3" t="n">
        <x:v>23</x:v>
      </x:c>
      <x:c r="B226" s="3" t="n">
        <x:v>5</x:v>
      </x:c>
      <x:c r="C226" s="3" t="n">
        <x:v>5</x:v>
      </x:c>
      <x:c r="D226" s="3" t="n">
        <x:v>4</x:v>
      </x:c>
      <x:c r="E226" s="3" t="n">
        <x:v>3</x:v>
      </x:c>
      <x:c r="F226" s="3" t="n">
        <x:v>4</x:v>
      </x:c>
      <x:c r="G226" s="3" t="n">
        <x:v>53</x:v>
      </x:c>
      <x:c r="H226" s="9" t="n">
        <x:v>0.511041</x:v>
      </x:c>
      <x:c r="I226" s="9" t="n">
        <x:v>0.91622</x:v>
      </x:c>
      <x:c r="J226" s="9" t="n">
        <x:v>1.16419303</x:v>
      </x:c>
      <x:c r="K226" s="9" t="n">
        <x:v>61.702231</x:v>
      </x:c>
      <x:c r="L226" s="3" t="n">
        <x:v>0</x:v>
      </x:c>
      <x:c r="M226" s="3" t="n">
        <x:v>0</x:v>
      </x:c>
      <x:c r="N226" s="3" t="n">
        <x:v>1</x:v>
      </x:c>
    </x:row>
    <x:row r="227" ht="21" customHeight="1">
      <x:c r="A227" s="3" t="n">
        <x:v>23</x:v>
      </x:c>
      <x:c r="B227" s="3" t="n">
        <x:v>6</x:v>
      </x:c>
      <x:c r="C227" s="3" t="n">
        <x:v>6</x:v>
      </x:c>
      <x:c r="D227" s="3" t="n">
        <x:v>1</x:v>
      </x:c>
      <x:c r="E227" s="3" t="n">
        <x:v>1</x:v>
      </x:c>
      <x:c r="F227" s="3" t="n">
        <x:v>4</x:v>
      </x:c>
      <x:c r="G227" s="3" t="n">
        <x:v>80</x:v>
      </x:c>
      <x:c r="H227" s="9" t="n">
        <x:v>0.511041</x:v>
      </x:c>
      <x:c r="I227" s="9" t="n">
        <x:v>-0.202624</x:v>
      </x:c>
      <x:c r="J227" s="9" t="n">
        <x:v>1.04096044</x:v>
      </x:c>
      <x:c r="K227" s="9" t="n">
        <x:v>83.276835</x:v>
      </x:c>
      <x:c r="L227" s="3" t="n">
        <x:v>0</x:v>
      </x:c>
      <x:c r="M227" s="3" t="n">
        <x:v>0</x:v>
      </x:c>
      <x:c r="N227" s="3" t="n">
        <x:v>1</x:v>
      </x:c>
    </x:row>
    <x:row r="228" ht="21" customHeight="1">
      <x:c r="A228" s="3" t="n">
        <x:v>23</x:v>
      </x:c>
      <x:c r="B228" s="3" t="n">
        <x:v>7</x:v>
      </x:c>
      <x:c r="C228" s="3" t="n">
        <x:v>7</x:v>
      </x:c>
      <x:c r="D228" s="3" t="n">
        <x:v>7</x:v>
      </x:c>
      <x:c r="E228" s="3" t="n">
        <x:v>8</x:v>
      </x:c>
      <x:c r="F228" s="3" t="n">
        <x:v>7</x:v>
      </x:c>
      <x:c r="G228" s="3" t="n">
        <x:v>57</x:v>
      </x:c>
      <x:c r="H228" s="9" t="n">
        <x:v>0.511041</x:v>
      </x:c>
      <x:c r="I228" s="9" t="n">
        <x:v>-1.95846</x:v>
      </x:c>
      <x:c r="J228" s="9" t="n">
        <x:v>0.87333177</x:v>
      </x:c>
      <x:c r="K228" s="9" t="n">
        <x:v>49.779911</x:v>
      </x:c>
      <x:c r="L228" s="3" t="n">
        <x:v>0</x:v>
      </x:c>
      <x:c r="M228" s="3" t="n">
        <x:v>0</x:v>
      </x:c>
      <x:c r="N228" s="3" t="n">
        <x:v>1</x:v>
      </x:c>
    </x:row>
    <x:row r="229" ht="21" customHeight="1">
      <x:c r="A229" s="3" t="n">
        <x:v>23</x:v>
      </x:c>
      <x:c r="B229" s="3" t="n">
        <x:v>8</x:v>
      </x:c>
      <x:c r="C229" s="3" t="n">
        <x:v>8</x:v>
      </x:c>
      <x:c r="D229" s="3" t="n">
        <x:v>3</x:v>
      </x:c>
      <x:c r="E229" s="3" t="n">
        <x:v>8</x:v>
      </x:c>
      <x:c r="F229" s="3" t="n">
        <x:v>2</x:v>
      </x:c>
      <x:c r="G229" s="3" t="n">
        <x:v>72</x:v>
      </x:c>
      <x:c r="H229" s="9" t="n">
        <x:v>0.511041</x:v>
      </x:c>
      <x:c r="I229" s="9" t="n">
        <x:v>-1.091237</x:v>
      </x:c>
      <x:c r="J229" s="9" t="n">
        <x:v>0.95245017</x:v>
      </x:c>
      <x:c r="K229" s="9" t="n">
        <x:v>68.576412</x:v>
      </x:c>
      <x:c r="L229" s="3" t="n">
        <x:v>0</x:v>
      </x:c>
      <x:c r="M229" s="3" t="n">
        <x:v>0</x:v>
      </x:c>
      <x:c r="N229" s="3" t="n">
        <x:v>1</x:v>
      </x:c>
    </x:row>
    <x:row r="230" ht="21" customHeight="1">
      <x:c r="A230" s="3" t="n">
        <x:v>23</x:v>
      </x:c>
      <x:c r="B230" s="3" t="n">
        <x:v>9</x:v>
      </x:c>
      <x:c r="C230" s="3" t="n">
        <x:v>9</x:v>
      </x:c>
      <x:c r="D230" s="3" t="n">
        <x:v>6</x:v>
      </x:c>
      <x:c r="E230" s="3" t="n">
        <x:v>10</x:v>
      </x:c>
      <x:c r="F230" s="3" t="n">
        <x:v>7</x:v>
      </x:c>
      <x:c r="G230" s="3" t="n">
        <x:v>57</x:v>
      </x:c>
      <x:c r="H230" s="9" t="n">
        <x:v>0.511041</x:v>
      </x:c>
      <x:c r="I230" s="9" t="n">
        <x:v>0.127558</x:v>
      </x:c>
      <x:c r="J230" s="9" t="n">
        <x:v>1.07590485</x:v>
      </x:c>
      <x:c r="K230" s="9" t="n">
        <x:v>61.326576</x:v>
      </x:c>
      <x:c r="L230" s="3" t="n">
        <x:v>0</x:v>
      </x:c>
      <x:c r="M230" s="3" t="n">
        <x:v>0</x:v>
      </x:c>
      <x:c r="N230" s="3" t="n">
        <x:v>1</x:v>
      </x:c>
    </x:row>
    <x:row r="231" ht="21" customHeight="1">
      <x:c r="A231" s="3" t="n">
        <x:v>23</x:v>
      </x:c>
      <x:c r="B231" s="3" t="n">
        <x:v>10</x:v>
      </x:c>
      <x:c r="C231" s="3" t="n">
        <x:v>10</x:v>
      </x:c>
      <x:c r="D231" s="3" t="n">
        <x:v>6</x:v>
      </x:c>
      <x:c r="E231" s="3" t="n">
        <x:v>7</x:v>
      </x:c>
      <x:c r="F231" s="3" t="n">
        <x:v>9</x:v>
      </x:c>
      <x:c r="G231" s="3" t="n">
        <x:v>73</x:v>
      </x:c>
      <x:c r="H231" s="9" t="n">
        <x:v>0.511041</x:v>
      </x:c>
      <x:c r="I231" s="9" t="n">
        <x:v>0.035864</x:v>
      </x:c>
      <x:c r="J231" s="9" t="n">
        <x:v>1.06608451</x:v>
      </x:c>
      <x:c r="K231" s="9" t="n">
        <x:v>77.824169</x:v>
      </x:c>
      <x:c r="L231" s="3" t="n">
        <x:v>0</x:v>
      </x:c>
      <x:c r="M231" s="3" t="n">
        <x:v>0</x:v>
      </x:c>
      <x:c r="N231" s="3" t="n">
        <x:v>1</x:v>
      </x:c>
    </x:row>
    <x:row r="232" ht="21" customHeight="1">
      <x:c r="A232" s="3" t="n">
        <x:v>24</x:v>
      </x:c>
      <x:c r="B232" s="3" t="n">
        <x:v>1</x:v>
      </x:c>
      <x:c r="C232" s="3" t="n">
        <x:v>1</x:v>
      </x:c>
      <x:c r="D232" s="3" t="n">
        <x:v>5</x:v>
      </x:c>
      <x:c r="E232" s="3" t="n">
        <x:v>10</x:v>
      </x:c>
      <x:c r="F232" s="3" t="n">
        <x:v>6</x:v>
      </x:c>
      <x:c r="G232" s="3" t="n">
        <x:v>71</x:v>
      </x:c>
      <x:c r="H232" s="9" t="n">
        <x:v>-0.29403</x:v>
      </x:c>
      <x:c r="I232" s="9" t="n">
        <x:v>0.506663</x:v>
      </x:c>
      <x:c r="J232" s="9" t="n">
        <x:v>0.99035866</x:v>
      </x:c>
      <x:c r="K232" s="9" t="n">
        <x:v>70.315465</x:v>
      </x:c>
      <x:c r="L232" s="3" t="n">
        <x:v>0</x:v>
      </x:c>
      <x:c r="M232" s="3" t="n">
        <x:v>0</x:v>
      </x:c>
      <x:c r="N232" s="3" t="n">
        <x:v>1</x:v>
      </x:c>
    </x:row>
    <x:row r="233" ht="21" customHeight="1">
      <x:c r="A233" s="3" t="n">
        <x:v>24</x:v>
      </x:c>
      <x:c r="B233" s="3" t="n">
        <x:v>2</x:v>
      </x:c>
      <x:c r="C233" s="3" t="n">
        <x:v>2</x:v>
      </x:c>
      <x:c r="D233" s="3" t="n">
        <x:v>2</x:v>
      </x:c>
      <x:c r="E233" s="3" t="n">
        <x:v>5</x:v>
      </x:c>
      <x:c r="F233" s="3" t="n">
        <x:v>8</x:v>
      </x:c>
      <x:c r="G233" s="3" t="n">
        <x:v>32</x:v>
      </x:c>
      <x:c r="H233" s="9" t="n">
        <x:v>-0.29403</x:v>
      </x:c>
      <x:c r="I233" s="9" t="n">
        <x:v>0.40356</x:v>
      </x:c>
      <x:c r="J233" s="9" t="n">
        <x:v>0.98020022</x:v>
      </x:c>
      <x:c r="K233" s="9" t="n">
        <x:v>31.366407</x:v>
      </x:c>
      <x:c r="L233" s="3" t="n">
        <x:v>0</x:v>
      </x:c>
      <x:c r="M233" s="3" t="n">
        <x:v>0</x:v>
      </x:c>
      <x:c r="N233" s="3" t="n">
        <x:v>1</x:v>
      </x:c>
    </x:row>
    <x:row r="234" ht="21" customHeight="1">
      <x:c r="A234" s="3" t="n">
        <x:v>24</x:v>
      </x:c>
      <x:c r="B234" s="3" t="n">
        <x:v>3</x:v>
      </x:c>
      <x:c r="C234" s="3" t="n">
        <x:v>3</x:v>
      </x:c>
      <x:c r="D234" s="3" t="n">
        <x:v>8</x:v>
      </x:c>
      <x:c r="E234" s="3" t="n">
        <x:v>9</x:v>
      </x:c>
      <x:c r="F234" s="3" t="n">
        <x:v>6</x:v>
      </x:c>
      <x:c r="G234" s="3" t="n">
        <x:v>78</x:v>
      </x:c>
      <x:c r="H234" s="9" t="n">
        <x:v>-0.29403</x:v>
      </x:c>
      <x:c r="I234" s="9" t="n">
        <x:v>0.370259</x:v>
      </x:c>
      <x:c r="J234" s="9" t="n">
        <x:v>0.97694145</x:v>
      </x:c>
      <x:c r="K234" s="9" t="n">
        <x:v>76.201433</x:v>
      </x:c>
      <x:c r="L234" s="3" t="n">
        <x:v>0</x:v>
      </x:c>
      <x:c r="M234" s="3" t="n">
        <x:v>0</x:v>
      </x:c>
      <x:c r="N234" s="3" t="n">
        <x:v>1</x:v>
      </x:c>
    </x:row>
    <x:row r="235" ht="21" customHeight="1">
      <x:c r="A235" s="3" t="n">
        <x:v>24</x:v>
      </x:c>
      <x:c r="B235" s="3" t="n">
        <x:v>4</x:v>
      </x:c>
      <x:c r="C235" s="3" t="n">
        <x:v>4</x:v>
      </x:c>
      <x:c r="D235" s="3" t="n">
        <x:v>1</x:v>
      </x:c>
      <x:c r="E235" s="3" t="n">
        <x:v>5</x:v>
      </x:c>
      <x:c r="F235" s="3" t="n">
        <x:v>6</x:v>
      </x:c>
      <x:c r="G235" s="3" t="n">
        <x:v>40</x:v>
      </x:c>
      <x:c r="H235" s="9" t="n">
        <x:v>-0.29403</x:v>
      </x:c>
      <x:c r="I235" s="9" t="n">
        <x:v>-0.583605</x:v>
      </x:c>
      <x:c r="J235" s="9" t="n">
        <x:v>0.8880609</x:v>
      </x:c>
      <x:c r="K235" s="9" t="n">
        <x:v>35.522436</x:v>
      </x:c>
      <x:c r="L235" s="3" t="n">
        <x:v>0</x:v>
      </x:c>
      <x:c r="M235" s="3" t="n">
        <x:v>0</x:v>
      </x:c>
      <x:c r="N235" s="3" t="n">
        <x:v>1</x:v>
      </x:c>
    </x:row>
    <x:row r="236" ht="21" customHeight="1">
      <x:c r="A236" s="3" t="n">
        <x:v>24</x:v>
      </x:c>
      <x:c r="B236" s="3" t="n">
        <x:v>5</x:v>
      </x:c>
      <x:c r="C236" s="3" t="n">
        <x:v>5</x:v>
      </x:c>
      <x:c r="D236" s="3" t="n">
        <x:v>4</x:v>
      </x:c>
      <x:c r="E236" s="3" t="n">
        <x:v>3</x:v>
      </x:c>
      <x:c r="F236" s="3" t="n">
        <x:v>4</x:v>
      </x:c>
      <x:c r="G236" s="3" t="n">
        <x:v>53</x:v>
      </x:c>
      <x:c r="H236" s="9" t="n">
        <x:v>-0.29403</x:v>
      </x:c>
      <x:c r="I236" s="9" t="n">
        <x:v>1.178917</x:v>
      </x:c>
      <x:c r="J236" s="9" t="n">
        <x:v>1.05922475</x:v>
      </x:c>
      <x:c r="K236" s="9" t="n">
        <x:v>56.138912</x:v>
      </x:c>
      <x:c r="L236" s="3" t="n">
        <x:v>0</x:v>
      </x:c>
      <x:c r="M236" s="3" t="n">
        <x:v>0</x:v>
      </x:c>
      <x:c r="N236" s="3" t="n">
        <x:v>1</x:v>
      </x:c>
    </x:row>
    <x:row r="237" ht="21" customHeight="1">
      <x:c r="A237" s="3" t="n">
        <x:v>24</x:v>
      </x:c>
      <x:c r="B237" s="3" t="n">
        <x:v>6</x:v>
      </x:c>
      <x:c r="C237" s="3" t="n">
        <x:v>6</x:v>
      </x:c>
      <x:c r="D237" s="3" t="n">
        <x:v>1</x:v>
      </x:c>
      <x:c r="E237" s="3" t="n">
        <x:v>1</x:v>
      </x:c>
      <x:c r="F237" s="3" t="n">
        <x:v>4</x:v>
      </x:c>
      <x:c r="G237" s="3" t="n">
        <x:v>80</x:v>
      </x:c>
      <x:c r="H237" s="9" t="n">
        <x:v>-0.29403</x:v>
      </x:c>
      <x:c r="I237" s="9" t="n">
        <x:v>-1.174796</x:v>
      </x:c>
      <x:c r="J237" s="9" t="n">
        <x:v>0.83708136</x:v>
      </x:c>
      <x:c r="K237" s="9" t="n">
        <x:v>66.966509</x:v>
      </x:c>
      <x:c r="L237" s="3" t="n">
        <x:v>0</x:v>
      </x:c>
      <x:c r="M237" s="3" t="n">
        <x:v>0</x:v>
      </x:c>
      <x:c r="N237" s="3" t="n">
        <x:v>1</x:v>
      </x:c>
    </x:row>
    <x:row r="238" ht="21" customHeight="1">
      <x:c r="A238" s="3" t="n">
        <x:v>24</x:v>
      </x:c>
      <x:c r="B238" s="3" t="n">
        <x:v>7</x:v>
      </x:c>
      <x:c r="C238" s="3" t="n">
        <x:v>7</x:v>
      </x:c>
      <x:c r="D238" s="3" t="n">
        <x:v>7</x:v>
      </x:c>
      <x:c r="E238" s="3" t="n">
        <x:v>8</x:v>
      </x:c>
      <x:c r="F238" s="3" t="n">
        <x:v>7</x:v>
      </x:c>
      <x:c r="G238" s="3" t="n">
        <x:v>57</x:v>
      </x:c>
      <x:c r="H238" s="9" t="n">
        <x:v>-0.29403</x:v>
      </x:c>
      <x:c r="I238" s="9" t="n">
        <x:v>0.533793</x:v>
      </x:c>
      <x:c r="J238" s="9" t="n">
        <x:v>0.99304909</x:v>
      </x:c>
      <x:c r="K238" s="9" t="n">
        <x:v>56.603798</x:v>
      </x:c>
      <x:c r="L238" s="3" t="n">
        <x:v>0</x:v>
      </x:c>
      <x:c r="M238" s="3" t="n">
        <x:v>0</x:v>
      </x:c>
      <x:c r="N238" s="3" t="n">
        <x:v>1</x:v>
      </x:c>
    </x:row>
    <x:row r="239" ht="21" customHeight="1">
      <x:c r="A239" s="3" t="n">
        <x:v>24</x:v>
      </x:c>
      <x:c r="B239" s="3" t="n">
        <x:v>8</x:v>
      </x:c>
      <x:c r="C239" s="3" t="n">
        <x:v>8</x:v>
      </x:c>
      <x:c r="D239" s="3" t="n">
        <x:v>3</x:v>
      </x:c>
      <x:c r="E239" s="3" t="n">
        <x:v>8</x:v>
      </x:c>
      <x:c r="F239" s="3" t="n">
        <x:v>2</x:v>
      </x:c>
      <x:c r="G239" s="3" t="n">
        <x:v>72</x:v>
      </x:c>
      <x:c r="H239" s="9" t="n">
        <x:v>-0.29403</x:v>
      </x:c>
      <x:c r="I239" s="9" t="n">
        <x:v>0.171031</x:v>
      </x:c>
      <x:c r="J239" s="9" t="n">
        <x:v>0.95767062</x:v>
      </x:c>
      <x:c r="K239" s="9" t="n">
        <x:v>68.952285</x:v>
      </x:c>
      <x:c r="L239" s="3" t="n">
        <x:v>0</x:v>
      </x:c>
      <x:c r="M239" s="3" t="n">
        <x:v>0</x:v>
      </x:c>
      <x:c r="N239" s="3" t="n">
        <x:v>1</x:v>
      </x:c>
    </x:row>
    <x:row r="240" ht="21" customHeight="1">
      <x:c r="A240" s="3" t="n">
        <x:v>24</x:v>
      </x:c>
      <x:c r="B240" s="3" t="n">
        <x:v>9</x:v>
      </x:c>
      <x:c r="C240" s="3" t="n">
        <x:v>9</x:v>
      </x:c>
      <x:c r="D240" s="3" t="n">
        <x:v>6</x:v>
      </x:c>
      <x:c r="E240" s="3" t="n">
        <x:v>10</x:v>
      </x:c>
      <x:c r="F240" s="3" t="n">
        <x:v>7</x:v>
      </x:c>
      <x:c r="G240" s="3" t="n">
        <x:v>57</x:v>
      </x:c>
      <x:c r="H240" s="9" t="n">
        <x:v>-0.29403</x:v>
      </x:c>
      <x:c r="I240" s="9" t="n">
        <x:v>-2.104966</x:v>
      </x:c>
      <x:c r="J240" s="9" t="n">
        <x:v>0.76273007</x:v>
      </x:c>
      <x:c r="K240" s="9" t="n">
        <x:v>43.475614</x:v>
      </x:c>
      <x:c r="L240" s="3" t="n">
        <x:v>0</x:v>
      </x:c>
      <x:c r="M240" s="3" t="n">
        <x:v>0</x:v>
      </x:c>
      <x:c r="N240" s="3" t="n">
        <x:v>1</x:v>
      </x:c>
    </x:row>
    <x:row r="241" ht="21" customHeight="1">
      <x:c r="A241" s="3" t="n">
        <x:v>24</x:v>
      </x:c>
      <x:c r="B241" s="3" t="n">
        <x:v>10</x:v>
      </x:c>
      <x:c r="C241" s="3" t="n">
        <x:v>10</x:v>
      </x:c>
      <x:c r="D241" s="3" t="n">
        <x:v>6</x:v>
      </x:c>
      <x:c r="E241" s="3" t="n">
        <x:v>7</x:v>
      </x:c>
      <x:c r="F241" s="3" t="n">
        <x:v>9</x:v>
      </x:c>
      <x:c r="G241" s="3" t="n">
        <x:v>73</x:v>
      </x:c>
      <x:c r="H241" s="9" t="n">
        <x:v>-0.29403</x:v>
      </x:c>
      <x:c r="I241" s="9" t="n">
        <x:v>0.707674</x:v>
      </x:c>
      <x:c r="J241" s="9" t="n">
        <x:v>1.01046734</x:v>
      </x:c>
      <x:c r="K241" s="9" t="n">
        <x:v>73.764116</x:v>
      </x:c>
      <x:c r="L241" s="3" t="n">
        <x:v>0</x:v>
      </x:c>
      <x:c r="M241" s="3" t="n">
        <x:v>0</x:v>
      </x:c>
      <x:c r="N241" s="3" t="n">
        <x:v>1</x:v>
      </x:c>
    </x:row>
    <x:row r="242" ht="21" customHeight="1">
      <x:c r="A242" s="3" t="n">
        <x:v>25</x:v>
      </x:c>
      <x:c r="B242" s="3" t="n">
        <x:v>1</x:v>
      </x:c>
      <x:c r="C242" s="3" t="n">
        <x:v>1</x:v>
      </x:c>
      <x:c r="D242" s="3" t="n">
        <x:v>5</x:v>
      </x:c>
      <x:c r="E242" s="3" t="n">
        <x:v>10</x:v>
      </x:c>
      <x:c r="F242" s="3" t="n">
        <x:v>6</x:v>
      </x:c>
      <x:c r="G242" s="3" t="n">
        <x:v>71</x:v>
      </x:c>
      <x:c r="H242" s="9" t="n">
        <x:v>-1.462349</x:v>
      </x:c>
      <x:c r="I242" s="9" t="n">
        <x:v>-1.668629</x:v>
      </x:c>
      <x:c r="J242" s="9" t="n">
        <x:v>0.66866965</x:v>
      </x:c>
      <x:c r="K242" s="9" t="n">
        <x:v>47.475545</x:v>
      </x:c>
      <x:c r="L242" s="3" t="n">
        <x:v>0</x:v>
      </x:c>
      <x:c r="M242" s="3" t="n">
        <x:v>0</x:v>
      </x:c>
      <x:c r="N242" s="3" t="n">
        <x:v>1</x:v>
      </x:c>
    </x:row>
    <x:row r="243" ht="21" customHeight="1">
      <x:c r="A243" s="3" t="n">
        <x:v>25</x:v>
      </x:c>
      <x:c r="B243" s="3" t="n">
        <x:v>2</x:v>
      </x:c>
      <x:c r="C243" s="3" t="n">
        <x:v>2</x:v>
      </x:c>
      <x:c r="D243" s="3" t="n">
        <x:v>2</x:v>
      </x:c>
      <x:c r="E243" s="3" t="n">
        <x:v>5</x:v>
      </x:c>
      <x:c r="F243" s="3" t="n">
        <x:v>8</x:v>
      </x:c>
      <x:c r="G243" s="3" t="n">
        <x:v>32</x:v>
      </x:c>
      <x:c r="H243" s="9" t="n">
        <x:v>-1.462349</x:v>
      </x:c>
      <x:c r="I243" s="9" t="n">
        <x:v>0.24029</x:v>
      </x:c>
      <x:c r="J243" s="9" t="n">
        <x:v>0.80930999</x:v>
      </x:c>
      <x:c r="K243" s="9" t="n">
        <x:v>25.89792</x:v>
      </x:c>
      <x:c r="L243" s="3" t="n">
        <x:v>0</x:v>
      </x:c>
      <x:c r="M243" s="3" t="n">
        <x:v>0</x:v>
      </x:c>
      <x:c r="N243" s="3" t="n">
        <x:v>1</x:v>
      </x:c>
    </x:row>
    <x:row r="244" ht="21" customHeight="1">
      <x:c r="A244" s="3" t="n">
        <x:v>25</x:v>
      </x:c>
      <x:c r="B244" s="3" t="n">
        <x:v>3</x:v>
      </x:c>
      <x:c r="C244" s="3" t="n">
        <x:v>3</x:v>
      </x:c>
      <x:c r="D244" s="3" t="n">
        <x:v>8</x:v>
      </x:c>
      <x:c r="E244" s="3" t="n">
        <x:v>9</x:v>
      </x:c>
      <x:c r="F244" s="3" t="n">
        <x:v>6</x:v>
      </x:c>
      <x:c r="G244" s="3" t="n">
        <x:v>78</x:v>
      </x:c>
      <x:c r="H244" s="9" t="n">
        <x:v>-1.462349</x:v>
      </x:c>
      <x:c r="I244" s="9" t="n">
        <x:v>0.555314</x:v>
      </x:c>
      <x:c r="J244" s="9" t="n">
        <x:v>0.83521098</x:v>
      </x:c>
      <x:c r="K244" s="9" t="n">
        <x:v>65.146456</x:v>
      </x:c>
      <x:c r="L244" s="3" t="n">
        <x:v>0</x:v>
      </x:c>
      <x:c r="M244" s="3" t="n">
        <x:v>0</x:v>
      </x:c>
      <x:c r="N244" s="3" t="n">
        <x:v>1</x:v>
      </x:c>
    </x:row>
    <x:row r="245" ht="21" customHeight="1">
      <x:c r="A245" s="3" t="n">
        <x:v>25</x:v>
      </x:c>
      <x:c r="B245" s="3" t="n">
        <x:v>4</x:v>
      </x:c>
      <x:c r="C245" s="3" t="n">
        <x:v>4</x:v>
      </x:c>
      <x:c r="D245" s="3" t="n">
        <x:v>1</x:v>
      </x:c>
      <x:c r="E245" s="3" t="n">
        <x:v>5</x:v>
      </x:c>
      <x:c r="F245" s="3" t="n">
        <x:v>6</x:v>
      </x:c>
      <x:c r="G245" s="3" t="n">
        <x:v>40</x:v>
      </x:c>
      <x:c r="H245" s="9" t="n">
        <x:v>-1.462349</x:v>
      </x:c>
      <x:c r="I245" s="9" t="n">
        <x:v>0.647002</x:v>
      </x:c>
      <x:c r="J245" s="9" t="n">
        <x:v>0.84290411</x:v>
      </x:c>
      <x:c r="K245" s="9" t="n">
        <x:v>33.716164</x:v>
      </x:c>
      <x:c r="L245" s="3" t="n">
        <x:v>0</x:v>
      </x:c>
      <x:c r="M245" s="3" t="n">
        <x:v>0</x:v>
      </x:c>
      <x:c r="N245" s="3" t="n">
        <x:v>1</x:v>
      </x:c>
    </x:row>
    <x:row r="246" ht="21" customHeight="1">
      <x:c r="A246" s="3" t="n">
        <x:v>25</x:v>
      </x:c>
      <x:c r="B246" s="3" t="n">
        <x:v>5</x:v>
      </x:c>
      <x:c r="C246" s="3" t="n">
        <x:v>5</x:v>
      </x:c>
      <x:c r="D246" s="3" t="n">
        <x:v>4</x:v>
      </x:c>
      <x:c r="E246" s="3" t="n">
        <x:v>3</x:v>
      </x:c>
      <x:c r="F246" s="3" t="n">
        <x:v>4</x:v>
      </x:c>
      <x:c r="G246" s="3" t="n">
        <x:v>53</x:v>
      </x:c>
      <x:c r="H246" s="9" t="n">
        <x:v>-1.462349</x:v>
      </x:c>
      <x:c r="I246" s="9" t="n">
        <x:v>-0.747582</x:v>
      </x:c>
      <x:c r="J246" s="9" t="n">
        <x:v>0.73318262</x:v>
      </x:c>
      <x:c r="K246" s="9" t="n">
        <x:v>38.858679</x:v>
      </x:c>
      <x:c r="L246" s="3" t="n">
        <x:v>0</x:v>
      </x:c>
      <x:c r="M246" s="3" t="n">
        <x:v>0</x:v>
      </x:c>
      <x:c r="N246" s="3" t="n">
        <x:v>1</x:v>
      </x:c>
    </x:row>
    <x:row r="247" ht="21" customHeight="1">
      <x:c r="A247" s="3" t="n">
        <x:v>25</x:v>
      </x:c>
      <x:c r="B247" s="3" t="n">
        <x:v>6</x:v>
      </x:c>
      <x:c r="C247" s="3" t="n">
        <x:v>6</x:v>
      </x:c>
      <x:c r="D247" s="3" t="n">
        <x:v>1</x:v>
      </x:c>
      <x:c r="E247" s="3" t="n">
        <x:v>1</x:v>
      </x:c>
      <x:c r="F247" s="3" t="n">
        <x:v>4</x:v>
      </x:c>
      <x:c r="G247" s="3" t="n">
        <x:v>80</x:v>
      </x:c>
      <x:c r="H247" s="9" t="n">
        <x:v>-1.462349</x:v>
      </x:c>
      <x:c r="I247" s="9" t="n">
        <x:v>1.04222</x:v>
      </x:c>
      <x:c r="J247" s="9" t="n">
        <x:v>0.87688425</x:v>
      </x:c>
      <x:c r="K247" s="9" t="n">
        <x:v>70.15074</x:v>
      </x:c>
      <x:c r="L247" s="3" t="n">
        <x:v>0</x:v>
      </x:c>
      <x:c r="M247" s="3" t="n">
        <x:v>0</x:v>
      </x:c>
      <x:c r="N247" s="3" t="n">
        <x:v>1</x:v>
      </x:c>
    </x:row>
    <x:row r="248" ht="21" customHeight="1">
      <x:c r="A248" s="3" t="n">
        <x:v>25</x:v>
      </x:c>
      <x:c r="B248" s="3" t="n">
        <x:v>7</x:v>
      </x:c>
      <x:c r="C248" s="3" t="n">
        <x:v>7</x:v>
      </x:c>
      <x:c r="D248" s="3" t="n">
        <x:v>7</x:v>
      </x:c>
      <x:c r="E248" s="3" t="n">
        <x:v>8</x:v>
      </x:c>
      <x:c r="F248" s="3" t="n">
        <x:v>7</x:v>
      </x:c>
      <x:c r="G248" s="3" t="n">
        <x:v>57</x:v>
      </x:c>
      <x:c r="H248" s="9" t="n">
        <x:v>-1.462349</x:v>
      </x:c>
      <x:c r="I248" s="9" t="n">
        <x:v>0.375186</x:v>
      </x:c>
      <x:c r="J248" s="9" t="n">
        <x:v>0.82030125</x:v>
      </x:c>
      <x:c r="K248" s="9" t="n">
        <x:v>46.757171</x:v>
      </x:c>
      <x:c r="L248" s="3" t="n">
        <x:v>0</x:v>
      </x:c>
      <x:c r="M248" s="3" t="n">
        <x:v>0</x:v>
      </x:c>
      <x:c r="N248" s="3" t="n">
        <x:v>1</x:v>
      </x:c>
    </x:row>
    <x:row r="249" ht="21" customHeight="1">
      <x:c r="A249" s="3" t="n">
        <x:v>25</x:v>
      </x:c>
      <x:c r="B249" s="3" t="n">
        <x:v>8</x:v>
      </x:c>
      <x:c r="C249" s="3" t="n">
        <x:v>8</x:v>
      </x:c>
      <x:c r="D249" s="3" t="n">
        <x:v>3</x:v>
      </x:c>
      <x:c r="E249" s="3" t="n">
        <x:v>8</x:v>
      </x:c>
      <x:c r="F249" s="3" t="n">
        <x:v>2</x:v>
      </x:c>
      <x:c r="G249" s="3" t="n">
        <x:v>72</x:v>
      </x:c>
      <x:c r="H249" s="9" t="n">
        <x:v>-1.462349</x:v>
      </x:c>
      <x:c r="I249" s="9" t="n">
        <x:v>-0.795432</x:v>
      </x:c>
      <x:c r="J249" s="9" t="n">
        <x:v>0.72968272</x:v>
      </x:c>
      <x:c r="K249" s="9" t="n">
        <x:v>52.537156</x:v>
      </x:c>
      <x:c r="L249" s="3" t="n">
        <x:v>0</x:v>
      </x:c>
      <x:c r="M249" s="3" t="n">
        <x:v>0</x:v>
      </x:c>
      <x:c r="N249" s="3" t="n">
        <x:v>1</x:v>
      </x:c>
    </x:row>
    <x:row r="250" ht="21" customHeight="1">
      <x:c r="A250" s="3" t="n">
        <x:v>25</x:v>
      </x:c>
      <x:c r="B250" s="3" t="n">
        <x:v>9</x:v>
      </x:c>
      <x:c r="C250" s="3" t="n">
        <x:v>9</x:v>
      </x:c>
      <x:c r="D250" s="3" t="n">
        <x:v>6</x:v>
      </x:c>
      <x:c r="E250" s="3" t="n">
        <x:v>10</x:v>
      </x:c>
      <x:c r="F250" s="3" t="n">
        <x:v>7</x:v>
      </x:c>
      <x:c r="G250" s="3" t="n">
        <x:v>57</x:v>
      </x:c>
      <x:c r="H250" s="9" t="n">
        <x:v>-1.462349</x:v>
      </x:c>
      <x:c r="I250" s="9" t="n">
        <x:v>-0.344606</x:v>
      </x:c>
      <x:c r="J250" s="9" t="n">
        <x:v>0.76333153</x:v>
      </x:c>
      <x:c r="K250" s="9" t="n">
        <x:v>43.509897</x:v>
      </x:c>
      <x:c r="L250" s="3" t="n">
        <x:v>0</x:v>
      </x:c>
      <x:c r="M250" s="3" t="n">
        <x:v>0</x:v>
      </x:c>
      <x:c r="N250" s="3" t="n">
        <x:v>1</x:v>
      </x:c>
    </x:row>
    <x:row r="251" ht="21" customHeight="1">
      <x:c r="A251" s="3" t="n">
        <x:v>25</x:v>
      </x:c>
      <x:c r="B251" s="3" t="n">
        <x:v>10</x:v>
      </x:c>
      <x:c r="C251" s="3" t="n">
        <x:v>10</x:v>
      </x:c>
      <x:c r="D251" s="3" t="n">
        <x:v>6</x:v>
      </x:c>
      <x:c r="E251" s="3" t="n">
        <x:v>7</x:v>
      </x:c>
      <x:c r="F251" s="3" t="n">
        <x:v>9</x:v>
      </x:c>
      <x:c r="G251" s="3" t="n">
        <x:v>73</x:v>
      </x:c>
      <x:c r="H251" s="9" t="n">
        <x:v>-1.462349</x:v>
      </x:c>
      <x:c r="I251" s="9" t="n">
        <x:v>-0.559802</x:v>
      </x:c>
      <x:c r="J251" s="9" t="n">
        <x:v>0.74708043</x:v>
      </x:c>
      <x:c r="K251" s="9" t="n">
        <x:v>54.536871</x:v>
      </x:c>
      <x:c r="L251" s="3" t="n">
        <x:v>0</x:v>
      </x:c>
      <x:c r="M251" s="3" t="n">
        <x:v>0</x:v>
      </x:c>
      <x:c r="N251" s="3" t="n">
        <x:v>1</x:v>
      </x:c>
    </x:row>
    <x:row r="252" ht="21" customHeight="1">
      <x:c r="A252" s="3" t="n">
        <x:v>26</x:v>
      </x:c>
      <x:c r="B252" s="3" t="n">
        <x:v>1</x:v>
      </x:c>
      <x:c r="C252" s="3" t="n">
        <x:v>1</x:v>
      </x:c>
      <x:c r="D252" s="3" t="n">
        <x:v>5</x:v>
      </x:c>
      <x:c r="E252" s="3" t="n">
        <x:v>10</x:v>
      </x:c>
      <x:c r="F252" s="3" t="n">
        <x:v>6</x:v>
      </x:c>
      <x:c r="G252" s="3" t="n">
        <x:v>71</x:v>
      </x:c>
      <x:c r="H252" s="9" t="n">
        <x:v>1.420043</x:v>
      </x:c>
      <x:c r="I252" s="9" t="n">
        <x:v>-0.063739</x:v>
      </x:c>
      <x:c r="J252" s="9" t="n">
        <x:v>1.20971232</x:v>
      </x:c>
      <x:c r="K252" s="9" t="n">
        <x:v>85.889575</x:v>
      </x:c>
      <x:c r="L252" s="3" t="n">
        <x:v>0</x:v>
      </x:c>
      <x:c r="M252" s="3" t="n">
        <x:v>0</x:v>
      </x:c>
      <x:c r="N252" s="3" t="n">
        <x:v>1</x:v>
      </x:c>
    </x:row>
    <x:row r="253" ht="21" customHeight="1">
      <x:c r="A253" s="3" t="n">
        <x:v>26</x:v>
      </x:c>
      <x:c r="B253" s="3" t="n">
        <x:v>2</x:v>
      </x:c>
      <x:c r="C253" s="3" t="n">
        <x:v>2</x:v>
      </x:c>
      <x:c r="D253" s="3" t="n">
        <x:v>2</x:v>
      </x:c>
      <x:c r="E253" s="3" t="n">
        <x:v>5</x:v>
      </x:c>
      <x:c r="F253" s="3" t="n">
        <x:v>8</x:v>
      </x:c>
      <x:c r="G253" s="3" t="n">
        <x:v>32</x:v>
      </x:c>
      <x:c r="H253" s="9" t="n">
        <x:v>1.420043</x:v>
      </x:c>
      <x:c r="I253" s="9" t="n">
        <x:v>-1.275987</x:v>
      </x:c>
      <x:c r="J253" s="9" t="n">
        <x:v>1.07160522</x:v>
      </x:c>
      <x:c r="K253" s="9" t="n">
        <x:v>34.291367</x:v>
      </x:c>
      <x:c r="L253" s="3" t="n">
        <x:v>0</x:v>
      </x:c>
      <x:c r="M253" s="3" t="n">
        <x:v>0</x:v>
      </x:c>
      <x:c r="N253" s="3" t="n">
        <x:v>1</x:v>
      </x:c>
    </x:row>
    <x:row r="254" ht="21" customHeight="1">
      <x:c r="A254" s="3" t="n">
        <x:v>26</x:v>
      </x:c>
      <x:c r="B254" s="3" t="n">
        <x:v>3</x:v>
      </x:c>
      <x:c r="C254" s="3" t="n">
        <x:v>3</x:v>
      </x:c>
      <x:c r="D254" s="3" t="n">
        <x:v>8</x:v>
      </x:c>
      <x:c r="E254" s="3" t="n">
        <x:v>9</x:v>
      </x:c>
      <x:c r="F254" s="3" t="n">
        <x:v>6</x:v>
      </x:c>
      <x:c r="G254" s="3" t="n">
        <x:v>78</x:v>
      </x:c>
      <x:c r="H254" s="9" t="n">
        <x:v>1.420043</x:v>
      </x:c>
      <x:c r="I254" s="9" t="n">
        <x:v>-0.494107</x:v>
      </x:c>
      <x:c r="J254" s="9" t="n">
        <x:v>1.15875447</x:v>
      </x:c>
      <x:c r="K254" s="9" t="n">
        <x:v>90.382849</x:v>
      </x:c>
      <x:c r="L254" s="3" t="n">
        <x:v>0</x:v>
      </x:c>
      <x:c r="M254" s="3" t="n">
        <x:v>0</x:v>
      </x:c>
      <x:c r="N254" s="3" t="n">
        <x:v>1</x:v>
      </x:c>
    </x:row>
    <x:row r="255" ht="21" customHeight="1">
      <x:c r="A255" s="3" t="n">
        <x:v>26</x:v>
      </x:c>
      <x:c r="B255" s="3" t="n">
        <x:v>4</x:v>
      </x:c>
      <x:c r="C255" s="3" t="n">
        <x:v>4</x:v>
      </x:c>
      <x:c r="D255" s="3" t="n">
        <x:v>1</x:v>
      </x:c>
      <x:c r="E255" s="3" t="n">
        <x:v>5</x:v>
      </x:c>
      <x:c r="F255" s="3" t="n">
        <x:v>6</x:v>
      </x:c>
      <x:c r="G255" s="3" t="n">
        <x:v>40</x:v>
      </x:c>
      <x:c r="H255" s="9" t="n">
        <x:v>1.420043</x:v>
      </x:c>
      <x:c r="I255" s="9" t="n">
        <x:v>0.922165</x:v>
      </x:c>
      <x:c r="J255" s="9" t="n">
        <x:v>1.3350556</x:v>
      </x:c>
      <x:c r="K255" s="9" t="n">
        <x:v>53.402224</x:v>
      </x:c>
      <x:c r="L255" s="3" t="n">
        <x:v>0</x:v>
      </x:c>
      <x:c r="M255" s="3" t="n">
        <x:v>0</x:v>
      </x:c>
      <x:c r="N255" s="3" t="n">
        <x:v>1</x:v>
      </x:c>
    </x:row>
    <x:row r="256" ht="21" customHeight="1">
      <x:c r="A256" s="3" t="n">
        <x:v>26</x:v>
      </x:c>
      <x:c r="B256" s="3" t="n">
        <x:v>5</x:v>
      </x:c>
      <x:c r="C256" s="3" t="n">
        <x:v>5</x:v>
      </x:c>
      <x:c r="D256" s="3" t="n">
        <x:v>4</x:v>
      </x:c>
      <x:c r="E256" s="3" t="n">
        <x:v>3</x:v>
      </x:c>
      <x:c r="F256" s="3" t="n">
        <x:v>4</x:v>
      </x:c>
      <x:c r="G256" s="3" t="n">
        <x:v>53</x:v>
      </x:c>
      <x:c r="H256" s="9" t="n">
        <x:v>1.420043</x:v>
      </x:c>
      <x:c r="I256" s="9" t="n">
        <x:v>-0.680464</x:v>
      </x:c>
      <x:c r="J256" s="9" t="n">
        <x:v>1.13736028</x:v>
      </x:c>
      <x:c r="K256" s="9" t="n">
        <x:v>60.280095</x:v>
      </x:c>
      <x:c r="L256" s="3" t="n">
        <x:v>0</x:v>
      </x:c>
      <x:c r="M256" s="3" t="n">
        <x:v>0</x:v>
      </x:c>
      <x:c r="N256" s="3" t="n">
        <x:v>1</x:v>
      </x:c>
    </x:row>
    <x:row r="257" ht="21" customHeight="1">
      <x:c r="A257" s="3" t="n">
        <x:v>26</x:v>
      </x:c>
      <x:c r="B257" s="3" t="n">
        <x:v>6</x:v>
      </x:c>
      <x:c r="C257" s="3" t="n">
        <x:v>6</x:v>
      </x:c>
      <x:c r="D257" s="3" t="n">
        <x:v>1</x:v>
      </x:c>
      <x:c r="E257" s="3" t="n">
        <x:v>1</x:v>
      </x:c>
      <x:c r="F257" s="3" t="n">
        <x:v>4</x:v>
      </x:c>
      <x:c r="G257" s="3" t="n">
        <x:v>80</x:v>
      </x:c>
      <x:c r="H257" s="9" t="n">
        <x:v>1.420043</x:v>
      </x:c>
      <x:c r="I257" s="9" t="n">
        <x:v>-0.22905</x:v>
      </x:c>
      <x:c r="J257" s="9" t="n">
        <x:v>1.18987875</x:v>
      </x:c>
      <x:c r="K257" s="9" t="n">
        <x:v>95.1903</x:v>
      </x:c>
      <x:c r="L257" s="3" t="n">
        <x:v>0</x:v>
      </x:c>
      <x:c r="M257" s="3" t="n">
        <x:v>0</x:v>
      </x:c>
      <x:c r="N257" s="3" t="n">
        <x:v>1</x:v>
      </x:c>
    </x:row>
    <x:row r="258" ht="21" customHeight="1">
      <x:c r="A258" s="3" t="n">
        <x:v>26</x:v>
      </x:c>
      <x:c r="B258" s="3" t="n">
        <x:v>7</x:v>
      </x:c>
      <x:c r="C258" s="3" t="n">
        <x:v>7</x:v>
      </x:c>
      <x:c r="D258" s="3" t="n">
        <x:v>7</x:v>
      </x:c>
      <x:c r="E258" s="3" t="n">
        <x:v>8</x:v>
      </x:c>
      <x:c r="F258" s="3" t="n">
        <x:v>7</x:v>
      </x:c>
      <x:c r="G258" s="3" t="n">
        <x:v>57</x:v>
      </x:c>
      <x:c r="H258" s="9" t="n">
        <x:v>1.420043</x:v>
      </x:c>
      <x:c r="I258" s="9" t="n">
        <x:v>-0.339511</x:v>
      </x:c>
      <x:c r="J258" s="9" t="n">
        <x:v>1.17680762</x:v>
      </x:c>
      <x:c r="K258" s="9" t="n">
        <x:v>67.078035</x:v>
      </x:c>
      <x:c r="L258" s="3" t="n">
        <x:v>0</x:v>
      </x:c>
      <x:c r="M258" s="3" t="n">
        <x:v>0</x:v>
      </x:c>
      <x:c r="N258" s="3" t="n">
        <x:v>1</x:v>
      </x:c>
    </x:row>
    <x:row r="259" ht="21" customHeight="1">
      <x:c r="A259" s="3" t="n">
        <x:v>26</x:v>
      </x:c>
      <x:c r="B259" s="3" t="n">
        <x:v>8</x:v>
      </x:c>
      <x:c r="C259" s="3" t="n">
        <x:v>8</x:v>
      </x:c>
      <x:c r="D259" s="3" t="n">
        <x:v>3</x:v>
      </x:c>
      <x:c r="E259" s="3" t="n">
        <x:v>8</x:v>
      </x:c>
      <x:c r="F259" s="3" t="n">
        <x:v>2</x:v>
      </x:c>
      <x:c r="G259" s="3" t="n">
        <x:v>72</x:v>
      </x:c>
      <x:c r="H259" s="9" t="n">
        <x:v>1.420043</x:v>
      </x:c>
      <x:c r="I259" s="9" t="n">
        <x:v>-1.155425</x:v>
      </x:c>
      <x:c r="J259" s="9" t="n">
        <x:v>1.08460296</x:v>
      </x:c>
      <x:c r="K259" s="9" t="n">
        <x:v>78.091413</x:v>
      </x:c>
      <x:c r="L259" s="3" t="n">
        <x:v>0</x:v>
      </x:c>
      <x:c r="M259" s="3" t="n">
        <x:v>0</x:v>
      </x:c>
      <x:c r="N259" s="3" t="n">
        <x:v>1</x:v>
      </x:c>
    </x:row>
    <x:row r="260" ht="21" customHeight="1">
      <x:c r="A260" s="3" t="n">
        <x:v>26</x:v>
      </x:c>
      <x:c r="B260" s="3" t="n">
        <x:v>9</x:v>
      </x:c>
      <x:c r="C260" s="3" t="n">
        <x:v>9</x:v>
      </x:c>
      <x:c r="D260" s="3" t="n">
        <x:v>6</x:v>
      </x:c>
      <x:c r="E260" s="3" t="n">
        <x:v>10</x:v>
      </x:c>
      <x:c r="F260" s="3" t="n">
        <x:v>7</x:v>
      </x:c>
      <x:c r="G260" s="3" t="n">
        <x:v>57</x:v>
      </x:c>
      <x:c r="H260" s="9" t="n">
        <x:v>1.420043</x:v>
      </x:c>
      <x:c r="I260" s="9" t="n">
        <x:v>0.917216</x:v>
      </x:c>
      <x:c r="J260" s="9" t="n">
        <x:v>1.33439508</x:v>
      </x:c>
      <x:c r="K260" s="9" t="n">
        <x:v>76.060519</x:v>
      </x:c>
      <x:c r="L260" s="3" t="n">
        <x:v>0</x:v>
      </x:c>
      <x:c r="M260" s="3" t="n">
        <x:v>0</x:v>
      </x:c>
      <x:c r="N260" s="3" t="n">
        <x:v>1</x:v>
      </x:c>
    </x:row>
    <x:row r="261" ht="21" customHeight="1">
      <x:c r="A261" s="3" t="n">
        <x:v>26</x:v>
      </x:c>
      <x:c r="B261" s="3" t="n">
        <x:v>10</x:v>
      </x:c>
      <x:c r="C261" s="3" t="n">
        <x:v>10</x:v>
      </x:c>
      <x:c r="D261" s="3" t="n">
        <x:v>6</x:v>
      </x:c>
      <x:c r="E261" s="3" t="n">
        <x:v>7</x:v>
      </x:c>
      <x:c r="F261" s="3" t="n">
        <x:v>9</x:v>
      </x:c>
      <x:c r="G261" s="3" t="n">
        <x:v>73</x:v>
      </x:c>
      <x:c r="H261" s="9" t="n">
        <x:v>1.420043</x:v>
      </x:c>
      <x:c r="I261" s="9" t="n">
        <x:v>-0.057493</x:v>
      </x:c>
      <x:c r="J261" s="9" t="n">
        <x:v>1.21046808</x:v>
      </x:c>
      <x:c r="K261" s="9" t="n">
        <x:v>88.36417</x:v>
      </x:c>
      <x:c r="L261" s="3" t="n">
        <x:v>0</x:v>
      </x:c>
      <x:c r="M261" s="3" t="n">
        <x:v>0</x:v>
      </x:c>
      <x:c r="N261" s="3" t="n">
        <x:v>1</x:v>
      </x:c>
    </x:row>
    <x:row r="262" ht="21" customHeight="1">
      <x:c r="A262" s="3" t="n">
        <x:v>27</x:v>
      </x:c>
      <x:c r="B262" s="3" t="n">
        <x:v>1</x:v>
      </x:c>
      <x:c r="C262" s="3" t="n">
        <x:v>1</x:v>
      </x:c>
      <x:c r="D262" s="3" t="n">
        <x:v>5</x:v>
      </x:c>
      <x:c r="E262" s="3" t="n">
        <x:v>10</x:v>
      </x:c>
      <x:c r="F262" s="3" t="n">
        <x:v>6</x:v>
      </x:c>
      <x:c r="G262" s="3" t="n">
        <x:v>71</x:v>
      </x:c>
      <x:c r="H262" s="9" t="n">
        <x:v>0.136115</x:v>
      </x:c>
      <x:c r="I262" s="9" t="n">
        <x:v>-0.117852</x:v>
      </x:c>
      <x:c r="J262" s="9" t="n">
        <x:v>0.99241106</x:v>
      </x:c>
      <x:c r="K262" s="9" t="n">
        <x:v>70.461185</x:v>
      </x:c>
      <x:c r="L262" s="3" t="n">
        <x:v>0</x:v>
      </x:c>
      <x:c r="M262" s="3" t="n">
        <x:v>0</x:v>
      </x:c>
      <x:c r="N262" s="3" t="n">
        <x:v>1</x:v>
      </x:c>
    </x:row>
    <x:row r="263" ht="21" customHeight="1">
      <x:c r="A263" s="3" t="n">
        <x:v>27</x:v>
      </x:c>
      <x:c r="B263" s="3" t="n">
        <x:v>2</x:v>
      </x:c>
      <x:c r="C263" s="3" t="n">
        <x:v>2</x:v>
      </x:c>
      <x:c r="D263" s="3" t="n">
        <x:v>2</x:v>
      </x:c>
      <x:c r="E263" s="3" t="n">
        <x:v>5</x:v>
      </x:c>
      <x:c r="F263" s="3" t="n">
        <x:v>8</x:v>
      </x:c>
      <x:c r="G263" s="3" t="n">
        <x:v>32</x:v>
      </x:c>
      <x:c r="H263" s="9" t="n">
        <x:v>0.136115</x:v>
      </x:c>
      <x:c r="I263" s="9" t="n">
        <x:v>1.199438</x:v>
      </x:c>
      <x:c r="J263" s="9" t="n">
        <x:v>1.13214158</x:v>
      </x:c>
      <x:c r="K263" s="9" t="n">
        <x:v>36.228531</x:v>
      </x:c>
      <x:c r="L263" s="3" t="n">
        <x:v>0</x:v>
      </x:c>
      <x:c r="M263" s="3" t="n">
        <x:v>0</x:v>
      </x:c>
      <x:c r="N263" s="3" t="n">
        <x:v>1</x:v>
      </x:c>
    </x:row>
    <x:row r="264" ht="21" customHeight="1">
      <x:c r="A264" s="3" t="n">
        <x:v>27</x:v>
      </x:c>
      <x:c r="B264" s="3" t="n">
        <x:v>3</x:v>
      </x:c>
      <x:c r="C264" s="3" t="n">
        <x:v>3</x:v>
      </x:c>
      <x:c r="D264" s="3" t="n">
        <x:v>8</x:v>
      </x:c>
      <x:c r="E264" s="3" t="n">
        <x:v>9</x:v>
      </x:c>
      <x:c r="F264" s="3" t="n">
        <x:v>6</x:v>
      </x:c>
      <x:c r="G264" s="3" t="n">
        <x:v>78</x:v>
      </x:c>
      <x:c r="H264" s="9" t="n">
        <x:v>0.136115</x:v>
      </x:c>
      <x:c r="I264" s="9" t="n">
        <x:v>0.855118</x:v>
      </x:c>
      <x:c r="J264" s="9" t="n">
        <x:v>1.09382316</x:v>
      </x:c>
      <x:c r="K264" s="9" t="n">
        <x:v>85.318206</x:v>
      </x:c>
      <x:c r="L264" s="3" t="n">
        <x:v>0</x:v>
      </x:c>
      <x:c r="M264" s="3" t="n">
        <x:v>0</x:v>
      </x:c>
      <x:c r="N264" s="3" t="n">
        <x:v>1</x:v>
      </x:c>
    </x:row>
    <x:row r="265" ht="21" customHeight="1">
      <x:c r="A265" s="3" t="n">
        <x:v>27</x:v>
      </x:c>
      <x:c r="B265" s="3" t="n">
        <x:v>4</x:v>
      </x:c>
      <x:c r="C265" s="3" t="n">
        <x:v>4</x:v>
      </x:c>
      <x:c r="D265" s="3" t="n">
        <x:v>1</x:v>
      </x:c>
      <x:c r="E265" s="3" t="n">
        <x:v>5</x:v>
      </x:c>
      <x:c r="F265" s="3" t="n">
        <x:v>6</x:v>
      </x:c>
      <x:c r="G265" s="3" t="n">
        <x:v>40</x:v>
      </x:c>
      <x:c r="H265" s="9" t="n">
        <x:v>0.136115</x:v>
      </x:c>
      <x:c r="I265" s="9" t="n">
        <x:v>-0.003329</x:v>
      </x:c>
      <x:c r="J265" s="9" t="n">
        <x:v>1.00384174</x:v>
      </x:c>
      <x:c r="K265" s="9" t="n">
        <x:v>40.15367</x:v>
      </x:c>
      <x:c r="L265" s="3" t="n">
        <x:v>0</x:v>
      </x:c>
      <x:c r="M265" s="3" t="n">
        <x:v>0</x:v>
      </x:c>
      <x:c r="N265" s="3" t="n">
        <x:v>1</x:v>
      </x:c>
    </x:row>
    <x:row r="266" ht="21" customHeight="1">
      <x:c r="A266" s="3" t="n">
        <x:v>27</x:v>
      </x:c>
      <x:c r="B266" s="3" t="n">
        <x:v>5</x:v>
      </x:c>
      <x:c r="C266" s="3" t="n">
        <x:v>5</x:v>
      </x:c>
      <x:c r="D266" s="3" t="n">
        <x:v>4</x:v>
      </x:c>
      <x:c r="E266" s="3" t="n">
        <x:v>3</x:v>
      </x:c>
      <x:c r="F266" s="3" t="n">
        <x:v>4</x:v>
      </x:c>
      <x:c r="G266" s="3" t="n">
        <x:v>53</x:v>
      </x:c>
      <x:c r="H266" s="9" t="n">
        <x:v>0.136115</x:v>
      </x:c>
      <x:c r="I266" s="9" t="n">
        <x:v>0.663603</x:v>
      </x:c>
      <x:c r="J266" s="9" t="n">
        <x:v>1.0730742</x:v>
      </x:c>
      <x:c r="K266" s="9" t="n">
        <x:v>56.872933</x:v>
      </x:c>
      <x:c r="L266" s="3" t="n">
        <x:v>0</x:v>
      </x:c>
      <x:c r="M266" s="3" t="n">
        <x:v>0</x:v>
      </x:c>
      <x:c r="N266" s="3" t="n">
        <x:v>1</x:v>
      </x:c>
    </x:row>
    <x:row r="267" ht="21" customHeight="1">
      <x:c r="A267" s="3" t="n">
        <x:v>27</x:v>
      </x:c>
      <x:c r="B267" s="3" t="n">
        <x:v>6</x:v>
      </x:c>
      <x:c r="C267" s="3" t="n">
        <x:v>6</x:v>
      </x:c>
      <x:c r="D267" s="3" t="n">
        <x:v>1</x:v>
      </x:c>
      <x:c r="E267" s="3" t="n">
        <x:v>1</x:v>
      </x:c>
      <x:c r="F267" s="3" t="n">
        <x:v>4</x:v>
      </x:c>
      <x:c r="G267" s="3" t="n">
        <x:v>80</x:v>
      </x:c>
      <x:c r="H267" s="9" t="n">
        <x:v>0.136115</x:v>
      </x:c>
      <x:c r="I267" s="9" t="n">
        <x:v>0.697774</x:v>
      </x:c>
      <x:c r="J267" s="9" t="n">
        <x:v>1.07674722</x:v>
      </x:c>
      <x:c r="K267" s="9" t="n">
        <x:v>86.139778</x:v>
      </x:c>
      <x:c r="L267" s="3" t="n">
        <x:v>0</x:v>
      </x:c>
      <x:c r="M267" s="3" t="n">
        <x:v>0</x:v>
      </x:c>
      <x:c r="N267" s="3" t="n">
        <x:v>1</x:v>
      </x:c>
    </x:row>
    <x:row r="268" ht="21" customHeight="1">
      <x:c r="A268" s="3" t="n">
        <x:v>27</x:v>
      </x:c>
      <x:c r="B268" s="3" t="n">
        <x:v>7</x:v>
      </x:c>
      <x:c r="C268" s="3" t="n">
        <x:v>7</x:v>
      </x:c>
      <x:c r="D268" s="3" t="n">
        <x:v>7</x:v>
      </x:c>
      <x:c r="E268" s="3" t="n">
        <x:v>8</x:v>
      </x:c>
      <x:c r="F268" s="3" t="n">
        <x:v>7</x:v>
      </x:c>
      <x:c r="G268" s="3" t="n">
        <x:v>57</x:v>
      </x:c>
      <x:c r="H268" s="9" t="n">
        <x:v>0.136115</x:v>
      </x:c>
      <x:c r="I268" s="9" t="n">
        <x:v>0.180004</x:v>
      </x:c>
      <x:c r="J268" s="9" t="n">
        <x:v>1.02241515</x:v>
      </x:c>
      <x:c r="K268" s="9" t="n">
        <x:v>58.277664</x:v>
      </x:c>
      <x:c r="L268" s="3" t="n">
        <x:v>0</x:v>
      </x:c>
      <x:c r="M268" s="3" t="n">
        <x:v>0</x:v>
      </x:c>
      <x:c r="N268" s="3" t="n">
        <x:v>1</x:v>
      </x:c>
    </x:row>
    <x:row r="269" ht="21" customHeight="1">
      <x:c r="A269" s="3" t="n">
        <x:v>27</x:v>
      </x:c>
      <x:c r="B269" s="3" t="n">
        <x:v>8</x:v>
      </x:c>
      <x:c r="C269" s="3" t="n">
        <x:v>8</x:v>
      </x:c>
      <x:c r="D269" s="3" t="n">
        <x:v>3</x:v>
      </x:c>
      <x:c r="E269" s="3" t="n">
        <x:v>8</x:v>
      </x:c>
      <x:c r="F269" s="3" t="n">
        <x:v>2</x:v>
      </x:c>
      <x:c r="G269" s="3" t="n">
        <x:v>72</x:v>
      </x:c>
      <x:c r="H269" s="9" t="n">
        <x:v>0.136115</x:v>
      </x:c>
      <x:c r="I269" s="9" t="n">
        <x:v>-0.818073</x:v>
      </x:c>
      <x:c r="J269" s="9" t="n">
        <x:v>0.92529742</x:v>
      </x:c>
      <x:c r="K269" s="9" t="n">
        <x:v>66.621414</x:v>
      </x:c>
      <x:c r="L269" s="3" t="n">
        <x:v>0</x:v>
      </x:c>
      <x:c r="M269" s="3" t="n">
        <x:v>0</x:v>
      </x:c>
      <x:c r="N269" s="3" t="n">
        <x:v>1</x:v>
      </x:c>
    </x:row>
    <x:row r="270" ht="21" customHeight="1">
      <x:c r="A270" s="3" t="n">
        <x:v>27</x:v>
      </x:c>
      <x:c r="B270" s="3" t="n">
        <x:v>9</x:v>
      </x:c>
      <x:c r="C270" s="3" t="n">
        <x:v>9</x:v>
      </x:c>
      <x:c r="D270" s="3" t="n">
        <x:v>6</x:v>
      </x:c>
      <x:c r="E270" s="3" t="n">
        <x:v>10</x:v>
      </x:c>
      <x:c r="F270" s="3" t="n">
        <x:v>7</x:v>
      </x:c>
      <x:c r="G270" s="3" t="n">
        <x:v>57</x:v>
      </x:c>
      <x:c r="H270" s="9" t="n">
        <x:v>0.136115</x:v>
      </x:c>
      <x:c r="I270" s="9" t="n">
        <x:v>1.40163</x:v>
      </x:c>
      <x:c r="J270" s="9" t="n">
        <x:v>1.15526559</x:v>
      </x:c>
      <x:c r="K270" s="9" t="n">
        <x:v>65.850139</x:v>
      </x:c>
      <x:c r="L270" s="3" t="n">
        <x:v>0</x:v>
      </x:c>
      <x:c r="M270" s="3" t="n">
        <x:v>0</x:v>
      </x:c>
      <x:c r="N270" s="3" t="n">
        <x:v>1</x:v>
      </x:c>
    </x:row>
    <x:row r="271" ht="21" customHeight="1">
      <x:c r="A271" s="3" t="n">
        <x:v>27</x:v>
      </x:c>
      <x:c r="B271" s="3" t="n">
        <x:v>10</x:v>
      </x:c>
      <x:c r="C271" s="3" t="n">
        <x:v>10</x:v>
      </x:c>
      <x:c r="D271" s="3" t="n">
        <x:v>6</x:v>
      </x:c>
      <x:c r="E271" s="3" t="n">
        <x:v>7</x:v>
      </x:c>
      <x:c r="F271" s="3" t="n">
        <x:v>9</x:v>
      </x:c>
      <x:c r="G271" s="3" t="n">
        <x:v>73</x:v>
      </x:c>
      <x:c r="H271" s="9" t="n">
        <x:v>0.136115</x:v>
      </x:c>
      <x:c r="I271" s="9" t="n">
        <x:v>-0.514854</x:v>
      </x:c>
      <x:c r="J271" s="9" t="n">
        <x:v>0.95378388</x:v>
      </x:c>
      <x:c r="K271" s="9" t="n">
        <x:v>69.626223</x:v>
      </x:c>
      <x:c r="L271" s="3" t="n">
        <x:v>0</x:v>
      </x:c>
      <x:c r="M271" s="3" t="n">
        <x:v>0</x:v>
      </x:c>
      <x:c r="N271" s="3" t="n">
        <x:v>1</x:v>
      </x:c>
    </x:row>
    <x:row r="272" ht="21" customHeight="1">
      <x:c r="A272" s="3" t="n">
        <x:v>28</x:v>
      </x:c>
      <x:c r="B272" s="3" t="n">
        <x:v>1</x:v>
      </x:c>
      <x:c r="C272" s="3" t="n">
        <x:v>1</x:v>
      </x:c>
      <x:c r="D272" s="3" t="n">
        <x:v>5</x:v>
      </x:c>
      <x:c r="E272" s="3" t="n">
        <x:v>10</x:v>
      </x:c>
      <x:c r="F272" s="3" t="n">
        <x:v>6</x:v>
      </x:c>
      <x:c r="G272" s="3" t="n">
        <x:v>71</x:v>
      </x:c>
      <x:c r="H272" s="9" t="n">
        <x:v>-0.356173</x:v>
      </x:c>
      <x:c r="I272" s="9" t="n">
        <x:v>0.119953</x:v>
      </x:c>
      <x:c r="J272" s="9" t="n">
        <x:v>0.94395131</x:v>
      </x:c>
      <x:c r="K272" s="9" t="n">
        <x:v>67.020543</x:v>
      </x:c>
      <x:c r="L272" s="3" t="n">
        <x:v>0</x:v>
      </x:c>
      <x:c r="M272" s="3" t="n">
        <x:v>0</x:v>
      </x:c>
      <x:c r="N272" s="3" t="n">
        <x:v>1</x:v>
      </x:c>
    </x:row>
    <x:row r="273" ht="21" customHeight="1">
      <x:c r="A273" s="3" t="n">
        <x:v>28</x:v>
      </x:c>
      <x:c r="B273" s="3" t="n">
        <x:v>2</x:v>
      </x:c>
      <x:c r="C273" s="3" t="n">
        <x:v>2</x:v>
      </x:c>
      <x:c r="D273" s="3" t="n">
        <x:v>2</x:v>
      </x:c>
      <x:c r="E273" s="3" t="n">
        <x:v>5</x:v>
      </x:c>
      <x:c r="F273" s="3" t="n">
        <x:v>8</x:v>
      </x:c>
      <x:c r="G273" s="3" t="n">
        <x:v>32</x:v>
      </x:c>
      <x:c r="H273" s="9" t="n">
        <x:v>-0.356173</x:v>
      </x:c>
      <x:c r="I273" s="9" t="n">
        <x:v>-1.203118</x:v>
      </x:c>
      <x:c r="J273" s="9" t="n">
        <x:v>0.82696925</x:v>
      </x:c>
      <x:c r="K273" s="9" t="n">
        <x:v>26.463016</x:v>
      </x:c>
      <x:c r="L273" s="3" t="n">
        <x:v>0</x:v>
      </x:c>
      <x:c r="M273" s="3" t="n">
        <x:v>0</x:v>
      </x:c>
      <x:c r="N273" s="3" t="n">
        <x:v>1</x:v>
      </x:c>
    </x:row>
    <x:row r="274" ht="21" customHeight="1">
      <x:c r="A274" s="3" t="n">
        <x:v>28</x:v>
      </x:c>
      <x:c r="B274" s="3" t="n">
        <x:v>3</x:v>
      </x:c>
      <x:c r="C274" s="3" t="n">
        <x:v>3</x:v>
      </x:c>
      <x:c r="D274" s="3" t="n">
        <x:v>8</x:v>
      </x:c>
      <x:c r="E274" s="3" t="n">
        <x:v>9</x:v>
      </x:c>
      <x:c r="F274" s="3" t="n">
        <x:v>6</x:v>
      </x:c>
      <x:c r="G274" s="3" t="n">
        <x:v>78</x:v>
      </x:c>
      <x:c r="H274" s="9" t="n">
        <x:v>-0.356173</x:v>
      </x:c>
      <x:c r="I274" s="9" t="n">
        <x:v>-0.331926</x:v>
      </x:c>
      <x:c r="J274" s="9" t="n">
        <x:v>0.90224554</x:v>
      </x:c>
      <x:c r="K274" s="9" t="n">
        <x:v>70.375152</x:v>
      </x:c>
      <x:c r="L274" s="3" t="n">
        <x:v>0</x:v>
      </x:c>
      <x:c r="M274" s="3" t="n">
        <x:v>0</x:v>
      </x:c>
      <x:c r="N274" s="3" t="n">
        <x:v>1</x:v>
      </x:c>
    </x:row>
    <x:row r="275" ht="21" customHeight="1">
      <x:c r="A275" s="3" t="n">
        <x:v>28</x:v>
      </x:c>
      <x:c r="B275" s="3" t="n">
        <x:v>4</x:v>
      </x:c>
      <x:c r="C275" s="3" t="n">
        <x:v>4</x:v>
      </x:c>
      <x:c r="D275" s="3" t="n">
        <x:v>1</x:v>
      </x:c>
      <x:c r="E275" s="3" t="n">
        <x:v>5</x:v>
      </x:c>
      <x:c r="F275" s="3" t="n">
        <x:v>6</x:v>
      </x:c>
      <x:c r="G275" s="3" t="n">
        <x:v>40</x:v>
      </x:c>
      <x:c r="H275" s="9" t="n">
        <x:v>-0.356173</x:v>
      </x:c>
      <x:c r="I275" s="9" t="n">
        <x:v>0.079327</x:v>
      </x:c>
      <x:c r="J275" s="9" t="n">
        <x:v>0.94012423</x:v>
      </x:c>
      <x:c r="K275" s="9" t="n">
        <x:v>37.604969</x:v>
      </x:c>
      <x:c r="L275" s="3" t="n">
        <x:v>0</x:v>
      </x:c>
      <x:c r="M275" s="3" t="n">
        <x:v>0</x:v>
      </x:c>
      <x:c r="N275" s="3" t="n">
        <x:v>1</x:v>
      </x:c>
    </x:row>
    <x:row r="276" ht="21" customHeight="1">
      <x:c r="A276" s="3" t="n">
        <x:v>28</x:v>
      </x:c>
      <x:c r="B276" s="3" t="n">
        <x:v>5</x:v>
      </x:c>
      <x:c r="C276" s="3" t="n">
        <x:v>5</x:v>
      </x:c>
      <x:c r="D276" s="3" t="n">
        <x:v>4</x:v>
      </x:c>
      <x:c r="E276" s="3" t="n">
        <x:v>3</x:v>
      </x:c>
      <x:c r="F276" s="3" t="n">
        <x:v>4</x:v>
      </x:c>
      <x:c r="G276" s="3" t="n">
        <x:v>53</x:v>
      </x:c>
      <x:c r="H276" s="9" t="n">
        <x:v>-0.356173</x:v>
      </x:c>
      <x:c r="I276" s="9" t="n">
        <x:v>0.75147</x:v>
      </x:c>
      <x:c r="J276" s="9" t="n">
        <x:v>1.00548597</x:v>
      </x:c>
      <x:c r="K276" s="9" t="n">
        <x:v>53.290757</x:v>
      </x:c>
      <x:c r="L276" s="3" t="n">
        <x:v>0</x:v>
      </x:c>
      <x:c r="M276" s="3" t="n">
        <x:v>0</x:v>
      </x:c>
      <x:c r="N276" s="3" t="n">
        <x:v>1</x:v>
      </x:c>
    </x:row>
    <x:row r="277" ht="21" customHeight="1">
      <x:c r="A277" s="3" t="n">
        <x:v>28</x:v>
      </x:c>
      <x:c r="B277" s="3" t="n">
        <x:v>6</x:v>
      </x:c>
      <x:c r="C277" s="3" t="n">
        <x:v>6</x:v>
      </x:c>
      <x:c r="D277" s="3" t="n">
        <x:v>1</x:v>
      </x:c>
      <x:c r="E277" s="3" t="n">
        <x:v>1</x:v>
      </x:c>
      <x:c r="F277" s="3" t="n">
        <x:v>4</x:v>
      </x:c>
      <x:c r="G277" s="3" t="n">
        <x:v>80</x:v>
      </x:c>
      <x:c r="H277" s="9" t="n">
        <x:v>-0.356173</x:v>
      </x:c>
      <x:c r="I277" s="9" t="n">
        <x:v>0.281016</x:v>
      </x:c>
      <x:c r="J277" s="9" t="n">
        <x:v>0.95927803</x:v>
      </x:c>
      <x:c r="K277" s="9" t="n">
        <x:v>76.742243</x:v>
      </x:c>
      <x:c r="L277" s="3" t="n">
        <x:v>0</x:v>
      </x:c>
      <x:c r="M277" s="3" t="n">
        <x:v>0</x:v>
      </x:c>
      <x:c r="N277" s="3" t="n">
        <x:v>1</x:v>
      </x:c>
    </x:row>
    <x:row r="278" ht="21" customHeight="1">
      <x:c r="A278" s="3" t="n">
        <x:v>28</x:v>
      </x:c>
      <x:c r="B278" s="3" t="n">
        <x:v>7</x:v>
      </x:c>
      <x:c r="C278" s="3" t="n">
        <x:v>7</x:v>
      </x:c>
      <x:c r="D278" s="3" t="n">
        <x:v>7</x:v>
      </x:c>
      <x:c r="E278" s="3" t="n">
        <x:v>8</x:v>
      </x:c>
      <x:c r="F278" s="3" t="n">
        <x:v>7</x:v>
      </x:c>
      <x:c r="G278" s="3" t="n">
        <x:v>57</x:v>
      </x:c>
      <x:c r="H278" s="9" t="n">
        <x:v>-0.356173</x:v>
      </x:c>
      <x:c r="I278" s="9" t="n">
        <x:v>1.154451</x:v>
      </x:c>
      <x:c r="J278" s="9" t="n">
        <x:v>1.0468327</x:v>
      </x:c>
      <x:c r="K278" s="9" t="n">
        <x:v>59.669464</x:v>
      </x:c>
      <x:c r="L278" s="3" t="n">
        <x:v>0</x:v>
      </x:c>
      <x:c r="M278" s="3" t="n">
        <x:v>0</x:v>
      </x:c>
      <x:c r="N278" s="3" t="n">
        <x:v>1</x:v>
      </x:c>
    </x:row>
    <x:row r="279" ht="21" customHeight="1">
      <x:c r="A279" s="3" t="n">
        <x:v>28</x:v>
      </x:c>
      <x:c r="B279" s="3" t="n">
        <x:v>8</x:v>
      </x:c>
      <x:c r="C279" s="3" t="n">
        <x:v>8</x:v>
      </x:c>
      <x:c r="D279" s="3" t="n">
        <x:v>3</x:v>
      </x:c>
      <x:c r="E279" s="3" t="n">
        <x:v>8</x:v>
      </x:c>
      <x:c r="F279" s="3" t="n">
        <x:v>2</x:v>
      </x:c>
      <x:c r="G279" s="3" t="n">
        <x:v>72</x:v>
      </x:c>
      <x:c r="H279" s="9" t="n">
        <x:v>-0.356173</x:v>
      </x:c>
      <x:c r="I279" s="9" t="n">
        <x:v>1.466147</x:v>
      </x:c>
      <x:c r="J279" s="9" t="n">
        <x:v>1.07997594</x:v>
      </x:c>
      <x:c r="K279" s="9" t="n">
        <x:v>77.758268</x:v>
      </x:c>
      <x:c r="L279" s="3" t="n">
        <x:v>0</x:v>
      </x:c>
      <x:c r="M279" s="3" t="n">
        <x:v>0</x:v>
      </x:c>
      <x:c r="N279" s="3" t="n">
        <x:v>1</x:v>
      </x:c>
    </x:row>
    <x:row r="280" ht="21" customHeight="1">
      <x:c r="A280" s="3" t="n">
        <x:v>28</x:v>
      </x:c>
      <x:c r="B280" s="3" t="n">
        <x:v>9</x:v>
      </x:c>
      <x:c r="C280" s="3" t="n">
        <x:v>9</x:v>
      </x:c>
      <x:c r="D280" s="3" t="n">
        <x:v>6</x:v>
      </x:c>
      <x:c r="E280" s="3" t="n">
        <x:v>10</x:v>
      </x:c>
      <x:c r="F280" s="3" t="n">
        <x:v>7</x:v>
      </x:c>
      <x:c r="G280" s="3" t="n">
        <x:v>57</x:v>
      </x:c>
      <x:c r="H280" s="9" t="n">
        <x:v>-0.356173</x:v>
      </x:c>
      <x:c r="I280" s="9" t="n">
        <x:v>-0.266511</x:v>
      </x:c>
      <x:c r="J280" s="9" t="n">
        <x:v>0.90816689</x:v>
      </x:c>
      <x:c r="K280" s="9" t="n">
        <x:v>51.765513</x:v>
      </x:c>
      <x:c r="L280" s="3" t="n">
        <x:v>0</x:v>
      </x:c>
      <x:c r="M280" s="3" t="n">
        <x:v>0</x:v>
      </x:c>
      <x:c r="N280" s="3" t="n">
        <x:v>1</x:v>
      </x:c>
    </x:row>
    <x:row r="281" ht="21" customHeight="1">
      <x:c r="A281" s="3" t="n">
        <x:v>28</x:v>
      </x:c>
      <x:c r="B281" s="3" t="n">
        <x:v>10</x:v>
      </x:c>
      <x:c r="C281" s="3" t="n">
        <x:v>10</x:v>
      </x:c>
      <x:c r="D281" s="3" t="n">
        <x:v>6</x:v>
      </x:c>
      <x:c r="E281" s="3" t="n">
        <x:v>7</x:v>
      </x:c>
      <x:c r="F281" s="3" t="n">
        <x:v>9</x:v>
      </x:c>
      <x:c r="G281" s="3" t="n">
        <x:v>73</x:v>
      </x:c>
      <x:c r="H281" s="9" t="n">
        <x:v>-0.356173</x:v>
      </x:c>
      <x:c r="I281" s="9" t="n">
        <x:v>-1.133018</x:v>
      </x:c>
      <x:c r="J281" s="9" t="n">
        <x:v>0.83278664</x:v>
      </x:c>
      <x:c r="K281" s="9" t="n">
        <x:v>60.793424</x:v>
      </x:c>
      <x:c r="L281" s="3" t="n">
        <x:v>0</x:v>
      </x:c>
      <x:c r="M281" s="3" t="n">
        <x:v>0</x:v>
      </x:c>
      <x:c r="N281" s="3" t="n">
        <x:v>1</x:v>
      </x:c>
    </x:row>
    <x:row r="282" ht="21" customHeight="1">
      <x:c r="A282" s="3" t="n">
        <x:v>29</x:v>
      </x:c>
      <x:c r="B282" s="3" t="n">
        <x:v>1</x:v>
      </x:c>
      <x:c r="C282" s="3" t="n">
        <x:v>1</x:v>
      </x:c>
      <x:c r="D282" s="3" t="n">
        <x:v>5</x:v>
      </x:c>
      <x:c r="E282" s="3" t="n">
        <x:v>10</x:v>
      </x:c>
      <x:c r="F282" s="3" t="n">
        <x:v>6</x:v>
      </x:c>
      <x:c r="G282" s="3" t="n">
        <x:v>71</x:v>
      </x:c>
      <x:c r="H282" s="9" t="n">
        <x:v>-0.520225</x:v>
      </x:c>
      <x:c r="I282" s="9" t="n">
        <x:v>-0.518165</x:v>
      </x:c>
      <x:c r="J282" s="9" t="n">
        <x:v>0.86407114</x:v>
      </x:c>
      <x:c r="K282" s="9" t="n">
        <x:v>61.349051</x:v>
      </x:c>
      <x:c r="L282" s="3" t="n">
        <x:v>0</x:v>
      </x:c>
      <x:c r="M282" s="3" t="n">
        <x:v>0</x:v>
      </x:c>
      <x:c r="N282" s="3" t="n">
        <x:v>1</x:v>
      </x:c>
    </x:row>
    <x:row r="283" ht="21" customHeight="1">
      <x:c r="A283" s="3" t="n">
        <x:v>29</x:v>
      </x:c>
      <x:c r="B283" s="3" t="n">
        <x:v>2</x:v>
      </x:c>
      <x:c r="C283" s="3" t="n">
        <x:v>2</x:v>
      </x:c>
      <x:c r="D283" s="3" t="n">
        <x:v>2</x:v>
      </x:c>
      <x:c r="E283" s="3" t="n">
        <x:v>5</x:v>
      </x:c>
      <x:c r="F283" s="3" t="n">
        <x:v>8</x:v>
      </x:c>
      <x:c r="G283" s="3" t="n">
        <x:v>32</x:v>
      </x:c>
      <x:c r="H283" s="9" t="n">
        <x:v>-0.520225</x:v>
      </x:c>
      <x:c r="I283" s="9" t="n">
        <x:v>-0.368965</x:v>
      </x:c>
      <x:c r="J283" s="9" t="n">
        <x:v>0.87705967</x:v>
      </x:c>
      <x:c r="K283" s="9" t="n">
        <x:v>28.065909</x:v>
      </x:c>
      <x:c r="L283" s="3" t="n">
        <x:v>0</x:v>
      </x:c>
      <x:c r="M283" s="3" t="n">
        <x:v>0</x:v>
      </x:c>
      <x:c r="N283" s="3" t="n">
        <x:v>1</x:v>
      </x:c>
    </x:row>
    <x:row r="284" ht="21" customHeight="1">
      <x:c r="A284" s="3" t="n">
        <x:v>29</x:v>
      </x:c>
      <x:c r="B284" s="3" t="n">
        <x:v>3</x:v>
      </x:c>
      <x:c r="C284" s="3" t="n">
        <x:v>3</x:v>
      </x:c>
      <x:c r="D284" s="3" t="n">
        <x:v>8</x:v>
      </x:c>
      <x:c r="E284" s="3" t="n">
        <x:v>9</x:v>
      </x:c>
      <x:c r="F284" s="3" t="n">
        <x:v>6</x:v>
      </x:c>
      <x:c r="G284" s="3" t="n">
        <x:v>78</x:v>
      </x:c>
      <x:c r="H284" s="9" t="n">
        <x:v>-0.520225</x:v>
      </x:c>
      <x:c r="I284" s="9" t="n">
        <x:v>-2.35409</x:v>
      </x:c>
      <x:c r="J284" s="9" t="n">
        <x:v>0.71914466</x:v>
      </x:c>
      <x:c r="K284" s="9" t="n">
        <x:v>56.093283</x:v>
      </x:c>
      <x:c r="L284" s="3" t="n">
        <x:v>0</x:v>
      </x:c>
      <x:c r="M284" s="3" t="n">
        <x:v>0</x:v>
      </x:c>
      <x:c r="N284" s="3" t="n">
        <x:v>1</x:v>
      </x:c>
    </x:row>
    <x:row r="285" ht="21" customHeight="1">
      <x:c r="A285" s="3" t="n">
        <x:v>29</x:v>
      </x:c>
      <x:c r="B285" s="3" t="n">
        <x:v>4</x:v>
      </x:c>
      <x:c r="C285" s="3" t="n">
        <x:v>4</x:v>
      </x:c>
      <x:c r="D285" s="3" t="n">
        <x:v>1</x:v>
      </x:c>
      <x:c r="E285" s="3" t="n">
        <x:v>5</x:v>
      </x:c>
      <x:c r="F285" s="3" t="n">
        <x:v>6</x:v>
      </x:c>
      <x:c r="G285" s="3" t="n">
        <x:v>40</x:v>
      </x:c>
      <x:c r="H285" s="9" t="n">
        <x:v>-0.520225</x:v>
      </x:c>
      <x:c r="I285" s="9" t="n">
        <x:v>-0.202005</x:v>
      </x:c>
      <x:c r="J285" s="9" t="n">
        <x:v>0.89182605</x:v>
      </x:c>
      <x:c r="K285" s="9" t="n">
        <x:v>35.673042</x:v>
      </x:c>
      <x:c r="L285" s="3" t="n">
        <x:v>0</x:v>
      </x:c>
      <x:c r="M285" s="3" t="n">
        <x:v>0</x:v>
      </x:c>
      <x:c r="N285" s="3" t="n">
        <x:v>1</x:v>
      </x:c>
    </x:row>
    <x:row r="286" ht="21" customHeight="1">
      <x:c r="A286" s="3" t="n">
        <x:v>29</x:v>
      </x:c>
      <x:c r="B286" s="3" t="n">
        <x:v>5</x:v>
      </x:c>
      <x:c r="C286" s="3" t="n">
        <x:v>5</x:v>
      </x:c>
      <x:c r="D286" s="3" t="n">
        <x:v>4</x:v>
      </x:c>
      <x:c r="E286" s="3" t="n">
        <x:v>3</x:v>
      </x:c>
      <x:c r="F286" s="3" t="n">
        <x:v>4</x:v>
      </x:c>
      <x:c r="G286" s="3" t="n">
        <x:v>53</x:v>
      </x:c>
      <x:c r="H286" s="9" t="n">
        <x:v>-0.520225</x:v>
      </x:c>
      <x:c r="I286" s="9" t="n">
        <x:v>-0.195225</x:v>
      </x:c>
      <x:c r="J286" s="9" t="n">
        <x:v>0.89243092</x:v>
      </x:c>
      <x:c r="K286" s="9" t="n">
        <x:v>47.298839</x:v>
      </x:c>
      <x:c r="L286" s="3" t="n">
        <x:v>0</x:v>
      </x:c>
      <x:c r="M286" s="3" t="n">
        <x:v>0</x:v>
      </x:c>
      <x:c r="N286" s="3" t="n">
        <x:v>1</x:v>
      </x:c>
    </x:row>
    <x:row r="287" ht="21" customHeight="1">
      <x:c r="A287" s="3" t="n">
        <x:v>29</x:v>
      </x:c>
      <x:c r="B287" s="3" t="n">
        <x:v>6</x:v>
      </x:c>
      <x:c r="C287" s="3" t="n">
        <x:v>6</x:v>
      </x:c>
      <x:c r="D287" s="3" t="n">
        <x:v>1</x:v>
      </x:c>
      <x:c r="E287" s="3" t="n">
        <x:v>1</x:v>
      </x:c>
      <x:c r="F287" s="3" t="n">
        <x:v>4</x:v>
      </x:c>
      <x:c r="G287" s="3" t="n">
        <x:v>80</x:v>
      </x:c>
      <x:c r="H287" s="9" t="n">
        <x:v>-0.520225</x:v>
      </x:c>
      <x:c r="I287" s="9" t="n">
        <x:v>-0.813747</x:v>
      </x:c>
      <x:c r="J287" s="9" t="n">
        <x:v>0.83890454</x:v>
      </x:c>
      <x:c r="K287" s="9" t="n">
        <x:v>67.112363</x:v>
      </x:c>
      <x:c r="L287" s="3" t="n">
        <x:v>0</x:v>
      </x:c>
      <x:c r="M287" s="3" t="n">
        <x:v>0</x:v>
      </x:c>
      <x:c r="N287" s="3" t="n">
        <x:v>1</x:v>
      </x:c>
    </x:row>
    <x:row r="288" ht="21" customHeight="1">
      <x:c r="A288" s="3" t="n">
        <x:v>29</x:v>
      </x:c>
      <x:c r="B288" s="3" t="n">
        <x:v>7</x:v>
      </x:c>
      <x:c r="C288" s="3" t="n">
        <x:v>7</x:v>
      </x:c>
      <x:c r="D288" s="3" t="n">
        <x:v>7</x:v>
      </x:c>
      <x:c r="E288" s="3" t="n">
        <x:v>8</x:v>
      </x:c>
      <x:c r="F288" s="3" t="n">
        <x:v>7</x:v>
      </x:c>
      <x:c r="G288" s="3" t="n">
        <x:v>57</x:v>
      </x:c>
      <x:c r="H288" s="9" t="n">
        <x:v>-0.520225</x:v>
      </x:c>
      <x:c r="I288" s="9" t="n">
        <x:v>-0.740009</x:v>
      </x:c>
      <x:c r="J288" s="9" t="n">
        <x:v>0.8451133</x:v>
      </x:c>
      <x:c r="K288" s="9" t="n">
        <x:v>48.171458</x:v>
      </x:c>
      <x:c r="L288" s="3" t="n">
        <x:v>0</x:v>
      </x:c>
      <x:c r="M288" s="3" t="n">
        <x:v>0</x:v>
      </x:c>
      <x:c r="N288" s="3" t="n">
        <x:v>1</x:v>
      </x:c>
    </x:row>
    <x:row r="289" ht="21" customHeight="1">
      <x:c r="A289" s="3" t="n">
        <x:v>29</x:v>
      </x:c>
      <x:c r="B289" s="3" t="n">
        <x:v>8</x:v>
      </x:c>
      <x:c r="C289" s="3" t="n">
        <x:v>8</x:v>
      </x:c>
      <x:c r="D289" s="3" t="n">
        <x:v>3</x:v>
      </x:c>
      <x:c r="E289" s="3" t="n">
        <x:v>8</x:v>
      </x:c>
      <x:c r="F289" s="3" t="n">
        <x:v>2</x:v>
      </x:c>
      <x:c r="G289" s="3" t="n">
        <x:v>72</x:v>
      </x:c>
      <x:c r="H289" s="9" t="n">
        <x:v>-0.520225</x:v>
      </x:c>
      <x:c r="I289" s="9" t="n">
        <x:v>-1.082945</x:v>
      </x:c>
      <x:c r="J289" s="9" t="n">
        <x:v>0.81662258</x:v>
      </x:c>
      <x:c r="K289" s="9" t="n">
        <x:v>58.796826</x:v>
      </x:c>
      <x:c r="L289" s="3" t="n">
        <x:v>0</x:v>
      </x:c>
      <x:c r="M289" s="3" t="n">
        <x:v>0</x:v>
      </x:c>
      <x:c r="N289" s="3" t="n">
        <x:v>1</x:v>
      </x:c>
    </x:row>
    <x:row r="290" ht="21" customHeight="1">
      <x:c r="A290" s="3" t="n">
        <x:v>29</x:v>
      </x:c>
      <x:c r="B290" s="3" t="n">
        <x:v>9</x:v>
      </x:c>
      <x:c r="C290" s="3" t="n">
        <x:v>9</x:v>
      </x:c>
      <x:c r="D290" s="3" t="n">
        <x:v>6</x:v>
      </x:c>
      <x:c r="E290" s="3" t="n">
        <x:v>10</x:v>
      </x:c>
      <x:c r="F290" s="3" t="n">
        <x:v>7</x:v>
      </x:c>
      <x:c r="G290" s="3" t="n">
        <x:v>57</x:v>
      </x:c>
      <x:c r="H290" s="9" t="n">
        <x:v>-0.520225</x:v>
      </x:c>
      <x:c r="I290" s="9" t="n">
        <x:v>-0.138836</x:v>
      </x:c>
      <x:c r="J290" s="9" t="n">
        <x:v>0.89747743</x:v>
      </x:c>
      <x:c r="K290" s="9" t="n">
        <x:v>51.156213</x:v>
      </x:c>
      <x:c r="L290" s="3" t="n">
        <x:v>0</x:v>
      </x:c>
      <x:c r="M290" s="3" t="n">
        <x:v>0</x:v>
      </x:c>
      <x:c r="N290" s="3" t="n">
        <x:v>1</x:v>
      </x:c>
    </x:row>
    <x:row r="291" ht="21" customHeight="1">
      <x:c r="A291" s="3" t="n">
        <x:v>29</x:v>
      </x:c>
      <x:c r="B291" s="3" t="n">
        <x:v>10</x:v>
      </x:c>
      <x:c r="C291" s="3" t="n">
        <x:v>10</x:v>
      </x:c>
      <x:c r="D291" s="3" t="n">
        <x:v>6</x:v>
      </x:c>
      <x:c r="E291" s="3" t="n">
        <x:v>7</x:v>
      </x:c>
      <x:c r="F291" s="3" t="n">
        <x:v>9</x:v>
      </x:c>
      <x:c r="G291" s="3" t="n">
        <x:v>73</x:v>
      </x:c>
      <x:c r="H291" s="9" t="n">
        <x:v>-0.520225</x:v>
      </x:c>
      <x:c r="I291" s="9" t="n">
        <x:v>-0.560357</x:v>
      </x:c>
      <x:c r="J291" s="9" t="n">
        <x:v>0.86043308</x:v>
      </x:c>
      <x:c r="K291" s="9" t="n">
        <x:v>62.811615</x:v>
      </x:c>
      <x:c r="L291" s="3" t="n">
        <x:v>0</x:v>
      </x:c>
      <x:c r="M291" s="3" t="n">
        <x:v>0</x:v>
      </x:c>
      <x:c r="N291" s="3" t="n">
        <x:v>1</x:v>
      </x:c>
    </x:row>
    <x:row r="292" ht="21" customHeight="1">
      <x:c r="A292" s="3" t="n">
        <x:v>30</x:v>
      </x:c>
      <x:c r="B292" s="3" t="n">
        <x:v>1</x:v>
      </x:c>
      <x:c r="C292" s="3" t="n">
        <x:v>1</x:v>
      </x:c>
      <x:c r="D292" s="3" t="n">
        <x:v>5</x:v>
      </x:c>
      <x:c r="E292" s="3" t="n">
        <x:v>10</x:v>
      </x:c>
      <x:c r="F292" s="3" t="n">
        <x:v>6</x:v>
      </x:c>
      <x:c r="G292" s="3" t="n">
        <x:v>71</x:v>
      </x:c>
      <x:c r="H292" s="9" t="n">
        <x:v>-1.802854</x:v>
      </x:c>
      <x:c r="I292" s="9" t="n">
        <x:v>-0.289592</x:v>
      </x:c>
      <x:c r="J292" s="9" t="n">
        <x:v>0.72932396</x:v>
      </x:c>
      <x:c r="K292" s="9" t="n">
        <x:v>51.782001</x:v>
      </x:c>
      <x:c r="L292" s="3" t="n">
        <x:v>0</x:v>
      </x:c>
      <x:c r="M292" s="3" t="n">
        <x:v>0</x:v>
      </x:c>
      <x:c r="N292" s="3" t="n">
        <x:v>1</x:v>
      </x:c>
    </x:row>
    <x:row r="293" ht="21" customHeight="1">
      <x:c r="A293" s="3" t="n">
        <x:v>30</x:v>
      </x:c>
      <x:c r="B293" s="3" t="n">
        <x:v>2</x:v>
      </x:c>
      <x:c r="C293" s="3" t="n">
        <x:v>2</x:v>
      </x:c>
      <x:c r="D293" s="3" t="n">
        <x:v>2</x:v>
      </x:c>
      <x:c r="E293" s="3" t="n">
        <x:v>5</x:v>
      </x:c>
      <x:c r="F293" s="3" t="n">
        <x:v>8</x:v>
      </x:c>
      <x:c r="G293" s="3" t="n">
        <x:v>32</x:v>
      </x:c>
      <x:c r="H293" s="9" t="n">
        <x:v>-1.802854</x:v>
      </x:c>
      <x:c r="I293" s="9" t="n">
        <x:v>-2.307854</x:v>
      </x:c>
      <x:c r="J293" s="9" t="n">
        <x:v>0.59603053</x:v>
      </x:c>
      <x:c r="K293" s="9" t="n">
        <x:v>19.072977</x:v>
      </x:c>
      <x:c r="L293" s="3" t="n">
        <x:v>0</x:v>
      </x:c>
      <x:c r="M293" s="3" t="n">
        <x:v>0</x:v>
      </x:c>
      <x:c r="N293" s="3" t="n">
        <x:v>1</x:v>
      </x:c>
    </x:row>
    <x:row r="294" ht="21" customHeight="1">
      <x:c r="A294" s="3" t="n">
        <x:v>30</x:v>
      </x:c>
      <x:c r="B294" s="3" t="n">
        <x:v>3</x:v>
      </x:c>
      <x:c r="C294" s="3" t="n">
        <x:v>3</x:v>
      </x:c>
      <x:c r="D294" s="3" t="n">
        <x:v>8</x:v>
      </x:c>
      <x:c r="E294" s="3" t="n">
        <x:v>9</x:v>
      </x:c>
      <x:c r="F294" s="3" t="n">
        <x:v>6</x:v>
      </x:c>
      <x:c r="G294" s="3" t="n">
        <x:v>78</x:v>
      </x:c>
      <x:c r="H294" s="9" t="n">
        <x:v>-1.802854</x:v>
      </x:c>
      <x:c r="I294" s="9" t="n">
        <x:v>0.261817</x:v>
      </x:c>
      <x:c r="J294" s="9" t="n">
        <x:v>0.77066901</x:v>
      </x:c>
      <x:c r="K294" s="9" t="n">
        <x:v>60.112182</x:v>
      </x:c>
      <x:c r="L294" s="3" t="n">
        <x:v>0</x:v>
      </x:c>
      <x:c r="M294" s="3" t="n">
        <x:v>0</x:v>
      </x:c>
      <x:c r="N294" s="3" t="n">
        <x:v>1</x:v>
      </x:c>
    </x:row>
    <x:row r="295" ht="21" customHeight="1">
      <x:c r="A295" s="3" t="n">
        <x:v>30</x:v>
      </x:c>
      <x:c r="B295" s="3" t="n">
        <x:v>4</x:v>
      </x:c>
      <x:c r="C295" s="3" t="n">
        <x:v>4</x:v>
      </x:c>
      <x:c r="D295" s="3" t="n">
        <x:v>1</x:v>
      </x:c>
      <x:c r="E295" s="3" t="n">
        <x:v>5</x:v>
      </x:c>
      <x:c r="F295" s="3" t="n">
        <x:v>6</x:v>
      </x:c>
      <x:c r="G295" s="3" t="n">
        <x:v>40</x:v>
      </x:c>
      <x:c r="H295" s="9" t="n">
        <x:v>-1.802854</x:v>
      </x:c>
      <x:c r="I295" s="9" t="n">
        <x:v>1.885426</x:v>
      </x:c>
      <x:c r="J295" s="9" t="n">
        <x:v>0.90652611</x:v>
      </x:c>
      <x:c r="K295" s="9" t="n">
        <x:v>36.261044</x:v>
      </x:c>
      <x:c r="L295" s="3" t="n">
        <x:v>0</x:v>
      </x:c>
      <x:c r="M295" s="3" t="n">
        <x:v>0</x:v>
      </x:c>
      <x:c r="N295" s="3" t="n">
        <x:v>1</x:v>
      </x:c>
    </x:row>
    <x:row r="296" ht="21" customHeight="1">
      <x:c r="A296" s="3" t="n">
        <x:v>30</x:v>
      </x:c>
      <x:c r="B296" s="3" t="n">
        <x:v>5</x:v>
      </x:c>
      <x:c r="C296" s="3" t="n">
        <x:v>5</x:v>
      </x:c>
      <x:c r="D296" s="3" t="n">
        <x:v>4</x:v>
      </x:c>
      <x:c r="E296" s="3" t="n">
        <x:v>3</x:v>
      </x:c>
      <x:c r="F296" s="3" t="n">
        <x:v>4</x:v>
      </x:c>
      <x:c r="G296" s="3" t="n">
        <x:v>53</x:v>
      </x:c>
      <x:c r="H296" s="9" t="n">
        <x:v>-1.802854</x:v>
      </x:c>
      <x:c r="I296" s="9" t="n">
        <x:v>-0.968628</x:v>
      </x:c>
      <x:c r="J296" s="9" t="n">
        <x:v>0.68144426</x:v>
      </x:c>
      <x:c r="K296" s="9" t="n">
        <x:v>36.116546</x:v>
      </x:c>
      <x:c r="L296" s="3" t="n">
        <x:v>0</x:v>
      </x:c>
      <x:c r="M296" s="3" t="n">
        <x:v>0</x:v>
      </x:c>
      <x:c r="N296" s="3" t="n">
        <x:v>1</x:v>
      </x:c>
    </x:row>
    <x:row r="297" ht="21" customHeight="1">
      <x:c r="A297" s="3" t="n">
        <x:v>30</x:v>
      </x:c>
      <x:c r="B297" s="3" t="n">
        <x:v>6</x:v>
      </x:c>
      <x:c r="C297" s="3" t="n">
        <x:v>6</x:v>
      </x:c>
      <x:c r="D297" s="3" t="n">
        <x:v>1</x:v>
      </x:c>
      <x:c r="E297" s="3" t="n">
        <x:v>1</x:v>
      </x:c>
      <x:c r="F297" s="3" t="n">
        <x:v>4</x:v>
      </x:c>
      <x:c r="G297" s="3" t="n">
        <x:v>80</x:v>
      </x:c>
      <x:c r="H297" s="9" t="n">
        <x:v>-1.802854</x:v>
      </x:c>
      <x:c r="I297" s="9" t="n">
        <x:v>0.028128</x:v>
      </x:c>
      <x:c r="J297" s="9" t="n">
        <x:v>0.7528681</x:v>
      </x:c>
      <x:c r="K297" s="9" t="n">
        <x:v>60.229448</x:v>
      </x:c>
      <x:c r="L297" s="3" t="n">
        <x:v>0</x:v>
      </x:c>
      <x:c r="M297" s="3" t="n">
        <x:v>0</x:v>
      </x:c>
      <x:c r="N297" s="3" t="n">
        <x:v>1</x:v>
      </x:c>
    </x:row>
    <x:row r="298" ht="21" customHeight="1">
      <x:c r="A298" s="3" t="n">
        <x:v>30</x:v>
      </x:c>
      <x:c r="B298" s="3" t="n">
        <x:v>7</x:v>
      </x:c>
      <x:c r="C298" s="3" t="n">
        <x:v>7</x:v>
      </x:c>
      <x:c r="D298" s="3" t="n">
        <x:v>7</x:v>
      </x:c>
      <x:c r="E298" s="3" t="n">
        <x:v>8</x:v>
      </x:c>
      <x:c r="F298" s="3" t="n">
        <x:v>7</x:v>
      </x:c>
      <x:c r="G298" s="3" t="n">
        <x:v>57</x:v>
      </x:c>
      <x:c r="H298" s="9" t="n">
        <x:v>-1.802854</x:v>
      </x:c>
      <x:c r="I298" s="9" t="n">
        <x:v>0.839613</x:v>
      </x:c>
      <x:c r="J298" s="9" t="n">
        <x:v>0.81650951</x:v>
      </x:c>
      <x:c r="K298" s="9" t="n">
        <x:v>46.541042</x:v>
      </x:c>
      <x:c r="L298" s="3" t="n">
        <x:v>0</x:v>
      </x:c>
      <x:c r="M298" s="3" t="n">
        <x:v>0</x:v>
      </x:c>
      <x:c r="N298" s="3" t="n">
        <x:v>1</x:v>
      </x:c>
    </x:row>
    <x:row r="299" ht="21" customHeight="1">
      <x:c r="A299" s="3" t="n">
        <x:v>30</x:v>
      </x:c>
      <x:c r="B299" s="3" t="n">
        <x:v>8</x:v>
      </x:c>
      <x:c r="C299" s="3" t="n">
        <x:v>8</x:v>
      </x:c>
      <x:c r="D299" s="3" t="n">
        <x:v>3</x:v>
      </x:c>
      <x:c r="E299" s="3" t="n">
        <x:v>8</x:v>
      </x:c>
      <x:c r="F299" s="3" t="n">
        <x:v>2</x:v>
      </x:c>
      <x:c r="G299" s="3" t="n">
        <x:v>72</x:v>
      </x:c>
      <x:c r="H299" s="9" t="n">
        <x:v>-1.802854</x:v>
      </x:c>
      <x:c r="I299" s="9" t="n">
        <x:v>0.132151</x:v>
      </x:c>
      <x:c r="J299" s="9" t="n">
        <x:v>0.76074056</x:v>
      </x:c>
      <x:c r="K299" s="9" t="n">
        <x:v>54.77332</x:v>
      </x:c>
      <x:c r="L299" s="3" t="n">
        <x:v>0</x:v>
      </x:c>
      <x:c r="M299" s="3" t="n">
        <x:v>0</x:v>
      </x:c>
      <x:c r="N299" s="3" t="n">
        <x:v>1</x:v>
      </x:c>
    </x:row>
    <x:row r="300" ht="21" customHeight="1">
      <x:c r="A300" s="3" t="n">
        <x:v>30</x:v>
      </x:c>
      <x:c r="B300" s="3" t="n">
        <x:v>9</x:v>
      </x:c>
      <x:c r="C300" s="3" t="n">
        <x:v>9</x:v>
      </x:c>
      <x:c r="D300" s="3" t="n">
        <x:v>6</x:v>
      </x:c>
      <x:c r="E300" s="3" t="n">
        <x:v>10</x:v>
      </x:c>
      <x:c r="F300" s="3" t="n">
        <x:v>7</x:v>
      </x:c>
      <x:c r="G300" s="3" t="n">
        <x:v>57</x:v>
      </x:c>
      <x:c r="H300" s="9" t="n">
        <x:v>-1.802854</x:v>
      </x:c>
      <x:c r="I300" s="9" t="n">
        <x:v>0.255683</x:v>
      </x:c>
      <x:c r="J300" s="9" t="n">
        <x:v>0.77019643</x:v>
      </x:c>
      <x:c r="K300" s="9" t="n">
        <x:v>43.901196</x:v>
      </x:c>
      <x:c r="L300" s="3" t="n">
        <x:v>0</x:v>
      </x:c>
      <x:c r="M300" s="3" t="n">
        <x:v>0</x:v>
      </x:c>
      <x:c r="N300" s="3" t="n">
        <x:v>1</x:v>
      </x:c>
    </x:row>
    <x:row r="301" ht="21" customHeight="1">
      <x:c r="A301" s="3" t="n">
        <x:v>30</x:v>
      </x:c>
      <x:c r="B301" s="3" t="n">
        <x:v>10</x:v>
      </x:c>
      <x:c r="C301" s="3" t="n">
        <x:v>10</x:v>
      </x:c>
      <x:c r="D301" s="3" t="n">
        <x:v>6</x:v>
      </x:c>
      <x:c r="E301" s="3" t="n">
        <x:v>7</x:v>
      </x:c>
      <x:c r="F301" s="3" t="n">
        <x:v>9</x:v>
      </x:c>
      <x:c r="G301" s="3" t="n">
        <x:v>73</x:v>
      </x:c>
      <x:c r="H301" s="9" t="n">
        <x:v>-1.802854</x:v>
      </x:c>
      <x:c r="I301" s="9" t="n">
        <x:v>-1.201975</x:v>
      </x:c>
      <x:c r="J301" s="9" t="n">
        <x:v>0.66572707</x:v>
      </x:c>
      <x:c r="K301" s="9" t="n">
        <x:v>48.598076</x:v>
      </x:c>
      <x:c r="L301" s="3" t="n">
        <x:v>0</x:v>
      </x:c>
      <x:c r="M301" s="3" t="n">
        <x:v>0</x:v>
      </x:c>
      <x:c r="N3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634bbfd46094f3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0.914787</x:v>
      </x:c>
      <x:c r="I2" s="9" t="n">
        <x:f>'Physical_Arcs'!R2</x:f>
        <x:v>17.02777777777778</x:v>
      </x:c>
      <x:c r="J2" s="9" t="n">
        <x:f>I2*'Parameters'!$C$18</x:f>
        <x:v>3.405555555555556</x:v>
      </x:c>
      <x:c r="K2" s="9" t="n">
        <x:f>J2*'Parameters'!$C$19</x:f>
        <x:v>4.256944444444445</x:v>
      </x:c>
      <x:c r="L2" s="9" t="n">
        <x:f>I2*(1-0.40)-J2</x:f>
        <x:v>6.811111111111111</x:v>
      </x:c>
      <x:c r="M2" s="9" t="n">
        <x:f>'Physical_Arcs'!S2</x:f>
        <x:v>17.02777777777778</x:v>
      </x:c>
      <x:c r="N2" s="9" t="n">
        <x:f>M2*'Parameters'!$C$18</x:f>
        <x:v>3.405555555555556</x:v>
      </x:c>
      <x:c r="O2" s="9" t="n">
        <x:f>N2*'Parameters'!$C$19</x:f>
        <x:v>4.256944444444445</x:v>
      </x:c>
      <x:c r="P2" s="9" t="n">
        <x:f>M2*(1-0.40)-N2</x:f>
        <x:v>6.811111111111111</x:v>
      </x:c>
      <x:c r="Q2" s="9" t="n">
        <x:f>'Physical_Arcs'!T2</x:f>
        <x:v>17.02777777777778</x:v>
      </x:c>
      <x:c r="R2" s="9" t="n">
        <x:f>Q2*'Parameters'!$C$18</x:f>
        <x:v>3.405555555555556</x:v>
      </x:c>
      <x:c r="S2" s="9" t="n">
        <x:f>R2*'Parameters'!$C$19</x:f>
        <x:v>4.256944444444445</x:v>
      </x:c>
      <x:c r="T2" s="9" t="n">
        <x:f>Q2*(1-0.40)-R2</x:f>
        <x:v>6.811111111111111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10</x:v>
      </x:c>
      <x:c r="G3" s="9" t="n">
        <x:v>0.18</x:v>
      </x:c>
      <x:c r="H3" s="9" t="n">
        <x:v>1.003995</x:v>
      </x:c>
      <x:c r="I3" s="9" t="n">
        <x:f>'Physical_Arcs'!R3</x:f>
        <x:v>3.2777777777777777</x:v>
      </x:c>
      <x:c r="J3" s="9" t="n">
        <x:f>I3*'Parameters'!$C$18</x:f>
        <x:v>0.6555555555555556</x:v>
      </x:c>
      <x:c r="K3" s="9" t="n">
        <x:f>J3*'Parameters'!$C$19</x:f>
        <x:v>0.8194444444444444</x:v>
      </x:c>
      <x:c r="L3" s="9" t="n">
        <x:f>I3*(1-0.40)-J3</x:f>
        <x:v>1.311111111111111</x:v>
      </x:c>
      <x:c r="M3" s="9" t="n">
        <x:f>'Physical_Arcs'!S3</x:f>
        <x:v>3.2777777777777777</x:v>
      </x:c>
      <x:c r="N3" s="9" t="n">
        <x:f>M3*'Parameters'!$C$18</x:f>
        <x:v>0.6555555555555556</x:v>
      </x:c>
      <x:c r="O3" s="9" t="n">
        <x:f>N3*'Parameters'!$C$19</x:f>
        <x:v>0.8194444444444444</x:v>
      </x:c>
      <x:c r="P3" s="9" t="n">
        <x:f>M3*(1-0.40)-N3</x:f>
        <x:v>1.311111111111111</x:v>
      </x:c>
      <x:c r="Q3" s="9" t="n">
        <x:f>'Physical_Arcs'!T3</x:f>
        <x:v>1.6388888888888888</x:v>
      </x:c>
      <x:c r="R3" s="9" t="n">
        <x:f>Q3*'Parameters'!$C$18</x:f>
        <x:v>0.3277777777777778</x:v>
      </x:c>
      <x:c r="S3" s="9" t="n">
        <x:f>R3*'Parameters'!$C$19</x:f>
        <x:v>0.4097222222222222</x:v>
      </x:c>
      <x:c r="T3" s="9" t="n">
        <x:f>Q3*(1-0.40)-R3</x:f>
        <x:v>0.6555555555555554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1</x:v>
      </x:c>
      <x:c r="F4" s="3" t="n">
        <x:v>8</x:v>
      </x:c>
      <x:c r="G4" s="9" t="n">
        <x:v>0.18</x:v>
      </x:c>
      <x:c r="H4" s="9" t="n">
        <x:v>0.923863</x:v>
      </x:c>
      <x:c r="I4" s="9" t="n">
        <x:f>'Physical_Arcs'!R4</x:f>
        <x:v>6.083333333333333</x:v>
      </x:c>
      <x:c r="J4" s="9" t="n">
        <x:f>I4*'Parameters'!$C$18</x:f>
        <x:v>1.2166666666666668</x:v>
      </x:c>
      <x:c r="K4" s="9" t="n">
        <x:f>J4*'Parameters'!$C$19</x:f>
        <x:v>1.5208333333333335</x:v>
      </x:c>
      <x:c r="L4" s="9" t="n">
        <x:f>I4*(1-0.40)-J4</x:f>
        <x:v>2.4333333333333327</x:v>
      </x:c>
      <x:c r="M4" s="9" t="n">
        <x:f>'Physical_Arcs'!S4</x:f>
        <x:v>6.083333333333333</x:v>
      </x:c>
      <x:c r="N4" s="9" t="n">
        <x:f>M4*'Parameters'!$C$18</x:f>
        <x:v>1.2166666666666668</x:v>
      </x:c>
      <x:c r="O4" s="9" t="n">
        <x:f>N4*'Parameters'!$C$19</x:f>
        <x:v>1.5208333333333335</x:v>
      </x:c>
      <x:c r="P4" s="9" t="n">
        <x:f>M4*(1-0.40)-N4</x:f>
        <x:v>2.4333333333333327</x:v>
      </x:c>
      <x:c r="Q4" s="9" t="n">
        <x:f>'Physical_Arcs'!T4</x:f>
        <x:v>3.0555555555555554</x:v>
      </x:c>
      <x:c r="R4" s="9" t="n">
        <x:f>Q4*'Parameters'!$C$18</x:f>
        <x:v>0.6111111111111112</x:v>
      </x:c>
      <x:c r="S4" s="9" t="n">
        <x:f>R4*'Parameters'!$C$19</x:f>
        <x:v>0.763888888888889</x:v>
      </x:c>
      <x:c r="T4" s="9" t="n">
        <x:f>Q4*(1-0.40)-R4</x:f>
        <x:v>1.2222222222222219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1</x:v>
      </x:c>
      <x:c r="F5" s="3" t="n">
        <x:v>7</x:v>
      </x:c>
      <x:c r="G5" s="9" t="n">
        <x:v>0.18</x:v>
      </x:c>
      <x:c r="H5" s="9" t="n">
        <x:v>1.111072</x:v>
      </x:c>
      <x:c r="I5" s="9" t="n">
        <x:f>'Physical_Arcs'!R5</x:f>
        <x:v>9</x:v>
      </x:c>
      <x:c r="J5" s="9" t="n">
        <x:f>I5*'Parameters'!$C$18</x:f>
        <x:v>1.8</x:v>
      </x:c>
      <x:c r="K5" s="9" t="n">
        <x:f>J5*'Parameters'!$C$19</x:f>
        <x:v>2.25</x:v>
      </x:c>
      <x:c r="L5" s="9" t="n">
        <x:f>I5*(1-0.40)-J5</x:f>
        <x:v>3.5999999999999996</x:v>
      </x:c>
      <x:c r="M5" s="9" t="n">
        <x:f>'Physical_Arcs'!S5</x:f>
        <x:v>9</x:v>
      </x:c>
      <x:c r="N5" s="9" t="n">
        <x:f>M5*'Parameters'!$C$18</x:f>
        <x:v>1.8</x:v>
      </x:c>
      <x:c r="O5" s="9" t="n">
        <x:f>N5*'Parameters'!$C$19</x:f>
        <x:v>2.25</x:v>
      </x:c>
      <x:c r="P5" s="9" t="n">
        <x:f>M5*(1-0.40)-N5</x:f>
        <x:v>3.5999999999999996</x:v>
      </x:c>
      <x:c r="Q5" s="9" t="n">
        <x:f>'Physical_Arcs'!T5</x:f>
        <x:v>4.5</x:v>
      </x:c>
      <x:c r="R5" s="9" t="n">
        <x:f>Q5*'Parameters'!$C$18</x:f>
        <x:v>0.9</x:v>
      </x:c>
      <x:c r="S5" s="9" t="n">
        <x:f>R5*'Parameters'!$C$19</x:f>
        <x:v>1.125</x:v>
      </x:c>
      <x:c r="T5" s="9" t="n">
        <x:f>Q5*(1-0.40)-R5</x:f>
        <x:v>1.7999999999999998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1</x:v>
      </x:c>
      <x:c r="F6" s="3" t="n">
        <x:v>4</x:v>
      </x:c>
      <x:c r="G6" s="9" t="n">
        <x:v>0.18</x:v>
      </x:c>
      <x:c r="H6" s="9" t="n">
        <x:v>1.001665</x:v>
      </x:c>
      <x:c r="I6" s="9" t="n">
        <x:f>'Physical_Arcs'!R6</x:f>
        <x:v>4.166666666666667</x:v>
      </x:c>
      <x:c r="J6" s="9" t="n">
        <x:f>I6*'Parameters'!$C$18</x:f>
        <x:v>0.8333333333333335</x:v>
      </x:c>
      <x:c r="K6" s="9" t="n">
        <x:f>J6*'Parameters'!$C$19</x:f>
        <x:v>1.041666666666667</x:v>
      </x:c>
      <x:c r="L6" s="9" t="n">
        <x:f>I6*(1-0.40)-J6</x:f>
        <x:v>1.6666666666666665</x:v>
      </x:c>
      <x:c r="M6" s="9" t="n">
        <x:f>'Physical_Arcs'!S6</x:f>
        <x:v>4.166666666666667</x:v>
      </x:c>
      <x:c r="N6" s="9" t="n">
        <x:f>M6*'Parameters'!$C$18</x:f>
        <x:v>0.8333333333333335</x:v>
      </x:c>
      <x:c r="O6" s="9" t="n">
        <x:f>N6*'Parameters'!$C$19</x:f>
        <x:v>1.041666666666667</x:v>
      </x:c>
      <x:c r="P6" s="9" t="n">
        <x:f>M6*(1-0.40)-N6</x:f>
        <x:v>1.6666666666666665</x:v>
      </x:c>
      <x:c r="Q6" s="9" t="n">
        <x:f>'Physical_Arcs'!T6</x:f>
        <x:v>2.0833333333333335</x:v>
      </x:c>
      <x:c r="R6" s="9" t="n">
        <x:f>Q6*'Parameters'!$C$18</x:f>
        <x:v>0.41666666666666674</x:v>
      </x:c>
      <x:c r="S6" s="9" t="n">
        <x:f>R6*'Parameters'!$C$19</x:f>
        <x:v>0.5208333333333335</x:v>
      </x:c>
      <x:c r="T6" s="9" t="n">
        <x:f>Q6*(1-0.40)-R6</x:f>
        <x:v>0.8333333333333333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1</x:v>
      </x:c>
      <x:c r="F7" s="3" t="n">
        <x:v>9</x:v>
      </x:c>
      <x:c r="G7" s="9" t="n">
        <x:v>0.18</x:v>
      </x:c>
      <x:c r="H7" s="9" t="n">
        <x:v>0.942884</x:v>
      </x:c>
      <x:c r="I7" s="9" t="n">
        <x:f>'Physical_Arcs'!R7</x:f>
        <x:v>11.027777777777779</x:v>
      </x:c>
      <x:c r="J7" s="9" t="n">
        <x:f>I7*'Parameters'!$C$18</x:f>
        <x:v>2.2055555555555557</x:v>
      </x:c>
      <x:c r="K7" s="9" t="n">
        <x:f>J7*'Parameters'!$C$19</x:f>
        <x:v>2.7569444444444446</x:v>
      </x:c>
      <x:c r="L7" s="9" t="n">
        <x:f>I7*(1-0.40)-J7</x:f>
        <x:v>4.411111111111111</x:v>
      </x:c>
      <x:c r="M7" s="9" t="n">
        <x:f>'Physical_Arcs'!S7</x:f>
        <x:v>11.027777777777779</x:v>
      </x:c>
      <x:c r="N7" s="9" t="n">
        <x:f>M7*'Parameters'!$C$18</x:f>
        <x:v>2.2055555555555557</x:v>
      </x:c>
      <x:c r="O7" s="9" t="n">
        <x:f>N7*'Parameters'!$C$19</x:f>
        <x:v>2.7569444444444446</x:v>
      </x:c>
      <x:c r="P7" s="9" t="n">
        <x:f>M7*(1-0.40)-N7</x:f>
        <x:v>4.411111111111111</x:v>
      </x:c>
      <x:c r="Q7" s="9" t="n">
        <x:f>'Physical_Arcs'!T7</x:f>
        <x:v>5.527777777777778</x:v>
      </x:c>
      <x:c r="R7" s="9" t="n">
        <x:f>Q7*'Parameters'!$C$18</x:f>
        <x:v>1.1055555555555556</x:v>
      </x:c>
      <x:c r="S7" s="9" t="n">
        <x:f>R7*'Parameters'!$C$19</x:f>
        <x:v>1.3819444444444446</x:v>
      </x:c>
      <x:c r="T7" s="9" t="n">
        <x:f>Q7*(1-0.40)-R7</x:f>
        <x:v>2.211111111111111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1</x:v>
      </x:c>
      <x:c r="F8" s="3" t="n">
        <x:v>5</x:v>
      </x:c>
      <x:c r="G8" s="9" t="n">
        <x:v>0.18</x:v>
      </x:c>
      <x:c r="H8" s="9" t="n">
        <x:v>1.038222</x:v>
      </x:c>
      <x:c r="I8" s="9" t="n">
        <x:f>'Physical_Arcs'!R8</x:f>
        <x:v>7.972222222222222</x:v>
      </x:c>
      <x:c r="J8" s="9" t="n">
        <x:f>I8*'Parameters'!$C$18</x:f>
        <x:v>1.5944444444444446</x:v>
      </x:c>
      <x:c r="K8" s="9" t="n">
        <x:f>J8*'Parameters'!$C$19</x:f>
        <x:v>1.9930555555555558</x:v>
      </x:c>
      <x:c r="L8" s="9" t="n">
        <x:f>I8*(1-0.40)-J8</x:f>
        <x:v>3.1888888888888887</x:v>
      </x:c>
      <x:c r="M8" s="9" t="n">
        <x:f>'Physical_Arcs'!S8</x:f>
        <x:v>7.972222222222222</x:v>
      </x:c>
      <x:c r="N8" s="9" t="n">
        <x:f>M8*'Parameters'!$C$18</x:f>
        <x:v>1.5944444444444446</x:v>
      </x:c>
      <x:c r="O8" s="9" t="n">
        <x:f>N8*'Parameters'!$C$19</x:f>
        <x:v>1.9930555555555558</x:v>
      </x:c>
      <x:c r="P8" s="9" t="n">
        <x:f>M8*(1-0.40)-N8</x:f>
        <x:v>3.1888888888888887</x:v>
      </x:c>
      <x:c r="Q8" s="9" t="n">
        <x:f>'Physical_Arcs'!T8</x:f>
        <x:v>4</x:v>
      </x:c>
      <x:c r="R8" s="9" t="n">
        <x:f>Q8*'Parameters'!$C$18</x:f>
        <x:v>0.8</x:v>
      </x:c>
      <x:c r="S8" s="9" t="n">
        <x:f>R8*'Parameters'!$C$19</x:f>
        <x:v>1</x:v>
      </x:c>
      <x:c r="T8" s="9" t="n">
        <x:f>Q8*(1-0.40)-R8</x:f>
        <x:v>1.5999999999999999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1</x:v>
      </x:c>
      <x:c r="F9" s="3" t="n">
        <x:v>3</x:v>
      </x:c>
      <x:c r="G9" s="9" t="n">
        <x:v>0.18</x:v>
      </x:c>
      <x:c r="H9" s="9" t="n">
        <x:v>1.122297</x:v>
      </x:c>
      <x:c r="I9" s="9" t="n">
        <x:f>'Physical_Arcs'!R9</x:f>
        <x:v>4.166666666666667</x:v>
      </x:c>
      <x:c r="J9" s="9" t="n">
        <x:f>I9*'Parameters'!$C$18</x:f>
        <x:v>0.8333333333333335</x:v>
      </x:c>
      <x:c r="K9" s="9" t="n">
        <x:f>J9*'Parameters'!$C$19</x:f>
        <x:v>1.041666666666667</x:v>
      </x:c>
      <x:c r="L9" s="9" t="n">
        <x:f>I9*(1-0.40)-J9</x:f>
        <x:v>1.6666666666666665</x:v>
      </x:c>
      <x:c r="M9" s="9" t="n">
        <x:f>'Physical_Arcs'!S9</x:f>
        <x:v>4.166666666666667</x:v>
      </x:c>
      <x:c r="N9" s="9" t="n">
        <x:f>M9*'Parameters'!$C$18</x:f>
        <x:v>0.8333333333333335</x:v>
      </x:c>
      <x:c r="O9" s="9" t="n">
        <x:f>N9*'Parameters'!$C$19</x:f>
        <x:v>1.041666666666667</x:v>
      </x:c>
      <x:c r="P9" s="9" t="n">
        <x:f>M9*(1-0.40)-N9</x:f>
        <x:v>1.6666666666666665</x:v>
      </x:c>
      <x:c r="Q9" s="9" t="n">
        <x:f>'Physical_Arcs'!T9</x:f>
        <x:v>2.0833333333333335</x:v>
      </x:c>
      <x:c r="R9" s="9" t="n">
        <x:f>Q9*'Parameters'!$C$18</x:f>
        <x:v>0.41666666666666674</x:v>
      </x:c>
      <x:c r="S9" s="9" t="n">
        <x:f>R9*'Parameters'!$C$19</x:f>
        <x:v>0.5208333333333335</x:v>
      </x:c>
      <x:c r="T9" s="9" t="n">
        <x:f>Q9*(1-0.40)-R9</x:f>
        <x:v>0.8333333333333333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1</x:v>
      </x:c>
      <x:c r="F10" s="3" t="n">
        <x:v>6</x:v>
      </x:c>
      <x:c r="G10" s="9" t="n">
        <x:v>0.18</x:v>
      </x:c>
      <x:c r="H10" s="9" t="n">
        <x:v>1.132682</x:v>
      </x:c>
      <x:c r="I10" s="9" t="n">
        <x:f>'Physical_Arcs'!R10</x:f>
        <x:v>2.138888888888889</x:v>
      </x:c>
      <x:c r="J10" s="9" t="n">
        <x:f>I10*'Parameters'!$C$18</x:f>
        <x:v>0.4277777777777778</x:v>
      </x:c>
      <x:c r="K10" s="9" t="n">
        <x:f>J10*'Parameters'!$C$19</x:f>
        <x:v>0.5347222222222223</x:v>
      </x:c>
      <x:c r="L10" s="9" t="n">
        <x:f>I10*(1-0.40)-J10</x:f>
        <x:v>0.8555555555555554</x:v>
      </x:c>
      <x:c r="M10" s="9" t="n">
        <x:f>'Physical_Arcs'!S10</x:f>
        <x:v>2.138888888888889</x:v>
      </x:c>
      <x:c r="N10" s="9" t="n">
        <x:f>M10*'Parameters'!$C$18</x:f>
        <x:v>0.4277777777777778</x:v>
      </x:c>
      <x:c r="O10" s="9" t="n">
        <x:f>N10*'Parameters'!$C$19</x:f>
        <x:v>0.5347222222222223</x:v>
      </x:c>
      <x:c r="P10" s="9" t="n">
        <x:f>M10*(1-0.40)-N10</x:f>
        <x:v>0.8555555555555554</x:v>
      </x:c>
      <x:c r="Q10" s="9" t="n">
        <x:f>'Physical_Arcs'!T10</x:f>
        <x:v>1.0833333333333333</x:v>
      </x:c>
      <x:c r="R10" s="9" t="n">
        <x:f>Q10*'Parameters'!$C$18</x:f>
        <x:v>0.21666666666666667</x:v>
      </x:c>
      <x:c r="S10" s="9" t="n">
        <x:f>R10*'Parameters'!$C$19</x:f>
        <x:v>0.27083333333333337</x:v>
      </x:c>
      <x:c r="T10" s="9" t="n">
        <x:f>Q10*(1-0.40)-R10</x:f>
        <x:v>0.43333333333333324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2</x:v>
      </x:c>
      <x:c r="F11" s="3" t="n">
        <x:v>3</x:v>
      </x:c>
      <x:c r="G11" s="9" t="n">
        <x:v>0.18</x:v>
      </x:c>
      <x:c r="H11" s="9" t="n">
        <x:v>0.871154</x:v>
      </x:c>
      <x:c r="I11" s="9" t="n">
        <x:f>'Physical_Arcs'!R11</x:f>
        <x:v>17.02777777777778</x:v>
      </x:c>
      <x:c r="J11" s="9" t="n">
        <x:f>I11*'Parameters'!$C$18</x:f>
        <x:v>3.405555555555556</x:v>
      </x:c>
      <x:c r="K11" s="9" t="n">
        <x:f>J11*'Parameters'!$C$19</x:f>
        <x:v>4.256944444444445</x:v>
      </x:c>
      <x:c r="L11" s="9" t="n">
        <x:f>I11*(1-0.40)-J11</x:f>
        <x:v>6.811111111111111</x:v>
      </x:c>
      <x:c r="M11" s="9" t="n">
        <x:f>'Physical_Arcs'!S11</x:f>
        <x:v>17.02777777777778</x:v>
      </x:c>
      <x:c r="N11" s="9" t="n">
        <x:f>M11*'Parameters'!$C$18</x:f>
        <x:v>3.405555555555556</x:v>
      </x:c>
      <x:c r="O11" s="9" t="n">
        <x:f>N11*'Parameters'!$C$19</x:f>
        <x:v>4.256944444444445</x:v>
      </x:c>
      <x:c r="P11" s="9" t="n">
        <x:f>M11*(1-0.40)-N11</x:f>
        <x:v>6.811111111111111</x:v>
      </x:c>
      <x:c r="Q11" s="9" t="n">
        <x:f>'Physical_Arcs'!T11</x:f>
        <x:v>17.02777777777778</x:v>
      </x:c>
      <x:c r="R11" s="9" t="n">
        <x:f>Q11*'Parameters'!$C$18</x:f>
        <x:v>3.405555555555556</x:v>
      </x:c>
      <x:c r="S11" s="9" t="n">
        <x:f>R11*'Parameters'!$C$19</x:f>
        <x:v>4.256944444444445</x:v>
      </x:c>
      <x:c r="T11" s="9" t="n">
        <x:f>Q11*(1-0.40)-R11</x:f>
        <x:v>6.811111111111111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2</x:v>
      </x:c>
      <x:c r="F12" s="3" t="n">
        <x:v>4</x:v>
      </x:c>
      <x:c r="G12" s="9" t="n">
        <x:v>0.18</x:v>
      </x:c>
      <x:c r="H12" s="9" t="n">
        <x:v>1.147412</x:v>
      </x:c>
      <x:c r="I12" s="9" t="n">
        <x:f>'Physical_Arcs'!R12</x:f>
        <x:v>7.972222222222222</x:v>
      </x:c>
      <x:c r="J12" s="9" t="n">
        <x:f>I12*'Parameters'!$C$18</x:f>
        <x:v>1.5944444444444446</x:v>
      </x:c>
      <x:c r="K12" s="9" t="n">
        <x:f>J12*'Parameters'!$C$19</x:f>
        <x:v>1.9930555555555558</x:v>
      </x:c>
      <x:c r="L12" s="9" t="n">
        <x:f>I12*(1-0.40)-J12</x:f>
        <x:v>3.1888888888888887</x:v>
      </x:c>
      <x:c r="M12" s="9" t="n">
        <x:f>'Physical_Arcs'!S12</x:f>
        <x:v>7.972222222222222</x:v>
      </x:c>
      <x:c r="N12" s="9" t="n">
        <x:f>M12*'Parameters'!$C$18</x:f>
        <x:v>1.5944444444444446</x:v>
      </x:c>
      <x:c r="O12" s="9" t="n">
        <x:f>N12*'Parameters'!$C$19</x:f>
        <x:v>1.9930555555555558</x:v>
      </x:c>
      <x:c r="P12" s="9" t="n">
        <x:f>M12*(1-0.40)-N12</x:f>
        <x:v>3.1888888888888887</x:v>
      </x:c>
      <x:c r="Q12" s="9" t="n">
        <x:f>'Physical_Arcs'!T12</x:f>
        <x:v>4</x:v>
      </x:c>
      <x:c r="R12" s="9" t="n">
        <x:f>Q12*'Parameters'!$C$18</x:f>
        <x:v>0.8</x:v>
      </x:c>
      <x:c r="S12" s="9" t="n">
        <x:f>R12*'Parameters'!$C$19</x:f>
        <x:v>1</x:v>
      </x:c>
      <x:c r="T12" s="9" t="n">
        <x:f>Q12*(1-0.40)-R12</x:f>
        <x:v>1.5999999999999999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2</x:v>
      </x:c>
      <x:c r="F13" s="3" t="n">
        <x:v>7</x:v>
      </x:c>
      <x:c r="G13" s="9" t="n">
        <x:v>0.18</x:v>
      </x:c>
      <x:c r="H13" s="9" t="n">
        <x:v>0.96729</x:v>
      </x:c>
      <x:c r="I13" s="9" t="n">
        <x:f>'Physical_Arcs'!R13</x:f>
        <x:v>4.611111111111111</x:v>
      </x:c>
      <x:c r="J13" s="9" t="n">
        <x:f>I13*'Parameters'!$C$18</x:f>
        <x:v>0.9222222222222222</x:v>
      </x:c>
      <x:c r="K13" s="9" t="n">
        <x:f>J13*'Parameters'!$C$19</x:f>
        <x:v>1.1527777777777777</x:v>
      </x:c>
      <x:c r="L13" s="9" t="n">
        <x:f>I13*(1-0.40)-J13</x:f>
        <x:v>1.844444444444444</x:v>
      </x:c>
      <x:c r="M13" s="9" t="n">
        <x:f>'Physical_Arcs'!S13</x:f>
        <x:v>4.611111111111111</x:v>
      </x:c>
      <x:c r="N13" s="9" t="n">
        <x:f>M13*'Parameters'!$C$18</x:f>
        <x:v>0.9222222222222222</x:v>
      </x:c>
      <x:c r="O13" s="9" t="n">
        <x:f>N13*'Parameters'!$C$19</x:f>
        <x:v>1.1527777777777777</x:v>
      </x:c>
      <x:c r="P13" s="9" t="n">
        <x:f>M13*(1-0.40)-N13</x:f>
        <x:v>1.844444444444444</x:v>
      </x:c>
      <x:c r="Q13" s="9" t="n">
        <x:f>'Physical_Arcs'!T13</x:f>
        <x:v>2.3055555555555554</x:v>
      </x:c>
      <x:c r="R13" s="9" t="n">
        <x:f>Q13*'Parameters'!$C$18</x:f>
        <x:v>0.4611111111111111</x:v>
      </x:c>
      <x:c r="S13" s="9" t="n">
        <x:f>R13*'Parameters'!$C$19</x:f>
        <x:v>0.5763888888888888</x:v>
      </x:c>
      <x:c r="T13" s="9" t="n">
        <x:f>Q13*(1-0.40)-R13</x:f>
        <x:v>0.922222222222222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2</x:v>
      </x:c>
      <x:c r="F14" s="3" t="n">
        <x:v>9</x:v>
      </x:c>
      <x:c r="G14" s="9" t="n">
        <x:v>0.18</x:v>
      </x:c>
      <x:c r="H14" s="9" t="n">
        <x:v>1.117625</x:v>
      </x:c>
      <x:c r="I14" s="9" t="n">
        <x:f>'Physical_Arcs'!R14</x:f>
        <x:v>8.666666666666666</x:v>
      </x:c>
      <x:c r="J14" s="9" t="n">
        <x:f>I14*'Parameters'!$C$18</x:f>
        <x:v>1.7333333333333334</x:v>
      </x:c>
      <x:c r="K14" s="9" t="n">
        <x:f>J14*'Parameters'!$C$19</x:f>
        <x:v>2.166666666666667</x:v>
      </x:c>
      <x:c r="L14" s="9" t="n">
        <x:f>I14*(1-0.40)-J14</x:f>
        <x:v>3.466666666666666</x:v>
      </x:c>
      <x:c r="M14" s="9" t="n">
        <x:f>'Physical_Arcs'!S14</x:f>
        <x:v>8.666666666666666</x:v>
      </x:c>
      <x:c r="N14" s="9" t="n">
        <x:f>M14*'Parameters'!$C$18</x:f>
        <x:v>1.7333333333333334</x:v>
      </x:c>
      <x:c r="O14" s="9" t="n">
        <x:f>N14*'Parameters'!$C$19</x:f>
        <x:v>2.166666666666667</x:v>
      </x:c>
      <x:c r="P14" s="9" t="n">
        <x:f>M14*(1-0.40)-N14</x:f>
        <x:v>3.466666666666666</x:v>
      </x:c>
      <x:c r="Q14" s="9" t="n">
        <x:f>'Physical_Arcs'!T14</x:f>
        <x:v>4.333333333333333</x:v>
      </x:c>
      <x:c r="R14" s="9" t="n">
        <x:f>Q14*'Parameters'!$C$18</x:f>
        <x:v>0.8666666666666667</x:v>
      </x:c>
      <x:c r="S14" s="9" t="n">
        <x:f>R14*'Parameters'!$C$19</x:f>
        <x:v>1.0833333333333335</x:v>
      </x:c>
      <x:c r="T14" s="9" t="n">
        <x:f>Q14*(1-0.40)-R14</x:f>
        <x:v>1.733333333333333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2</x:v>
      </x:c>
      <x:c r="F15" s="3" t="n">
        <x:v>8</x:v>
      </x:c>
      <x:c r="G15" s="9" t="n">
        <x:v>0.18</x:v>
      </x:c>
      <x:c r="H15" s="9" t="n">
        <x:v>1.144902</x:v>
      </x:c>
      <x:c r="I15" s="9" t="n">
        <x:f>'Physical_Arcs'!R15</x:f>
        <x:v>7.75</x:v>
      </x:c>
      <x:c r="J15" s="9" t="n">
        <x:f>I15*'Parameters'!$C$18</x:f>
        <x:v>1.55</x:v>
      </x:c>
      <x:c r="K15" s="9" t="n">
        <x:f>J15*'Parameters'!$C$19</x:f>
        <x:v>1.9375</x:v>
      </x:c>
      <x:c r="L15" s="9" t="n">
        <x:f>I15*(1-0.40)-J15</x:f>
        <x:v>3.0999999999999996</x:v>
      </x:c>
      <x:c r="M15" s="9" t="n">
        <x:f>'Physical_Arcs'!S15</x:f>
        <x:v>7.75</x:v>
      </x:c>
      <x:c r="N15" s="9" t="n">
        <x:f>M15*'Parameters'!$C$18</x:f>
        <x:v>1.55</x:v>
      </x:c>
      <x:c r="O15" s="9" t="n">
        <x:f>N15*'Parameters'!$C$19</x:f>
        <x:v>1.9375</x:v>
      </x:c>
      <x:c r="P15" s="9" t="n">
        <x:f>M15*(1-0.40)-N15</x:f>
        <x:v>3.0999999999999996</x:v>
      </x:c>
      <x:c r="Q15" s="9" t="n">
        <x:f>'Physical_Arcs'!T15</x:f>
        <x:v>3.888888888888889</x:v>
      </x:c>
      <x:c r="R15" s="9" t="n">
        <x:f>Q15*'Parameters'!$C$18</x:f>
        <x:v>0.7777777777777778</x:v>
      </x:c>
      <x:c r="S15" s="9" t="n">
        <x:f>R15*'Parameters'!$C$19</x:f>
        <x:v>0.9722222222222222</x:v>
      </x:c>
      <x:c r="T15" s="9" t="n">
        <x:f>Q15*(1-0.40)-R15</x:f>
        <x:v>1.5555555555555554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2</x:v>
      </x:c>
      <x:c r="F16" s="3" t="n">
        <x:v>10</x:v>
      </x:c>
      <x:c r="G16" s="9" t="n">
        <x:v>0.18</x:v>
      </x:c>
      <x:c r="H16" s="9" t="n">
        <x:v>1.146684</x:v>
      </x:c>
      <x:c r="I16" s="9" t="n">
        <x:f>'Physical_Arcs'!R16</x:f>
        <x:v>7.416666666666667</x:v>
      </x:c>
      <x:c r="J16" s="9" t="n">
        <x:f>I16*'Parameters'!$C$18</x:f>
        <x:v>1.4833333333333334</x:v>
      </x:c>
      <x:c r="K16" s="9" t="n">
        <x:f>J16*'Parameters'!$C$19</x:f>
        <x:v>1.8541666666666667</x:v>
      </x:c>
      <x:c r="L16" s="9" t="n">
        <x:f>I16*(1-0.40)-J16</x:f>
        <x:v>2.966666666666667</x:v>
      </x:c>
      <x:c r="M16" s="9" t="n">
        <x:f>'Physical_Arcs'!S16</x:f>
        <x:v>7.416666666666667</x:v>
      </x:c>
      <x:c r="N16" s="9" t="n">
        <x:f>M16*'Parameters'!$C$18</x:f>
        <x:v>1.4833333333333334</x:v>
      </x:c>
      <x:c r="O16" s="9" t="n">
        <x:f>N16*'Parameters'!$C$19</x:f>
        <x:v>1.8541666666666667</x:v>
      </x:c>
      <x:c r="P16" s="9" t="n">
        <x:f>M16*(1-0.40)-N16</x:f>
        <x:v>2.966666666666667</x:v>
      </x:c>
      <x:c r="Q16" s="9" t="n">
        <x:f>'Physical_Arcs'!T16</x:f>
        <x:v>3.7222222222222223</x:v>
      </x:c>
      <x:c r="R16" s="9" t="n">
        <x:f>Q16*'Parameters'!$C$18</x:f>
        <x:v>0.7444444444444445</x:v>
      </x:c>
      <x:c r="S16" s="9" t="n">
        <x:f>R16*'Parameters'!$C$19</x:f>
        <x:v>0.9305555555555556</x:v>
      </x:c>
      <x:c r="T16" s="9" t="n">
        <x:f>Q16*(1-0.40)-R16</x:f>
        <x:v>1.488888888888889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3</x:v>
      </x:c>
      <x:c r="F17" s="3" t="n">
        <x:v>4</x:v>
      </x:c>
      <x:c r="G17" s="9" t="n">
        <x:v>0.18</x:v>
      </x:c>
      <x:c r="H17" s="9" t="n">
        <x:v>1.017658</x:v>
      </x:c>
      <x:c r="I17" s="9" t="n">
        <x:f>'Physical_Arcs'!R17</x:f>
        <x:v>17.02777777777778</x:v>
      </x:c>
      <x:c r="J17" s="9" t="n">
        <x:f>I17*'Parameters'!$C$18</x:f>
        <x:v>3.405555555555556</x:v>
      </x:c>
      <x:c r="K17" s="9" t="n">
        <x:f>J17*'Parameters'!$C$19</x:f>
        <x:v>4.256944444444445</x:v>
      </x:c>
      <x:c r="L17" s="9" t="n">
        <x:f>I17*(1-0.40)-J17</x:f>
        <x:v>6.811111111111111</x:v>
      </x:c>
      <x:c r="M17" s="9" t="n">
        <x:f>'Physical_Arcs'!S17</x:f>
        <x:v>17.02777777777778</x:v>
      </x:c>
      <x:c r="N17" s="9" t="n">
        <x:f>M17*'Parameters'!$C$18</x:f>
        <x:v>3.405555555555556</x:v>
      </x:c>
      <x:c r="O17" s="9" t="n">
        <x:f>N17*'Parameters'!$C$19</x:f>
        <x:v>4.256944444444445</x:v>
      </x:c>
      <x:c r="P17" s="9" t="n">
        <x:f>M17*(1-0.40)-N17</x:f>
        <x:v>6.811111111111111</x:v>
      </x:c>
      <x:c r="Q17" s="9" t="n">
        <x:f>'Physical_Arcs'!T17</x:f>
        <x:v>17.02777777777778</x:v>
      </x:c>
      <x:c r="R17" s="9" t="n">
        <x:f>Q17*'Parameters'!$C$18</x:f>
        <x:v>3.405555555555556</x:v>
      </x:c>
      <x:c r="S17" s="9" t="n">
        <x:f>R17*'Parameters'!$C$19</x:f>
        <x:v>4.256944444444445</x:v>
      </x:c>
      <x:c r="T17" s="9" t="n">
        <x:f>Q17*(1-0.40)-R17</x:f>
        <x:v>6.811111111111111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3</x:v>
      </x:c>
      <x:c r="F18" s="3" t="n">
        <x:v>2</x:v>
      </x:c>
      <x:c r="G18" s="9" t="n">
        <x:v>0.18</x:v>
      </x:c>
      <x:c r="H18" s="9" t="n">
        <x:v>0.875995</x:v>
      </x:c>
      <x:c r="I18" s="9" t="n">
        <x:f>'Physical_Arcs'!R18</x:f>
        <x:v>10.666666666666666</x:v>
      </x:c>
      <x:c r="J18" s="9" t="n">
        <x:f>I18*'Parameters'!$C$18</x:f>
        <x:v>2.1333333333333333</x:v>
      </x:c>
      <x:c r="K18" s="9" t="n">
        <x:f>J18*'Parameters'!$C$19</x:f>
        <x:v>2.6666666666666665</x:v>
      </x:c>
      <x:c r="L18" s="9" t="n">
        <x:f>I18*(1-0.40)-J18</x:f>
        <x:v>4.266666666666666</x:v>
      </x:c>
      <x:c r="M18" s="9" t="n">
        <x:f>'Physical_Arcs'!S18</x:f>
        <x:v>10.666666666666666</x:v>
      </x:c>
      <x:c r="N18" s="9" t="n">
        <x:f>M18*'Parameters'!$C$18</x:f>
        <x:v>2.1333333333333333</x:v>
      </x:c>
      <x:c r="O18" s="9" t="n">
        <x:f>N18*'Parameters'!$C$19</x:f>
        <x:v>2.6666666666666665</x:v>
      </x:c>
      <x:c r="P18" s="9" t="n">
        <x:f>M18*(1-0.40)-N18</x:f>
        <x:v>4.266666666666666</x:v>
      </x:c>
      <x:c r="Q18" s="9" t="n">
        <x:f>'Physical_Arcs'!T18</x:f>
        <x:v>5.333333333333333</x:v>
      </x:c>
      <x:c r="R18" s="9" t="n">
        <x:f>Q18*'Parameters'!$C$18</x:f>
        <x:v>1.0666666666666667</x:v>
      </x:c>
      <x:c r="S18" s="9" t="n">
        <x:f>R18*'Parameters'!$C$19</x:f>
        <x:v>1.3333333333333333</x:v>
      </x:c>
      <x:c r="T18" s="9" t="n">
        <x:f>Q18*(1-0.40)-R18</x:f>
        <x:v>2.133333333333333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3</x:v>
      </x:c>
      <x:c r="F19" s="3" t="n">
        <x:v>1</x:v>
      </x:c>
      <x:c r="G19" s="9" t="n">
        <x:v>0.18</x:v>
      </x:c>
      <x:c r="H19" s="9" t="n">
        <x:v>1.015397</x:v>
      </x:c>
      <x:c r="I19" s="9" t="n">
        <x:f>'Physical_Arcs'!R19</x:f>
        <x:v>5.166666666666667</x:v>
      </x:c>
      <x:c r="J19" s="9" t="n">
        <x:f>I19*'Parameters'!$C$18</x:f>
        <x:v>1.0333333333333334</x:v>
      </x:c>
      <x:c r="K19" s="9" t="n">
        <x:f>J19*'Parameters'!$C$19</x:f>
        <x:v>1.2916666666666667</x:v>
      </x:c>
      <x:c r="L19" s="9" t="n">
        <x:f>I19*(1-0.40)-J19</x:f>
        <x:v>2.0666666666666664</x:v>
      </x:c>
      <x:c r="M19" s="9" t="n">
        <x:f>'Physical_Arcs'!S19</x:f>
        <x:v>5.166666666666667</x:v>
      </x:c>
      <x:c r="N19" s="9" t="n">
        <x:f>M19*'Parameters'!$C$18</x:f>
        <x:v>1.0333333333333334</x:v>
      </x:c>
      <x:c r="O19" s="9" t="n">
        <x:f>N19*'Parameters'!$C$19</x:f>
        <x:v>1.2916666666666667</x:v>
      </x:c>
      <x:c r="P19" s="9" t="n">
        <x:f>M19*(1-0.40)-N19</x:f>
        <x:v>2.0666666666666664</x:v>
      </x:c>
      <x:c r="Q19" s="9" t="n">
        <x:f>'Physical_Arcs'!T19</x:f>
        <x:v>2.5833333333333335</x:v>
      </x:c>
      <x:c r="R19" s="9" t="n">
        <x:f>Q19*'Parameters'!$C$18</x:f>
        <x:v>0.5166666666666667</x:v>
      </x:c>
      <x:c r="S19" s="9" t="n">
        <x:f>R19*'Parameters'!$C$19</x:f>
        <x:v>0.6458333333333334</x:v>
      </x:c>
      <x:c r="T19" s="9" t="n">
        <x:f>Q19*(1-0.40)-R19</x:f>
        <x:v>1.0333333333333332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3</x:v>
      </x:c>
      <x:c r="F20" s="3" t="n">
        <x:v>7</x:v>
      </x:c>
      <x:c r="G20" s="9" t="n">
        <x:v>0.18</x:v>
      </x:c>
      <x:c r="H20" s="9" t="n">
        <x:v>0.996008</x:v>
      </x:c>
      <x:c r="I20" s="9" t="n">
        <x:f>'Physical_Arcs'!R20</x:f>
        <x:v>5.75</x:v>
      </x:c>
      <x:c r="J20" s="9" t="n">
        <x:f>I20*'Parameters'!$C$18</x:f>
        <x:v>1.1500000000000001</x:v>
      </x:c>
      <x:c r="K20" s="9" t="n">
        <x:f>J20*'Parameters'!$C$19</x:f>
        <x:v>1.4375000000000002</x:v>
      </x:c>
      <x:c r="L20" s="9" t="n">
        <x:f>I20*(1-0.40)-J20</x:f>
        <x:v>2.3</x:v>
      </x:c>
      <x:c r="M20" s="9" t="n">
        <x:f>'Physical_Arcs'!S20</x:f>
        <x:v>5.75</x:v>
      </x:c>
      <x:c r="N20" s="9" t="n">
        <x:f>M20*'Parameters'!$C$18</x:f>
        <x:v>1.1500000000000001</x:v>
      </x:c>
      <x:c r="O20" s="9" t="n">
        <x:f>N20*'Parameters'!$C$19</x:f>
        <x:v>1.4375000000000002</x:v>
      </x:c>
      <x:c r="P20" s="9" t="n">
        <x:f>M20*(1-0.40)-N20</x:f>
        <x:v>2.3</x:v>
      </x:c>
      <x:c r="Q20" s="9" t="n">
        <x:f>'Physical_Arcs'!T20</x:f>
        <x:v>2.888888888888889</x:v>
      </x:c>
      <x:c r="R20" s="9" t="n">
        <x:f>Q20*'Parameters'!$C$18</x:f>
        <x:v>0.5777777777777778</x:v>
      </x:c>
      <x:c r="S20" s="9" t="n">
        <x:f>R20*'Parameters'!$C$19</x:f>
        <x:v>0.7222222222222223</x:v>
      </x:c>
      <x:c r="T20" s="9" t="n">
        <x:f>Q20*(1-0.40)-R20</x:f>
        <x:v>1.1555555555555554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3</x:v>
      </x:c>
      <x:c r="F21" s="3" t="n">
        <x:v>10</x:v>
      </x:c>
      <x:c r="G21" s="9" t="n">
        <x:v>0.18</x:v>
      </x:c>
      <x:c r="H21" s="9" t="n">
        <x:v>1.118855</x:v>
      </x:c>
      <x:c r="I21" s="9" t="n">
        <x:f>'Physical_Arcs'!R21</x:f>
        <x:v>5.166666666666667</x:v>
      </x:c>
      <x:c r="J21" s="9" t="n">
        <x:f>I21*'Parameters'!$C$18</x:f>
        <x:v>1.0333333333333334</x:v>
      </x:c>
      <x:c r="K21" s="9" t="n">
        <x:f>J21*'Parameters'!$C$19</x:f>
        <x:v>1.2916666666666667</x:v>
      </x:c>
      <x:c r="L21" s="9" t="n">
        <x:f>I21*(1-0.40)-J21</x:f>
        <x:v>2.0666666666666664</x:v>
      </x:c>
      <x:c r="M21" s="9" t="n">
        <x:f>'Physical_Arcs'!S21</x:f>
        <x:v>5.166666666666667</x:v>
      </x:c>
      <x:c r="N21" s="9" t="n">
        <x:f>M21*'Parameters'!$C$18</x:f>
        <x:v>1.0333333333333334</x:v>
      </x:c>
      <x:c r="O21" s="9" t="n">
        <x:f>N21*'Parameters'!$C$19</x:f>
        <x:v>1.2916666666666667</x:v>
      </x:c>
      <x:c r="P21" s="9" t="n">
        <x:f>M21*(1-0.40)-N21</x:f>
        <x:v>2.0666666666666664</x:v>
      </x:c>
      <x:c r="Q21" s="9" t="n">
        <x:f>'Physical_Arcs'!T21</x:f>
        <x:v>2.5833333333333335</x:v>
      </x:c>
      <x:c r="R21" s="9" t="n">
        <x:f>Q21*'Parameters'!$C$18</x:f>
        <x:v>0.5166666666666667</x:v>
      </x:c>
      <x:c r="S21" s="9" t="n">
        <x:f>R21*'Parameters'!$C$19</x:f>
        <x:v>0.6458333333333334</x:v>
      </x:c>
      <x:c r="T21" s="9" t="n">
        <x:f>Q21*(1-0.40)-R21</x:f>
        <x:v>1.0333333333333332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3</x:v>
      </x:c>
      <x:c r="F22" s="3" t="n">
        <x:v>9</x:v>
      </x:c>
      <x:c r="G22" s="9" t="n">
        <x:v>0.18</x:v>
      </x:c>
      <x:c r="H22" s="9" t="n">
        <x:v>0.947299</x:v>
      </x:c>
      <x:c r="I22" s="9" t="n">
        <x:f>'Physical_Arcs'!R22</x:f>
        <x:v>9.333333333333334</x:v>
      </x:c>
      <x:c r="J22" s="9" t="n">
        <x:f>I22*'Parameters'!$C$18</x:f>
        <x:v>1.866666666666667</x:v>
      </x:c>
      <x:c r="K22" s="9" t="n">
        <x:f>J22*'Parameters'!$C$19</x:f>
        <x:v>2.3333333333333335</x:v>
      </x:c>
      <x:c r="L22" s="9" t="n">
        <x:f>I22*(1-0.40)-J22</x:f>
        <x:v>3.7333333333333334</x:v>
      </x:c>
      <x:c r="M22" s="9" t="n">
        <x:f>'Physical_Arcs'!S22</x:f>
        <x:v>9.333333333333334</x:v>
      </x:c>
      <x:c r="N22" s="9" t="n">
        <x:f>M22*'Parameters'!$C$18</x:f>
        <x:v>1.866666666666667</x:v>
      </x:c>
      <x:c r="O22" s="9" t="n">
        <x:f>N22*'Parameters'!$C$19</x:f>
        <x:v>2.3333333333333335</x:v>
      </x:c>
      <x:c r="P22" s="9" t="n">
        <x:f>M22*(1-0.40)-N22</x:f>
        <x:v>3.7333333333333334</x:v>
      </x:c>
      <x:c r="Q22" s="9" t="n">
        <x:f>'Physical_Arcs'!T22</x:f>
        <x:v>4.666666666666667</x:v>
      </x:c>
      <x:c r="R22" s="9" t="n">
        <x:f>Q22*'Parameters'!$C$18</x:f>
        <x:v>0.9333333333333335</x:v>
      </x:c>
      <x:c r="S22" s="9" t="n">
        <x:f>R22*'Parameters'!$C$19</x:f>
        <x:v>1.1666666666666667</x:v>
      </x:c>
      <x:c r="T22" s="9" t="n">
        <x:f>Q22*(1-0.40)-R22</x:f>
        <x:v>1.8666666666666667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4</x:v>
      </x:c>
      <x:c r="F23" s="3" t="n">
        <x:v>5</x:v>
      </x:c>
      <x:c r="G23" s="9" t="n">
        <x:v>0.18</x:v>
      </x:c>
      <x:c r="H23" s="9" t="n">
        <x:v>0.958485</x:v>
      </x:c>
      <x:c r="I23" s="9" t="n">
        <x:f>'Physical_Arcs'!R23</x:f>
        <x:v>17.02777777777778</x:v>
      </x:c>
      <x:c r="J23" s="9" t="n">
        <x:f>I23*'Parameters'!$C$18</x:f>
        <x:v>3.405555555555556</x:v>
      </x:c>
      <x:c r="K23" s="9" t="n">
        <x:f>J23*'Parameters'!$C$19</x:f>
        <x:v>4.256944444444445</x:v>
      </x:c>
      <x:c r="L23" s="9" t="n">
        <x:f>I23*(1-0.40)-J23</x:f>
        <x:v>6.811111111111111</x:v>
      </x:c>
      <x:c r="M23" s="9" t="n">
        <x:f>'Physical_Arcs'!S23</x:f>
        <x:v>17.02777777777778</x:v>
      </x:c>
      <x:c r="N23" s="9" t="n">
        <x:f>M23*'Parameters'!$C$18</x:f>
        <x:v>3.405555555555556</x:v>
      </x:c>
      <x:c r="O23" s="9" t="n">
        <x:f>N23*'Parameters'!$C$19</x:f>
        <x:v>4.256944444444445</x:v>
      </x:c>
      <x:c r="P23" s="9" t="n">
        <x:f>M23*(1-0.40)-N23</x:f>
        <x:v>6.811111111111111</x:v>
      </x:c>
      <x:c r="Q23" s="9" t="n">
        <x:f>'Physical_Arcs'!T23</x:f>
        <x:v>17.02777777777778</x:v>
      </x:c>
      <x:c r="R23" s="9" t="n">
        <x:f>Q23*'Parameters'!$C$18</x:f>
        <x:v>3.405555555555556</x:v>
      </x:c>
      <x:c r="S23" s="9" t="n">
        <x:f>R23*'Parameters'!$C$19</x:f>
        <x:v>4.256944444444445</x:v>
      </x:c>
      <x:c r="T23" s="9" t="n">
        <x:f>Q23*(1-0.40)-R23</x:f>
        <x:v>6.811111111111111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4</x:v>
      </x:c>
      <x:c r="F24" s="3" t="n">
        <x:v>3</x:v>
      </x:c>
      <x:c r="G24" s="9" t="n">
        <x:v>0.18</x:v>
      </x:c>
      <x:c r="H24" s="9" t="n">
        <x:v>0.944916</x:v>
      </x:c>
      <x:c r="I24" s="9" t="n">
        <x:f>'Physical_Arcs'!R24</x:f>
        <x:v>9.333333333333334</x:v>
      </x:c>
      <x:c r="J24" s="9" t="n">
        <x:f>I24*'Parameters'!$C$18</x:f>
        <x:v>1.866666666666667</x:v>
      </x:c>
      <x:c r="K24" s="9" t="n">
        <x:f>J24*'Parameters'!$C$19</x:f>
        <x:v>2.3333333333333335</x:v>
      </x:c>
      <x:c r="L24" s="9" t="n">
        <x:f>I24*(1-0.40)-J24</x:f>
        <x:v>3.7333333333333334</x:v>
      </x:c>
      <x:c r="M24" s="9" t="n">
        <x:f>'Physical_Arcs'!S24</x:f>
        <x:v>9.333333333333334</x:v>
      </x:c>
      <x:c r="N24" s="9" t="n">
        <x:f>M24*'Parameters'!$C$18</x:f>
        <x:v>1.866666666666667</x:v>
      </x:c>
      <x:c r="O24" s="9" t="n">
        <x:f>N24*'Parameters'!$C$19</x:f>
        <x:v>2.3333333333333335</x:v>
      </x:c>
      <x:c r="P24" s="9" t="n">
        <x:f>M24*(1-0.40)-N24</x:f>
        <x:v>3.7333333333333334</x:v>
      </x:c>
      <x:c r="Q24" s="9" t="n">
        <x:f>'Physical_Arcs'!T24</x:f>
        <x:v>4.666666666666667</x:v>
      </x:c>
      <x:c r="R24" s="9" t="n">
        <x:f>Q24*'Parameters'!$C$18</x:f>
        <x:v>0.9333333333333335</x:v>
      </x:c>
      <x:c r="S24" s="9" t="n">
        <x:f>R24*'Parameters'!$C$19</x:f>
        <x:v>1.1666666666666667</x:v>
      </x:c>
      <x:c r="T24" s="9" t="n">
        <x:f>Q24*(1-0.40)-R24</x:f>
        <x:v>1.8666666666666667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4</x:v>
      </x:c>
      <x:c r="F25" s="3" t="n">
        <x:v>10</x:v>
      </x:c>
      <x:c r="G25" s="9" t="n">
        <x:v>0.18</x:v>
      </x:c>
      <x:c r="H25" s="9" t="n">
        <x:v>0.875461</x:v>
      </x:c>
      <x:c r="I25" s="9" t="n">
        <x:f>'Physical_Arcs'!R25</x:f>
        <x:v>7.194444444444445</x:v>
      </x:c>
      <x:c r="J25" s="9" t="n">
        <x:f>I25*'Parameters'!$C$18</x:f>
        <x:v>1.438888888888889</x:v>
      </x:c>
      <x:c r="K25" s="9" t="n">
        <x:f>J25*'Parameters'!$C$19</x:f>
        <x:v>1.7986111111111114</x:v>
      </x:c>
      <x:c r="L25" s="9" t="n">
        <x:f>I25*(1-0.40)-J25</x:f>
        <x:v>2.8777777777777773</x:v>
      </x:c>
      <x:c r="M25" s="9" t="n">
        <x:f>'Physical_Arcs'!S25</x:f>
        <x:v>7.194444444444445</x:v>
      </x:c>
      <x:c r="N25" s="9" t="n">
        <x:f>M25*'Parameters'!$C$18</x:f>
        <x:v>1.438888888888889</x:v>
      </x:c>
      <x:c r="O25" s="9" t="n">
        <x:f>N25*'Parameters'!$C$19</x:f>
        <x:v>1.7986111111111114</x:v>
      </x:c>
      <x:c r="P25" s="9" t="n">
        <x:f>M25*(1-0.40)-N25</x:f>
        <x:v>2.8777777777777773</x:v>
      </x:c>
      <x:c r="Q25" s="9" t="n">
        <x:f>'Physical_Arcs'!T25</x:f>
        <x:v>3.611111111111111</x:v>
      </x:c>
      <x:c r="R25" s="9" t="n">
        <x:f>Q25*'Parameters'!$C$18</x:f>
        <x:v>0.7222222222222223</x:v>
      </x:c>
      <x:c r="S25" s="9" t="n">
        <x:f>R25*'Parameters'!$C$19</x:f>
        <x:v>0.9027777777777779</x:v>
      </x:c>
      <x:c r="T25" s="9" t="n">
        <x:f>Q25*(1-0.40)-R25</x:f>
        <x:v>1.4444444444444442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4</x:v>
      </x:c>
      <x:c r="F26" s="3" t="n">
        <x:v>8</x:v>
      </x:c>
      <x:c r="G26" s="9" t="n">
        <x:v>0.18</x:v>
      </x:c>
      <x:c r="H26" s="9" t="n">
        <x:v>0.993326</x:v>
      </x:c>
      <x:c r="I26" s="9" t="n">
        <x:f>'Physical_Arcs'!R26</x:f>
        <x:v>5.277777777777778</x:v>
      </x:c>
      <x:c r="J26" s="9" t="n">
        <x:f>I26*'Parameters'!$C$18</x:f>
        <x:v>1.0555555555555556</x:v>
      </x:c>
      <x:c r="K26" s="9" t="n">
        <x:f>J26*'Parameters'!$C$19</x:f>
        <x:v>1.3194444444444444</x:v>
      </x:c>
      <x:c r="L26" s="9" t="n">
        <x:f>I26*(1-0.40)-J26</x:f>
        <x:v>2.1111111111111107</x:v>
      </x:c>
      <x:c r="M26" s="9" t="n">
        <x:f>'Physical_Arcs'!S26</x:f>
        <x:v>5.277777777777778</x:v>
      </x:c>
      <x:c r="N26" s="9" t="n">
        <x:f>M26*'Parameters'!$C$18</x:f>
        <x:v>1.0555555555555556</x:v>
      </x:c>
      <x:c r="O26" s="9" t="n">
        <x:f>N26*'Parameters'!$C$19</x:f>
        <x:v>1.3194444444444444</x:v>
      </x:c>
      <x:c r="P26" s="9" t="n">
        <x:f>M26*(1-0.40)-N26</x:f>
        <x:v>2.1111111111111107</x:v>
      </x:c>
      <x:c r="Q26" s="9" t="n">
        <x:f>'Physical_Arcs'!T26</x:f>
        <x:v>2.638888888888889</x:v>
      </x:c>
      <x:c r="R26" s="9" t="n">
        <x:f>Q26*'Parameters'!$C$18</x:f>
        <x:v>0.5277777777777778</x:v>
      </x:c>
      <x:c r="S26" s="9" t="n">
        <x:f>R26*'Parameters'!$C$19</x:f>
        <x:v>0.6597222222222222</x:v>
      </x:c>
      <x:c r="T26" s="9" t="n">
        <x:f>Q26*(1-0.40)-R26</x:f>
        <x:v>1.0555555555555554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4</x:v>
      </x:c>
      <x:c r="F27" s="3" t="n">
        <x:v>7</x:v>
      </x:c>
      <x:c r="G27" s="9" t="n">
        <x:v>0.18</x:v>
      </x:c>
      <x:c r="H27" s="9" t="n">
        <x:v>1.099203</x:v>
      </x:c>
      <x:c r="I27" s="9" t="n">
        <x:f>'Physical_Arcs'!R27</x:f>
        <x:v>6.527777777777778</x:v>
      </x:c>
      <x:c r="J27" s="9" t="n">
        <x:f>I27*'Parameters'!$C$18</x:f>
        <x:v>1.3055555555555556</x:v>
      </x:c>
      <x:c r="K27" s="9" t="n">
        <x:f>J27*'Parameters'!$C$19</x:f>
        <x:v>1.6319444444444444</x:v>
      </x:c>
      <x:c r="L27" s="9" t="n">
        <x:f>I27*(1-0.40)-J27</x:f>
        <x:v>2.6111111111111107</x:v>
      </x:c>
      <x:c r="M27" s="9" t="n">
        <x:f>'Physical_Arcs'!S27</x:f>
        <x:v>6.527777777777778</x:v>
      </x:c>
      <x:c r="N27" s="9" t="n">
        <x:f>M27*'Parameters'!$C$18</x:f>
        <x:v>1.3055555555555556</x:v>
      </x:c>
      <x:c r="O27" s="9" t="n">
        <x:f>N27*'Parameters'!$C$19</x:f>
        <x:v>1.6319444444444444</x:v>
      </x:c>
      <x:c r="P27" s="9" t="n">
        <x:f>M27*(1-0.40)-N27</x:f>
        <x:v>2.6111111111111107</x:v>
      </x:c>
      <x:c r="Q27" s="9" t="n">
        <x:f>'Physical_Arcs'!T27</x:f>
        <x:v>3.2777777777777777</x:v>
      </x:c>
      <x:c r="R27" s="9" t="n">
        <x:f>Q27*'Parameters'!$C$18</x:f>
        <x:v>0.6555555555555556</x:v>
      </x:c>
      <x:c r="S27" s="9" t="n">
        <x:f>R27*'Parameters'!$C$19</x:f>
        <x:v>0.8194444444444444</x:v>
      </x:c>
      <x:c r="T27" s="9" t="n">
        <x:f>Q27*(1-0.40)-R27</x:f>
        <x:v>1.311111111111111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4</x:v>
      </x:c>
      <x:c r="F28" s="3" t="n">
        <x:v>2</x:v>
      </x:c>
      <x:c r="G28" s="9" t="n">
        <x:v>0.18</x:v>
      </x:c>
      <x:c r="H28" s="9" t="n">
        <x:v>0.861111</x:v>
      </x:c>
      <x:c r="I28" s="9" t="n">
        <x:f>'Physical_Arcs'!R28</x:f>
        <x:v>4.944444444444445</x:v>
      </x:c>
      <x:c r="J28" s="9" t="n">
        <x:f>I28*'Parameters'!$C$18</x:f>
        <x:v>0.9888888888888889</x:v>
      </x:c>
      <x:c r="K28" s="9" t="n">
        <x:f>J28*'Parameters'!$C$19</x:f>
        <x:v>1.2361111111111112</x:v>
      </x:c>
      <x:c r="L28" s="9" t="n">
        <x:f>I28*(1-0.40)-J28</x:f>
        <x:v>1.9777777777777779</x:v>
      </x:c>
      <x:c r="M28" s="9" t="n">
        <x:f>'Physical_Arcs'!S28</x:f>
        <x:v>4.944444444444445</x:v>
      </x:c>
      <x:c r="N28" s="9" t="n">
        <x:f>M28*'Parameters'!$C$18</x:f>
        <x:v>0.9888888888888889</x:v>
      </x:c>
      <x:c r="O28" s="9" t="n">
        <x:f>N28*'Parameters'!$C$19</x:f>
        <x:v>1.2361111111111112</x:v>
      </x:c>
      <x:c r="P28" s="9" t="n">
        <x:f>M28*(1-0.40)-N28</x:f>
        <x:v>1.9777777777777779</x:v>
      </x:c>
      <x:c r="Q28" s="9" t="n">
        <x:f>'Physical_Arcs'!T28</x:f>
        <x:v>2.4722222222222223</x:v>
      </x:c>
      <x:c r="R28" s="9" t="n">
        <x:f>Q28*'Parameters'!$C$18</x:f>
        <x:v>0.49444444444444446</x:v>
      </x:c>
      <x:c r="S28" s="9" t="n">
        <x:f>R28*'Parameters'!$C$19</x:f>
        <x:v>0.6180555555555556</x:v>
      </x:c>
      <x:c r="T28" s="9" t="n">
        <x:f>Q28*(1-0.40)-R28</x:f>
        <x:v>0.9888888888888889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4</x:v>
      </x:c>
      <x:c r="F29" s="3" t="n">
        <x:v>6</x:v>
      </x:c>
      <x:c r="G29" s="9" t="n">
        <x:v>0.18</x:v>
      </x:c>
      <x:c r="H29" s="9" t="n">
        <x:v>1.137214</x:v>
      </x:c>
      <x:c r="I29" s="9" t="n">
        <x:f>'Physical_Arcs'!R29</x:f>
        <x:v>3.388888888888889</x:v>
      </x:c>
      <x:c r="J29" s="9" t="n">
        <x:f>I29*'Parameters'!$C$18</x:f>
        <x:v>0.6777777777777778</x:v>
      </x:c>
      <x:c r="K29" s="9" t="n">
        <x:f>J29*'Parameters'!$C$19</x:f>
        <x:v>0.8472222222222223</x:v>
      </x:c>
      <x:c r="L29" s="9" t="n">
        <x:f>I29*(1-0.40)-J29</x:f>
        <x:v>1.3555555555555554</x:v>
      </x:c>
      <x:c r="M29" s="9" t="n">
        <x:f>'Physical_Arcs'!S29</x:f>
        <x:v>3.388888888888889</x:v>
      </x:c>
      <x:c r="N29" s="9" t="n">
        <x:f>M29*'Parameters'!$C$18</x:f>
        <x:v>0.6777777777777778</x:v>
      </x:c>
      <x:c r="O29" s="9" t="n">
        <x:f>N29*'Parameters'!$C$19</x:f>
        <x:v>0.8472222222222223</x:v>
      </x:c>
      <x:c r="P29" s="9" t="n">
        <x:f>M29*(1-0.40)-N29</x:f>
        <x:v>1.3555555555555554</x:v>
      </x:c>
      <x:c r="Q29" s="9" t="n">
        <x:f>'Physical_Arcs'!T29</x:f>
        <x:v>1.6944444444444444</x:v>
      </x:c>
      <x:c r="R29" s="9" t="n">
        <x:f>Q29*'Parameters'!$C$18</x:f>
        <x:v>0.3388888888888889</x:v>
      </x:c>
      <x:c r="S29" s="9" t="n">
        <x:f>R29*'Parameters'!$C$19</x:f>
        <x:v>0.42361111111111116</x:v>
      </x:c>
      <x:c r="T29" s="9" t="n">
        <x:f>Q29*(1-0.40)-R29</x:f>
        <x:v>0.6777777777777777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5</x:v>
      </x:c>
      <x:c r="F30" s="3" t="n">
        <x:v>6</x:v>
      </x:c>
      <x:c r="G30" s="9" t="n">
        <x:v>0.18</x:v>
      </x:c>
      <x:c r="H30" s="9" t="n">
        <x:v>0.949994</x:v>
      </x:c>
      <x:c r="I30" s="9" t="n">
        <x:f>'Physical_Arcs'!R30</x:f>
        <x:v>17.02777777777778</x:v>
      </x:c>
      <x:c r="J30" s="9" t="n">
        <x:f>I30*'Parameters'!$C$18</x:f>
        <x:v>3.405555555555556</x:v>
      </x:c>
      <x:c r="K30" s="9" t="n">
        <x:f>J30*'Parameters'!$C$19</x:f>
        <x:v>4.256944444444445</x:v>
      </x:c>
      <x:c r="L30" s="9" t="n">
        <x:f>I30*(1-0.40)-J30</x:f>
        <x:v>6.811111111111111</x:v>
      </x:c>
      <x:c r="M30" s="9" t="n">
        <x:f>'Physical_Arcs'!S30</x:f>
        <x:v>17.02777777777778</x:v>
      </x:c>
      <x:c r="N30" s="9" t="n">
        <x:f>M30*'Parameters'!$C$18</x:f>
        <x:v>3.405555555555556</x:v>
      </x:c>
      <x:c r="O30" s="9" t="n">
        <x:f>N30*'Parameters'!$C$19</x:f>
        <x:v>4.256944444444445</x:v>
      </x:c>
      <x:c r="P30" s="9" t="n">
        <x:f>M30*(1-0.40)-N30</x:f>
        <x:v>6.811111111111111</x:v>
      </x:c>
      <x:c r="Q30" s="9" t="n">
        <x:f>'Physical_Arcs'!T30</x:f>
        <x:v>17.02777777777778</x:v>
      </x:c>
      <x:c r="R30" s="9" t="n">
        <x:f>Q30*'Parameters'!$C$18</x:f>
        <x:v>3.405555555555556</x:v>
      </x:c>
      <x:c r="S30" s="9" t="n">
        <x:f>R30*'Parameters'!$C$19</x:f>
        <x:v>4.256944444444445</x:v>
      </x:c>
      <x:c r="T30" s="9" t="n">
        <x:f>Q30*(1-0.40)-R30</x:f>
        <x:v>6.811111111111111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5</x:v>
      </x:c>
      <x:c r="F31" s="3" t="n">
        <x:v>2</x:v>
      </x:c>
      <x:c r="G31" s="9" t="n">
        <x:v>0.18</x:v>
      </x:c>
      <x:c r="H31" s="9" t="n">
        <x:v>0.882396</x:v>
      </x:c>
      <x:c r="I31" s="9" t="n">
        <x:f>'Physical_Arcs'!R31</x:f>
        <x:v>2.9444444444444446</x:v>
      </x:c>
      <x:c r="J31" s="9" t="n">
        <x:f>I31*'Parameters'!$C$18</x:f>
        <x:v>0.5888888888888889</x:v>
      </x:c>
      <x:c r="K31" s="9" t="n">
        <x:f>J31*'Parameters'!$C$19</x:f>
        <x:v>0.7361111111111112</x:v>
      </x:c>
      <x:c r="L31" s="9" t="n">
        <x:f>I31*(1-0.40)-J31</x:f>
        <x:v>1.177777777777778</x:v>
      </x:c>
      <x:c r="M31" s="9" t="n">
        <x:f>'Physical_Arcs'!S31</x:f>
        <x:v>2.9444444444444446</x:v>
      </x:c>
      <x:c r="N31" s="9" t="n">
        <x:f>M31*'Parameters'!$C$18</x:f>
        <x:v>0.5888888888888889</x:v>
      </x:c>
      <x:c r="O31" s="9" t="n">
        <x:f>N31*'Parameters'!$C$19</x:f>
        <x:v>0.7361111111111112</x:v>
      </x:c>
      <x:c r="P31" s="9" t="n">
        <x:f>M31*(1-0.40)-N31</x:f>
        <x:v>1.177777777777778</x:v>
      </x:c>
      <x:c r="Q31" s="9" t="n">
        <x:f>'Physical_Arcs'!T31</x:f>
        <x:v>1.4722222222222223</x:v>
      </x:c>
      <x:c r="R31" s="9" t="n">
        <x:f>Q31*'Parameters'!$C$18</x:f>
        <x:v>0.29444444444444445</x:v>
      </x:c>
      <x:c r="S31" s="9" t="n">
        <x:f>R31*'Parameters'!$C$19</x:f>
        <x:v>0.3680555555555556</x:v>
      </x:c>
      <x:c r="T31" s="9" t="n">
        <x:f>Q31*(1-0.40)-R31</x:f>
        <x:v>0.588888888888889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5</x:v>
      </x:c>
      <x:c r="F32" s="3" t="n">
        <x:v>8</x:v>
      </x:c>
      <x:c r="G32" s="9" t="n">
        <x:v>0.18</x:v>
      </x:c>
      <x:c r="H32" s="9" t="n">
        <x:v>0.986718</x:v>
      </x:c>
      <x:c r="I32" s="9" t="n">
        <x:f>'Physical_Arcs'!R32</x:f>
        <x:v>9.333333333333334</x:v>
      </x:c>
      <x:c r="J32" s="9" t="n">
        <x:f>I32*'Parameters'!$C$18</x:f>
        <x:v>1.866666666666667</x:v>
      </x:c>
      <x:c r="K32" s="9" t="n">
        <x:f>J32*'Parameters'!$C$19</x:f>
        <x:v>2.3333333333333335</x:v>
      </x:c>
      <x:c r="L32" s="9" t="n">
        <x:f>I32*(1-0.40)-J32</x:f>
        <x:v>3.7333333333333334</x:v>
      </x:c>
      <x:c r="M32" s="9" t="n">
        <x:f>'Physical_Arcs'!S32</x:f>
        <x:v>9.333333333333334</x:v>
      </x:c>
      <x:c r="N32" s="9" t="n">
        <x:f>M32*'Parameters'!$C$18</x:f>
        <x:v>1.866666666666667</x:v>
      </x:c>
      <x:c r="O32" s="9" t="n">
        <x:f>N32*'Parameters'!$C$19</x:f>
        <x:v>2.3333333333333335</x:v>
      </x:c>
      <x:c r="P32" s="9" t="n">
        <x:f>M32*(1-0.40)-N32</x:f>
        <x:v>3.7333333333333334</x:v>
      </x:c>
      <x:c r="Q32" s="9" t="n">
        <x:f>'Physical_Arcs'!T32</x:f>
        <x:v>4.666666666666667</x:v>
      </x:c>
      <x:c r="R32" s="9" t="n">
        <x:f>Q32*'Parameters'!$C$18</x:f>
        <x:v>0.9333333333333335</x:v>
      </x:c>
      <x:c r="S32" s="9" t="n">
        <x:f>R32*'Parameters'!$C$19</x:f>
        <x:v>1.1666666666666667</x:v>
      </x:c>
      <x:c r="T32" s="9" t="n">
        <x:f>Q32*(1-0.40)-R32</x:f>
        <x:v>1.8666666666666667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5</x:v>
      </x:c>
      <x:c r="F33" s="3" t="n">
        <x:v>3</x:v>
      </x:c>
      <x:c r="G33" s="9" t="n">
        <x:v>0.18</x:v>
      </x:c>
      <x:c r="H33" s="9" t="n">
        <x:v>1.089544</x:v>
      </x:c>
      <x:c r="I33" s="9" t="n">
        <x:f>'Physical_Arcs'!R33</x:f>
        <x:v>11.13888888888889</x:v>
      </x:c>
      <x:c r="J33" s="9" t="n">
        <x:f>I33*'Parameters'!$C$18</x:f>
        <x:v>2.227777777777778</x:v>
      </x:c>
      <x:c r="K33" s="9" t="n">
        <x:f>J33*'Parameters'!$C$19</x:f>
        <x:v>2.7847222222222223</x:v>
      </x:c>
      <x:c r="L33" s="9" t="n">
        <x:f>I33*(1-0.40)-J33</x:f>
        <x:v>4.455555555555556</x:v>
      </x:c>
      <x:c r="M33" s="9" t="n">
        <x:f>'Physical_Arcs'!S33</x:f>
        <x:v>11.13888888888889</x:v>
      </x:c>
      <x:c r="N33" s="9" t="n">
        <x:f>M33*'Parameters'!$C$18</x:f>
        <x:v>2.227777777777778</x:v>
      </x:c>
      <x:c r="O33" s="9" t="n">
        <x:f>N33*'Parameters'!$C$19</x:f>
        <x:v>2.7847222222222223</x:v>
      </x:c>
      <x:c r="P33" s="9" t="n">
        <x:f>M33*(1-0.40)-N33</x:f>
        <x:v>4.455555555555556</x:v>
      </x:c>
      <x:c r="Q33" s="9" t="n">
        <x:f>'Physical_Arcs'!T33</x:f>
        <x:v>5.583333333333333</x:v>
      </x:c>
      <x:c r="R33" s="9" t="n">
        <x:f>Q33*'Parameters'!$C$18</x:f>
        <x:v>1.1166666666666667</x:v>
      </x:c>
      <x:c r="S33" s="9" t="n">
        <x:f>R33*'Parameters'!$C$19</x:f>
        <x:v>1.3958333333333335</x:v>
      </x:c>
      <x:c r="T33" s="9" t="n">
        <x:f>Q33*(1-0.40)-R33</x:f>
        <x:v>2.233333333333333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5</x:v>
      </x:c>
      <x:c r="F34" s="3" t="n">
        <x:v>10</x:v>
      </x:c>
      <x:c r="G34" s="9" t="n">
        <x:v>0.18</x:v>
      </x:c>
      <x:c r="H34" s="9" t="n">
        <x:v>1.103596</x:v>
      </x:c>
      <x:c r="I34" s="9" t="n">
        <x:f>'Physical_Arcs'!R34</x:f>
        <x:v>4.611111111111111</x:v>
      </x:c>
      <x:c r="J34" s="9" t="n">
        <x:f>I34*'Parameters'!$C$18</x:f>
        <x:v>0.9222222222222222</x:v>
      </x:c>
      <x:c r="K34" s="9" t="n">
        <x:f>J34*'Parameters'!$C$19</x:f>
        <x:v>1.1527777777777777</x:v>
      </x:c>
      <x:c r="L34" s="9" t="n">
        <x:f>I34*(1-0.40)-J34</x:f>
        <x:v>1.844444444444444</x:v>
      </x:c>
      <x:c r="M34" s="9" t="n">
        <x:f>'Physical_Arcs'!S34</x:f>
        <x:v>4.611111111111111</x:v>
      </x:c>
      <x:c r="N34" s="9" t="n">
        <x:f>M34*'Parameters'!$C$18</x:f>
        <x:v>0.9222222222222222</x:v>
      </x:c>
      <x:c r="O34" s="9" t="n">
        <x:f>N34*'Parameters'!$C$19</x:f>
        <x:v>1.1527777777777777</x:v>
      </x:c>
      <x:c r="P34" s="9" t="n">
        <x:f>M34*(1-0.40)-N34</x:f>
        <x:v>1.844444444444444</x:v>
      </x:c>
      <x:c r="Q34" s="9" t="n">
        <x:f>'Physical_Arcs'!T34</x:f>
        <x:v>2.3055555555555554</x:v>
      </x:c>
      <x:c r="R34" s="9" t="n">
        <x:f>Q34*'Parameters'!$C$18</x:f>
        <x:v>0.4611111111111111</x:v>
      </x:c>
      <x:c r="S34" s="9" t="n">
        <x:f>R34*'Parameters'!$C$19</x:f>
        <x:v>0.5763888888888888</x:v>
      </x:c>
      <x:c r="T34" s="9" t="n">
        <x:f>Q34*(1-0.40)-R34</x:f>
        <x:v>0.922222222222222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6</x:v>
      </x:c>
      <x:c r="F35" s="3" t="n">
        <x:v>7</x:v>
      </x:c>
      <x:c r="G35" s="9" t="n">
        <x:v>0.18</x:v>
      </x:c>
      <x:c r="H35" s="9" t="n">
        <x:v>0.973887</x:v>
      </x:c>
      <x:c r="I35" s="9" t="n">
        <x:f>'Physical_Arcs'!R35</x:f>
        <x:v>17.02777777777778</x:v>
      </x:c>
      <x:c r="J35" s="9" t="n">
        <x:f>I35*'Parameters'!$C$18</x:f>
        <x:v>3.405555555555556</x:v>
      </x:c>
      <x:c r="K35" s="9" t="n">
        <x:f>J35*'Parameters'!$C$19</x:f>
        <x:v>4.256944444444445</x:v>
      </x:c>
      <x:c r="L35" s="9" t="n">
        <x:f>I35*(1-0.40)-J35</x:f>
        <x:v>6.811111111111111</x:v>
      </x:c>
      <x:c r="M35" s="9" t="n">
        <x:f>'Physical_Arcs'!S35</x:f>
        <x:v>17.02777777777778</x:v>
      </x:c>
      <x:c r="N35" s="9" t="n">
        <x:f>M35*'Parameters'!$C$18</x:f>
        <x:v>3.405555555555556</x:v>
      </x:c>
      <x:c r="O35" s="9" t="n">
        <x:f>N35*'Parameters'!$C$19</x:f>
        <x:v>4.256944444444445</x:v>
      </x:c>
      <x:c r="P35" s="9" t="n">
        <x:f>M35*(1-0.40)-N35</x:f>
        <x:v>6.811111111111111</x:v>
      </x:c>
      <x:c r="Q35" s="9" t="n">
        <x:f>'Physical_Arcs'!T35</x:f>
        <x:v>17.02777777777778</x:v>
      </x:c>
      <x:c r="R35" s="9" t="n">
        <x:f>Q35*'Parameters'!$C$18</x:f>
        <x:v>3.405555555555556</x:v>
      </x:c>
      <x:c r="S35" s="9" t="n">
        <x:f>R35*'Parameters'!$C$19</x:f>
        <x:v>4.256944444444445</x:v>
      </x:c>
      <x:c r="T35" s="9" t="n">
        <x:f>Q35*(1-0.40)-R35</x:f>
        <x:v>6.811111111111111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6</x:v>
      </x:c>
      <x:c r="F36" s="3" t="n">
        <x:v>10</x:v>
      </x:c>
      <x:c r="G36" s="9" t="n">
        <x:v>0.18</x:v>
      </x:c>
      <x:c r="H36" s="9" t="n">
        <x:v>1.009062</x:v>
      </x:c>
      <x:c r="I36" s="9" t="n">
        <x:f>'Physical_Arcs'!R36</x:f>
        <x:v>4.055555555555555</x:v>
      </x:c>
      <x:c r="J36" s="9" t="n">
        <x:f>I36*'Parameters'!$C$18</x:f>
        <x:v>0.8111111111111111</x:v>
      </x:c>
      <x:c r="K36" s="9" t="n">
        <x:f>J36*'Parameters'!$C$19</x:f>
        <x:v>1.0138888888888888</x:v>
      </x:c>
      <x:c r="L36" s="9" t="n">
        <x:f>I36*(1-0.40)-J36</x:f>
        <x:v>1.622222222222222</x:v>
      </x:c>
      <x:c r="M36" s="9" t="n">
        <x:f>'Physical_Arcs'!S36</x:f>
        <x:v>4.055555555555555</x:v>
      </x:c>
      <x:c r="N36" s="9" t="n">
        <x:f>M36*'Parameters'!$C$18</x:f>
        <x:v>0.8111111111111111</x:v>
      </x:c>
      <x:c r="O36" s="9" t="n">
        <x:f>N36*'Parameters'!$C$19</x:f>
        <x:v>1.0138888888888888</x:v>
      </x:c>
      <x:c r="P36" s="9" t="n">
        <x:f>M36*(1-0.40)-N36</x:f>
        <x:v>1.622222222222222</x:v>
      </x:c>
      <x:c r="Q36" s="9" t="n">
        <x:f>'Physical_Arcs'!T36</x:f>
        <x:v>2.0277777777777777</x:v>
      </x:c>
      <x:c r="R36" s="9" t="n">
        <x:f>Q36*'Parameters'!$C$18</x:f>
        <x:v>0.40555555555555556</x:v>
      </x:c>
      <x:c r="S36" s="9" t="n">
        <x:f>R36*'Parameters'!$C$19</x:f>
        <x:v>0.5069444444444444</x:v>
      </x:c>
      <x:c r="T36" s="9" t="n">
        <x:f>Q36*(1-0.40)-R36</x:f>
        <x:v>0.811111111111111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6</x:v>
      </x:c>
      <x:c r="F37" s="3" t="n">
        <x:v>8</x:v>
      </x:c>
      <x:c r="G37" s="9" t="n">
        <x:v>0.18</x:v>
      </x:c>
      <x:c r="H37" s="9" t="n">
        <x:v>1.132129</x:v>
      </x:c>
      <x:c r="I37" s="9" t="n">
        <x:f>'Physical_Arcs'!R37</x:f>
        <x:v>6.972222222222222</x:v>
      </x:c>
      <x:c r="J37" s="9" t="n">
        <x:f>I37*'Parameters'!$C$18</x:f>
        <x:v>1.3944444444444446</x:v>
      </x:c>
      <x:c r="K37" s="9" t="n">
        <x:f>J37*'Parameters'!$C$19</x:f>
        <x:v>1.7430555555555558</x:v>
      </x:c>
      <x:c r="L37" s="9" t="n">
        <x:f>I37*(1-0.40)-J37</x:f>
        <x:v>2.7888888888888888</x:v>
      </x:c>
      <x:c r="M37" s="9" t="n">
        <x:f>'Physical_Arcs'!S37</x:f>
        <x:v>6.972222222222222</x:v>
      </x:c>
      <x:c r="N37" s="9" t="n">
        <x:f>M37*'Parameters'!$C$18</x:f>
        <x:v>1.3944444444444446</x:v>
      </x:c>
      <x:c r="O37" s="9" t="n">
        <x:f>N37*'Parameters'!$C$19</x:f>
        <x:v>1.7430555555555558</x:v>
      </x:c>
      <x:c r="P37" s="9" t="n">
        <x:f>M37*(1-0.40)-N37</x:f>
        <x:v>2.7888888888888888</x:v>
      </x:c>
      <x:c r="Q37" s="9" t="n">
        <x:f>'Physical_Arcs'!T37</x:f>
        <x:v>3.5</x:v>
      </x:c>
      <x:c r="R37" s="9" t="n">
        <x:f>Q37*'Parameters'!$C$18</x:f>
        <x:v>0.7000000000000001</x:v>
      </x:c>
      <x:c r="S37" s="9" t="n">
        <x:f>R37*'Parameters'!$C$19</x:f>
        <x:v>0.8750000000000001</x:v>
      </x:c>
      <x:c r="T37" s="9" t="n">
        <x:f>Q37*(1-0.40)-R37</x:f>
        <x:v>1.4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6</x:v>
      </x:c>
      <x:c r="F38" s="3" t="n">
        <x:v>1</x:v>
      </x:c>
      <x:c r="G38" s="9" t="n">
        <x:v>0.18</x:v>
      </x:c>
      <x:c r="H38" s="9" t="n">
        <x:v>1.020746</x:v>
      </x:c>
      <x:c r="I38" s="9" t="n">
        <x:f>'Physical_Arcs'!R38</x:f>
        <x:v>6.305555555555555</x:v>
      </x:c>
      <x:c r="J38" s="9" t="n">
        <x:f>I38*'Parameters'!$C$18</x:f>
        <x:v>1.261111111111111</x:v>
      </x:c>
      <x:c r="K38" s="9" t="n">
        <x:f>J38*'Parameters'!$C$19</x:f>
        <x:v>1.5763888888888888</x:v>
      </x:c>
      <x:c r="L38" s="9" t="n">
        <x:f>I38*(1-0.40)-J38</x:f>
        <x:v>2.522222222222222</x:v>
      </x:c>
      <x:c r="M38" s="9" t="n">
        <x:f>'Physical_Arcs'!S38</x:f>
        <x:v>6.305555555555555</x:v>
      </x:c>
      <x:c r="N38" s="9" t="n">
        <x:f>M38*'Parameters'!$C$18</x:f>
        <x:v>1.261111111111111</x:v>
      </x:c>
      <x:c r="O38" s="9" t="n">
        <x:f>N38*'Parameters'!$C$19</x:f>
        <x:v>1.5763888888888888</x:v>
      </x:c>
      <x:c r="P38" s="9" t="n">
        <x:f>M38*(1-0.40)-N38</x:f>
        <x:v>2.522222222222222</x:v>
      </x:c>
      <x:c r="Q38" s="9" t="n">
        <x:f>'Physical_Arcs'!T38</x:f>
        <x:v>3.1666666666666665</x:v>
      </x:c>
      <x:c r="R38" s="9" t="n">
        <x:f>Q38*'Parameters'!$C$18</x:f>
        <x:v>0.6333333333333333</x:v>
      </x:c>
      <x:c r="S38" s="9" t="n">
        <x:f>R38*'Parameters'!$C$19</x:f>
        <x:v>0.7916666666666666</x:v>
      </x:c>
      <x:c r="T38" s="9" t="n">
        <x:f>Q38*(1-0.40)-R38</x:f>
        <x:v>1.2666666666666666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6</x:v>
      </x:c>
      <x:c r="F39" s="3" t="n">
        <x:v>3</x:v>
      </x:c>
      <x:c r="G39" s="9" t="n">
        <x:v>0.18</x:v>
      </x:c>
      <x:c r="H39" s="9" t="n">
        <x:v>1.149081</x:v>
      </x:c>
      <x:c r="I39" s="9" t="n">
        <x:f>'Physical_Arcs'!R39</x:f>
        <x:v>1.9166666666666667</x:v>
      </x:c>
      <x:c r="J39" s="9" t="n">
        <x:f>I39*'Parameters'!$C$18</x:f>
        <x:v>0.38333333333333336</x:v>
      </x:c>
      <x:c r="K39" s="9" t="n">
        <x:f>J39*'Parameters'!$C$19</x:f>
        <x:v>0.4791666666666667</x:v>
      </x:c>
      <x:c r="L39" s="9" t="n">
        <x:f>I39*(1-0.40)-J39</x:f>
        <x:v>0.7666666666666666</x:v>
      </x:c>
      <x:c r="M39" s="9" t="n">
        <x:f>'Physical_Arcs'!S39</x:f>
        <x:v>1.9166666666666667</x:v>
      </x:c>
      <x:c r="N39" s="9" t="n">
        <x:f>M39*'Parameters'!$C$18</x:f>
        <x:v>0.38333333333333336</x:v>
      </x:c>
      <x:c r="O39" s="9" t="n">
        <x:f>N39*'Parameters'!$C$19</x:f>
        <x:v>0.4791666666666667</x:v>
      </x:c>
      <x:c r="P39" s="9" t="n">
        <x:f>M39*(1-0.40)-N39</x:f>
        <x:v>0.7666666666666666</x:v>
      </x:c>
      <x:c r="Q39" s="9" t="n">
        <x:f>'Physical_Arcs'!T39</x:f>
        <x:v>0.9722222222222222</x:v>
      </x:c>
      <x:c r="R39" s="9" t="n">
        <x:f>Q39*'Parameters'!$C$18</x:f>
        <x:v>0.19444444444444445</x:v>
      </x:c>
      <x:c r="S39" s="9" t="n">
        <x:f>R39*'Parameters'!$C$19</x:f>
        <x:v>0.24305555555555555</x:v>
      </x:c>
      <x:c r="T39" s="9" t="n">
        <x:f>Q39*(1-0.40)-R39</x:f>
        <x:v>0.38888888888888884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7</x:v>
      </x:c>
      <x:c r="F40" s="3" t="n">
        <x:v>8</x:v>
      </x:c>
      <x:c r="G40" s="9" t="n">
        <x:v>0.18</x:v>
      </x:c>
      <x:c r="H40" s="9" t="n">
        <x:v>1.003268</x:v>
      </x:c>
      <x:c r="I40" s="9" t="n">
        <x:f>'Physical_Arcs'!R40</x:f>
        <x:v>17.02777777777778</x:v>
      </x:c>
      <x:c r="J40" s="9" t="n">
        <x:f>I40*'Parameters'!$C$18</x:f>
        <x:v>3.405555555555556</x:v>
      </x:c>
      <x:c r="K40" s="9" t="n">
        <x:f>J40*'Parameters'!$C$19</x:f>
        <x:v>4.256944444444445</x:v>
      </x:c>
      <x:c r="L40" s="9" t="n">
        <x:f>I40*(1-0.40)-J40</x:f>
        <x:v>6.811111111111111</x:v>
      </x:c>
      <x:c r="M40" s="9" t="n">
        <x:f>'Physical_Arcs'!S40</x:f>
        <x:v>17.02777777777778</x:v>
      </x:c>
      <x:c r="N40" s="9" t="n">
        <x:f>M40*'Parameters'!$C$18</x:f>
        <x:v>3.405555555555556</x:v>
      </x:c>
      <x:c r="O40" s="9" t="n">
        <x:f>N40*'Parameters'!$C$19</x:f>
        <x:v>4.256944444444445</x:v>
      </x:c>
      <x:c r="P40" s="9" t="n">
        <x:f>M40*(1-0.40)-N40</x:f>
        <x:v>6.811111111111111</x:v>
      </x:c>
      <x:c r="Q40" s="9" t="n">
        <x:f>'Physical_Arcs'!T40</x:f>
        <x:v>17.02777777777778</x:v>
      </x:c>
      <x:c r="R40" s="9" t="n">
        <x:f>Q40*'Parameters'!$C$18</x:f>
        <x:v>3.405555555555556</x:v>
      </x:c>
      <x:c r="S40" s="9" t="n">
        <x:f>R40*'Parameters'!$C$19</x:f>
        <x:v>4.256944444444445</x:v>
      </x:c>
      <x:c r="T40" s="9" t="n">
        <x:f>Q40*(1-0.40)-R40</x:f>
        <x:v>6.811111111111111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7</x:v>
      </x:c>
      <x:c r="F41" s="3" t="n">
        <x:v>1</x:v>
      </x:c>
      <x:c r="G41" s="9" t="n">
        <x:v>0.18</x:v>
      </x:c>
      <x:c r="H41" s="9" t="n">
        <x:v>1.057592</x:v>
      </x:c>
      <x:c r="I41" s="9" t="n">
        <x:f>'Physical_Arcs'!R41</x:f>
        <x:v>7.972222222222222</x:v>
      </x:c>
      <x:c r="J41" s="9" t="n">
        <x:f>I41*'Parameters'!$C$18</x:f>
        <x:v>1.5944444444444446</x:v>
      </x:c>
      <x:c r="K41" s="9" t="n">
        <x:f>J41*'Parameters'!$C$19</x:f>
        <x:v>1.9930555555555558</x:v>
      </x:c>
      <x:c r="L41" s="9" t="n">
        <x:f>I41*(1-0.40)-J41</x:f>
        <x:v>3.1888888888888887</x:v>
      </x:c>
      <x:c r="M41" s="9" t="n">
        <x:f>'Physical_Arcs'!S41</x:f>
        <x:v>7.972222222222222</x:v>
      </x:c>
      <x:c r="N41" s="9" t="n">
        <x:f>M41*'Parameters'!$C$18</x:f>
        <x:v>1.5944444444444446</x:v>
      </x:c>
      <x:c r="O41" s="9" t="n">
        <x:f>N41*'Parameters'!$C$19</x:f>
        <x:v>1.9930555555555558</x:v>
      </x:c>
      <x:c r="P41" s="9" t="n">
        <x:f>M41*(1-0.40)-N41</x:f>
        <x:v>3.1888888888888887</x:v>
      </x:c>
      <x:c r="Q41" s="9" t="n">
        <x:f>'Physical_Arcs'!T41</x:f>
        <x:v>4</x:v>
      </x:c>
      <x:c r="R41" s="9" t="n">
        <x:f>Q41*'Parameters'!$C$18</x:f>
        <x:v>0.8</x:v>
      </x:c>
      <x:c r="S41" s="9" t="n">
        <x:f>R41*'Parameters'!$C$19</x:f>
        <x:v>1</x:v>
      </x:c>
      <x:c r="T41" s="9" t="n">
        <x:f>Q41*(1-0.40)-R41</x:f>
        <x:v>1.5999999999999999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7</x:v>
      </x:c>
      <x:c r="F42" s="3" t="n">
        <x:v>9</x:v>
      </x:c>
      <x:c r="G42" s="9" t="n">
        <x:v>0.18</x:v>
      </x:c>
      <x:c r="H42" s="9" t="n">
        <x:v>1.14801</x:v>
      </x:c>
      <x:c r="I42" s="9" t="n">
        <x:f>'Physical_Arcs'!R42</x:f>
        <x:v>8.88888888888889</x:v>
      </x:c>
      <x:c r="J42" s="9" t="n">
        <x:f>I42*'Parameters'!$C$18</x:f>
        <x:v>1.777777777777778</x:v>
      </x:c>
      <x:c r="K42" s="9" t="n">
        <x:f>J42*'Parameters'!$C$19</x:f>
        <x:v>2.2222222222222223</x:v>
      </x:c>
      <x:c r="L42" s="9" t="n">
        <x:f>I42*(1-0.40)-J42</x:f>
        <x:v>3.5555555555555554</x:v>
      </x:c>
      <x:c r="M42" s="9" t="n">
        <x:f>'Physical_Arcs'!S42</x:f>
        <x:v>8.88888888888889</x:v>
      </x:c>
      <x:c r="N42" s="9" t="n">
        <x:f>M42*'Parameters'!$C$18</x:f>
        <x:v>1.777777777777778</x:v>
      </x:c>
      <x:c r="O42" s="9" t="n">
        <x:f>N42*'Parameters'!$C$19</x:f>
        <x:v>2.2222222222222223</x:v>
      </x:c>
      <x:c r="P42" s="9" t="n">
        <x:f>M42*(1-0.40)-N42</x:f>
        <x:v>3.5555555555555554</x:v>
      </x:c>
      <x:c r="Q42" s="9" t="n">
        <x:f>'Physical_Arcs'!T42</x:f>
        <x:v>4.444444444444445</x:v>
      </x:c>
      <x:c r="R42" s="9" t="n">
        <x:f>Q42*'Parameters'!$C$18</x:f>
        <x:v>0.888888888888889</x:v>
      </x:c>
      <x:c r="S42" s="9" t="n">
        <x:f>R42*'Parameters'!$C$19</x:f>
        <x:v>1.1111111111111112</x:v>
      </x:c>
      <x:c r="T42" s="9" t="n">
        <x:f>Q42*(1-0.40)-R42</x:f>
        <x:v>1.7777777777777777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7</x:v>
      </x:c>
      <x:c r="F43" s="3" t="n">
        <x:v>2</x:v>
      </x:c>
      <x:c r="G43" s="9" t="n">
        <x:v>0.18</x:v>
      </x:c>
      <x:c r="H43" s="9" t="n">
        <x:v>0.989237</x:v>
      </x:c>
      <x:c r="I43" s="9" t="n">
        <x:f>'Physical_Arcs'!R43</x:f>
        <x:v>9</x:v>
      </x:c>
      <x:c r="J43" s="9" t="n">
        <x:f>I43*'Parameters'!$C$18</x:f>
        <x:v>1.8</x:v>
      </x:c>
      <x:c r="K43" s="9" t="n">
        <x:f>J43*'Parameters'!$C$19</x:f>
        <x:v>2.25</x:v>
      </x:c>
      <x:c r="L43" s="9" t="n">
        <x:f>I43*(1-0.40)-J43</x:f>
        <x:v>3.5999999999999996</x:v>
      </x:c>
      <x:c r="M43" s="9" t="n">
        <x:f>'Physical_Arcs'!S43</x:f>
        <x:v>9</x:v>
      </x:c>
      <x:c r="N43" s="9" t="n">
        <x:f>M43*'Parameters'!$C$18</x:f>
        <x:v>1.8</x:v>
      </x:c>
      <x:c r="O43" s="9" t="n">
        <x:f>N43*'Parameters'!$C$19</x:f>
        <x:v>2.25</x:v>
      </x:c>
      <x:c r="P43" s="9" t="n">
        <x:f>M43*(1-0.40)-N43</x:f>
        <x:v>3.5999999999999996</x:v>
      </x:c>
      <x:c r="Q43" s="9" t="n">
        <x:f>'Physical_Arcs'!T43</x:f>
        <x:v>4.5</x:v>
      </x:c>
      <x:c r="R43" s="9" t="n">
        <x:f>Q43*'Parameters'!$C$18</x:f>
        <x:v>0.9</x:v>
      </x:c>
      <x:c r="S43" s="9" t="n">
        <x:f>R43*'Parameters'!$C$19</x:f>
        <x:v>1.125</x:v>
      </x:c>
      <x:c r="T43" s="9" t="n">
        <x:f>Q43*(1-0.40)-R43</x:f>
        <x:v>1.7999999999999998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7</x:v>
      </x:c>
      <x:c r="F44" s="3" t="n">
        <x:v>3</x:v>
      </x:c>
      <x:c r="G44" s="9" t="n">
        <x:v>0.18</x:v>
      </x:c>
      <x:c r="H44" s="9" t="n">
        <x:v>1.050432</x:v>
      </x:c>
      <x:c r="I44" s="9" t="n">
        <x:f>'Physical_Arcs'!R44</x:f>
        <x:v>7.638888888888889</x:v>
      </x:c>
      <x:c r="J44" s="9" t="n">
        <x:f>I44*'Parameters'!$C$18</x:f>
        <x:v>1.527777777777778</x:v>
      </x:c>
      <x:c r="K44" s="9" t="n">
        <x:f>J44*'Parameters'!$C$19</x:f>
        <x:v>1.9097222222222223</x:v>
      </x:c>
      <x:c r="L44" s="9" t="n">
        <x:f>I44*(1-0.40)-J44</x:f>
        <x:v>3.0555555555555554</x:v>
      </x:c>
      <x:c r="M44" s="9" t="n">
        <x:f>'Physical_Arcs'!S44</x:f>
        <x:v>7.638888888888889</x:v>
      </x:c>
      <x:c r="N44" s="9" t="n">
        <x:f>M44*'Parameters'!$C$18</x:f>
        <x:v>1.527777777777778</x:v>
      </x:c>
      <x:c r="O44" s="9" t="n">
        <x:f>N44*'Parameters'!$C$19</x:f>
        <x:v>1.9097222222222223</x:v>
      </x:c>
      <x:c r="P44" s="9" t="n">
        <x:f>M44*(1-0.40)-N44</x:f>
        <x:v>3.0555555555555554</x:v>
      </x:c>
      <x:c r="Q44" s="9" t="n">
        <x:f>'Physical_Arcs'!T44</x:f>
        <x:v>3.8333333333333335</x:v>
      </x:c>
      <x:c r="R44" s="9" t="n">
        <x:f>Q44*'Parameters'!$C$18</x:f>
        <x:v>0.7666666666666667</x:v>
      </x:c>
      <x:c r="S44" s="9" t="n">
        <x:f>R44*'Parameters'!$C$19</x:f>
        <x:v>0.9583333333333334</x:v>
      </x:c>
      <x:c r="T44" s="9" t="n">
        <x:f>Q44*(1-0.40)-R44</x:f>
        <x:v>1.5333333333333332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8</x:v>
      </x:c>
      <x:c r="F45" s="3" t="n">
        <x:v>9</x:v>
      </x:c>
      <x:c r="G45" s="9" t="n">
        <x:v>0.18</x:v>
      </x:c>
      <x:c r="H45" s="9" t="n">
        <x:v>0.868101</x:v>
      </x:c>
      <x:c r="I45" s="9" t="n">
        <x:f>'Physical_Arcs'!R45</x:f>
        <x:v>17.02777777777778</x:v>
      </x:c>
      <x:c r="J45" s="9" t="n">
        <x:f>I45*'Parameters'!$C$18</x:f>
        <x:v>3.405555555555556</x:v>
      </x:c>
      <x:c r="K45" s="9" t="n">
        <x:f>J45*'Parameters'!$C$19</x:f>
        <x:v>4.256944444444445</x:v>
      </x:c>
      <x:c r="L45" s="9" t="n">
        <x:f>I45*(1-0.40)-J45</x:f>
        <x:v>6.811111111111111</x:v>
      </x:c>
      <x:c r="M45" s="9" t="n">
        <x:f>'Physical_Arcs'!S45</x:f>
        <x:v>17.02777777777778</x:v>
      </x:c>
      <x:c r="N45" s="9" t="n">
        <x:f>M45*'Parameters'!$C$18</x:f>
        <x:v>3.405555555555556</x:v>
      </x:c>
      <x:c r="O45" s="9" t="n">
        <x:f>N45*'Parameters'!$C$19</x:f>
        <x:v>4.256944444444445</x:v>
      </x:c>
      <x:c r="P45" s="9" t="n">
        <x:f>M45*(1-0.40)-N45</x:f>
        <x:v>6.811111111111111</x:v>
      </x:c>
      <x:c r="Q45" s="9" t="n">
        <x:f>'Physical_Arcs'!T45</x:f>
        <x:v>17.02777777777778</x:v>
      </x:c>
      <x:c r="R45" s="9" t="n">
        <x:f>Q45*'Parameters'!$C$18</x:f>
        <x:v>3.405555555555556</x:v>
      </x:c>
      <x:c r="S45" s="9" t="n">
        <x:f>R45*'Parameters'!$C$19</x:f>
        <x:v>4.256944444444445</x:v>
      </x:c>
      <x:c r="T45" s="9" t="n">
        <x:f>Q45*(1-0.40)-R45</x:f>
        <x:v>6.811111111111111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8</x:v>
      </x:c>
      <x:c r="F46" s="3" t="n">
        <x:v>3</x:v>
      </x:c>
      <x:c r="G46" s="9" t="n">
        <x:v>0.18</x:v>
      </x:c>
      <x:c r="H46" s="9" t="n">
        <x:v>0.944958</x:v>
      </x:c>
      <x:c r="I46" s="9" t="n">
        <x:f>'Physical_Arcs'!R46</x:f>
        <x:v>5.388888888888889</x:v>
      </x:c>
      <x:c r="J46" s="9" t="n">
        <x:f>I46*'Parameters'!$C$18</x:f>
        <x:v>1.077777777777778</x:v>
      </x:c>
      <x:c r="K46" s="9" t="n">
        <x:f>J46*'Parameters'!$C$19</x:f>
        <x:v>1.3472222222222223</x:v>
      </x:c>
      <x:c r="L46" s="9" t="n">
        <x:f>I46*(1-0.40)-J46</x:f>
        <x:v>2.1555555555555554</x:v>
      </x:c>
      <x:c r="M46" s="9" t="n">
        <x:f>'Physical_Arcs'!S46</x:f>
        <x:v>5.388888888888889</x:v>
      </x:c>
      <x:c r="N46" s="9" t="n">
        <x:f>M46*'Parameters'!$C$18</x:f>
        <x:v>1.077777777777778</x:v>
      </x:c>
      <x:c r="O46" s="9" t="n">
        <x:f>N46*'Parameters'!$C$19</x:f>
        <x:v>1.3472222222222223</x:v>
      </x:c>
      <x:c r="P46" s="9" t="n">
        <x:f>M46*(1-0.40)-N46</x:f>
        <x:v>2.1555555555555554</x:v>
      </x:c>
      <x:c r="Q46" s="9" t="n">
        <x:f>'Physical_Arcs'!T46</x:f>
        <x:v>2.6944444444444446</x:v>
      </x:c>
      <x:c r="R46" s="9" t="n">
        <x:f>Q46*'Parameters'!$C$18</x:f>
        <x:v>0.538888888888889</x:v>
      </x:c>
      <x:c r="S46" s="9" t="n">
        <x:f>R46*'Parameters'!$C$19</x:f>
        <x:v>0.6736111111111112</x:v>
      </x:c>
      <x:c r="T46" s="9" t="n">
        <x:f>Q46*(1-0.40)-R46</x:f>
        <x:v>1.0777777777777777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8</x:v>
      </x:c>
      <x:c r="F47" s="3" t="n">
        <x:v>7</x:v>
      </x:c>
      <x:c r="G47" s="9" t="n">
        <x:v>0.18</x:v>
      </x:c>
      <x:c r="H47" s="9" t="n">
        <x:v>0.866232</x:v>
      </x:c>
      <x:c r="I47" s="9" t="n">
        <x:f>'Physical_Arcs'!R47</x:f>
        <x:v>5.388888888888889</x:v>
      </x:c>
      <x:c r="J47" s="9" t="n">
        <x:f>I47*'Parameters'!$C$18</x:f>
        <x:v>1.077777777777778</x:v>
      </x:c>
      <x:c r="K47" s="9" t="n">
        <x:f>J47*'Parameters'!$C$19</x:f>
        <x:v>1.3472222222222223</x:v>
      </x:c>
      <x:c r="L47" s="9" t="n">
        <x:f>I47*(1-0.40)-J47</x:f>
        <x:v>2.1555555555555554</x:v>
      </x:c>
      <x:c r="M47" s="9" t="n">
        <x:f>'Physical_Arcs'!S47</x:f>
        <x:v>5.388888888888889</x:v>
      </x:c>
      <x:c r="N47" s="9" t="n">
        <x:f>M47*'Parameters'!$C$18</x:f>
        <x:v>1.077777777777778</x:v>
      </x:c>
      <x:c r="O47" s="9" t="n">
        <x:f>N47*'Parameters'!$C$19</x:f>
        <x:v>1.3472222222222223</x:v>
      </x:c>
      <x:c r="P47" s="9" t="n">
        <x:f>M47*(1-0.40)-N47</x:f>
        <x:v>2.1555555555555554</x:v>
      </x:c>
      <x:c r="Q47" s="9" t="n">
        <x:f>'Physical_Arcs'!T47</x:f>
        <x:v>2.6944444444444446</x:v>
      </x:c>
      <x:c r="R47" s="9" t="n">
        <x:f>Q47*'Parameters'!$C$18</x:f>
        <x:v>0.538888888888889</x:v>
      </x:c>
      <x:c r="S47" s="9" t="n">
        <x:f>R47*'Parameters'!$C$19</x:f>
        <x:v>0.6736111111111112</x:v>
      </x:c>
      <x:c r="T47" s="9" t="n">
        <x:f>Q47*(1-0.40)-R47</x:f>
        <x:v>1.0777777777777777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8</x:v>
      </x:c>
      <x:c r="F48" s="3" t="n">
        <x:v>2</x:v>
      </x:c>
      <x:c r="G48" s="9" t="n">
        <x:v>0.18</x:v>
      </x:c>
      <x:c r="H48" s="9" t="n">
        <x:v>1.135644</x:v>
      </x:c>
      <x:c r="I48" s="9" t="n">
        <x:f>'Physical_Arcs'!R48</x:f>
        <x:v>8.083333333333334</x:v>
      </x:c>
      <x:c r="J48" s="9" t="n">
        <x:f>I48*'Parameters'!$C$18</x:f>
        <x:v>1.616666666666667</x:v>
      </x:c>
      <x:c r="K48" s="9" t="n">
        <x:f>J48*'Parameters'!$C$19</x:f>
        <x:v>2.0208333333333335</x:v>
      </x:c>
      <x:c r="L48" s="9" t="n">
        <x:f>I48*(1-0.40)-J48</x:f>
        <x:v>3.2333333333333334</x:v>
      </x:c>
      <x:c r="M48" s="9" t="n">
        <x:f>'Physical_Arcs'!S48</x:f>
        <x:v>8.083333333333334</x:v>
      </x:c>
      <x:c r="N48" s="9" t="n">
        <x:f>M48*'Parameters'!$C$18</x:f>
        <x:v>1.616666666666667</x:v>
      </x:c>
      <x:c r="O48" s="9" t="n">
        <x:f>N48*'Parameters'!$C$19</x:f>
        <x:v>2.0208333333333335</x:v>
      </x:c>
      <x:c r="P48" s="9" t="n">
        <x:f>M48*(1-0.40)-N48</x:f>
        <x:v>3.2333333333333334</x:v>
      </x:c>
      <x:c r="Q48" s="9" t="n">
        <x:f>'Physical_Arcs'!T48</x:f>
        <x:v>4.055555555555555</x:v>
      </x:c>
      <x:c r="R48" s="9" t="n">
        <x:f>Q48*'Parameters'!$C$18</x:f>
        <x:v>0.8111111111111111</x:v>
      </x:c>
      <x:c r="S48" s="9" t="n">
        <x:f>R48*'Parameters'!$C$19</x:f>
        <x:v>1.0138888888888888</x:v>
      </x:c>
      <x:c r="T48" s="9" t="n">
        <x:f>Q48*(1-0.40)-R48</x:f>
        <x:v>1.622222222222222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8</x:v>
      </x:c>
      <x:c r="F49" s="3" t="n">
        <x:v>6</x:v>
      </x:c>
      <x:c r="G49" s="9" t="n">
        <x:v>0.18</x:v>
      </x:c>
      <x:c r="H49" s="9" t="n">
        <x:v>0.850778</x:v>
      </x:c>
      <x:c r="I49" s="9" t="n">
        <x:f>'Physical_Arcs'!R49</x:f>
        <x:v>10.555555555555555</x:v>
      </x:c>
      <x:c r="J49" s="9" t="n">
        <x:f>I49*'Parameters'!$C$18</x:f>
        <x:v>2.111111111111111</x:v>
      </x:c>
      <x:c r="K49" s="9" t="n">
        <x:f>J49*'Parameters'!$C$19</x:f>
        <x:v>2.638888888888889</x:v>
      </x:c>
      <x:c r="L49" s="9" t="n">
        <x:f>I49*(1-0.40)-J49</x:f>
        <x:v>4.222222222222221</x:v>
      </x:c>
      <x:c r="M49" s="9" t="n">
        <x:f>'Physical_Arcs'!S49</x:f>
        <x:v>10.555555555555555</x:v>
      </x:c>
      <x:c r="N49" s="9" t="n">
        <x:f>M49*'Parameters'!$C$18</x:f>
        <x:v>2.111111111111111</x:v>
      </x:c>
      <x:c r="O49" s="9" t="n">
        <x:f>N49*'Parameters'!$C$19</x:f>
        <x:v>2.638888888888889</x:v>
      </x:c>
      <x:c r="P49" s="9" t="n">
        <x:f>M49*(1-0.40)-N49</x:f>
        <x:v>4.222222222222221</x:v>
      </x:c>
      <x:c r="Q49" s="9" t="n">
        <x:f>'Physical_Arcs'!T49</x:f>
        <x:v>5.277777777777778</x:v>
      </x:c>
      <x:c r="R49" s="9" t="n">
        <x:f>Q49*'Parameters'!$C$18</x:f>
        <x:v>1.0555555555555556</x:v>
      </x:c>
      <x:c r="S49" s="9" t="n">
        <x:f>R49*'Parameters'!$C$19</x:f>
        <x:v>1.3194444444444444</x:v>
      </x:c>
      <x:c r="T49" s="9" t="n">
        <x:f>Q49*(1-0.40)-R49</x:f>
        <x:v>2.1111111111111107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8</x:v>
      </x:c>
      <x:c r="F50" s="3" t="n">
        <x:v>4</x:v>
      </x:c>
      <x:c r="G50" s="9" t="n">
        <x:v>0.18</x:v>
      </x:c>
      <x:c r="H50" s="9" t="n">
        <x:v>0.904949</x:v>
      </x:c>
      <x:c r="I50" s="9" t="n">
        <x:f>'Physical_Arcs'!R50</x:f>
        <x:v>1.5833333333333333</x:v>
      </x:c>
      <x:c r="J50" s="9" t="n">
        <x:f>I50*'Parameters'!$C$18</x:f>
        <x:v>0.31666666666666665</x:v>
      </x:c>
      <x:c r="K50" s="9" t="n">
        <x:f>J50*'Parameters'!$C$19</x:f>
        <x:v>0.3958333333333333</x:v>
      </x:c>
      <x:c r="L50" s="9" t="n">
        <x:f>I50*(1-0.40)-J50</x:f>
        <x:v>0.6333333333333333</x:v>
      </x:c>
      <x:c r="M50" s="9" t="n">
        <x:f>'Physical_Arcs'!S50</x:f>
        <x:v>1.5833333333333333</x:v>
      </x:c>
      <x:c r="N50" s="9" t="n">
        <x:f>M50*'Parameters'!$C$18</x:f>
        <x:v>0.31666666666666665</x:v>
      </x:c>
      <x:c r="O50" s="9" t="n">
        <x:f>N50*'Parameters'!$C$19</x:f>
        <x:v>0.3958333333333333</x:v>
      </x:c>
      <x:c r="P50" s="9" t="n">
        <x:f>M50*(1-0.40)-N50</x:f>
        <x:v>0.6333333333333333</x:v>
      </x:c>
      <x:c r="Q50" s="9" t="n">
        <x:f>'Physical_Arcs'!T50</x:f>
        <x:v>0.8055555555555556</x:v>
      </x:c>
      <x:c r="R50" s="9" t="n">
        <x:f>Q50*'Parameters'!$C$18</x:f>
        <x:v>0.16111111111111112</x:v>
      </x:c>
      <x:c r="S50" s="9" t="n">
        <x:f>R50*'Parameters'!$C$19</x:f>
        <x:v>0.2013888888888889</x:v>
      </x:c>
      <x:c r="T50" s="9" t="n">
        <x:f>Q50*(1-0.40)-R50</x:f>
        <x:v>0.3222222222222222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8</x:v>
      </x:c>
      <x:c r="F51" s="3" t="n">
        <x:v>5</x:v>
      </x:c>
      <x:c r="G51" s="9" t="n">
        <x:v>0.18</x:v>
      </x:c>
      <x:c r="H51" s="9" t="n">
        <x:v>0.990416</x:v>
      </x:c>
      <x:c r="I51" s="9" t="n">
        <x:f>'Physical_Arcs'!R51</x:f>
        <x:v>10.777777777777779</x:v>
      </x:c>
      <x:c r="J51" s="9" t="n">
        <x:f>I51*'Parameters'!$C$18</x:f>
        <x:v>2.155555555555556</x:v>
      </x:c>
      <x:c r="K51" s="9" t="n">
        <x:f>J51*'Parameters'!$C$19</x:f>
        <x:v>2.6944444444444446</x:v>
      </x:c>
      <x:c r="L51" s="9" t="n">
        <x:f>I51*(1-0.40)-J51</x:f>
        <x:v>4.311111111111111</x:v>
      </x:c>
      <x:c r="M51" s="9" t="n">
        <x:f>'Physical_Arcs'!S51</x:f>
        <x:v>10.777777777777779</x:v>
      </x:c>
      <x:c r="N51" s="9" t="n">
        <x:f>M51*'Parameters'!$C$18</x:f>
        <x:v>2.155555555555556</x:v>
      </x:c>
      <x:c r="O51" s="9" t="n">
        <x:f>N51*'Parameters'!$C$19</x:f>
        <x:v>2.6944444444444446</x:v>
      </x:c>
      <x:c r="P51" s="9" t="n">
        <x:f>M51*(1-0.40)-N51</x:f>
        <x:v>4.311111111111111</x:v>
      </x:c>
      <x:c r="Q51" s="9" t="n">
        <x:f>'Physical_Arcs'!T51</x:f>
        <x:v>5.388888888888889</x:v>
      </x:c>
      <x:c r="R51" s="9" t="n">
        <x:f>Q51*'Parameters'!$C$18</x:f>
        <x:v>1.077777777777778</x:v>
      </x:c>
      <x:c r="S51" s="9" t="n">
        <x:f>R51*'Parameters'!$C$19</x:f>
        <x:v>1.3472222222222223</x:v>
      </x:c>
      <x:c r="T51" s="9" t="n">
        <x:f>Q51*(1-0.40)-R51</x:f>
        <x:v>2.1555555555555554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8</x:v>
      </x:c>
      <x:c r="F52" s="3" t="n">
        <x:v>1</x:v>
      </x:c>
      <x:c r="G52" s="9" t="n">
        <x:v>0.18</x:v>
      </x:c>
      <x:c r="H52" s="9" t="n">
        <x:v>1.039066</x:v>
      </x:c>
      <x:c r="I52" s="9" t="n">
        <x:f>'Physical_Arcs'!R52</x:f>
        <x:v>8.88888888888889</x:v>
      </x:c>
      <x:c r="J52" s="9" t="n">
        <x:f>I52*'Parameters'!$C$18</x:f>
        <x:v>1.777777777777778</x:v>
      </x:c>
      <x:c r="K52" s="9" t="n">
        <x:f>J52*'Parameters'!$C$19</x:f>
        <x:v>2.2222222222222223</x:v>
      </x:c>
      <x:c r="L52" s="9" t="n">
        <x:f>I52*(1-0.40)-J52</x:f>
        <x:v>3.5555555555555554</x:v>
      </x:c>
      <x:c r="M52" s="9" t="n">
        <x:f>'Physical_Arcs'!S52</x:f>
        <x:v>8.88888888888889</x:v>
      </x:c>
      <x:c r="N52" s="9" t="n">
        <x:f>M52*'Parameters'!$C$18</x:f>
        <x:v>1.777777777777778</x:v>
      </x:c>
      <x:c r="O52" s="9" t="n">
        <x:f>N52*'Parameters'!$C$19</x:f>
        <x:v>2.2222222222222223</x:v>
      </x:c>
      <x:c r="P52" s="9" t="n">
        <x:f>M52*(1-0.40)-N52</x:f>
        <x:v>3.5555555555555554</x:v>
      </x:c>
      <x:c r="Q52" s="9" t="n">
        <x:f>'Physical_Arcs'!T52</x:f>
        <x:v>4.444444444444445</x:v>
      </x:c>
      <x:c r="R52" s="9" t="n">
        <x:f>Q52*'Parameters'!$C$18</x:f>
        <x:v>0.888888888888889</x:v>
      </x:c>
      <x:c r="S52" s="9" t="n">
        <x:f>R52*'Parameters'!$C$19</x:f>
        <x:v>1.1111111111111112</x:v>
      </x:c>
      <x:c r="T52" s="9" t="n">
        <x:f>Q52*(1-0.40)-R52</x:f>
        <x:v>1.7777777777777777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9</x:v>
      </x:c>
      <x:c r="F53" s="3" t="n">
        <x:v>10</x:v>
      </x:c>
      <x:c r="G53" s="9" t="n">
        <x:v>0.18</x:v>
      </x:c>
      <x:c r="H53" s="9" t="n">
        <x:v>0.954096</x:v>
      </x:c>
      <x:c r="I53" s="9" t="n">
        <x:f>'Physical_Arcs'!R53</x:f>
        <x:v>17.02777777777778</x:v>
      </x:c>
      <x:c r="J53" s="9" t="n">
        <x:f>I53*'Parameters'!$C$18</x:f>
        <x:v>3.405555555555556</x:v>
      </x:c>
      <x:c r="K53" s="9" t="n">
        <x:f>J53*'Parameters'!$C$19</x:f>
        <x:v>4.256944444444445</x:v>
      </x:c>
      <x:c r="L53" s="9" t="n">
        <x:f>I53*(1-0.40)-J53</x:f>
        <x:v>6.811111111111111</x:v>
      </x:c>
      <x:c r="M53" s="9" t="n">
        <x:f>'Physical_Arcs'!S53</x:f>
        <x:v>17.02777777777778</x:v>
      </x:c>
      <x:c r="N53" s="9" t="n">
        <x:f>M53*'Parameters'!$C$18</x:f>
        <x:v>3.405555555555556</x:v>
      </x:c>
      <x:c r="O53" s="9" t="n">
        <x:f>N53*'Parameters'!$C$19</x:f>
        <x:v>4.256944444444445</x:v>
      </x:c>
      <x:c r="P53" s="9" t="n">
        <x:f>M53*(1-0.40)-N53</x:f>
        <x:v>6.811111111111111</x:v>
      </x:c>
      <x:c r="Q53" s="9" t="n">
        <x:f>'Physical_Arcs'!T53</x:f>
        <x:v>17.02777777777778</x:v>
      </x:c>
      <x:c r="R53" s="9" t="n">
        <x:f>Q53*'Parameters'!$C$18</x:f>
        <x:v>3.405555555555556</x:v>
      </x:c>
      <x:c r="S53" s="9" t="n">
        <x:f>R53*'Parameters'!$C$19</x:f>
        <x:v>4.256944444444445</x:v>
      </x:c>
      <x:c r="T53" s="9" t="n">
        <x:f>Q53*(1-0.40)-R53</x:f>
        <x:v>6.811111111111111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9</x:v>
      </x:c>
      <x:c r="F54" s="3" t="n">
        <x:v>6</x:v>
      </x:c>
      <x:c r="G54" s="9" t="n">
        <x:v>0.18</x:v>
      </x:c>
      <x:c r="H54" s="9" t="n">
        <x:v>1.125574</x:v>
      </x:c>
      <x:c r="I54" s="9" t="n">
        <x:f>'Physical_Arcs'!R54</x:f>
        <x:v>9.666666666666666</x:v>
      </x:c>
      <x:c r="J54" s="9" t="n">
        <x:f>I54*'Parameters'!$C$18</x:f>
        <x:v>1.9333333333333333</x:v>
      </x:c>
      <x:c r="K54" s="9" t="n">
        <x:f>J54*'Parameters'!$C$19</x:f>
        <x:v>2.4166666666666665</x:v>
      </x:c>
      <x:c r="L54" s="9" t="n">
        <x:f>I54*(1-0.40)-J54</x:f>
        <x:v>3.8666666666666663</x:v>
      </x:c>
      <x:c r="M54" s="9" t="n">
        <x:f>'Physical_Arcs'!S54</x:f>
        <x:v>9.666666666666666</x:v>
      </x:c>
      <x:c r="N54" s="9" t="n">
        <x:f>M54*'Parameters'!$C$18</x:f>
        <x:v>1.9333333333333333</x:v>
      </x:c>
      <x:c r="O54" s="9" t="n">
        <x:f>N54*'Parameters'!$C$19</x:f>
        <x:v>2.4166666666666665</x:v>
      </x:c>
      <x:c r="P54" s="9" t="n">
        <x:f>M54*(1-0.40)-N54</x:f>
        <x:v>3.8666666666666663</x:v>
      </x:c>
      <x:c r="Q54" s="9" t="n">
        <x:f>'Physical_Arcs'!T54</x:f>
        <x:v>4.833333333333333</x:v>
      </x:c>
      <x:c r="R54" s="9" t="n">
        <x:f>Q54*'Parameters'!$C$18</x:f>
        <x:v>0.9666666666666667</x:v>
      </x:c>
      <x:c r="S54" s="9" t="n">
        <x:f>R54*'Parameters'!$C$19</x:f>
        <x:v>1.2083333333333333</x:v>
      </x:c>
      <x:c r="T54" s="9" t="n">
        <x:f>Q54*(1-0.40)-R54</x:f>
        <x:v>1.9333333333333331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9</x:v>
      </x:c>
      <x:c r="F55" s="3" t="n">
        <x:v>2</x:v>
      </x:c>
      <x:c r="G55" s="9" t="n">
        <x:v>0.18</x:v>
      </x:c>
      <x:c r="H55" s="9" t="n">
        <x:v>0.854534</x:v>
      </x:c>
      <x:c r="I55" s="9" t="n">
        <x:f>'Physical_Arcs'!R55</x:f>
        <x:v>9.88888888888889</x:v>
      </x:c>
      <x:c r="J55" s="9" t="n">
        <x:f>I55*'Parameters'!$C$18</x:f>
        <x:v>1.9777777777777779</x:v>
      </x:c>
      <x:c r="K55" s="9" t="n">
        <x:f>J55*'Parameters'!$C$19</x:f>
        <x:v>2.4722222222222223</x:v>
      </x:c>
      <x:c r="L55" s="9" t="n">
        <x:f>I55*(1-0.40)-J55</x:f>
        <x:v>3.9555555555555557</x:v>
      </x:c>
      <x:c r="M55" s="9" t="n">
        <x:f>'Physical_Arcs'!S55</x:f>
        <x:v>9.88888888888889</x:v>
      </x:c>
      <x:c r="N55" s="9" t="n">
        <x:f>M55*'Parameters'!$C$18</x:f>
        <x:v>1.9777777777777779</x:v>
      </x:c>
      <x:c r="O55" s="9" t="n">
        <x:f>N55*'Parameters'!$C$19</x:f>
        <x:v>2.4722222222222223</x:v>
      </x:c>
      <x:c r="P55" s="9" t="n">
        <x:f>M55*(1-0.40)-N55</x:f>
        <x:v>3.9555555555555557</x:v>
      </x:c>
      <x:c r="Q55" s="9" t="n">
        <x:f>'Physical_Arcs'!T55</x:f>
        <x:v>4.944444444444445</x:v>
      </x:c>
      <x:c r="R55" s="9" t="n">
        <x:f>Q55*'Parameters'!$C$18</x:f>
        <x:v>0.9888888888888889</x:v>
      </x:c>
      <x:c r="S55" s="9" t="n">
        <x:f>R55*'Parameters'!$C$19</x:f>
        <x:v>1.2361111111111112</x:v>
      </x:c>
      <x:c r="T55" s="9" t="n">
        <x:f>Q55*(1-0.40)-R55</x:f>
        <x:v>1.9777777777777779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9</x:v>
      </x:c>
      <x:c r="F56" s="3" t="n">
        <x:v>7</x:v>
      </x:c>
      <x:c r="G56" s="9" t="n">
        <x:v>0.18</x:v>
      </x:c>
      <x:c r="H56" s="9" t="n">
        <x:v>0.900033</x:v>
      </x:c>
      <x:c r="I56" s="9" t="n">
        <x:f>'Physical_Arcs'!R56</x:f>
        <x:v>4.166666666666667</x:v>
      </x:c>
      <x:c r="J56" s="9" t="n">
        <x:f>I56*'Parameters'!$C$18</x:f>
        <x:v>0.8333333333333335</x:v>
      </x:c>
      <x:c r="K56" s="9" t="n">
        <x:f>J56*'Parameters'!$C$19</x:f>
        <x:v>1.041666666666667</x:v>
      </x:c>
      <x:c r="L56" s="9" t="n">
        <x:f>I56*(1-0.40)-J56</x:f>
        <x:v>1.6666666666666665</x:v>
      </x:c>
      <x:c r="M56" s="9" t="n">
        <x:f>'Physical_Arcs'!S56</x:f>
        <x:v>4.166666666666667</x:v>
      </x:c>
      <x:c r="N56" s="9" t="n">
        <x:f>M56*'Parameters'!$C$18</x:f>
        <x:v>0.8333333333333335</x:v>
      </x:c>
      <x:c r="O56" s="9" t="n">
        <x:f>N56*'Parameters'!$C$19</x:f>
        <x:v>1.041666666666667</x:v>
      </x:c>
      <x:c r="P56" s="9" t="n">
        <x:f>M56*(1-0.40)-N56</x:f>
        <x:v>1.6666666666666665</x:v>
      </x:c>
      <x:c r="Q56" s="9" t="n">
        <x:f>'Physical_Arcs'!T56</x:f>
        <x:v>2.0833333333333335</x:v>
      </x:c>
      <x:c r="R56" s="9" t="n">
        <x:f>Q56*'Parameters'!$C$18</x:f>
        <x:v>0.41666666666666674</x:v>
      </x:c>
      <x:c r="S56" s="9" t="n">
        <x:f>R56*'Parameters'!$C$19</x:f>
        <x:v>0.5208333333333335</x:v>
      </x:c>
      <x:c r="T56" s="9" t="n">
        <x:f>Q56*(1-0.40)-R56</x:f>
        <x:v>0.8333333333333333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9</x:v>
      </x:c>
      <x:c r="F57" s="3" t="n">
        <x:v>3</x:v>
      </x:c>
      <x:c r="G57" s="9" t="n">
        <x:v>0.18</x:v>
      </x:c>
      <x:c r="H57" s="9" t="n">
        <x:v>0.893428</x:v>
      </x:c>
      <x:c r="I57" s="9" t="n">
        <x:f>'Physical_Arcs'!R57</x:f>
        <x:v>3.7222222222222223</x:v>
      </x:c>
      <x:c r="J57" s="9" t="n">
        <x:f>I57*'Parameters'!$C$18</x:f>
        <x:v>0.7444444444444445</x:v>
      </x:c>
      <x:c r="K57" s="9" t="n">
        <x:f>J57*'Parameters'!$C$19</x:f>
        <x:v>0.9305555555555556</x:v>
      </x:c>
      <x:c r="L57" s="9" t="n">
        <x:f>I57*(1-0.40)-J57</x:f>
        <x:v>1.488888888888889</x:v>
      </x:c>
      <x:c r="M57" s="9" t="n">
        <x:f>'Physical_Arcs'!S57</x:f>
        <x:v>3.7222222222222223</x:v>
      </x:c>
      <x:c r="N57" s="9" t="n">
        <x:f>M57*'Parameters'!$C$18</x:f>
        <x:v>0.7444444444444445</x:v>
      </x:c>
      <x:c r="O57" s="9" t="n">
        <x:f>N57*'Parameters'!$C$19</x:f>
        <x:v>0.9305555555555556</x:v>
      </x:c>
      <x:c r="P57" s="9" t="n">
        <x:f>M57*(1-0.40)-N57</x:f>
        <x:v>1.488888888888889</x:v>
      </x:c>
      <x:c r="Q57" s="9" t="n">
        <x:f>'Physical_Arcs'!T57</x:f>
        <x:v>1.8611111111111112</x:v>
      </x:c>
      <x:c r="R57" s="9" t="n">
        <x:f>Q57*'Parameters'!$C$18</x:f>
        <x:v>0.37222222222222223</x:v>
      </x:c>
      <x:c r="S57" s="9" t="n">
        <x:f>R57*'Parameters'!$C$19</x:f>
        <x:v>0.4652777777777778</x:v>
      </x:c>
      <x:c r="T57" s="9" t="n">
        <x:f>Q57*(1-0.40)-R57</x:f>
        <x:v>0.7444444444444445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10</x:v>
      </x:c>
      <x:c r="F58" s="3" t="n">
        <x:v>1</x:v>
      </x:c>
      <x:c r="G58" s="9" t="n">
        <x:v>0.18</x:v>
      </x:c>
      <x:c r="H58" s="9" t="n">
        <x:v>1.027979</x:v>
      </x:c>
      <x:c r="I58" s="9" t="n">
        <x:f>'Physical_Arcs'!R58</x:f>
        <x:v>17.02777777777778</x:v>
      </x:c>
      <x:c r="J58" s="9" t="n">
        <x:f>I58*'Parameters'!$C$18</x:f>
        <x:v>3.405555555555556</x:v>
      </x:c>
      <x:c r="K58" s="9" t="n">
        <x:f>J58*'Parameters'!$C$19</x:f>
        <x:v>4.256944444444445</x:v>
      </x:c>
      <x:c r="L58" s="9" t="n">
        <x:f>I58*(1-0.40)-J58</x:f>
        <x:v>6.811111111111111</x:v>
      </x:c>
      <x:c r="M58" s="9" t="n">
        <x:f>'Physical_Arcs'!S58</x:f>
        <x:v>17.02777777777778</x:v>
      </x:c>
      <x:c r="N58" s="9" t="n">
        <x:f>M58*'Parameters'!$C$18</x:f>
        <x:v>3.405555555555556</x:v>
      </x:c>
      <x:c r="O58" s="9" t="n">
        <x:f>N58*'Parameters'!$C$19</x:f>
        <x:v>4.256944444444445</x:v>
      </x:c>
      <x:c r="P58" s="9" t="n">
        <x:f>M58*(1-0.40)-N58</x:f>
        <x:v>6.811111111111111</x:v>
      </x:c>
      <x:c r="Q58" s="9" t="n">
        <x:f>'Physical_Arcs'!T58</x:f>
        <x:v>17.02777777777778</x:v>
      </x:c>
      <x:c r="R58" s="9" t="n">
        <x:f>Q58*'Parameters'!$C$18</x:f>
        <x:v>3.405555555555556</x:v>
      </x:c>
      <x:c r="S58" s="9" t="n">
        <x:f>R58*'Parameters'!$C$19</x:f>
        <x:v>4.256944444444445</x:v>
      </x:c>
      <x:c r="T58" s="9" t="n">
        <x:f>Q58*(1-0.40)-R58</x:f>
        <x:v>6.811111111111111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10</x:v>
      </x:c>
      <x:c r="F59" s="3" t="n">
        <x:v>6</x:v>
      </x:c>
      <x:c r="G59" s="9" t="n">
        <x:v>0.18</x:v>
      </x:c>
      <x:c r="H59" s="9" t="n">
        <x:v>0.952676</x:v>
      </x:c>
      <x:c r="I59" s="9" t="n">
        <x:f>'Physical_Arcs'!R59</x:f>
        <x:v>6.305555555555555</x:v>
      </x:c>
      <x:c r="J59" s="9" t="n">
        <x:f>I59*'Parameters'!$C$18</x:f>
        <x:v>1.261111111111111</x:v>
      </x:c>
      <x:c r="K59" s="9" t="n">
        <x:f>J59*'Parameters'!$C$19</x:f>
        <x:v>1.5763888888888888</x:v>
      </x:c>
      <x:c r="L59" s="9" t="n">
        <x:f>I59*(1-0.40)-J59</x:f>
        <x:v>2.522222222222222</x:v>
      </x:c>
      <x:c r="M59" s="9" t="n">
        <x:f>'Physical_Arcs'!S59</x:f>
        <x:v>6.305555555555555</x:v>
      </x:c>
      <x:c r="N59" s="9" t="n">
        <x:f>M59*'Parameters'!$C$18</x:f>
        <x:v>1.261111111111111</x:v>
      </x:c>
      <x:c r="O59" s="9" t="n">
        <x:f>N59*'Parameters'!$C$19</x:f>
        <x:v>1.5763888888888888</x:v>
      </x:c>
      <x:c r="P59" s="9" t="n">
        <x:f>M59*(1-0.40)-N59</x:f>
        <x:v>2.522222222222222</x:v>
      </x:c>
      <x:c r="Q59" s="9" t="n">
        <x:f>'Physical_Arcs'!T59</x:f>
        <x:v>3.1666666666666665</x:v>
      </x:c>
      <x:c r="R59" s="9" t="n">
        <x:f>Q59*'Parameters'!$C$18</x:f>
        <x:v>0.6333333333333333</x:v>
      </x:c>
      <x:c r="S59" s="9" t="n">
        <x:f>R59*'Parameters'!$C$19</x:f>
        <x:v>0.7916666666666666</x:v>
      </x:c>
      <x:c r="T59" s="9" t="n">
        <x:f>Q59*(1-0.40)-R59</x:f>
        <x:v>1.2666666666666666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10</x:v>
      </x:c>
      <x:c r="F60" s="3" t="n">
        <x:v>4</x:v>
      </x:c>
      <x:c r="G60" s="9" t="n">
        <x:v>0.18</x:v>
      </x:c>
      <x:c r="H60" s="9" t="n">
        <x:v>1.114542</x:v>
      </x:c>
      <x:c r="I60" s="9" t="n">
        <x:f>'Physical_Arcs'!R60</x:f>
        <x:v>1.5833333333333333</x:v>
      </x:c>
      <x:c r="J60" s="9" t="n">
        <x:f>I60*'Parameters'!$C$18</x:f>
        <x:v>0.31666666666666665</x:v>
      </x:c>
      <x:c r="K60" s="9" t="n">
        <x:f>J60*'Parameters'!$C$19</x:f>
        <x:v>0.3958333333333333</x:v>
      </x:c>
      <x:c r="L60" s="9" t="n">
        <x:f>I60*(1-0.40)-J60</x:f>
        <x:v>0.6333333333333333</x:v>
      </x:c>
      <x:c r="M60" s="9" t="n">
        <x:f>'Physical_Arcs'!S60</x:f>
        <x:v>1.5833333333333333</x:v>
      </x:c>
      <x:c r="N60" s="9" t="n">
        <x:f>M60*'Parameters'!$C$18</x:f>
        <x:v>0.31666666666666665</x:v>
      </x:c>
      <x:c r="O60" s="9" t="n">
        <x:f>N60*'Parameters'!$C$19</x:f>
        <x:v>0.3958333333333333</x:v>
      </x:c>
      <x:c r="P60" s="9" t="n">
        <x:f>M60*(1-0.40)-N60</x:f>
        <x:v>0.6333333333333333</x:v>
      </x:c>
      <x:c r="Q60" s="9" t="n">
        <x:f>'Physical_Arcs'!T60</x:f>
        <x:v>0.8055555555555556</x:v>
      </x:c>
      <x:c r="R60" s="9" t="n">
        <x:f>Q60*'Parameters'!$C$18</x:f>
        <x:v>0.16111111111111112</x:v>
      </x:c>
      <x:c r="S60" s="9" t="n">
        <x:f>R60*'Parameters'!$C$19</x:f>
        <x:v>0.2013888888888889</x:v>
      </x:c>
      <x:c r="T60" s="9" t="n">
        <x:f>Q60*(1-0.40)-R60</x:f>
        <x:v>0.3222222222222222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10</x:v>
      </x:c>
      <x:c r="F61" s="3" t="n">
        <x:v>9</x:v>
      </x:c>
      <x:c r="G61" s="9" t="n">
        <x:v>0.18</x:v>
      </x:c>
      <x:c r="H61" s="9" t="n">
        <x:v>1.092245</x:v>
      </x:c>
      <x:c r="I61" s="9" t="n">
        <x:f>'Physical_Arcs'!R61</x:f>
        <x:v>10.333333333333334</x:v>
      </x:c>
      <x:c r="J61" s="9" t="n">
        <x:f>I61*'Parameters'!$C$18</x:f>
        <x:v>2.066666666666667</x:v>
      </x:c>
      <x:c r="K61" s="9" t="n">
        <x:f>J61*'Parameters'!$C$19</x:f>
        <x:v>2.5833333333333335</x:v>
      </x:c>
      <x:c r="L61" s="9" t="n">
        <x:f>I61*(1-0.40)-J61</x:f>
        <x:v>4.133333333333333</x:v>
      </x:c>
      <x:c r="M61" s="9" t="n">
        <x:f>'Physical_Arcs'!S61</x:f>
        <x:v>10.333333333333334</x:v>
      </x:c>
      <x:c r="N61" s="9" t="n">
        <x:f>M61*'Parameters'!$C$18</x:f>
        <x:v>2.066666666666667</x:v>
      </x:c>
      <x:c r="O61" s="9" t="n">
        <x:f>N61*'Parameters'!$C$19</x:f>
        <x:v>2.5833333333333335</x:v>
      </x:c>
      <x:c r="P61" s="9" t="n">
        <x:f>M61*(1-0.40)-N61</x:f>
        <x:v>4.133333333333333</x:v>
      </x:c>
      <x:c r="Q61" s="9" t="n">
        <x:f>'Physical_Arcs'!T61</x:f>
        <x:v>5.166666666666667</x:v>
      </x:c>
      <x:c r="R61" s="9" t="n">
        <x:f>Q61*'Parameters'!$C$18</x:f>
        <x:v>1.0333333333333334</x:v>
      </x:c>
      <x:c r="S61" s="9" t="n">
        <x:f>R61*'Parameters'!$C$19</x:f>
        <x:v>1.2916666666666667</x:v>
      </x:c>
      <x:c r="T61" s="9" t="n">
        <x:f>Q61*(1-0.40)-R61</x:f>
        <x:v>2.0666666666666664</x:v>
      </x:c>
    </x:row>
    <x:row r="62" ht="21" customHeight="1">
      <x:c r="A62" s="3" t="n">
        <x:v>1</x:v>
      </x:c>
      <x:c r="B62" s="3" t="str">
        <x:v>00:10</x:v>
      </x:c>
      <x:c r="C62" s="3" t="n">
        <x:v>1</x:v>
      </x:c>
      <x:c r="D62" s="3" t="n">
        <x:v>1</x:v>
      </x:c>
      <x:c r="E62" s="3" t="n">
        <x:v>1</x:v>
      </x:c>
      <x:c r="F62" s="3" t="n">
        <x:v>2</x:v>
      </x:c>
      <x:c r="G62" s="9" t="n">
        <x:v>0.18</x:v>
      </x:c>
      <x:c r="H62" s="9" t="n">
        <x:v>0.914787</x:v>
      </x:c>
      <x:c r="I62" s="9" t="n">
        <x:f>'Physical_Arcs'!R2</x:f>
        <x:v>17.02777777777778</x:v>
      </x:c>
      <x:c r="J62" s="9" t="n">
        <x:f>I62*'Parameters'!$C$18</x:f>
        <x:v>3.405555555555556</x:v>
      </x:c>
      <x:c r="K62" s="9" t="n">
        <x:f>J62*'Parameters'!$C$19</x:f>
        <x:v>4.256944444444445</x:v>
      </x:c>
      <x:c r="L62" s="9" t="n">
        <x:f>I62*(1-0.40)-J62</x:f>
        <x:v>6.811111111111111</x:v>
      </x:c>
      <x:c r="M62" s="9" t="n">
        <x:f>'Physical_Arcs'!S2</x:f>
        <x:v>17.02777777777778</x:v>
      </x:c>
      <x:c r="N62" s="9" t="n">
        <x:f>M62*'Parameters'!$C$18</x:f>
        <x:v>3.405555555555556</x:v>
      </x:c>
      <x:c r="O62" s="9" t="n">
        <x:f>N62*'Parameters'!$C$19</x:f>
        <x:v>4.256944444444445</x:v>
      </x:c>
      <x:c r="P62" s="9" t="n">
        <x:f>M62*(1-0.40)-N62</x:f>
        <x:v>6.811111111111111</x:v>
      </x:c>
      <x:c r="Q62" s="9" t="n">
        <x:f>'Physical_Arcs'!T2</x:f>
        <x:v>17.02777777777778</x:v>
      </x:c>
      <x:c r="R62" s="9" t="n">
        <x:f>Q62*'Parameters'!$C$18</x:f>
        <x:v>3.405555555555556</x:v>
      </x:c>
      <x:c r="S62" s="9" t="n">
        <x:f>R62*'Parameters'!$C$19</x:f>
        <x:v>4.256944444444445</x:v>
      </x:c>
      <x:c r="T62" s="9" t="n">
        <x:f>Q62*(1-0.40)-R62</x:f>
        <x:v>6.811111111111111</x:v>
      </x:c>
    </x:row>
    <x:row r="63" ht="21" customHeight="1">
      <x:c r="A63" s="3" t="n">
        <x:v>1</x:v>
      </x:c>
      <x:c r="B63" s="3" t="str">
        <x:v>00:10</x:v>
      </x:c>
      <x:c r="C63" s="3" t="n">
        <x:v>1</x:v>
      </x:c>
      <x:c r="D63" s="3" t="n">
        <x:v>2</x:v>
      </x:c>
      <x:c r="E63" s="3" t="n">
        <x:v>1</x:v>
      </x:c>
      <x:c r="F63" s="3" t="n">
        <x:v>10</x:v>
      </x:c>
      <x:c r="G63" s="9" t="n">
        <x:v>0.18</x:v>
      </x:c>
      <x:c r="H63" s="9" t="n">
        <x:v>1.003995</x:v>
      </x:c>
      <x:c r="I63" s="9" t="n">
        <x:f>'Physical_Arcs'!R3</x:f>
        <x:v>3.2777777777777777</x:v>
      </x:c>
      <x:c r="J63" s="9" t="n">
        <x:f>I63*'Parameters'!$C$18</x:f>
        <x:v>0.6555555555555556</x:v>
      </x:c>
      <x:c r="K63" s="9" t="n">
        <x:f>J63*'Parameters'!$C$19</x:f>
        <x:v>0.8194444444444444</x:v>
      </x:c>
      <x:c r="L63" s="9" t="n">
        <x:f>I63*(1-0.40)-J63</x:f>
        <x:v>1.311111111111111</x:v>
      </x:c>
      <x:c r="M63" s="9" t="n">
        <x:f>'Physical_Arcs'!S3</x:f>
        <x:v>3.2777777777777777</x:v>
      </x:c>
      <x:c r="N63" s="9" t="n">
        <x:f>M63*'Parameters'!$C$18</x:f>
        <x:v>0.6555555555555556</x:v>
      </x:c>
      <x:c r="O63" s="9" t="n">
        <x:f>N63*'Parameters'!$C$19</x:f>
        <x:v>0.8194444444444444</x:v>
      </x:c>
      <x:c r="P63" s="9" t="n">
        <x:f>M63*(1-0.40)-N63</x:f>
        <x:v>1.311111111111111</x:v>
      </x:c>
      <x:c r="Q63" s="9" t="n">
        <x:f>'Physical_Arcs'!T3</x:f>
        <x:v>1.6388888888888888</x:v>
      </x:c>
      <x:c r="R63" s="9" t="n">
        <x:f>Q63*'Parameters'!$C$18</x:f>
        <x:v>0.3277777777777778</x:v>
      </x:c>
      <x:c r="S63" s="9" t="n">
        <x:f>R63*'Parameters'!$C$19</x:f>
        <x:v>0.4097222222222222</x:v>
      </x:c>
      <x:c r="T63" s="9" t="n">
        <x:f>Q63*(1-0.40)-R63</x:f>
        <x:v>0.6555555555555554</x:v>
      </x:c>
    </x:row>
    <x:row r="64" ht="21" customHeight="1">
      <x:c r="A64" s="3" t="n">
        <x:v>1</x:v>
      </x:c>
      <x:c r="B64" s="3" t="str">
        <x:v>00:10</x:v>
      </x:c>
      <x:c r="C64" s="3" t="n">
        <x:v>1</x:v>
      </x:c>
      <x:c r="D64" s="3" t="n">
        <x:v>3</x:v>
      </x:c>
      <x:c r="E64" s="3" t="n">
        <x:v>1</x:v>
      </x:c>
      <x:c r="F64" s="3" t="n">
        <x:v>8</x:v>
      </x:c>
      <x:c r="G64" s="9" t="n">
        <x:v>0.18</x:v>
      </x:c>
      <x:c r="H64" s="9" t="n">
        <x:v>0.923863</x:v>
      </x:c>
      <x:c r="I64" s="9" t="n">
        <x:f>'Physical_Arcs'!R4</x:f>
        <x:v>6.083333333333333</x:v>
      </x:c>
      <x:c r="J64" s="9" t="n">
        <x:f>I64*'Parameters'!$C$18</x:f>
        <x:v>1.2166666666666668</x:v>
      </x:c>
      <x:c r="K64" s="9" t="n">
        <x:f>J64*'Parameters'!$C$19</x:f>
        <x:v>1.5208333333333335</x:v>
      </x:c>
      <x:c r="L64" s="9" t="n">
        <x:f>I64*(1-0.40)-J64</x:f>
        <x:v>2.4333333333333327</x:v>
      </x:c>
      <x:c r="M64" s="9" t="n">
        <x:f>'Physical_Arcs'!S4</x:f>
        <x:v>6.083333333333333</x:v>
      </x:c>
      <x:c r="N64" s="9" t="n">
        <x:f>M64*'Parameters'!$C$18</x:f>
        <x:v>1.2166666666666668</x:v>
      </x:c>
      <x:c r="O64" s="9" t="n">
        <x:f>N64*'Parameters'!$C$19</x:f>
        <x:v>1.5208333333333335</x:v>
      </x:c>
      <x:c r="P64" s="9" t="n">
        <x:f>M64*(1-0.40)-N64</x:f>
        <x:v>2.4333333333333327</x:v>
      </x:c>
      <x:c r="Q64" s="9" t="n">
        <x:f>'Physical_Arcs'!T4</x:f>
        <x:v>3.0555555555555554</x:v>
      </x:c>
      <x:c r="R64" s="9" t="n">
        <x:f>Q64*'Parameters'!$C$18</x:f>
        <x:v>0.6111111111111112</x:v>
      </x:c>
      <x:c r="S64" s="9" t="n">
        <x:f>R64*'Parameters'!$C$19</x:f>
        <x:v>0.763888888888889</x:v>
      </x:c>
      <x:c r="T64" s="9" t="n">
        <x:f>Q64*(1-0.40)-R64</x:f>
        <x:v>1.2222222222222219</x:v>
      </x:c>
    </x:row>
    <x:row r="65" ht="21" customHeight="1">
      <x:c r="A65" s="3" t="n">
        <x:v>1</x:v>
      </x:c>
      <x:c r="B65" s="3" t="str">
        <x:v>00:10</x:v>
      </x:c>
      <x:c r="C65" s="3" t="n">
        <x:v>1</x:v>
      </x:c>
      <x:c r="D65" s="3" t="n">
        <x:v>4</x:v>
      </x:c>
      <x:c r="E65" s="3" t="n">
        <x:v>1</x:v>
      </x:c>
      <x:c r="F65" s="3" t="n">
        <x:v>7</x:v>
      </x:c>
      <x:c r="G65" s="9" t="n">
        <x:v>0.18</x:v>
      </x:c>
      <x:c r="H65" s="9" t="n">
        <x:v>1.111072</x:v>
      </x:c>
      <x:c r="I65" s="9" t="n">
        <x:f>'Physical_Arcs'!R5</x:f>
        <x:v>9</x:v>
      </x:c>
      <x:c r="J65" s="9" t="n">
        <x:f>I65*'Parameters'!$C$18</x:f>
        <x:v>1.8</x:v>
      </x:c>
      <x:c r="K65" s="9" t="n">
        <x:f>J65*'Parameters'!$C$19</x:f>
        <x:v>2.25</x:v>
      </x:c>
      <x:c r="L65" s="9" t="n">
        <x:f>I65*(1-0.40)-J65</x:f>
        <x:v>3.5999999999999996</x:v>
      </x:c>
      <x:c r="M65" s="9" t="n">
        <x:f>'Physical_Arcs'!S5</x:f>
        <x:v>9</x:v>
      </x:c>
      <x:c r="N65" s="9" t="n">
        <x:f>M65*'Parameters'!$C$18</x:f>
        <x:v>1.8</x:v>
      </x:c>
      <x:c r="O65" s="9" t="n">
        <x:f>N65*'Parameters'!$C$19</x:f>
        <x:v>2.25</x:v>
      </x:c>
      <x:c r="P65" s="9" t="n">
        <x:f>M65*(1-0.40)-N65</x:f>
        <x:v>3.5999999999999996</x:v>
      </x:c>
      <x:c r="Q65" s="9" t="n">
        <x:f>'Physical_Arcs'!T5</x:f>
        <x:v>4.5</x:v>
      </x:c>
      <x:c r="R65" s="9" t="n">
        <x:f>Q65*'Parameters'!$C$18</x:f>
        <x:v>0.9</x:v>
      </x:c>
      <x:c r="S65" s="9" t="n">
        <x:f>R65*'Parameters'!$C$19</x:f>
        <x:v>1.125</x:v>
      </x:c>
      <x:c r="T65" s="9" t="n">
        <x:f>Q65*(1-0.40)-R65</x:f>
        <x:v>1.7999999999999998</x:v>
      </x:c>
    </x:row>
    <x:row r="66" ht="21" customHeight="1">
      <x:c r="A66" s="3" t="n">
        <x:v>1</x:v>
      </x:c>
      <x:c r="B66" s="3" t="str">
        <x:v>00:10</x:v>
      </x:c>
      <x:c r="C66" s="3" t="n">
        <x:v>1</x:v>
      </x:c>
      <x:c r="D66" s="3" t="n">
        <x:v>5</x:v>
      </x:c>
      <x:c r="E66" s="3" t="n">
        <x:v>1</x:v>
      </x:c>
      <x:c r="F66" s="3" t="n">
        <x:v>4</x:v>
      </x:c>
      <x:c r="G66" s="9" t="n">
        <x:v>0.18</x:v>
      </x:c>
      <x:c r="H66" s="9" t="n">
        <x:v>1.001665</x:v>
      </x:c>
      <x:c r="I66" s="9" t="n">
        <x:f>'Physical_Arcs'!R6</x:f>
        <x:v>4.166666666666667</x:v>
      </x:c>
      <x:c r="J66" s="9" t="n">
        <x:f>I66*'Parameters'!$C$18</x:f>
        <x:v>0.8333333333333335</x:v>
      </x:c>
      <x:c r="K66" s="9" t="n">
        <x:f>J66*'Parameters'!$C$19</x:f>
        <x:v>1.041666666666667</x:v>
      </x:c>
      <x:c r="L66" s="9" t="n">
        <x:f>I66*(1-0.40)-J66</x:f>
        <x:v>1.6666666666666665</x:v>
      </x:c>
      <x:c r="M66" s="9" t="n">
        <x:f>'Physical_Arcs'!S6</x:f>
        <x:v>4.166666666666667</x:v>
      </x:c>
      <x:c r="N66" s="9" t="n">
        <x:f>M66*'Parameters'!$C$18</x:f>
        <x:v>0.8333333333333335</x:v>
      </x:c>
      <x:c r="O66" s="9" t="n">
        <x:f>N66*'Parameters'!$C$19</x:f>
        <x:v>1.041666666666667</x:v>
      </x:c>
      <x:c r="P66" s="9" t="n">
        <x:f>M66*(1-0.40)-N66</x:f>
        <x:v>1.6666666666666665</x:v>
      </x:c>
      <x:c r="Q66" s="9" t="n">
        <x:f>'Physical_Arcs'!T6</x:f>
        <x:v>2.0833333333333335</x:v>
      </x:c>
      <x:c r="R66" s="9" t="n">
        <x:f>Q66*'Parameters'!$C$18</x:f>
        <x:v>0.41666666666666674</x:v>
      </x:c>
      <x:c r="S66" s="9" t="n">
        <x:f>R66*'Parameters'!$C$19</x:f>
        <x:v>0.5208333333333335</x:v>
      </x:c>
      <x:c r="T66" s="9" t="n">
        <x:f>Q66*(1-0.40)-R66</x:f>
        <x:v>0.8333333333333333</x:v>
      </x:c>
    </x:row>
    <x:row r="67" ht="21" customHeight="1">
      <x:c r="A67" s="3" t="n">
        <x:v>1</x:v>
      </x:c>
      <x:c r="B67" s="3" t="str">
        <x:v>00:10</x:v>
      </x:c>
      <x:c r="C67" s="3" t="n">
        <x:v>1</x:v>
      </x:c>
      <x:c r="D67" s="3" t="n">
        <x:v>6</x:v>
      </x:c>
      <x:c r="E67" s="3" t="n">
        <x:v>1</x:v>
      </x:c>
      <x:c r="F67" s="3" t="n">
        <x:v>9</x:v>
      </x:c>
      <x:c r="G67" s="9" t="n">
        <x:v>0.18</x:v>
      </x:c>
      <x:c r="H67" s="9" t="n">
        <x:v>0.942884</x:v>
      </x:c>
      <x:c r="I67" s="9" t="n">
        <x:f>'Physical_Arcs'!R7</x:f>
        <x:v>11.027777777777779</x:v>
      </x:c>
      <x:c r="J67" s="9" t="n">
        <x:f>I67*'Parameters'!$C$18</x:f>
        <x:v>2.2055555555555557</x:v>
      </x:c>
      <x:c r="K67" s="9" t="n">
        <x:f>J67*'Parameters'!$C$19</x:f>
        <x:v>2.7569444444444446</x:v>
      </x:c>
      <x:c r="L67" s="9" t="n">
        <x:f>I67*(1-0.40)-J67</x:f>
        <x:v>4.411111111111111</x:v>
      </x:c>
      <x:c r="M67" s="9" t="n">
        <x:f>'Physical_Arcs'!S7</x:f>
        <x:v>11.027777777777779</x:v>
      </x:c>
      <x:c r="N67" s="9" t="n">
        <x:f>M67*'Parameters'!$C$18</x:f>
        <x:v>2.2055555555555557</x:v>
      </x:c>
      <x:c r="O67" s="9" t="n">
        <x:f>N67*'Parameters'!$C$19</x:f>
        <x:v>2.7569444444444446</x:v>
      </x:c>
      <x:c r="P67" s="9" t="n">
        <x:f>M67*(1-0.40)-N67</x:f>
        <x:v>4.411111111111111</x:v>
      </x:c>
      <x:c r="Q67" s="9" t="n">
        <x:f>'Physical_Arcs'!T7</x:f>
        <x:v>5.527777777777778</x:v>
      </x:c>
      <x:c r="R67" s="9" t="n">
        <x:f>Q67*'Parameters'!$C$18</x:f>
        <x:v>1.1055555555555556</x:v>
      </x:c>
      <x:c r="S67" s="9" t="n">
        <x:f>R67*'Parameters'!$C$19</x:f>
        <x:v>1.3819444444444446</x:v>
      </x:c>
      <x:c r="T67" s="9" t="n">
        <x:f>Q67*(1-0.40)-R67</x:f>
        <x:v>2.211111111111111</x:v>
      </x:c>
    </x:row>
    <x:row r="68" ht="21" customHeight="1">
      <x:c r="A68" s="3" t="n">
        <x:v>1</x:v>
      </x:c>
      <x:c r="B68" s="3" t="str">
        <x:v>00:10</x:v>
      </x:c>
      <x:c r="C68" s="3" t="n">
        <x:v>1</x:v>
      </x:c>
      <x:c r="D68" s="3" t="n">
        <x:v>7</x:v>
      </x:c>
      <x:c r="E68" s="3" t="n">
        <x:v>1</x:v>
      </x:c>
      <x:c r="F68" s="3" t="n">
        <x:v>5</x:v>
      </x:c>
      <x:c r="G68" s="9" t="n">
        <x:v>0.18</x:v>
      </x:c>
      <x:c r="H68" s="9" t="n">
        <x:v>1.038222</x:v>
      </x:c>
      <x:c r="I68" s="9" t="n">
        <x:f>'Physical_Arcs'!R8</x:f>
        <x:v>7.972222222222222</x:v>
      </x:c>
      <x:c r="J68" s="9" t="n">
        <x:f>I68*'Parameters'!$C$18</x:f>
        <x:v>1.5944444444444446</x:v>
      </x:c>
      <x:c r="K68" s="9" t="n">
        <x:f>J68*'Parameters'!$C$19</x:f>
        <x:v>1.9930555555555558</x:v>
      </x:c>
      <x:c r="L68" s="9" t="n">
        <x:f>I68*(1-0.40)-J68</x:f>
        <x:v>3.1888888888888887</x:v>
      </x:c>
      <x:c r="M68" s="9" t="n">
        <x:f>'Physical_Arcs'!S8</x:f>
        <x:v>7.972222222222222</x:v>
      </x:c>
      <x:c r="N68" s="9" t="n">
        <x:f>M68*'Parameters'!$C$18</x:f>
        <x:v>1.5944444444444446</x:v>
      </x:c>
      <x:c r="O68" s="9" t="n">
        <x:f>N68*'Parameters'!$C$19</x:f>
        <x:v>1.9930555555555558</x:v>
      </x:c>
      <x:c r="P68" s="9" t="n">
        <x:f>M68*(1-0.40)-N68</x:f>
        <x:v>3.1888888888888887</x:v>
      </x:c>
      <x:c r="Q68" s="9" t="n">
        <x:f>'Physical_Arcs'!T8</x:f>
        <x:v>4</x:v>
      </x:c>
      <x:c r="R68" s="9" t="n">
        <x:f>Q68*'Parameters'!$C$18</x:f>
        <x:v>0.8</x:v>
      </x:c>
      <x:c r="S68" s="9" t="n">
        <x:f>R68*'Parameters'!$C$19</x:f>
        <x:v>1</x:v>
      </x:c>
      <x:c r="T68" s="9" t="n">
        <x:f>Q68*(1-0.40)-R68</x:f>
        <x:v>1.5999999999999999</x:v>
      </x:c>
    </x:row>
    <x:row r="69" ht="21" customHeight="1">
      <x:c r="A69" s="3" t="n">
        <x:v>1</x:v>
      </x:c>
      <x:c r="B69" s="3" t="str">
        <x:v>00:10</x:v>
      </x:c>
      <x:c r="C69" s="3" t="n">
        <x:v>1</x:v>
      </x:c>
      <x:c r="D69" s="3" t="n">
        <x:v>8</x:v>
      </x:c>
      <x:c r="E69" s="3" t="n">
        <x:v>1</x:v>
      </x:c>
      <x:c r="F69" s="3" t="n">
        <x:v>3</x:v>
      </x:c>
      <x:c r="G69" s="9" t="n">
        <x:v>0.18</x:v>
      </x:c>
      <x:c r="H69" s="9" t="n">
        <x:v>1.122297</x:v>
      </x:c>
      <x:c r="I69" s="9" t="n">
        <x:f>'Physical_Arcs'!R9</x:f>
        <x:v>4.166666666666667</x:v>
      </x:c>
      <x:c r="J69" s="9" t="n">
        <x:f>I69*'Parameters'!$C$18</x:f>
        <x:v>0.8333333333333335</x:v>
      </x:c>
      <x:c r="K69" s="9" t="n">
        <x:f>J69*'Parameters'!$C$19</x:f>
        <x:v>1.041666666666667</x:v>
      </x:c>
      <x:c r="L69" s="9" t="n">
        <x:f>I69*(1-0.40)-J69</x:f>
        <x:v>1.6666666666666665</x:v>
      </x:c>
      <x:c r="M69" s="9" t="n">
        <x:f>'Physical_Arcs'!S9</x:f>
        <x:v>4.166666666666667</x:v>
      </x:c>
      <x:c r="N69" s="9" t="n">
        <x:f>M69*'Parameters'!$C$18</x:f>
        <x:v>0.8333333333333335</x:v>
      </x:c>
      <x:c r="O69" s="9" t="n">
        <x:f>N69*'Parameters'!$C$19</x:f>
        <x:v>1.041666666666667</x:v>
      </x:c>
      <x:c r="P69" s="9" t="n">
        <x:f>M69*(1-0.40)-N69</x:f>
        <x:v>1.6666666666666665</x:v>
      </x:c>
      <x:c r="Q69" s="9" t="n">
        <x:f>'Physical_Arcs'!T9</x:f>
        <x:v>2.0833333333333335</x:v>
      </x:c>
      <x:c r="R69" s="9" t="n">
        <x:f>Q69*'Parameters'!$C$18</x:f>
        <x:v>0.41666666666666674</x:v>
      </x:c>
      <x:c r="S69" s="9" t="n">
        <x:f>R69*'Parameters'!$C$19</x:f>
        <x:v>0.5208333333333335</x:v>
      </x:c>
      <x:c r="T69" s="9" t="n">
        <x:f>Q69*(1-0.40)-R69</x:f>
        <x:v>0.8333333333333333</x:v>
      </x:c>
    </x:row>
    <x:row r="70" ht="21" customHeight="1">
      <x:c r="A70" s="3" t="n">
        <x:v>1</x:v>
      </x:c>
      <x:c r="B70" s="3" t="str">
        <x:v>00:10</x:v>
      </x:c>
      <x:c r="C70" s="3" t="n">
        <x:v>1</x:v>
      </x:c>
      <x:c r="D70" s="3" t="n">
        <x:v>9</x:v>
      </x:c>
      <x:c r="E70" s="3" t="n">
        <x:v>1</x:v>
      </x:c>
      <x:c r="F70" s="3" t="n">
        <x:v>6</x:v>
      </x:c>
      <x:c r="G70" s="9" t="n">
        <x:v>0.18</x:v>
      </x:c>
      <x:c r="H70" s="9" t="n">
        <x:v>1.132682</x:v>
      </x:c>
      <x:c r="I70" s="9" t="n">
        <x:f>'Physical_Arcs'!R10</x:f>
        <x:v>2.138888888888889</x:v>
      </x:c>
      <x:c r="J70" s="9" t="n">
        <x:f>I70*'Parameters'!$C$18</x:f>
        <x:v>0.4277777777777778</x:v>
      </x:c>
      <x:c r="K70" s="9" t="n">
        <x:f>J70*'Parameters'!$C$19</x:f>
        <x:v>0.5347222222222223</x:v>
      </x:c>
      <x:c r="L70" s="9" t="n">
        <x:f>I70*(1-0.40)-J70</x:f>
        <x:v>0.8555555555555554</x:v>
      </x:c>
      <x:c r="M70" s="9" t="n">
        <x:f>'Physical_Arcs'!S10</x:f>
        <x:v>2.138888888888889</x:v>
      </x:c>
      <x:c r="N70" s="9" t="n">
        <x:f>M70*'Parameters'!$C$18</x:f>
        <x:v>0.4277777777777778</x:v>
      </x:c>
      <x:c r="O70" s="9" t="n">
        <x:f>N70*'Parameters'!$C$19</x:f>
        <x:v>0.5347222222222223</x:v>
      </x:c>
      <x:c r="P70" s="9" t="n">
        <x:f>M70*(1-0.40)-N70</x:f>
        <x:v>0.8555555555555554</x:v>
      </x:c>
      <x:c r="Q70" s="9" t="n">
        <x:f>'Physical_Arcs'!T10</x:f>
        <x:v>1.0833333333333333</x:v>
      </x:c>
      <x:c r="R70" s="9" t="n">
        <x:f>Q70*'Parameters'!$C$18</x:f>
        <x:v>0.21666666666666667</x:v>
      </x:c>
      <x:c r="S70" s="9" t="n">
        <x:f>R70*'Parameters'!$C$19</x:f>
        <x:v>0.27083333333333337</x:v>
      </x:c>
      <x:c r="T70" s="9" t="n">
        <x:f>Q70*(1-0.40)-R70</x:f>
        <x:v>0.43333333333333324</x:v>
      </x:c>
    </x:row>
    <x:row r="71" ht="21" customHeight="1">
      <x:c r="A71" s="3" t="n">
        <x:v>1</x:v>
      </x:c>
      <x:c r="B71" s="3" t="str">
        <x:v>00:10</x:v>
      </x:c>
      <x:c r="C71" s="3" t="n">
        <x:v>1</x:v>
      </x:c>
      <x:c r="D71" s="3" t="n">
        <x:v>10</x:v>
      </x:c>
      <x:c r="E71" s="3" t="n">
        <x:v>2</x:v>
      </x:c>
      <x:c r="F71" s="3" t="n">
        <x:v>3</x:v>
      </x:c>
      <x:c r="G71" s="9" t="n">
        <x:v>0.18</x:v>
      </x:c>
      <x:c r="H71" s="9" t="n">
        <x:v>0.871154</x:v>
      </x:c>
      <x:c r="I71" s="9" t="n">
        <x:f>'Physical_Arcs'!R11</x:f>
        <x:v>17.02777777777778</x:v>
      </x:c>
      <x:c r="J71" s="9" t="n">
        <x:f>I71*'Parameters'!$C$18</x:f>
        <x:v>3.405555555555556</x:v>
      </x:c>
      <x:c r="K71" s="9" t="n">
        <x:f>J71*'Parameters'!$C$19</x:f>
        <x:v>4.256944444444445</x:v>
      </x:c>
      <x:c r="L71" s="9" t="n">
        <x:f>I71*(1-0.40)-J71</x:f>
        <x:v>6.811111111111111</x:v>
      </x:c>
      <x:c r="M71" s="9" t="n">
        <x:f>'Physical_Arcs'!S11</x:f>
        <x:v>17.02777777777778</x:v>
      </x:c>
      <x:c r="N71" s="9" t="n">
        <x:f>M71*'Parameters'!$C$18</x:f>
        <x:v>3.405555555555556</x:v>
      </x:c>
      <x:c r="O71" s="9" t="n">
        <x:f>N71*'Parameters'!$C$19</x:f>
        <x:v>4.256944444444445</x:v>
      </x:c>
      <x:c r="P71" s="9" t="n">
        <x:f>M71*(1-0.40)-N71</x:f>
        <x:v>6.811111111111111</x:v>
      </x:c>
      <x:c r="Q71" s="9" t="n">
        <x:f>'Physical_Arcs'!T11</x:f>
        <x:v>17.02777777777778</x:v>
      </x:c>
      <x:c r="R71" s="9" t="n">
        <x:f>Q71*'Parameters'!$C$18</x:f>
        <x:v>3.405555555555556</x:v>
      </x:c>
      <x:c r="S71" s="9" t="n">
        <x:f>R71*'Parameters'!$C$19</x:f>
        <x:v>4.256944444444445</x:v>
      </x:c>
      <x:c r="T71" s="9" t="n">
        <x:f>Q71*(1-0.40)-R71</x:f>
        <x:v>6.811111111111111</x:v>
      </x:c>
    </x:row>
    <x:row r="72" ht="21" customHeight="1">
      <x:c r="A72" s="3" t="n">
        <x:v>1</x:v>
      </x:c>
      <x:c r="B72" s="3" t="str">
        <x:v>00:10</x:v>
      </x:c>
      <x:c r="C72" s="3" t="n">
        <x:v>1</x:v>
      </x:c>
      <x:c r="D72" s="3" t="n">
        <x:v>11</x:v>
      </x:c>
      <x:c r="E72" s="3" t="n">
        <x:v>2</x:v>
      </x:c>
      <x:c r="F72" s="3" t="n">
        <x:v>4</x:v>
      </x:c>
      <x:c r="G72" s="9" t="n">
        <x:v>0.18</x:v>
      </x:c>
      <x:c r="H72" s="9" t="n">
        <x:v>1.147412</x:v>
      </x:c>
      <x:c r="I72" s="9" t="n">
        <x:f>'Physical_Arcs'!R12</x:f>
        <x:v>7.972222222222222</x:v>
      </x:c>
      <x:c r="J72" s="9" t="n">
        <x:f>I72*'Parameters'!$C$18</x:f>
        <x:v>1.5944444444444446</x:v>
      </x:c>
      <x:c r="K72" s="9" t="n">
        <x:f>J72*'Parameters'!$C$19</x:f>
        <x:v>1.9930555555555558</x:v>
      </x:c>
      <x:c r="L72" s="9" t="n">
        <x:f>I72*(1-0.40)-J72</x:f>
        <x:v>3.1888888888888887</x:v>
      </x:c>
      <x:c r="M72" s="9" t="n">
        <x:f>'Physical_Arcs'!S12</x:f>
        <x:v>7.972222222222222</x:v>
      </x:c>
      <x:c r="N72" s="9" t="n">
        <x:f>M72*'Parameters'!$C$18</x:f>
        <x:v>1.5944444444444446</x:v>
      </x:c>
      <x:c r="O72" s="9" t="n">
        <x:f>N72*'Parameters'!$C$19</x:f>
        <x:v>1.9930555555555558</x:v>
      </x:c>
      <x:c r="P72" s="9" t="n">
        <x:f>M72*(1-0.40)-N72</x:f>
        <x:v>3.1888888888888887</x:v>
      </x:c>
      <x:c r="Q72" s="9" t="n">
        <x:f>'Physical_Arcs'!T12</x:f>
        <x:v>4</x:v>
      </x:c>
      <x:c r="R72" s="9" t="n">
        <x:f>Q72*'Parameters'!$C$18</x:f>
        <x:v>0.8</x:v>
      </x:c>
      <x:c r="S72" s="9" t="n">
        <x:f>R72*'Parameters'!$C$19</x:f>
        <x:v>1</x:v>
      </x:c>
      <x:c r="T72" s="9" t="n">
        <x:f>Q72*(1-0.40)-R72</x:f>
        <x:v>1.5999999999999999</x:v>
      </x:c>
    </x:row>
    <x:row r="73" ht="21" customHeight="1">
      <x:c r="A73" s="3" t="n">
        <x:v>1</x:v>
      </x:c>
      <x:c r="B73" s="3" t="str">
        <x:v>00:10</x:v>
      </x:c>
      <x:c r="C73" s="3" t="n">
        <x:v>1</x:v>
      </x:c>
      <x:c r="D73" s="3" t="n">
        <x:v>12</x:v>
      </x:c>
      <x:c r="E73" s="3" t="n">
        <x:v>2</x:v>
      </x:c>
      <x:c r="F73" s="3" t="n">
        <x:v>7</x:v>
      </x:c>
      <x:c r="G73" s="9" t="n">
        <x:v>0.18</x:v>
      </x:c>
      <x:c r="H73" s="9" t="n">
        <x:v>0.96729</x:v>
      </x:c>
      <x:c r="I73" s="9" t="n">
        <x:f>'Physical_Arcs'!R13</x:f>
        <x:v>4.611111111111111</x:v>
      </x:c>
      <x:c r="J73" s="9" t="n">
        <x:f>I73*'Parameters'!$C$18</x:f>
        <x:v>0.9222222222222222</x:v>
      </x:c>
      <x:c r="K73" s="9" t="n">
        <x:f>J73*'Parameters'!$C$19</x:f>
        <x:v>1.1527777777777777</x:v>
      </x:c>
      <x:c r="L73" s="9" t="n">
        <x:f>I73*(1-0.40)-J73</x:f>
        <x:v>1.844444444444444</x:v>
      </x:c>
      <x:c r="M73" s="9" t="n">
        <x:f>'Physical_Arcs'!S13</x:f>
        <x:v>4.611111111111111</x:v>
      </x:c>
      <x:c r="N73" s="9" t="n">
        <x:f>M73*'Parameters'!$C$18</x:f>
        <x:v>0.9222222222222222</x:v>
      </x:c>
      <x:c r="O73" s="9" t="n">
        <x:f>N73*'Parameters'!$C$19</x:f>
        <x:v>1.1527777777777777</x:v>
      </x:c>
      <x:c r="P73" s="9" t="n">
        <x:f>M73*(1-0.40)-N73</x:f>
        <x:v>1.844444444444444</x:v>
      </x:c>
      <x:c r="Q73" s="9" t="n">
        <x:f>'Physical_Arcs'!T13</x:f>
        <x:v>2.3055555555555554</x:v>
      </x:c>
      <x:c r="R73" s="9" t="n">
        <x:f>Q73*'Parameters'!$C$18</x:f>
        <x:v>0.4611111111111111</x:v>
      </x:c>
      <x:c r="S73" s="9" t="n">
        <x:f>R73*'Parameters'!$C$19</x:f>
        <x:v>0.5763888888888888</x:v>
      </x:c>
      <x:c r="T73" s="9" t="n">
        <x:f>Q73*(1-0.40)-R73</x:f>
        <x:v>0.922222222222222</x:v>
      </x:c>
    </x:row>
    <x:row r="74" ht="21" customHeight="1">
      <x:c r="A74" s="3" t="n">
        <x:v>1</x:v>
      </x:c>
      <x:c r="B74" s="3" t="str">
        <x:v>00:10</x:v>
      </x:c>
      <x:c r="C74" s="3" t="n">
        <x:v>1</x:v>
      </x:c>
      <x:c r="D74" s="3" t="n">
        <x:v>13</x:v>
      </x:c>
      <x:c r="E74" s="3" t="n">
        <x:v>2</x:v>
      </x:c>
      <x:c r="F74" s="3" t="n">
        <x:v>9</x:v>
      </x:c>
      <x:c r="G74" s="9" t="n">
        <x:v>0.18</x:v>
      </x:c>
      <x:c r="H74" s="9" t="n">
        <x:v>1.117625</x:v>
      </x:c>
      <x:c r="I74" s="9" t="n">
        <x:f>'Physical_Arcs'!R14</x:f>
        <x:v>8.666666666666666</x:v>
      </x:c>
      <x:c r="J74" s="9" t="n">
        <x:f>I74*'Parameters'!$C$18</x:f>
        <x:v>1.7333333333333334</x:v>
      </x:c>
      <x:c r="K74" s="9" t="n">
        <x:f>J74*'Parameters'!$C$19</x:f>
        <x:v>2.166666666666667</x:v>
      </x:c>
      <x:c r="L74" s="9" t="n">
        <x:f>I74*(1-0.40)-J74</x:f>
        <x:v>3.466666666666666</x:v>
      </x:c>
      <x:c r="M74" s="9" t="n">
        <x:f>'Physical_Arcs'!S14</x:f>
        <x:v>8.666666666666666</x:v>
      </x:c>
      <x:c r="N74" s="9" t="n">
        <x:f>M74*'Parameters'!$C$18</x:f>
        <x:v>1.7333333333333334</x:v>
      </x:c>
      <x:c r="O74" s="9" t="n">
        <x:f>N74*'Parameters'!$C$19</x:f>
        <x:v>2.166666666666667</x:v>
      </x:c>
      <x:c r="P74" s="9" t="n">
        <x:f>M74*(1-0.40)-N74</x:f>
        <x:v>3.466666666666666</x:v>
      </x:c>
      <x:c r="Q74" s="9" t="n">
        <x:f>'Physical_Arcs'!T14</x:f>
        <x:v>4.333333333333333</x:v>
      </x:c>
      <x:c r="R74" s="9" t="n">
        <x:f>Q74*'Parameters'!$C$18</x:f>
        <x:v>0.8666666666666667</x:v>
      </x:c>
      <x:c r="S74" s="9" t="n">
        <x:f>R74*'Parameters'!$C$19</x:f>
        <x:v>1.0833333333333335</x:v>
      </x:c>
      <x:c r="T74" s="9" t="n">
        <x:f>Q74*(1-0.40)-R74</x:f>
        <x:v>1.733333333333333</x:v>
      </x:c>
    </x:row>
    <x:row r="75" ht="21" customHeight="1">
      <x:c r="A75" s="3" t="n">
        <x:v>1</x:v>
      </x:c>
      <x:c r="B75" s="3" t="str">
        <x:v>00:10</x:v>
      </x:c>
      <x:c r="C75" s="3" t="n">
        <x:v>1</x:v>
      </x:c>
      <x:c r="D75" s="3" t="n">
        <x:v>14</x:v>
      </x:c>
      <x:c r="E75" s="3" t="n">
        <x:v>2</x:v>
      </x:c>
      <x:c r="F75" s="3" t="n">
        <x:v>8</x:v>
      </x:c>
      <x:c r="G75" s="9" t="n">
        <x:v>0.18</x:v>
      </x:c>
      <x:c r="H75" s="9" t="n">
        <x:v>1.144902</x:v>
      </x:c>
      <x:c r="I75" s="9" t="n">
        <x:f>'Physical_Arcs'!R15</x:f>
        <x:v>7.75</x:v>
      </x:c>
      <x:c r="J75" s="9" t="n">
        <x:f>I75*'Parameters'!$C$18</x:f>
        <x:v>1.55</x:v>
      </x:c>
      <x:c r="K75" s="9" t="n">
        <x:f>J75*'Parameters'!$C$19</x:f>
        <x:v>1.9375</x:v>
      </x:c>
      <x:c r="L75" s="9" t="n">
        <x:f>I75*(1-0.40)-J75</x:f>
        <x:v>3.0999999999999996</x:v>
      </x:c>
      <x:c r="M75" s="9" t="n">
        <x:f>'Physical_Arcs'!S15</x:f>
        <x:v>7.75</x:v>
      </x:c>
      <x:c r="N75" s="9" t="n">
        <x:f>M75*'Parameters'!$C$18</x:f>
        <x:v>1.55</x:v>
      </x:c>
      <x:c r="O75" s="9" t="n">
        <x:f>N75*'Parameters'!$C$19</x:f>
        <x:v>1.9375</x:v>
      </x:c>
      <x:c r="P75" s="9" t="n">
        <x:f>M75*(1-0.40)-N75</x:f>
        <x:v>3.0999999999999996</x:v>
      </x:c>
      <x:c r="Q75" s="9" t="n">
        <x:f>'Physical_Arcs'!T15</x:f>
        <x:v>3.888888888888889</x:v>
      </x:c>
      <x:c r="R75" s="9" t="n">
        <x:f>Q75*'Parameters'!$C$18</x:f>
        <x:v>0.7777777777777778</x:v>
      </x:c>
      <x:c r="S75" s="9" t="n">
        <x:f>R75*'Parameters'!$C$19</x:f>
        <x:v>0.9722222222222222</x:v>
      </x:c>
      <x:c r="T75" s="9" t="n">
        <x:f>Q75*(1-0.40)-R75</x:f>
        <x:v>1.5555555555555554</x:v>
      </x:c>
    </x:row>
    <x:row r="76" ht="21" customHeight="1">
      <x:c r="A76" s="3" t="n">
        <x:v>1</x:v>
      </x:c>
      <x:c r="B76" s="3" t="str">
        <x:v>00:10</x:v>
      </x:c>
      <x:c r="C76" s="3" t="n">
        <x:v>1</x:v>
      </x:c>
      <x:c r="D76" s="3" t="n">
        <x:v>15</x:v>
      </x:c>
      <x:c r="E76" s="3" t="n">
        <x:v>2</x:v>
      </x:c>
      <x:c r="F76" s="3" t="n">
        <x:v>10</x:v>
      </x:c>
      <x:c r="G76" s="9" t="n">
        <x:v>0.18</x:v>
      </x:c>
      <x:c r="H76" s="9" t="n">
        <x:v>1.146684</x:v>
      </x:c>
      <x:c r="I76" s="9" t="n">
        <x:f>'Physical_Arcs'!R16</x:f>
        <x:v>7.416666666666667</x:v>
      </x:c>
      <x:c r="J76" s="9" t="n">
        <x:f>I76*'Parameters'!$C$18</x:f>
        <x:v>1.4833333333333334</x:v>
      </x:c>
      <x:c r="K76" s="9" t="n">
        <x:f>J76*'Parameters'!$C$19</x:f>
        <x:v>1.8541666666666667</x:v>
      </x:c>
      <x:c r="L76" s="9" t="n">
        <x:f>I76*(1-0.40)-J76</x:f>
        <x:v>2.966666666666667</x:v>
      </x:c>
      <x:c r="M76" s="9" t="n">
        <x:f>'Physical_Arcs'!S16</x:f>
        <x:v>7.416666666666667</x:v>
      </x:c>
      <x:c r="N76" s="9" t="n">
        <x:f>M76*'Parameters'!$C$18</x:f>
        <x:v>1.4833333333333334</x:v>
      </x:c>
      <x:c r="O76" s="9" t="n">
        <x:f>N76*'Parameters'!$C$19</x:f>
        <x:v>1.8541666666666667</x:v>
      </x:c>
      <x:c r="P76" s="9" t="n">
        <x:f>M76*(1-0.40)-N76</x:f>
        <x:v>2.966666666666667</x:v>
      </x:c>
      <x:c r="Q76" s="9" t="n">
        <x:f>'Physical_Arcs'!T16</x:f>
        <x:v>3.7222222222222223</x:v>
      </x:c>
      <x:c r="R76" s="9" t="n">
        <x:f>Q76*'Parameters'!$C$18</x:f>
        <x:v>0.7444444444444445</x:v>
      </x:c>
      <x:c r="S76" s="9" t="n">
        <x:f>R76*'Parameters'!$C$19</x:f>
        <x:v>0.9305555555555556</x:v>
      </x:c>
      <x:c r="T76" s="9" t="n">
        <x:f>Q76*(1-0.40)-R76</x:f>
        <x:v>1.488888888888889</x:v>
      </x:c>
    </x:row>
    <x:row r="77" ht="21" customHeight="1">
      <x:c r="A77" s="3" t="n">
        <x:v>1</x:v>
      </x:c>
      <x:c r="B77" s="3" t="str">
        <x:v>00:10</x:v>
      </x:c>
      <x:c r="C77" s="3" t="n">
        <x:v>1</x:v>
      </x:c>
      <x:c r="D77" s="3" t="n">
        <x:v>16</x:v>
      </x:c>
      <x:c r="E77" s="3" t="n">
        <x:v>3</x:v>
      </x:c>
      <x:c r="F77" s="3" t="n">
        <x:v>4</x:v>
      </x:c>
      <x:c r="G77" s="9" t="n">
        <x:v>0.18</x:v>
      </x:c>
      <x:c r="H77" s="9" t="n">
        <x:v>1.017658</x:v>
      </x:c>
      <x:c r="I77" s="9" t="n">
        <x:f>'Physical_Arcs'!R17</x:f>
        <x:v>17.02777777777778</x:v>
      </x:c>
      <x:c r="J77" s="9" t="n">
        <x:f>I77*'Parameters'!$C$18</x:f>
        <x:v>3.405555555555556</x:v>
      </x:c>
      <x:c r="K77" s="9" t="n">
        <x:f>J77*'Parameters'!$C$19</x:f>
        <x:v>4.256944444444445</x:v>
      </x:c>
      <x:c r="L77" s="9" t="n">
        <x:f>I77*(1-0.40)-J77</x:f>
        <x:v>6.811111111111111</x:v>
      </x:c>
      <x:c r="M77" s="9" t="n">
        <x:f>'Physical_Arcs'!S17</x:f>
        <x:v>17.02777777777778</x:v>
      </x:c>
      <x:c r="N77" s="9" t="n">
        <x:f>M77*'Parameters'!$C$18</x:f>
        <x:v>3.405555555555556</x:v>
      </x:c>
      <x:c r="O77" s="9" t="n">
        <x:f>N77*'Parameters'!$C$19</x:f>
        <x:v>4.256944444444445</x:v>
      </x:c>
      <x:c r="P77" s="9" t="n">
        <x:f>M77*(1-0.40)-N77</x:f>
        <x:v>6.811111111111111</x:v>
      </x:c>
      <x:c r="Q77" s="9" t="n">
        <x:f>'Physical_Arcs'!T17</x:f>
        <x:v>17.02777777777778</x:v>
      </x:c>
      <x:c r="R77" s="9" t="n">
        <x:f>Q77*'Parameters'!$C$18</x:f>
        <x:v>3.405555555555556</x:v>
      </x:c>
      <x:c r="S77" s="9" t="n">
        <x:f>R77*'Parameters'!$C$19</x:f>
        <x:v>4.256944444444445</x:v>
      </x:c>
      <x:c r="T77" s="9" t="n">
        <x:f>Q77*(1-0.40)-R77</x:f>
        <x:v>6.811111111111111</x:v>
      </x:c>
    </x:row>
    <x:row r="78" ht="21" customHeight="1">
      <x:c r="A78" s="3" t="n">
        <x:v>1</x:v>
      </x:c>
      <x:c r="B78" s="3" t="str">
        <x:v>00:10</x:v>
      </x:c>
      <x:c r="C78" s="3" t="n">
        <x:v>1</x:v>
      </x:c>
      <x:c r="D78" s="3" t="n">
        <x:v>17</x:v>
      </x:c>
      <x:c r="E78" s="3" t="n">
        <x:v>3</x:v>
      </x:c>
      <x:c r="F78" s="3" t="n">
        <x:v>2</x:v>
      </x:c>
      <x:c r="G78" s="9" t="n">
        <x:v>0.18</x:v>
      </x:c>
      <x:c r="H78" s="9" t="n">
        <x:v>0.875995</x:v>
      </x:c>
      <x:c r="I78" s="9" t="n">
        <x:f>'Physical_Arcs'!R18</x:f>
        <x:v>10.666666666666666</x:v>
      </x:c>
      <x:c r="J78" s="9" t="n">
        <x:f>I78*'Parameters'!$C$18</x:f>
        <x:v>2.1333333333333333</x:v>
      </x:c>
      <x:c r="K78" s="9" t="n">
        <x:f>J78*'Parameters'!$C$19</x:f>
        <x:v>2.6666666666666665</x:v>
      </x:c>
      <x:c r="L78" s="9" t="n">
        <x:f>I78*(1-0.40)-J78</x:f>
        <x:v>4.266666666666666</x:v>
      </x:c>
      <x:c r="M78" s="9" t="n">
        <x:f>'Physical_Arcs'!S18</x:f>
        <x:v>10.666666666666666</x:v>
      </x:c>
      <x:c r="N78" s="9" t="n">
        <x:f>M78*'Parameters'!$C$18</x:f>
        <x:v>2.1333333333333333</x:v>
      </x:c>
      <x:c r="O78" s="9" t="n">
        <x:f>N78*'Parameters'!$C$19</x:f>
        <x:v>2.6666666666666665</x:v>
      </x:c>
      <x:c r="P78" s="9" t="n">
        <x:f>M78*(1-0.40)-N78</x:f>
        <x:v>4.266666666666666</x:v>
      </x:c>
      <x:c r="Q78" s="9" t="n">
        <x:f>'Physical_Arcs'!T18</x:f>
        <x:v>5.333333333333333</x:v>
      </x:c>
      <x:c r="R78" s="9" t="n">
        <x:f>Q78*'Parameters'!$C$18</x:f>
        <x:v>1.0666666666666667</x:v>
      </x:c>
      <x:c r="S78" s="9" t="n">
        <x:f>R78*'Parameters'!$C$19</x:f>
        <x:v>1.3333333333333333</x:v>
      </x:c>
      <x:c r="T78" s="9" t="n">
        <x:f>Q78*(1-0.40)-R78</x:f>
        <x:v>2.133333333333333</x:v>
      </x:c>
    </x:row>
    <x:row r="79" ht="21" customHeight="1">
      <x:c r="A79" s="3" t="n">
        <x:v>1</x:v>
      </x:c>
      <x:c r="B79" s="3" t="str">
        <x:v>00:10</x:v>
      </x:c>
      <x:c r="C79" s="3" t="n">
        <x:v>1</x:v>
      </x:c>
      <x:c r="D79" s="3" t="n">
        <x:v>18</x:v>
      </x:c>
      <x:c r="E79" s="3" t="n">
        <x:v>3</x:v>
      </x:c>
      <x:c r="F79" s="3" t="n">
        <x:v>1</x:v>
      </x:c>
      <x:c r="G79" s="9" t="n">
        <x:v>0.18</x:v>
      </x:c>
      <x:c r="H79" s="9" t="n">
        <x:v>1.015397</x:v>
      </x:c>
      <x:c r="I79" s="9" t="n">
        <x:f>'Physical_Arcs'!R19</x:f>
        <x:v>5.166666666666667</x:v>
      </x:c>
      <x:c r="J79" s="9" t="n">
        <x:f>I79*'Parameters'!$C$18</x:f>
        <x:v>1.0333333333333334</x:v>
      </x:c>
      <x:c r="K79" s="9" t="n">
        <x:f>J79*'Parameters'!$C$19</x:f>
        <x:v>1.2916666666666667</x:v>
      </x:c>
      <x:c r="L79" s="9" t="n">
        <x:f>I79*(1-0.40)-J79</x:f>
        <x:v>2.0666666666666664</x:v>
      </x:c>
      <x:c r="M79" s="9" t="n">
        <x:f>'Physical_Arcs'!S19</x:f>
        <x:v>5.166666666666667</x:v>
      </x:c>
      <x:c r="N79" s="9" t="n">
        <x:f>M79*'Parameters'!$C$18</x:f>
        <x:v>1.0333333333333334</x:v>
      </x:c>
      <x:c r="O79" s="9" t="n">
        <x:f>N79*'Parameters'!$C$19</x:f>
        <x:v>1.2916666666666667</x:v>
      </x:c>
      <x:c r="P79" s="9" t="n">
        <x:f>M79*(1-0.40)-N79</x:f>
        <x:v>2.0666666666666664</x:v>
      </x:c>
      <x:c r="Q79" s="9" t="n">
        <x:f>'Physical_Arcs'!T19</x:f>
        <x:v>2.5833333333333335</x:v>
      </x:c>
      <x:c r="R79" s="9" t="n">
        <x:f>Q79*'Parameters'!$C$18</x:f>
        <x:v>0.5166666666666667</x:v>
      </x:c>
      <x:c r="S79" s="9" t="n">
        <x:f>R79*'Parameters'!$C$19</x:f>
        <x:v>0.6458333333333334</x:v>
      </x:c>
      <x:c r="T79" s="9" t="n">
        <x:f>Q79*(1-0.40)-R79</x:f>
        <x:v>1.0333333333333332</x:v>
      </x:c>
    </x:row>
    <x:row r="80" ht="21" customHeight="1">
      <x:c r="A80" s="3" t="n">
        <x:v>1</x:v>
      </x:c>
      <x:c r="B80" s="3" t="str">
        <x:v>00:10</x:v>
      </x:c>
      <x:c r="C80" s="3" t="n">
        <x:v>1</x:v>
      </x:c>
      <x:c r="D80" s="3" t="n">
        <x:v>19</x:v>
      </x:c>
      <x:c r="E80" s="3" t="n">
        <x:v>3</x:v>
      </x:c>
      <x:c r="F80" s="3" t="n">
        <x:v>7</x:v>
      </x:c>
      <x:c r="G80" s="9" t="n">
        <x:v>0.18</x:v>
      </x:c>
      <x:c r="H80" s="9" t="n">
        <x:v>0.996008</x:v>
      </x:c>
      <x:c r="I80" s="9" t="n">
        <x:f>'Physical_Arcs'!R20</x:f>
        <x:v>5.75</x:v>
      </x:c>
      <x:c r="J80" s="9" t="n">
        <x:f>I80*'Parameters'!$C$18</x:f>
        <x:v>1.1500000000000001</x:v>
      </x:c>
      <x:c r="K80" s="9" t="n">
        <x:f>J80*'Parameters'!$C$19</x:f>
        <x:v>1.4375000000000002</x:v>
      </x:c>
      <x:c r="L80" s="9" t="n">
        <x:f>I80*(1-0.40)-J80</x:f>
        <x:v>2.3</x:v>
      </x:c>
      <x:c r="M80" s="9" t="n">
        <x:f>'Physical_Arcs'!S20</x:f>
        <x:v>5.75</x:v>
      </x:c>
      <x:c r="N80" s="9" t="n">
        <x:f>M80*'Parameters'!$C$18</x:f>
        <x:v>1.1500000000000001</x:v>
      </x:c>
      <x:c r="O80" s="9" t="n">
        <x:f>N80*'Parameters'!$C$19</x:f>
        <x:v>1.4375000000000002</x:v>
      </x:c>
      <x:c r="P80" s="9" t="n">
        <x:f>M80*(1-0.40)-N80</x:f>
        <x:v>2.3</x:v>
      </x:c>
      <x:c r="Q80" s="9" t="n">
        <x:f>'Physical_Arcs'!T20</x:f>
        <x:v>2.888888888888889</x:v>
      </x:c>
      <x:c r="R80" s="9" t="n">
        <x:f>Q80*'Parameters'!$C$18</x:f>
        <x:v>0.5777777777777778</x:v>
      </x:c>
      <x:c r="S80" s="9" t="n">
        <x:f>R80*'Parameters'!$C$19</x:f>
        <x:v>0.7222222222222223</x:v>
      </x:c>
      <x:c r="T80" s="9" t="n">
        <x:f>Q80*(1-0.40)-R80</x:f>
        <x:v>1.1555555555555554</x:v>
      </x:c>
    </x:row>
    <x:row r="81" ht="21" customHeight="1">
      <x:c r="A81" s="3" t="n">
        <x:v>1</x:v>
      </x:c>
      <x:c r="B81" s="3" t="str">
        <x:v>00:10</x:v>
      </x:c>
      <x:c r="C81" s="3" t="n">
        <x:v>1</x:v>
      </x:c>
      <x:c r="D81" s="3" t="n">
        <x:v>20</x:v>
      </x:c>
      <x:c r="E81" s="3" t="n">
        <x:v>3</x:v>
      </x:c>
      <x:c r="F81" s="3" t="n">
        <x:v>10</x:v>
      </x:c>
      <x:c r="G81" s="9" t="n">
        <x:v>0.18</x:v>
      </x:c>
      <x:c r="H81" s="9" t="n">
        <x:v>1.118855</x:v>
      </x:c>
      <x:c r="I81" s="9" t="n">
        <x:f>'Physical_Arcs'!R21</x:f>
        <x:v>5.166666666666667</x:v>
      </x:c>
      <x:c r="J81" s="9" t="n">
        <x:f>I81*'Parameters'!$C$18</x:f>
        <x:v>1.0333333333333334</x:v>
      </x:c>
      <x:c r="K81" s="9" t="n">
        <x:f>J81*'Parameters'!$C$19</x:f>
        <x:v>1.2916666666666667</x:v>
      </x:c>
      <x:c r="L81" s="9" t="n">
        <x:f>I81*(1-0.40)-J81</x:f>
        <x:v>2.0666666666666664</x:v>
      </x:c>
      <x:c r="M81" s="9" t="n">
        <x:f>'Physical_Arcs'!S21</x:f>
        <x:v>5.166666666666667</x:v>
      </x:c>
      <x:c r="N81" s="9" t="n">
        <x:f>M81*'Parameters'!$C$18</x:f>
        <x:v>1.0333333333333334</x:v>
      </x:c>
      <x:c r="O81" s="9" t="n">
        <x:f>N81*'Parameters'!$C$19</x:f>
        <x:v>1.2916666666666667</x:v>
      </x:c>
      <x:c r="P81" s="9" t="n">
        <x:f>M81*(1-0.40)-N81</x:f>
        <x:v>2.0666666666666664</x:v>
      </x:c>
      <x:c r="Q81" s="9" t="n">
        <x:f>'Physical_Arcs'!T21</x:f>
        <x:v>2.5833333333333335</x:v>
      </x:c>
      <x:c r="R81" s="9" t="n">
        <x:f>Q81*'Parameters'!$C$18</x:f>
        <x:v>0.5166666666666667</x:v>
      </x:c>
      <x:c r="S81" s="9" t="n">
        <x:f>R81*'Parameters'!$C$19</x:f>
        <x:v>0.6458333333333334</x:v>
      </x:c>
      <x:c r="T81" s="9" t="n">
        <x:f>Q81*(1-0.40)-R81</x:f>
        <x:v>1.0333333333333332</x:v>
      </x:c>
    </x:row>
    <x:row r="82" ht="21" customHeight="1">
      <x:c r="A82" s="3" t="n">
        <x:v>1</x:v>
      </x:c>
      <x:c r="B82" s="3" t="str">
        <x:v>00:10</x:v>
      </x:c>
      <x:c r="C82" s="3" t="n">
        <x:v>1</x:v>
      </x:c>
      <x:c r="D82" s="3" t="n">
        <x:v>21</x:v>
      </x:c>
      <x:c r="E82" s="3" t="n">
        <x:v>3</x:v>
      </x:c>
      <x:c r="F82" s="3" t="n">
        <x:v>9</x:v>
      </x:c>
      <x:c r="G82" s="9" t="n">
        <x:v>0.18</x:v>
      </x:c>
      <x:c r="H82" s="9" t="n">
        <x:v>0.947299</x:v>
      </x:c>
      <x:c r="I82" s="9" t="n">
        <x:f>'Physical_Arcs'!R22</x:f>
        <x:v>9.333333333333334</x:v>
      </x:c>
      <x:c r="J82" s="9" t="n">
        <x:f>I82*'Parameters'!$C$18</x:f>
        <x:v>1.866666666666667</x:v>
      </x:c>
      <x:c r="K82" s="9" t="n">
        <x:f>J82*'Parameters'!$C$19</x:f>
        <x:v>2.3333333333333335</x:v>
      </x:c>
      <x:c r="L82" s="9" t="n">
        <x:f>I82*(1-0.40)-J82</x:f>
        <x:v>3.7333333333333334</x:v>
      </x:c>
      <x:c r="M82" s="9" t="n">
        <x:f>'Physical_Arcs'!S22</x:f>
        <x:v>9.333333333333334</x:v>
      </x:c>
      <x:c r="N82" s="9" t="n">
        <x:f>M82*'Parameters'!$C$18</x:f>
        <x:v>1.866666666666667</x:v>
      </x:c>
      <x:c r="O82" s="9" t="n">
        <x:f>N82*'Parameters'!$C$19</x:f>
        <x:v>2.3333333333333335</x:v>
      </x:c>
      <x:c r="P82" s="9" t="n">
        <x:f>M82*(1-0.40)-N82</x:f>
        <x:v>3.7333333333333334</x:v>
      </x:c>
      <x:c r="Q82" s="9" t="n">
        <x:f>'Physical_Arcs'!T22</x:f>
        <x:v>4.666666666666667</x:v>
      </x:c>
      <x:c r="R82" s="9" t="n">
        <x:f>Q82*'Parameters'!$C$18</x:f>
        <x:v>0.9333333333333335</x:v>
      </x:c>
      <x:c r="S82" s="9" t="n">
        <x:f>R82*'Parameters'!$C$19</x:f>
        <x:v>1.1666666666666667</x:v>
      </x:c>
      <x:c r="T82" s="9" t="n">
        <x:f>Q82*(1-0.40)-R82</x:f>
        <x:v>1.8666666666666667</x:v>
      </x:c>
    </x:row>
    <x:row r="83" ht="21" customHeight="1">
      <x:c r="A83" s="3" t="n">
        <x:v>1</x:v>
      </x:c>
      <x:c r="B83" s="3" t="str">
        <x:v>00:10</x:v>
      </x:c>
      <x:c r="C83" s="3" t="n">
        <x:v>1</x:v>
      </x:c>
      <x:c r="D83" s="3" t="n">
        <x:v>22</x:v>
      </x:c>
      <x:c r="E83" s="3" t="n">
        <x:v>4</x:v>
      </x:c>
      <x:c r="F83" s="3" t="n">
        <x:v>5</x:v>
      </x:c>
      <x:c r="G83" s="9" t="n">
        <x:v>0.18</x:v>
      </x:c>
      <x:c r="H83" s="9" t="n">
        <x:v>0.958485</x:v>
      </x:c>
      <x:c r="I83" s="9" t="n">
        <x:f>'Physical_Arcs'!R23</x:f>
        <x:v>17.02777777777778</x:v>
      </x:c>
      <x:c r="J83" s="9" t="n">
        <x:f>I83*'Parameters'!$C$18</x:f>
        <x:v>3.405555555555556</x:v>
      </x:c>
      <x:c r="K83" s="9" t="n">
        <x:f>J83*'Parameters'!$C$19</x:f>
        <x:v>4.256944444444445</x:v>
      </x:c>
      <x:c r="L83" s="9" t="n">
        <x:f>I83*(1-0.40)-J83</x:f>
        <x:v>6.811111111111111</x:v>
      </x:c>
      <x:c r="M83" s="9" t="n">
        <x:f>'Physical_Arcs'!S23</x:f>
        <x:v>17.02777777777778</x:v>
      </x:c>
      <x:c r="N83" s="9" t="n">
        <x:f>M83*'Parameters'!$C$18</x:f>
        <x:v>3.405555555555556</x:v>
      </x:c>
      <x:c r="O83" s="9" t="n">
        <x:f>N83*'Parameters'!$C$19</x:f>
        <x:v>4.256944444444445</x:v>
      </x:c>
      <x:c r="P83" s="9" t="n">
        <x:f>M83*(1-0.40)-N83</x:f>
        <x:v>6.811111111111111</x:v>
      </x:c>
      <x:c r="Q83" s="9" t="n">
        <x:f>'Physical_Arcs'!T23</x:f>
        <x:v>17.02777777777778</x:v>
      </x:c>
      <x:c r="R83" s="9" t="n">
        <x:f>Q83*'Parameters'!$C$18</x:f>
        <x:v>3.405555555555556</x:v>
      </x:c>
      <x:c r="S83" s="9" t="n">
        <x:f>R83*'Parameters'!$C$19</x:f>
        <x:v>4.256944444444445</x:v>
      </x:c>
      <x:c r="T83" s="9" t="n">
        <x:f>Q83*(1-0.40)-R83</x:f>
        <x:v>6.811111111111111</x:v>
      </x:c>
    </x:row>
    <x:row r="84" ht="21" customHeight="1">
      <x:c r="A84" s="3" t="n">
        <x:v>1</x:v>
      </x:c>
      <x:c r="B84" s="3" t="str">
        <x:v>00:10</x:v>
      </x:c>
      <x:c r="C84" s="3" t="n">
        <x:v>1</x:v>
      </x:c>
      <x:c r="D84" s="3" t="n">
        <x:v>23</x:v>
      </x:c>
      <x:c r="E84" s="3" t="n">
        <x:v>4</x:v>
      </x:c>
      <x:c r="F84" s="3" t="n">
        <x:v>3</x:v>
      </x:c>
      <x:c r="G84" s="9" t="n">
        <x:v>0.18</x:v>
      </x:c>
      <x:c r="H84" s="9" t="n">
        <x:v>0.944916</x:v>
      </x:c>
      <x:c r="I84" s="9" t="n">
        <x:f>'Physical_Arcs'!R24</x:f>
        <x:v>9.333333333333334</x:v>
      </x:c>
      <x:c r="J84" s="9" t="n">
        <x:f>I84*'Parameters'!$C$18</x:f>
        <x:v>1.866666666666667</x:v>
      </x:c>
      <x:c r="K84" s="9" t="n">
        <x:f>J84*'Parameters'!$C$19</x:f>
        <x:v>2.3333333333333335</x:v>
      </x:c>
      <x:c r="L84" s="9" t="n">
        <x:f>I84*(1-0.40)-J84</x:f>
        <x:v>3.7333333333333334</x:v>
      </x:c>
      <x:c r="M84" s="9" t="n">
        <x:f>'Physical_Arcs'!S24</x:f>
        <x:v>9.333333333333334</x:v>
      </x:c>
      <x:c r="N84" s="9" t="n">
        <x:f>M84*'Parameters'!$C$18</x:f>
        <x:v>1.866666666666667</x:v>
      </x:c>
      <x:c r="O84" s="9" t="n">
        <x:f>N84*'Parameters'!$C$19</x:f>
        <x:v>2.3333333333333335</x:v>
      </x:c>
      <x:c r="P84" s="9" t="n">
        <x:f>M84*(1-0.40)-N84</x:f>
        <x:v>3.7333333333333334</x:v>
      </x:c>
      <x:c r="Q84" s="9" t="n">
        <x:f>'Physical_Arcs'!T24</x:f>
        <x:v>4.666666666666667</x:v>
      </x:c>
      <x:c r="R84" s="9" t="n">
        <x:f>Q84*'Parameters'!$C$18</x:f>
        <x:v>0.9333333333333335</x:v>
      </x:c>
      <x:c r="S84" s="9" t="n">
        <x:f>R84*'Parameters'!$C$19</x:f>
        <x:v>1.1666666666666667</x:v>
      </x:c>
      <x:c r="T84" s="9" t="n">
        <x:f>Q84*(1-0.40)-R84</x:f>
        <x:v>1.8666666666666667</x:v>
      </x:c>
    </x:row>
    <x:row r="85" ht="21" customHeight="1">
      <x:c r="A85" s="3" t="n">
        <x:v>1</x:v>
      </x:c>
      <x:c r="B85" s="3" t="str">
        <x:v>00:10</x:v>
      </x:c>
      <x:c r="C85" s="3" t="n">
        <x:v>1</x:v>
      </x:c>
      <x:c r="D85" s="3" t="n">
        <x:v>24</x:v>
      </x:c>
      <x:c r="E85" s="3" t="n">
        <x:v>4</x:v>
      </x:c>
      <x:c r="F85" s="3" t="n">
        <x:v>10</x:v>
      </x:c>
      <x:c r="G85" s="9" t="n">
        <x:v>0.18</x:v>
      </x:c>
      <x:c r="H85" s="9" t="n">
        <x:v>0.875461</x:v>
      </x:c>
      <x:c r="I85" s="9" t="n">
        <x:f>'Physical_Arcs'!R25</x:f>
        <x:v>7.194444444444445</x:v>
      </x:c>
      <x:c r="J85" s="9" t="n">
        <x:f>I85*'Parameters'!$C$18</x:f>
        <x:v>1.438888888888889</x:v>
      </x:c>
      <x:c r="K85" s="9" t="n">
        <x:f>J85*'Parameters'!$C$19</x:f>
        <x:v>1.7986111111111114</x:v>
      </x:c>
      <x:c r="L85" s="9" t="n">
        <x:f>I85*(1-0.40)-J85</x:f>
        <x:v>2.8777777777777773</x:v>
      </x:c>
      <x:c r="M85" s="9" t="n">
        <x:f>'Physical_Arcs'!S25</x:f>
        <x:v>7.194444444444445</x:v>
      </x:c>
      <x:c r="N85" s="9" t="n">
        <x:f>M85*'Parameters'!$C$18</x:f>
        <x:v>1.438888888888889</x:v>
      </x:c>
      <x:c r="O85" s="9" t="n">
        <x:f>N85*'Parameters'!$C$19</x:f>
        <x:v>1.7986111111111114</x:v>
      </x:c>
      <x:c r="P85" s="9" t="n">
        <x:f>M85*(1-0.40)-N85</x:f>
        <x:v>2.8777777777777773</x:v>
      </x:c>
      <x:c r="Q85" s="9" t="n">
        <x:f>'Physical_Arcs'!T25</x:f>
        <x:v>3.611111111111111</x:v>
      </x:c>
      <x:c r="R85" s="9" t="n">
        <x:f>Q85*'Parameters'!$C$18</x:f>
        <x:v>0.7222222222222223</x:v>
      </x:c>
      <x:c r="S85" s="9" t="n">
        <x:f>R85*'Parameters'!$C$19</x:f>
        <x:v>0.9027777777777779</x:v>
      </x:c>
      <x:c r="T85" s="9" t="n">
        <x:f>Q85*(1-0.40)-R85</x:f>
        <x:v>1.4444444444444442</x:v>
      </x:c>
    </x:row>
    <x:row r="86" ht="21" customHeight="1">
      <x:c r="A86" s="3" t="n">
        <x:v>1</x:v>
      </x:c>
      <x:c r="B86" s="3" t="str">
        <x:v>00:10</x:v>
      </x:c>
      <x:c r="C86" s="3" t="n">
        <x:v>1</x:v>
      </x:c>
      <x:c r="D86" s="3" t="n">
        <x:v>25</x:v>
      </x:c>
      <x:c r="E86" s="3" t="n">
        <x:v>4</x:v>
      </x:c>
      <x:c r="F86" s="3" t="n">
        <x:v>8</x:v>
      </x:c>
      <x:c r="G86" s="9" t="n">
        <x:v>0.18</x:v>
      </x:c>
      <x:c r="H86" s="9" t="n">
        <x:v>0.993326</x:v>
      </x:c>
      <x:c r="I86" s="9" t="n">
        <x:f>'Physical_Arcs'!R26</x:f>
        <x:v>5.277777777777778</x:v>
      </x:c>
      <x:c r="J86" s="9" t="n">
        <x:f>I86*'Parameters'!$C$18</x:f>
        <x:v>1.0555555555555556</x:v>
      </x:c>
      <x:c r="K86" s="9" t="n">
        <x:f>J86*'Parameters'!$C$19</x:f>
        <x:v>1.3194444444444444</x:v>
      </x:c>
      <x:c r="L86" s="9" t="n">
        <x:f>I86*(1-0.40)-J86</x:f>
        <x:v>2.1111111111111107</x:v>
      </x:c>
      <x:c r="M86" s="9" t="n">
        <x:f>'Physical_Arcs'!S26</x:f>
        <x:v>5.277777777777778</x:v>
      </x:c>
      <x:c r="N86" s="9" t="n">
        <x:f>M86*'Parameters'!$C$18</x:f>
        <x:v>1.0555555555555556</x:v>
      </x:c>
      <x:c r="O86" s="9" t="n">
        <x:f>N86*'Parameters'!$C$19</x:f>
        <x:v>1.3194444444444444</x:v>
      </x:c>
      <x:c r="P86" s="9" t="n">
        <x:f>M86*(1-0.40)-N86</x:f>
        <x:v>2.1111111111111107</x:v>
      </x:c>
      <x:c r="Q86" s="9" t="n">
        <x:f>'Physical_Arcs'!T26</x:f>
        <x:v>2.638888888888889</x:v>
      </x:c>
      <x:c r="R86" s="9" t="n">
        <x:f>Q86*'Parameters'!$C$18</x:f>
        <x:v>0.5277777777777778</x:v>
      </x:c>
      <x:c r="S86" s="9" t="n">
        <x:f>R86*'Parameters'!$C$19</x:f>
        <x:v>0.6597222222222222</x:v>
      </x:c>
      <x:c r="T86" s="9" t="n">
        <x:f>Q86*(1-0.40)-R86</x:f>
        <x:v>1.0555555555555554</x:v>
      </x:c>
    </x:row>
    <x:row r="87" ht="21" customHeight="1">
      <x:c r="A87" s="3" t="n">
        <x:v>1</x:v>
      </x:c>
      <x:c r="B87" s="3" t="str">
        <x:v>00:10</x:v>
      </x:c>
      <x:c r="C87" s="3" t="n">
        <x:v>1</x:v>
      </x:c>
      <x:c r="D87" s="3" t="n">
        <x:v>26</x:v>
      </x:c>
      <x:c r="E87" s="3" t="n">
        <x:v>4</x:v>
      </x:c>
      <x:c r="F87" s="3" t="n">
        <x:v>7</x:v>
      </x:c>
      <x:c r="G87" s="9" t="n">
        <x:v>0.18</x:v>
      </x:c>
      <x:c r="H87" s="9" t="n">
        <x:v>1.099203</x:v>
      </x:c>
      <x:c r="I87" s="9" t="n">
        <x:f>'Physical_Arcs'!R27</x:f>
        <x:v>6.527777777777778</x:v>
      </x:c>
      <x:c r="J87" s="9" t="n">
        <x:f>I87*'Parameters'!$C$18</x:f>
        <x:v>1.3055555555555556</x:v>
      </x:c>
      <x:c r="K87" s="9" t="n">
        <x:f>J87*'Parameters'!$C$19</x:f>
        <x:v>1.6319444444444444</x:v>
      </x:c>
      <x:c r="L87" s="9" t="n">
        <x:f>I87*(1-0.40)-J87</x:f>
        <x:v>2.6111111111111107</x:v>
      </x:c>
      <x:c r="M87" s="9" t="n">
        <x:f>'Physical_Arcs'!S27</x:f>
        <x:v>6.527777777777778</x:v>
      </x:c>
      <x:c r="N87" s="9" t="n">
        <x:f>M87*'Parameters'!$C$18</x:f>
        <x:v>1.3055555555555556</x:v>
      </x:c>
      <x:c r="O87" s="9" t="n">
        <x:f>N87*'Parameters'!$C$19</x:f>
        <x:v>1.6319444444444444</x:v>
      </x:c>
      <x:c r="P87" s="9" t="n">
        <x:f>M87*(1-0.40)-N87</x:f>
        <x:v>2.6111111111111107</x:v>
      </x:c>
      <x:c r="Q87" s="9" t="n">
        <x:f>'Physical_Arcs'!T27</x:f>
        <x:v>3.2777777777777777</x:v>
      </x:c>
      <x:c r="R87" s="9" t="n">
        <x:f>Q87*'Parameters'!$C$18</x:f>
        <x:v>0.6555555555555556</x:v>
      </x:c>
      <x:c r="S87" s="9" t="n">
        <x:f>R87*'Parameters'!$C$19</x:f>
        <x:v>0.8194444444444444</x:v>
      </x:c>
      <x:c r="T87" s="9" t="n">
        <x:f>Q87*(1-0.40)-R87</x:f>
        <x:v>1.311111111111111</x:v>
      </x:c>
    </x:row>
    <x:row r="88" ht="21" customHeight="1">
      <x:c r="A88" s="3" t="n">
        <x:v>1</x:v>
      </x:c>
      <x:c r="B88" s="3" t="str">
        <x:v>00:10</x:v>
      </x:c>
      <x:c r="C88" s="3" t="n">
        <x:v>1</x:v>
      </x:c>
      <x:c r="D88" s="3" t="n">
        <x:v>27</x:v>
      </x:c>
      <x:c r="E88" s="3" t="n">
        <x:v>4</x:v>
      </x:c>
      <x:c r="F88" s="3" t="n">
        <x:v>2</x:v>
      </x:c>
      <x:c r="G88" s="9" t="n">
        <x:v>0.18</x:v>
      </x:c>
      <x:c r="H88" s="9" t="n">
        <x:v>0.861111</x:v>
      </x:c>
      <x:c r="I88" s="9" t="n">
        <x:f>'Physical_Arcs'!R28</x:f>
        <x:v>4.944444444444445</x:v>
      </x:c>
      <x:c r="J88" s="9" t="n">
        <x:f>I88*'Parameters'!$C$18</x:f>
        <x:v>0.9888888888888889</x:v>
      </x:c>
      <x:c r="K88" s="9" t="n">
        <x:f>J88*'Parameters'!$C$19</x:f>
        <x:v>1.2361111111111112</x:v>
      </x:c>
      <x:c r="L88" s="9" t="n">
        <x:f>I88*(1-0.40)-J88</x:f>
        <x:v>1.9777777777777779</x:v>
      </x:c>
      <x:c r="M88" s="9" t="n">
        <x:f>'Physical_Arcs'!S28</x:f>
        <x:v>4.944444444444445</x:v>
      </x:c>
      <x:c r="N88" s="9" t="n">
        <x:f>M88*'Parameters'!$C$18</x:f>
        <x:v>0.9888888888888889</x:v>
      </x:c>
      <x:c r="O88" s="9" t="n">
        <x:f>N88*'Parameters'!$C$19</x:f>
        <x:v>1.2361111111111112</x:v>
      </x:c>
      <x:c r="P88" s="9" t="n">
        <x:f>M88*(1-0.40)-N88</x:f>
        <x:v>1.9777777777777779</x:v>
      </x:c>
      <x:c r="Q88" s="9" t="n">
        <x:f>'Physical_Arcs'!T28</x:f>
        <x:v>2.4722222222222223</x:v>
      </x:c>
      <x:c r="R88" s="9" t="n">
        <x:f>Q88*'Parameters'!$C$18</x:f>
        <x:v>0.49444444444444446</x:v>
      </x:c>
      <x:c r="S88" s="9" t="n">
        <x:f>R88*'Parameters'!$C$19</x:f>
        <x:v>0.6180555555555556</x:v>
      </x:c>
      <x:c r="T88" s="9" t="n">
        <x:f>Q88*(1-0.40)-R88</x:f>
        <x:v>0.9888888888888889</x:v>
      </x:c>
    </x:row>
    <x:row r="89" ht="21" customHeight="1">
      <x:c r="A89" s="3" t="n">
        <x:v>1</x:v>
      </x:c>
      <x:c r="B89" s="3" t="str">
        <x:v>00:10</x:v>
      </x:c>
      <x:c r="C89" s="3" t="n">
        <x:v>1</x:v>
      </x:c>
      <x:c r="D89" s="3" t="n">
        <x:v>28</x:v>
      </x:c>
      <x:c r="E89" s="3" t="n">
        <x:v>4</x:v>
      </x:c>
      <x:c r="F89" s="3" t="n">
        <x:v>6</x:v>
      </x:c>
      <x:c r="G89" s="9" t="n">
        <x:v>0.18</x:v>
      </x:c>
      <x:c r="H89" s="9" t="n">
        <x:v>1.137214</x:v>
      </x:c>
      <x:c r="I89" s="9" t="n">
        <x:f>'Physical_Arcs'!R29</x:f>
        <x:v>3.388888888888889</x:v>
      </x:c>
      <x:c r="J89" s="9" t="n">
        <x:f>I89*'Parameters'!$C$18</x:f>
        <x:v>0.6777777777777778</x:v>
      </x:c>
      <x:c r="K89" s="9" t="n">
        <x:f>J89*'Parameters'!$C$19</x:f>
        <x:v>0.8472222222222223</x:v>
      </x:c>
      <x:c r="L89" s="9" t="n">
        <x:f>I89*(1-0.40)-J89</x:f>
        <x:v>1.3555555555555554</x:v>
      </x:c>
      <x:c r="M89" s="9" t="n">
        <x:f>'Physical_Arcs'!S29</x:f>
        <x:v>3.388888888888889</x:v>
      </x:c>
      <x:c r="N89" s="9" t="n">
        <x:f>M89*'Parameters'!$C$18</x:f>
        <x:v>0.6777777777777778</x:v>
      </x:c>
      <x:c r="O89" s="9" t="n">
        <x:f>N89*'Parameters'!$C$19</x:f>
        <x:v>0.8472222222222223</x:v>
      </x:c>
      <x:c r="P89" s="9" t="n">
        <x:f>M89*(1-0.40)-N89</x:f>
        <x:v>1.3555555555555554</x:v>
      </x:c>
      <x:c r="Q89" s="9" t="n">
        <x:f>'Physical_Arcs'!T29</x:f>
        <x:v>1.6944444444444444</x:v>
      </x:c>
      <x:c r="R89" s="9" t="n">
        <x:f>Q89*'Parameters'!$C$18</x:f>
        <x:v>0.3388888888888889</x:v>
      </x:c>
      <x:c r="S89" s="9" t="n">
        <x:f>R89*'Parameters'!$C$19</x:f>
        <x:v>0.42361111111111116</x:v>
      </x:c>
      <x:c r="T89" s="9" t="n">
        <x:f>Q89*(1-0.40)-R89</x:f>
        <x:v>0.6777777777777777</x:v>
      </x:c>
    </x:row>
    <x:row r="90" ht="21" customHeight="1">
      <x:c r="A90" s="3" t="n">
        <x:v>1</x:v>
      </x:c>
      <x:c r="B90" s="3" t="str">
        <x:v>00:10</x:v>
      </x:c>
      <x:c r="C90" s="3" t="n">
        <x:v>1</x:v>
      </x:c>
      <x:c r="D90" s="3" t="n">
        <x:v>29</x:v>
      </x:c>
      <x:c r="E90" s="3" t="n">
        <x:v>5</x:v>
      </x:c>
      <x:c r="F90" s="3" t="n">
        <x:v>6</x:v>
      </x:c>
      <x:c r="G90" s="9" t="n">
        <x:v>0.18</x:v>
      </x:c>
      <x:c r="H90" s="9" t="n">
        <x:v>0.949994</x:v>
      </x:c>
      <x:c r="I90" s="9" t="n">
        <x:f>'Physical_Arcs'!R30</x:f>
        <x:v>17.02777777777778</x:v>
      </x:c>
      <x:c r="J90" s="9" t="n">
        <x:f>I90*'Parameters'!$C$18</x:f>
        <x:v>3.405555555555556</x:v>
      </x:c>
      <x:c r="K90" s="9" t="n">
        <x:f>J90*'Parameters'!$C$19</x:f>
        <x:v>4.256944444444445</x:v>
      </x:c>
      <x:c r="L90" s="9" t="n">
        <x:f>I90*(1-0.40)-J90</x:f>
        <x:v>6.811111111111111</x:v>
      </x:c>
      <x:c r="M90" s="9" t="n">
        <x:f>'Physical_Arcs'!S30</x:f>
        <x:v>17.02777777777778</x:v>
      </x:c>
      <x:c r="N90" s="9" t="n">
        <x:f>M90*'Parameters'!$C$18</x:f>
        <x:v>3.405555555555556</x:v>
      </x:c>
      <x:c r="O90" s="9" t="n">
        <x:f>N90*'Parameters'!$C$19</x:f>
        <x:v>4.256944444444445</x:v>
      </x:c>
      <x:c r="P90" s="9" t="n">
        <x:f>M90*(1-0.40)-N90</x:f>
        <x:v>6.811111111111111</x:v>
      </x:c>
      <x:c r="Q90" s="9" t="n">
        <x:f>'Physical_Arcs'!T30</x:f>
        <x:v>17.02777777777778</x:v>
      </x:c>
      <x:c r="R90" s="9" t="n">
        <x:f>Q90*'Parameters'!$C$18</x:f>
        <x:v>3.405555555555556</x:v>
      </x:c>
      <x:c r="S90" s="9" t="n">
        <x:f>R90*'Parameters'!$C$19</x:f>
        <x:v>4.256944444444445</x:v>
      </x:c>
      <x:c r="T90" s="9" t="n">
        <x:f>Q90*(1-0.40)-R90</x:f>
        <x:v>6.811111111111111</x:v>
      </x:c>
    </x:row>
    <x:row r="91" ht="21" customHeight="1">
      <x:c r="A91" s="3" t="n">
        <x:v>1</x:v>
      </x:c>
      <x:c r="B91" s="3" t="str">
        <x:v>00:10</x:v>
      </x:c>
      <x:c r="C91" s="3" t="n">
        <x:v>1</x:v>
      </x:c>
      <x:c r="D91" s="3" t="n">
        <x:v>30</x:v>
      </x:c>
      <x:c r="E91" s="3" t="n">
        <x:v>5</x:v>
      </x:c>
      <x:c r="F91" s="3" t="n">
        <x:v>2</x:v>
      </x:c>
      <x:c r="G91" s="9" t="n">
        <x:v>0.18</x:v>
      </x:c>
      <x:c r="H91" s="9" t="n">
        <x:v>0.882396</x:v>
      </x:c>
      <x:c r="I91" s="9" t="n">
        <x:f>'Physical_Arcs'!R31</x:f>
        <x:v>2.9444444444444446</x:v>
      </x:c>
      <x:c r="J91" s="9" t="n">
        <x:f>I91*'Parameters'!$C$18</x:f>
        <x:v>0.5888888888888889</x:v>
      </x:c>
      <x:c r="K91" s="9" t="n">
        <x:f>J91*'Parameters'!$C$19</x:f>
        <x:v>0.7361111111111112</x:v>
      </x:c>
      <x:c r="L91" s="9" t="n">
        <x:f>I91*(1-0.40)-J91</x:f>
        <x:v>1.177777777777778</x:v>
      </x:c>
      <x:c r="M91" s="9" t="n">
        <x:f>'Physical_Arcs'!S31</x:f>
        <x:v>2.9444444444444446</x:v>
      </x:c>
      <x:c r="N91" s="9" t="n">
        <x:f>M91*'Parameters'!$C$18</x:f>
        <x:v>0.5888888888888889</x:v>
      </x:c>
      <x:c r="O91" s="9" t="n">
        <x:f>N91*'Parameters'!$C$19</x:f>
        <x:v>0.7361111111111112</x:v>
      </x:c>
      <x:c r="P91" s="9" t="n">
        <x:f>M91*(1-0.40)-N91</x:f>
        <x:v>1.177777777777778</x:v>
      </x:c>
      <x:c r="Q91" s="9" t="n">
        <x:f>'Physical_Arcs'!T31</x:f>
        <x:v>1.4722222222222223</x:v>
      </x:c>
      <x:c r="R91" s="9" t="n">
        <x:f>Q91*'Parameters'!$C$18</x:f>
        <x:v>0.29444444444444445</x:v>
      </x:c>
      <x:c r="S91" s="9" t="n">
        <x:f>R91*'Parameters'!$C$19</x:f>
        <x:v>0.3680555555555556</x:v>
      </x:c>
      <x:c r="T91" s="9" t="n">
        <x:f>Q91*(1-0.40)-R91</x:f>
        <x:v>0.588888888888889</x:v>
      </x:c>
    </x:row>
    <x:row r="92" ht="21" customHeight="1">
      <x:c r="A92" s="3" t="n">
        <x:v>1</x:v>
      </x:c>
      <x:c r="B92" s="3" t="str">
        <x:v>00:10</x:v>
      </x:c>
      <x:c r="C92" s="3" t="n">
        <x:v>1</x:v>
      </x:c>
      <x:c r="D92" s="3" t="n">
        <x:v>31</x:v>
      </x:c>
      <x:c r="E92" s="3" t="n">
        <x:v>5</x:v>
      </x:c>
      <x:c r="F92" s="3" t="n">
        <x:v>8</x:v>
      </x:c>
      <x:c r="G92" s="9" t="n">
        <x:v>0.18</x:v>
      </x:c>
      <x:c r="H92" s="9" t="n">
        <x:v>0.986718</x:v>
      </x:c>
      <x:c r="I92" s="9" t="n">
        <x:f>'Physical_Arcs'!R32</x:f>
        <x:v>9.333333333333334</x:v>
      </x:c>
      <x:c r="J92" s="9" t="n">
        <x:f>I92*'Parameters'!$C$18</x:f>
        <x:v>1.866666666666667</x:v>
      </x:c>
      <x:c r="K92" s="9" t="n">
        <x:f>J92*'Parameters'!$C$19</x:f>
        <x:v>2.3333333333333335</x:v>
      </x:c>
      <x:c r="L92" s="9" t="n">
        <x:f>I92*(1-0.40)-J92</x:f>
        <x:v>3.7333333333333334</x:v>
      </x:c>
      <x:c r="M92" s="9" t="n">
        <x:f>'Physical_Arcs'!S32</x:f>
        <x:v>9.333333333333334</x:v>
      </x:c>
      <x:c r="N92" s="9" t="n">
        <x:f>M92*'Parameters'!$C$18</x:f>
        <x:v>1.866666666666667</x:v>
      </x:c>
      <x:c r="O92" s="9" t="n">
        <x:f>N92*'Parameters'!$C$19</x:f>
        <x:v>2.3333333333333335</x:v>
      </x:c>
      <x:c r="P92" s="9" t="n">
        <x:f>M92*(1-0.40)-N92</x:f>
        <x:v>3.7333333333333334</x:v>
      </x:c>
      <x:c r="Q92" s="9" t="n">
        <x:f>'Physical_Arcs'!T32</x:f>
        <x:v>4.666666666666667</x:v>
      </x:c>
      <x:c r="R92" s="9" t="n">
        <x:f>Q92*'Parameters'!$C$18</x:f>
        <x:v>0.9333333333333335</x:v>
      </x:c>
      <x:c r="S92" s="9" t="n">
        <x:f>R92*'Parameters'!$C$19</x:f>
        <x:v>1.1666666666666667</x:v>
      </x:c>
      <x:c r="T92" s="9" t="n">
        <x:f>Q92*(1-0.40)-R92</x:f>
        <x:v>1.8666666666666667</x:v>
      </x:c>
    </x:row>
    <x:row r="93" ht="21" customHeight="1">
      <x:c r="A93" s="3" t="n">
        <x:v>1</x:v>
      </x:c>
      <x:c r="B93" s="3" t="str">
        <x:v>00:10</x:v>
      </x:c>
      <x:c r="C93" s="3" t="n">
        <x:v>1</x:v>
      </x:c>
      <x:c r="D93" s="3" t="n">
        <x:v>32</x:v>
      </x:c>
      <x:c r="E93" s="3" t="n">
        <x:v>5</x:v>
      </x:c>
      <x:c r="F93" s="3" t="n">
        <x:v>3</x:v>
      </x:c>
      <x:c r="G93" s="9" t="n">
        <x:v>0.18</x:v>
      </x:c>
      <x:c r="H93" s="9" t="n">
        <x:v>1.089544</x:v>
      </x:c>
      <x:c r="I93" s="9" t="n">
        <x:f>'Physical_Arcs'!R33</x:f>
        <x:v>11.13888888888889</x:v>
      </x:c>
      <x:c r="J93" s="9" t="n">
        <x:f>I93*'Parameters'!$C$18</x:f>
        <x:v>2.227777777777778</x:v>
      </x:c>
      <x:c r="K93" s="9" t="n">
        <x:f>J93*'Parameters'!$C$19</x:f>
        <x:v>2.7847222222222223</x:v>
      </x:c>
      <x:c r="L93" s="9" t="n">
        <x:f>I93*(1-0.40)-J93</x:f>
        <x:v>4.455555555555556</x:v>
      </x:c>
      <x:c r="M93" s="9" t="n">
        <x:f>'Physical_Arcs'!S33</x:f>
        <x:v>11.13888888888889</x:v>
      </x:c>
      <x:c r="N93" s="9" t="n">
        <x:f>M93*'Parameters'!$C$18</x:f>
        <x:v>2.227777777777778</x:v>
      </x:c>
      <x:c r="O93" s="9" t="n">
        <x:f>N93*'Parameters'!$C$19</x:f>
        <x:v>2.7847222222222223</x:v>
      </x:c>
      <x:c r="P93" s="9" t="n">
        <x:f>M93*(1-0.40)-N93</x:f>
        <x:v>4.455555555555556</x:v>
      </x:c>
      <x:c r="Q93" s="9" t="n">
        <x:f>'Physical_Arcs'!T33</x:f>
        <x:v>5.583333333333333</x:v>
      </x:c>
      <x:c r="R93" s="9" t="n">
        <x:f>Q93*'Parameters'!$C$18</x:f>
        <x:v>1.1166666666666667</x:v>
      </x:c>
      <x:c r="S93" s="9" t="n">
        <x:f>R93*'Parameters'!$C$19</x:f>
        <x:v>1.3958333333333335</x:v>
      </x:c>
      <x:c r="T93" s="9" t="n">
        <x:f>Q93*(1-0.40)-R93</x:f>
        <x:v>2.233333333333333</x:v>
      </x:c>
    </x:row>
    <x:row r="94" ht="21" customHeight="1">
      <x:c r="A94" s="3" t="n">
        <x:v>1</x:v>
      </x:c>
      <x:c r="B94" s="3" t="str">
        <x:v>00:10</x:v>
      </x:c>
      <x:c r="C94" s="3" t="n">
        <x:v>1</x:v>
      </x:c>
      <x:c r="D94" s="3" t="n">
        <x:v>33</x:v>
      </x:c>
      <x:c r="E94" s="3" t="n">
        <x:v>5</x:v>
      </x:c>
      <x:c r="F94" s="3" t="n">
        <x:v>10</x:v>
      </x:c>
      <x:c r="G94" s="9" t="n">
        <x:v>0.18</x:v>
      </x:c>
      <x:c r="H94" s="9" t="n">
        <x:v>1.103596</x:v>
      </x:c>
      <x:c r="I94" s="9" t="n">
        <x:f>'Physical_Arcs'!R34</x:f>
        <x:v>4.611111111111111</x:v>
      </x:c>
      <x:c r="J94" s="9" t="n">
        <x:f>I94*'Parameters'!$C$18</x:f>
        <x:v>0.9222222222222222</x:v>
      </x:c>
      <x:c r="K94" s="9" t="n">
        <x:f>J94*'Parameters'!$C$19</x:f>
        <x:v>1.1527777777777777</x:v>
      </x:c>
      <x:c r="L94" s="9" t="n">
        <x:f>I94*(1-0.40)-J94</x:f>
        <x:v>1.844444444444444</x:v>
      </x:c>
      <x:c r="M94" s="9" t="n">
        <x:f>'Physical_Arcs'!S34</x:f>
        <x:v>4.611111111111111</x:v>
      </x:c>
      <x:c r="N94" s="9" t="n">
        <x:f>M94*'Parameters'!$C$18</x:f>
        <x:v>0.9222222222222222</x:v>
      </x:c>
      <x:c r="O94" s="9" t="n">
        <x:f>N94*'Parameters'!$C$19</x:f>
        <x:v>1.1527777777777777</x:v>
      </x:c>
      <x:c r="P94" s="9" t="n">
        <x:f>M94*(1-0.40)-N94</x:f>
        <x:v>1.844444444444444</x:v>
      </x:c>
      <x:c r="Q94" s="9" t="n">
        <x:f>'Physical_Arcs'!T34</x:f>
        <x:v>2.3055555555555554</x:v>
      </x:c>
      <x:c r="R94" s="9" t="n">
        <x:f>Q94*'Parameters'!$C$18</x:f>
        <x:v>0.4611111111111111</x:v>
      </x:c>
      <x:c r="S94" s="9" t="n">
        <x:f>R94*'Parameters'!$C$19</x:f>
        <x:v>0.5763888888888888</x:v>
      </x:c>
      <x:c r="T94" s="9" t="n">
        <x:f>Q94*(1-0.40)-R94</x:f>
        <x:v>0.922222222222222</x:v>
      </x:c>
    </x:row>
    <x:row r="95" ht="21" customHeight="1">
      <x:c r="A95" s="3" t="n">
        <x:v>1</x:v>
      </x:c>
      <x:c r="B95" s="3" t="str">
        <x:v>00:10</x:v>
      </x:c>
      <x:c r="C95" s="3" t="n">
        <x:v>1</x:v>
      </x:c>
      <x:c r="D95" s="3" t="n">
        <x:v>34</x:v>
      </x:c>
      <x:c r="E95" s="3" t="n">
        <x:v>6</x:v>
      </x:c>
      <x:c r="F95" s="3" t="n">
        <x:v>7</x:v>
      </x:c>
      <x:c r="G95" s="9" t="n">
        <x:v>0.18</x:v>
      </x:c>
      <x:c r="H95" s="9" t="n">
        <x:v>0.973887</x:v>
      </x:c>
      <x:c r="I95" s="9" t="n">
        <x:f>'Physical_Arcs'!R35</x:f>
        <x:v>17.02777777777778</x:v>
      </x:c>
      <x:c r="J95" s="9" t="n">
        <x:f>I95*'Parameters'!$C$18</x:f>
        <x:v>3.405555555555556</x:v>
      </x:c>
      <x:c r="K95" s="9" t="n">
        <x:f>J95*'Parameters'!$C$19</x:f>
        <x:v>4.256944444444445</x:v>
      </x:c>
      <x:c r="L95" s="9" t="n">
        <x:f>I95*(1-0.40)-J95</x:f>
        <x:v>6.811111111111111</x:v>
      </x:c>
      <x:c r="M95" s="9" t="n">
        <x:f>'Physical_Arcs'!S35</x:f>
        <x:v>17.02777777777778</x:v>
      </x:c>
      <x:c r="N95" s="9" t="n">
        <x:f>M95*'Parameters'!$C$18</x:f>
        <x:v>3.405555555555556</x:v>
      </x:c>
      <x:c r="O95" s="9" t="n">
        <x:f>N95*'Parameters'!$C$19</x:f>
        <x:v>4.256944444444445</x:v>
      </x:c>
      <x:c r="P95" s="9" t="n">
        <x:f>M95*(1-0.40)-N95</x:f>
        <x:v>6.811111111111111</x:v>
      </x:c>
      <x:c r="Q95" s="9" t="n">
        <x:f>'Physical_Arcs'!T35</x:f>
        <x:v>17.02777777777778</x:v>
      </x:c>
      <x:c r="R95" s="9" t="n">
        <x:f>Q95*'Parameters'!$C$18</x:f>
        <x:v>3.405555555555556</x:v>
      </x:c>
      <x:c r="S95" s="9" t="n">
        <x:f>R95*'Parameters'!$C$19</x:f>
        <x:v>4.256944444444445</x:v>
      </x:c>
      <x:c r="T95" s="9" t="n">
        <x:f>Q95*(1-0.40)-R95</x:f>
        <x:v>6.811111111111111</x:v>
      </x:c>
    </x:row>
    <x:row r="96" ht="21" customHeight="1">
      <x:c r="A96" s="3" t="n">
        <x:v>1</x:v>
      </x:c>
      <x:c r="B96" s="3" t="str">
        <x:v>00:10</x:v>
      </x:c>
      <x:c r="C96" s="3" t="n">
        <x:v>1</x:v>
      </x:c>
      <x:c r="D96" s="3" t="n">
        <x:v>35</x:v>
      </x:c>
      <x:c r="E96" s="3" t="n">
        <x:v>6</x:v>
      </x:c>
      <x:c r="F96" s="3" t="n">
        <x:v>10</x:v>
      </x:c>
      <x:c r="G96" s="9" t="n">
        <x:v>0.18</x:v>
      </x:c>
      <x:c r="H96" s="9" t="n">
        <x:v>1.009062</x:v>
      </x:c>
      <x:c r="I96" s="9" t="n">
        <x:f>'Physical_Arcs'!R36</x:f>
        <x:v>4.055555555555555</x:v>
      </x:c>
      <x:c r="J96" s="9" t="n">
        <x:f>I96*'Parameters'!$C$18</x:f>
        <x:v>0.8111111111111111</x:v>
      </x:c>
      <x:c r="K96" s="9" t="n">
        <x:f>J96*'Parameters'!$C$19</x:f>
        <x:v>1.0138888888888888</x:v>
      </x:c>
      <x:c r="L96" s="9" t="n">
        <x:f>I96*(1-0.40)-J96</x:f>
        <x:v>1.622222222222222</x:v>
      </x:c>
      <x:c r="M96" s="9" t="n">
        <x:f>'Physical_Arcs'!S36</x:f>
        <x:v>4.055555555555555</x:v>
      </x:c>
      <x:c r="N96" s="9" t="n">
        <x:f>M96*'Parameters'!$C$18</x:f>
        <x:v>0.8111111111111111</x:v>
      </x:c>
      <x:c r="O96" s="9" t="n">
        <x:f>N96*'Parameters'!$C$19</x:f>
        <x:v>1.0138888888888888</x:v>
      </x:c>
      <x:c r="P96" s="9" t="n">
        <x:f>M96*(1-0.40)-N96</x:f>
        <x:v>1.622222222222222</x:v>
      </x:c>
      <x:c r="Q96" s="9" t="n">
        <x:f>'Physical_Arcs'!T36</x:f>
        <x:v>2.0277777777777777</x:v>
      </x:c>
      <x:c r="R96" s="9" t="n">
        <x:f>Q96*'Parameters'!$C$18</x:f>
        <x:v>0.40555555555555556</x:v>
      </x:c>
      <x:c r="S96" s="9" t="n">
        <x:f>R96*'Parameters'!$C$19</x:f>
        <x:v>0.5069444444444444</x:v>
      </x:c>
      <x:c r="T96" s="9" t="n">
        <x:f>Q96*(1-0.40)-R96</x:f>
        <x:v>0.811111111111111</x:v>
      </x:c>
    </x:row>
    <x:row r="97" ht="21" customHeight="1">
      <x:c r="A97" s="3" t="n">
        <x:v>1</x:v>
      </x:c>
      <x:c r="B97" s="3" t="str">
        <x:v>00:10</x:v>
      </x:c>
      <x:c r="C97" s="3" t="n">
        <x:v>1</x:v>
      </x:c>
      <x:c r="D97" s="3" t="n">
        <x:v>36</x:v>
      </x:c>
      <x:c r="E97" s="3" t="n">
        <x:v>6</x:v>
      </x:c>
      <x:c r="F97" s="3" t="n">
        <x:v>8</x:v>
      </x:c>
      <x:c r="G97" s="9" t="n">
        <x:v>0.18</x:v>
      </x:c>
      <x:c r="H97" s="9" t="n">
        <x:v>1.132129</x:v>
      </x:c>
      <x:c r="I97" s="9" t="n">
        <x:f>'Physical_Arcs'!R37</x:f>
        <x:v>6.972222222222222</x:v>
      </x:c>
      <x:c r="J97" s="9" t="n">
        <x:f>I97*'Parameters'!$C$18</x:f>
        <x:v>1.3944444444444446</x:v>
      </x:c>
      <x:c r="K97" s="9" t="n">
        <x:f>J97*'Parameters'!$C$19</x:f>
        <x:v>1.7430555555555558</x:v>
      </x:c>
      <x:c r="L97" s="9" t="n">
        <x:f>I97*(1-0.40)-J97</x:f>
        <x:v>2.7888888888888888</x:v>
      </x:c>
      <x:c r="M97" s="9" t="n">
        <x:f>'Physical_Arcs'!S37</x:f>
        <x:v>6.972222222222222</x:v>
      </x:c>
      <x:c r="N97" s="9" t="n">
        <x:f>M97*'Parameters'!$C$18</x:f>
        <x:v>1.3944444444444446</x:v>
      </x:c>
      <x:c r="O97" s="9" t="n">
        <x:f>N97*'Parameters'!$C$19</x:f>
        <x:v>1.7430555555555558</x:v>
      </x:c>
      <x:c r="P97" s="9" t="n">
        <x:f>M97*(1-0.40)-N97</x:f>
        <x:v>2.7888888888888888</x:v>
      </x:c>
      <x:c r="Q97" s="9" t="n">
        <x:f>'Physical_Arcs'!T37</x:f>
        <x:v>3.5</x:v>
      </x:c>
      <x:c r="R97" s="9" t="n">
        <x:f>Q97*'Parameters'!$C$18</x:f>
        <x:v>0.7000000000000001</x:v>
      </x:c>
      <x:c r="S97" s="9" t="n">
        <x:f>R97*'Parameters'!$C$19</x:f>
        <x:v>0.8750000000000001</x:v>
      </x:c>
      <x:c r="T97" s="9" t="n">
        <x:f>Q97*(1-0.40)-R97</x:f>
        <x:v>1.4</x:v>
      </x:c>
    </x:row>
    <x:row r="98" ht="21" customHeight="1">
      <x:c r="A98" s="3" t="n">
        <x:v>1</x:v>
      </x:c>
      <x:c r="B98" s="3" t="str">
        <x:v>00:10</x:v>
      </x:c>
      <x:c r="C98" s="3" t="n">
        <x:v>1</x:v>
      </x:c>
      <x:c r="D98" s="3" t="n">
        <x:v>37</x:v>
      </x:c>
      <x:c r="E98" s="3" t="n">
        <x:v>6</x:v>
      </x:c>
      <x:c r="F98" s="3" t="n">
        <x:v>1</x:v>
      </x:c>
      <x:c r="G98" s="9" t="n">
        <x:v>0.18</x:v>
      </x:c>
      <x:c r="H98" s="9" t="n">
        <x:v>1.020746</x:v>
      </x:c>
      <x:c r="I98" s="9" t="n">
        <x:f>'Physical_Arcs'!R38</x:f>
        <x:v>6.305555555555555</x:v>
      </x:c>
      <x:c r="J98" s="9" t="n">
        <x:f>I98*'Parameters'!$C$18</x:f>
        <x:v>1.261111111111111</x:v>
      </x:c>
      <x:c r="K98" s="9" t="n">
        <x:f>J98*'Parameters'!$C$19</x:f>
        <x:v>1.5763888888888888</x:v>
      </x:c>
      <x:c r="L98" s="9" t="n">
        <x:f>I98*(1-0.40)-J98</x:f>
        <x:v>2.522222222222222</x:v>
      </x:c>
      <x:c r="M98" s="9" t="n">
        <x:f>'Physical_Arcs'!S38</x:f>
        <x:v>6.305555555555555</x:v>
      </x:c>
      <x:c r="N98" s="9" t="n">
        <x:f>M98*'Parameters'!$C$18</x:f>
        <x:v>1.261111111111111</x:v>
      </x:c>
      <x:c r="O98" s="9" t="n">
        <x:f>N98*'Parameters'!$C$19</x:f>
        <x:v>1.5763888888888888</x:v>
      </x:c>
      <x:c r="P98" s="9" t="n">
        <x:f>M98*(1-0.40)-N98</x:f>
        <x:v>2.522222222222222</x:v>
      </x:c>
      <x:c r="Q98" s="9" t="n">
        <x:f>'Physical_Arcs'!T38</x:f>
        <x:v>3.1666666666666665</x:v>
      </x:c>
      <x:c r="R98" s="9" t="n">
        <x:f>Q98*'Parameters'!$C$18</x:f>
        <x:v>0.6333333333333333</x:v>
      </x:c>
      <x:c r="S98" s="9" t="n">
        <x:f>R98*'Parameters'!$C$19</x:f>
        <x:v>0.7916666666666666</x:v>
      </x:c>
      <x:c r="T98" s="9" t="n">
        <x:f>Q98*(1-0.40)-R98</x:f>
        <x:v>1.2666666666666666</x:v>
      </x:c>
    </x:row>
    <x:row r="99" ht="21" customHeight="1">
      <x:c r="A99" s="3" t="n">
        <x:v>1</x:v>
      </x:c>
      <x:c r="B99" s="3" t="str">
        <x:v>00:10</x:v>
      </x:c>
      <x:c r="C99" s="3" t="n">
        <x:v>1</x:v>
      </x:c>
      <x:c r="D99" s="3" t="n">
        <x:v>38</x:v>
      </x:c>
      <x:c r="E99" s="3" t="n">
        <x:v>6</x:v>
      </x:c>
      <x:c r="F99" s="3" t="n">
        <x:v>3</x:v>
      </x:c>
      <x:c r="G99" s="9" t="n">
        <x:v>0.18</x:v>
      </x:c>
      <x:c r="H99" s="9" t="n">
        <x:v>1.149081</x:v>
      </x:c>
      <x:c r="I99" s="9" t="n">
        <x:f>'Physical_Arcs'!R39</x:f>
        <x:v>1.9166666666666667</x:v>
      </x:c>
      <x:c r="J99" s="9" t="n">
        <x:f>I99*'Parameters'!$C$18</x:f>
        <x:v>0.38333333333333336</x:v>
      </x:c>
      <x:c r="K99" s="9" t="n">
        <x:f>J99*'Parameters'!$C$19</x:f>
        <x:v>0.4791666666666667</x:v>
      </x:c>
      <x:c r="L99" s="9" t="n">
        <x:f>I99*(1-0.40)-J99</x:f>
        <x:v>0.7666666666666666</x:v>
      </x:c>
      <x:c r="M99" s="9" t="n">
        <x:f>'Physical_Arcs'!S39</x:f>
        <x:v>1.9166666666666667</x:v>
      </x:c>
      <x:c r="N99" s="9" t="n">
        <x:f>M99*'Parameters'!$C$18</x:f>
        <x:v>0.38333333333333336</x:v>
      </x:c>
      <x:c r="O99" s="9" t="n">
        <x:f>N99*'Parameters'!$C$19</x:f>
        <x:v>0.4791666666666667</x:v>
      </x:c>
      <x:c r="P99" s="9" t="n">
        <x:f>M99*(1-0.40)-N99</x:f>
        <x:v>0.7666666666666666</x:v>
      </x:c>
      <x:c r="Q99" s="9" t="n">
        <x:f>'Physical_Arcs'!T39</x:f>
        <x:v>0.9722222222222222</x:v>
      </x:c>
      <x:c r="R99" s="9" t="n">
        <x:f>Q99*'Parameters'!$C$18</x:f>
        <x:v>0.19444444444444445</x:v>
      </x:c>
      <x:c r="S99" s="9" t="n">
        <x:f>R99*'Parameters'!$C$19</x:f>
        <x:v>0.24305555555555555</x:v>
      </x:c>
      <x:c r="T99" s="9" t="n">
        <x:f>Q99*(1-0.40)-R99</x:f>
        <x:v>0.38888888888888884</x:v>
      </x:c>
    </x:row>
    <x:row r="100" ht="21" customHeight="1">
      <x:c r="A100" s="3" t="n">
        <x:v>1</x:v>
      </x:c>
      <x:c r="B100" s="3" t="str">
        <x:v>00:10</x:v>
      </x:c>
      <x:c r="C100" s="3" t="n">
        <x:v>1</x:v>
      </x:c>
      <x:c r="D100" s="3" t="n">
        <x:v>39</x:v>
      </x:c>
      <x:c r="E100" s="3" t="n">
        <x:v>7</x:v>
      </x:c>
      <x:c r="F100" s="3" t="n">
        <x:v>8</x:v>
      </x:c>
      <x:c r="G100" s="9" t="n">
        <x:v>0.18</x:v>
      </x:c>
      <x:c r="H100" s="9" t="n">
        <x:v>1.003268</x:v>
      </x:c>
      <x:c r="I100" s="9" t="n">
        <x:f>'Physical_Arcs'!R40</x:f>
        <x:v>17.02777777777778</x:v>
      </x:c>
      <x:c r="J100" s="9" t="n">
        <x:f>I100*'Parameters'!$C$18</x:f>
        <x:v>3.405555555555556</x:v>
      </x:c>
      <x:c r="K100" s="9" t="n">
        <x:f>J100*'Parameters'!$C$19</x:f>
        <x:v>4.256944444444445</x:v>
      </x:c>
      <x:c r="L100" s="9" t="n">
        <x:f>I100*(1-0.40)-J100</x:f>
        <x:v>6.811111111111111</x:v>
      </x:c>
      <x:c r="M100" s="9" t="n">
        <x:f>'Physical_Arcs'!S40</x:f>
        <x:v>17.02777777777778</x:v>
      </x:c>
      <x:c r="N100" s="9" t="n">
        <x:f>M100*'Parameters'!$C$18</x:f>
        <x:v>3.405555555555556</x:v>
      </x:c>
      <x:c r="O100" s="9" t="n">
        <x:f>N100*'Parameters'!$C$19</x:f>
        <x:v>4.256944444444445</x:v>
      </x:c>
      <x:c r="P100" s="9" t="n">
        <x:f>M100*(1-0.40)-N100</x:f>
        <x:v>6.811111111111111</x:v>
      </x:c>
      <x:c r="Q100" s="9" t="n">
        <x:f>'Physical_Arcs'!T40</x:f>
        <x:v>17.02777777777778</x:v>
      </x:c>
      <x:c r="R100" s="9" t="n">
        <x:f>Q100*'Parameters'!$C$18</x:f>
        <x:v>3.405555555555556</x:v>
      </x:c>
      <x:c r="S100" s="9" t="n">
        <x:f>R100*'Parameters'!$C$19</x:f>
        <x:v>4.256944444444445</x:v>
      </x:c>
      <x:c r="T100" s="9" t="n">
        <x:f>Q100*(1-0.40)-R100</x:f>
        <x:v>6.811111111111111</x:v>
      </x:c>
    </x:row>
    <x:row r="101" ht="21" customHeight="1">
      <x:c r="A101" s="3" t="n">
        <x:v>1</x:v>
      </x:c>
      <x:c r="B101" s="3" t="str">
        <x:v>00:10</x:v>
      </x:c>
      <x:c r="C101" s="3" t="n">
        <x:v>1</x:v>
      </x:c>
      <x:c r="D101" s="3" t="n">
        <x:v>40</x:v>
      </x:c>
      <x:c r="E101" s="3" t="n">
        <x:v>7</x:v>
      </x:c>
      <x:c r="F101" s="3" t="n">
        <x:v>1</x:v>
      </x:c>
      <x:c r="G101" s="9" t="n">
        <x:v>0.18</x:v>
      </x:c>
      <x:c r="H101" s="9" t="n">
        <x:v>1.057592</x:v>
      </x:c>
      <x:c r="I101" s="9" t="n">
        <x:f>'Physical_Arcs'!R41</x:f>
        <x:v>7.972222222222222</x:v>
      </x:c>
      <x:c r="J101" s="9" t="n">
        <x:f>I101*'Parameters'!$C$18</x:f>
        <x:v>1.5944444444444446</x:v>
      </x:c>
      <x:c r="K101" s="9" t="n">
        <x:f>J101*'Parameters'!$C$19</x:f>
        <x:v>1.9930555555555558</x:v>
      </x:c>
      <x:c r="L101" s="9" t="n">
        <x:f>I101*(1-0.40)-J101</x:f>
        <x:v>3.1888888888888887</x:v>
      </x:c>
      <x:c r="M101" s="9" t="n">
        <x:f>'Physical_Arcs'!S41</x:f>
        <x:v>7.972222222222222</x:v>
      </x:c>
      <x:c r="N101" s="9" t="n">
        <x:f>M101*'Parameters'!$C$18</x:f>
        <x:v>1.5944444444444446</x:v>
      </x:c>
      <x:c r="O101" s="9" t="n">
        <x:f>N101*'Parameters'!$C$19</x:f>
        <x:v>1.9930555555555558</x:v>
      </x:c>
      <x:c r="P101" s="9" t="n">
        <x:f>M101*(1-0.40)-N101</x:f>
        <x:v>3.1888888888888887</x:v>
      </x:c>
      <x:c r="Q101" s="9" t="n">
        <x:f>'Physical_Arcs'!T41</x:f>
        <x:v>4</x:v>
      </x:c>
      <x:c r="R101" s="9" t="n">
        <x:f>Q101*'Parameters'!$C$18</x:f>
        <x:v>0.8</x:v>
      </x:c>
      <x:c r="S101" s="9" t="n">
        <x:f>R101*'Parameters'!$C$19</x:f>
        <x:v>1</x:v>
      </x:c>
      <x:c r="T101" s="9" t="n">
        <x:f>Q101*(1-0.40)-R101</x:f>
        <x:v>1.5999999999999999</x:v>
      </x:c>
    </x:row>
    <x:row r="102" ht="21" customHeight="1">
      <x:c r="A102" s="3" t="n">
        <x:v>1</x:v>
      </x:c>
      <x:c r="B102" s="3" t="str">
        <x:v>00:10</x:v>
      </x:c>
      <x:c r="C102" s="3" t="n">
        <x:v>1</x:v>
      </x:c>
      <x:c r="D102" s="3" t="n">
        <x:v>41</x:v>
      </x:c>
      <x:c r="E102" s="3" t="n">
        <x:v>7</x:v>
      </x:c>
      <x:c r="F102" s="3" t="n">
        <x:v>9</x:v>
      </x:c>
      <x:c r="G102" s="9" t="n">
        <x:v>0.18</x:v>
      </x:c>
      <x:c r="H102" s="9" t="n">
        <x:v>1.14801</x:v>
      </x:c>
      <x:c r="I102" s="9" t="n">
        <x:f>'Physical_Arcs'!R42</x:f>
        <x:v>8.88888888888889</x:v>
      </x:c>
      <x:c r="J102" s="9" t="n">
        <x:f>I102*'Parameters'!$C$18</x:f>
        <x:v>1.777777777777778</x:v>
      </x:c>
      <x:c r="K102" s="9" t="n">
        <x:f>J102*'Parameters'!$C$19</x:f>
        <x:v>2.2222222222222223</x:v>
      </x:c>
      <x:c r="L102" s="9" t="n">
        <x:f>I102*(1-0.40)-J102</x:f>
        <x:v>3.5555555555555554</x:v>
      </x:c>
      <x:c r="M102" s="9" t="n">
        <x:f>'Physical_Arcs'!S42</x:f>
        <x:v>8.88888888888889</x:v>
      </x:c>
      <x:c r="N102" s="9" t="n">
        <x:f>M102*'Parameters'!$C$18</x:f>
        <x:v>1.777777777777778</x:v>
      </x:c>
      <x:c r="O102" s="9" t="n">
        <x:f>N102*'Parameters'!$C$19</x:f>
        <x:v>2.2222222222222223</x:v>
      </x:c>
      <x:c r="P102" s="9" t="n">
        <x:f>M102*(1-0.40)-N102</x:f>
        <x:v>3.5555555555555554</x:v>
      </x:c>
      <x:c r="Q102" s="9" t="n">
        <x:f>'Physical_Arcs'!T42</x:f>
        <x:v>4.444444444444445</x:v>
      </x:c>
      <x:c r="R102" s="9" t="n">
        <x:f>Q102*'Parameters'!$C$18</x:f>
        <x:v>0.888888888888889</x:v>
      </x:c>
      <x:c r="S102" s="9" t="n">
        <x:f>R102*'Parameters'!$C$19</x:f>
        <x:v>1.1111111111111112</x:v>
      </x:c>
      <x:c r="T102" s="9" t="n">
        <x:f>Q102*(1-0.40)-R102</x:f>
        <x:v>1.7777777777777777</x:v>
      </x:c>
    </x:row>
    <x:row r="103" ht="21" customHeight="1">
      <x:c r="A103" s="3" t="n">
        <x:v>1</x:v>
      </x:c>
      <x:c r="B103" s="3" t="str">
        <x:v>00:10</x:v>
      </x:c>
      <x:c r="C103" s="3" t="n">
        <x:v>1</x:v>
      </x:c>
      <x:c r="D103" s="3" t="n">
        <x:v>42</x:v>
      </x:c>
      <x:c r="E103" s="3" t="n">
        <x:v>7</x:v>
      </x:c>
      <x:c r="F103" s="3" t="n">
        <x:v>2</x:v>
      </x:c>
      <x:c r="G103" s="9" t="n">
        <x:v>0.18</x:v>
      </x:c>
      <x:c r="H103" s="9" t="n">
        <x:v>0.989237</x:v>
      </x:c>
      <x:c r="I103" s="9" t="n">
        <x:f>'Physical_Arcs'!R43</x:f>
        <x:v>9</x:v>
      </x:c>
      <x:c r="J103" s="9" t="n">
        <x:f>I103*'Parameters'!$C$18</x:f>
        <x:v>1.8</x:v>
      </x:c>
      <x:c r="K103" s="9" t="n">
        <x:f>J103*'Parameters'!$C$19</x:f>
        <x:v>2.25</x:v>
      </x:c>
      <x:c r="L103" s="9" t="n">
        <x:f>I103*(1-0.40)-J103</x:f>
        <x:v>3.5999999999999996</x:v>
      </x:c>
      <x:c r="M103" s="9" t="n">
        <x:f>'Physical_Arcs'!S43</x:f>
        <x:v>9</x:v>
      </x:c>
      <x:c r="N103" s="9" t="n">
        <x:f>M103*'Parameters'!$C$18</x:f>
        <x:v>1.8</x:v>
      </x:c>
      <x:c r="O103" s="9" t="n">
        <x:f>N103*'Parameters'!$C$19</x:f>
        <x:v>2.25</x:v>
      </x:c>
      <x:c r="P103" s="9" t="n">
        <x:f>M103*(1-0.40)-N103</x:f>
        <x:v>3.5999999999999996</x:v>
      </x:c>
      <x:c r="Q103" s="9" t="n">
        <x:f>'Physical_Arcs'!T43</x:f>
        <x:v>4.5</x:v>
      </x:c>
      <x:c r="R103" s="9" t="n">
        <x:f>Q103*'Parameters'!$C$18</x:f>
        <x:v>0.9</x:v>
      </x:c>
      <x:c r="S103" s="9" t="n">
        <x:f>R103*'Parameters'!$C$19</x:f>
        <x:v>1.125</x:v>
      </x:c>
      <x:c r="T103" s="9" t="n">
        <x:f>Q103*(1-0.40)-R103</x:f>
        <x:v>1.7999999999999998</x:v>
      </x:c>
    </x:row>
    <x:row r="104" ht="21" customHeight="1">
      <x:c r="A104" s="3" t="n">
        <x:v>1</x:v>
      </x:c>
      <x:c r="B104" s="3" t="str">
        <x:v>00:10</x:v>
      </x:c>
      <x:c r="C104" s="3" t="n">
        <x:v>1</x:v>
      </x:c>
      <x:c r="D104" s="3" t="n">
        <x:v>43</x:v>
      </x:c>
      <x:c r="E104" s="3" t="n">
        <x:v>7</x:v>
      </x:c>
      <x:c r="F104" s="3" t="n">
        <x:v>3</x:v>
      </x:c>
      <x:c r="G104" s="9" t="n">
        <x:v>0.18</x:v>
      </x:c>
      <x:c r="H104" s="9" t="n">
        <x:v>1.050432</x:v>
      </x:c>
      <x:c r="I104" s="9" t="n">
        <x:f>'Physical_Arcs'!R44</x:f>
        <x:v>7.638888888888889</x:v>
      </x:c>
      <x:c r="J104" s="9" t="n">
        <x:f>I104*'Parameters'!$C$18</x:f>
        <x:v>1.527777777777778</x:v>
      </x:c>
      <x:c r="K104" s="9" t="n">
        <x:f>J104*'Parameters'!$C$19</x:f>
        <x:v>1.9097222222222223</x:v>
      </x:c>
      <x:c r="L104" s="9" t="n">
        <x:f>I104*(1-0.40)-J104</x:f>
        <x:v>3.0555555555555554</x:v>
      </x:c>
      <x:c r="M104" s="9" t="n">
        <x:f>'Physical_Arcs'!S44</x:f>
        <x:v>7.638888888888889</x:v>
      </x:c>
      <x:c r="N104" s="9" t="n">
        <x:f>M104*'Parameters'!$C$18</x:f>
        <x:v>1.527777777777778</x:v>
      </x:c>
      <x:c r="O104" s="9" t="n">
        <x:f>N104*'Parameters'!$C$19</x:f>
        <x:v>1.9097222222222223</x:v>
      </x:c>
      <x:c r="P104" s="9" t="n">
        <x:f>M104*(1-0.40)-N104</x:f>
        <x:v>3.0555555555555554</x:v>
      </x:c>
      <x:c r="Q104" s="9" t="n">
        <x:f>'Physical_Arcs'!T44</x:f>
        <x:v>3.8333333333333335</x:v>
      </x:c>
      <x:c r="R104" s="9" t="n">
        <x:f>Q104*'Parameters'!$C$18</x:f>
        <x:v>0.7666666666666667</x:v>
      </x:c>
      <x:c r="S104" s="9" t="n">
        <x:f>R104*'Parameters'!$C$19</x:f>
        <x:v>0.9583333333333334</x:v>
      </x:c>
      <x:c r="T104" s="9" t="n">
        <x:f>Q104*(1-0.40)-R104</x:f>
        <x:v>1.5333333333333332</x:v>
      </x:c>
    </x:row>
    <x:row r="105" ht="21" customHeight="1">
      <x:c r="A105" s="3" t="n">
        <x:v>1</x:v>
      </x:c>
      <x:c r="B105" s="3" t="str">
        <x:v>00:10</x:v>
      </x:c>
      <x:c r="C105" s="3" t="n">
        <x:v>1</x:v>
      </x:c>
      <x:c r="D105" s="3" t="n">
        <x:v>44</x:v>
      </x:c>
      <x:c r="E105" s="3" t="n">
        <x:v>8</x:v>
      </x:c>
      <x:c r="F105" s="3" t="n">
        <x:v>9</x:v>
      </x:c>
      <x:c r="G105" s="9" t="n">
        <x:v>0.18</x:v>
      </x:c>
      <x:c r="H105" s="9" t="n">
        <x:v>0.868101</x:v>
      </x:c>
      <x:c r="I105" s="9" t="n">
        <x:f>'Physical_Arcs'!R45</x:f>
        <x:v>17.02777777777778</x:v>
      </x:c>
      <x:c r="J105" s="9" t="n">
        <x:f>I105*'Parameters'!$C$18</x:f>
        <x:v>3.405555555555556</x:v>
      </x:c>
      <x:c r="K105" s="9" t="n">
        <x:f>J105*'Parameters'!$C$19</x:f>
        <x:v>4.256944444444445</x:v>
      </x:c>
      <x:c r="L105" s="9" t="n">
        <x:f>I105*(1-0.40)-J105</x:f>
        <x:v>6.811111111111111</x:v>
      </x:c>
      <x:c r="M105" s="9" t="n">
        <x:f>'Physical_Arcs'!S45</x:f>
        <x:v>17.02777777777778</x:v>
      </x:c>
      <x:c r="N105" s="9" t="n">
        <x:f>M105*'Parameters'!$C$18</x:f>
        <x:v>3.405555555555556</x:v>
      </x:c>
      <x:c r="O105" s="9" t="n">
        <x:f>N105*'Parameters'!$C$19</x:f>
        <x:v>4.256944444444445</x:v>
      </x:c>
      <x:c r="P105" s="9" t="n">
        <x:f>M105*(1-0.40)-N105</x:f>
        <x:v>6.811111111111111</x:v>
      </x:c>
      <x:c r="Q105" s="9" t="n">
        <x:f>'Physical_Arcs'!T45</x:f>
        <x:v>17.02777777777778</x:v>
      </x:c>
      <x:c r="R105" s="9" t="n">
        <x:f>Q105*'Parameters'!$C$18</x:f>
        <x:v>3.405555555555556</x:v>
      </x:c>
      <x:c r="S105" s="9" t="n">
        <x:f>R105*'Parameters'!$C$19</x:f>
        <x:v>4.256944444444445</x:v>
      </x:c>
      <x:c r="T105" s="9" t="n">
        <x:f>Q105*(1-0.40)-R105</x:f>
        <x:v>6.811111111111111</x:v>
      </x:c>
    </x:row>
    <x:row r="106" ht="21" customHeight="1">
      <x:c r="A106" s="3" t="n">
        <x:v>1</x:v>
      </x:c>
      <x:c r="B106" s="3" t="str">
        <x:v>00:10</x:v>
      </x:c>
      <x:c r="C106" s="3" t="n">
        <x:v>1</x:v>
      </x:c>
      <x:c r="D106" s="3" t="n">
        <x:v>45</x:v>
      </x:c>
      <x:c r="E106" s="3" t="n">
        <x:v>8</x:v>
      </x:c>
      <x:c r="F106" s="3" t="n">
        <x:v>3</x:v>
      </x:c>
      <x:c r="G106" s="9" t="n">
        <x:v>0.18</x:v>
      </x:c>
      <x:c r="H106" s="9" t="n">
        <x:v>0.944958</x:v>
      </x:c>
      <x:c r="I106" s="9" t="n">
        <x:f>'Physical_Arcs'!R46</x:f>
        <x:v>5.388888888888889</x:v>
      </x:c>
      <x:c r="J106" s="9" t="n">
        <x:f>I106*'Parameters'!$C$18</x:f>
        <x:v>1.077777777777778</x:v>
      </x:c>
      <x:c r="K106" s="9" t="n">
        <x:f>J106*'Parameters'!$C$19</x:f>
        <x:v>1.3472222222222223</x:v>
      </x:c>
      <x:c r="L106" s="9" t="n">
        <x:f>I106*(1-0.40)-J106</x:f>
        <x:v>2.1555555555555554</x:v>
      </x:c>
      <x:c r="M106" s="9" t="n">
        <x:f>'Physical_Arcs'!S46</x:f>
        <x:v>5.388888888888889</x:v>
      </x:c>
      <x:c r="N106" s="9" t="n">
        <x:f>M106*'Parameters'!$C$18</x:f>
        <x:v>1.077777777777778</x:v>
      </x:c>
      <x:c r="O106" s="9" t="n">
        <x:f>N106*'Parameters'!$C$19</x:f>
        <x:v>1.3472222222222223</x:v>
      </x:c>
      <x:c r="P106" s="9" t="n">
        <x:f>M106*(1-0.40)-N106</x:f>
        <x:v>2.1555555555555554</x:v>
      </x:c>
      <x:c r="Q106" s="9" t="n">
        <x:f>'Physical_Arcs'!T46</x:f>
        <x:v>2.6944444444444446</x:v>
      </x:c>
      <x:c r="R106" s="9" t="n">
        <x:f>Q106*'Parameters'!$C$18</x:f>
        <x:v>0.538888888888889</x:v>
      </x:c>
      <x:c r="S106" s="9" t="n">
        <x:f>R106*'Parameters'!$C$19</x:f>
        <x:v>0.6736111111111112</x:v>
      </x:c>
      <x:c r="T106" s="9" t="n">
        <x:f>Q106*(1-0.40)-R106</x:f>
        <x:v>1.0777777777777777</x:v>
      </x:c>
    </x:row>
    <x:row r="107" ht="21" customHeight="1">
      <x:c r="A107" s="3" t="n">
        <x:v>1</x:v>
      </x:c>
      <x:c r="B107" s="3" t="str">
        <x:v>00:10</x:v>
      </x:c>
      <x:c r="C107" s="3" t="n">
        <x:v>1</x:v>
      </x:c>
      <x:c r="D107" s="3" t="n">
        <x:v>46</x:v>
      </x:c>
      <x:c r="E107" s="3" t="n">
        <x:v>8</x:v>
      </x:c>
      <x:c r="F107" s="3" t="n">
        <x:v>7</x:v>
      </x:c>
      <x:c r="G107" s="9" t="n">
        <x:v>0.18</x:v>
      </x:c>
      <x:c r="H107" s="9" t="n">
        <x:v>0.866232</x:v>
      </x:c>
      <x:c r="I107" s="9" t="n">
        <x:f>'Physical_Arcs'!R47</x:f>
        <x:v>5.388888888888889</x:v>
      </x:c>
      <x:c r="J107" s="9" t="n">
        <x:f>I107*'Parameters'!$C$18</x:f>
        <x:v>1.077777777777778</x:v>
      </x:c>
      <x:c r="K107" s="9" t="n">
        <x:f>J107*'Parameters'!$C$19</x:f>
        <x:v>1.3472222222222223</x:v>
      </x:c>
      <x:c r="L107" s="9" t="n">
        <x:f>I107*(1-0.40)-J107</x:f>
        <x:v>2.1555555555555554</x:v>
      </x:c>
      <x:c r="M107" s="9" t="n">
        <x:f>'Physical_Arcs'!S47</x:f>
        <x:v>5.388888888888889</x:v>
      </x:c>
      <x:c r="N107" s="9" t="n">
        <x:f>M107*'Parameters'!$C$18</x:f>
        <x:v>1.077777777777778</x:v>
      </x:c>
      <x:c r="O107" s="9" t="n">
        <x:f>N107*'Parameters'!$C$19</x:f>
        <x:v>1.3472222222222223</x:v>
      </x:c>
      <x:c r="P107" s="9" t="n">
        <x:f>M107*(1-0.40)-N107</x:f>
        <x:v>2.1555555555555554</x:v>
      </x:c>
      <x:c r="Q107" s="9" t="n">
        <x:f>'Physical_Arcs'!T47</x:f>
        <x:v>2.6944444444444446</x:v>
      </x:c>
      <x:c r="R107" s="9" t="n">
        <x:f>Q107*'Parameters'!$C$18</x:f>
        <x:v>0.538888888888889</x:v>
      </x:c>
      <x:c r="S107" s="9" t="n">
        <x:f>R107*'Parameters'!$C$19</x:f>
        <x:v>0.6736111111111112</x:v>
      </x:c>
      <x:c r="T107" s="9" t="n">
        <x:f>Q107*(1-0.40)-R107</x:f>
        <x:v>1.0777777777777777</x:v>
      </x:c>
    </x:row>
    <x:row r="108" ht="21" customHeight="1">
      <x:c r="A108" s="3" t="n">
        <x:v>1</x:v>
      </x:c>
      <x:c r="B108" s="3" t="str">
        <x:v>00:10</x:v>
      </x:c>
      <x:c r="C108" s="3" t="n">
        <x:v>1</x:v>
      </x:c>
      <x:c r="D108" s="3" t="n">
        <x:v>47</x:v>
      </x:c>
      <x:c r="E108" s="3" t="n">
        <x:v>8</x:v>
      </x:c>
      <x:c r="F108" s="3" t="n">
        <x:v>2</x:v>
      </x:c>
      <x:c r="G108" s="9" t="n">
        <x:v>0.18</x:v>
      </x:c>
      <x:c r="H108" s="9" t="n">
        <x:v>1.135644</x:v>
      </x:c>
      <x:c r="I108" s="9" t="n">
        <x:f>'Physical_Arcs'!R48</x:f>
        <x:v>8.083333333333334</x:v>
      </x:c>
      <x:c r="J108" s="9" t="n">
        <x:f>I108*'Parameters'!$C$18</x:f>
        <x:v>1.616666666666667</x:v>
      </x:c>
      <x:c r="K108" s="9" t="n">
        <x:f>J108*'Parameters'!$C$19</x:f>
        <x:v>2.0208333333333335</x:v>
      </x:c>
      <x:c r="L108" s="9" t="n">
        <x:f>I108*(1-0.40)-J108</x:f>
        <x:v>3.2333333333333334</x:v>
      </x:c>
      <x:c r="M108" s="9" t="n">
        <x:f>'Physical_Arcs'!S48</x:f>
        <x:v>8.083333333333334</x:v>
      </x:c>
      <x:c r="N108" s="9" t="n">
        <x:f>M108*'Parameters'!$C$18</x:f>
        <x:v>1.616666666666667</x:v>
      </x:c>
      <x:c r="O108" s="9" t="n">
        <x:f>N108*'Parameters'!$C$19</x:f>
        <x:v>2.0208333333333335</x:v>
      </x:c>
      <x:c r="P108" s="9" t="n">
        <x:f>M108*(1-0.40)-N108</x:f>
        <x:v>3.2333333333333334</x:v>
      </x:c>
      <x:c r="Q108" s="9" t="n">
        <x:f>'Physical_Arcs'!T48</x:f>
        <x:v>4.055555555555555</x:v>
      </x:c>
      <x:c r="R108" s="9" t="n">
        <x:f>Q108*'Parameters'!$C$18</x:f>
        <x:v>0.8111111111111111</x:v>
      </x:c>
      <x:c r="S108" s="9" t="n">
        <x:f>R108*'Parameters'!$C$19</x:f>
        <x:v>1.0138888888888888</x:v>
      </x:c>
      <x:c r="T108" s="9" t="n">
        <x:f>Q108*(1-0.40)-R108</x:f>
        <x:v>1.622222222222222</x:v>
      </x:c>
    </x:row>
    <x:row r="109" ht="21" customHeight="1">
      <x:c r="A109" s="3" t="n">
        <x:v>1</x:v>
      </x:c>
      <x:c r="B109" s="3" t="str">
        <x:v>00:10</x:v>
      </x:c>
      <x:c r="C109" s="3" t="n">
        <x:v>1</x:v>
      </x:c>
      <x:c r="D109" s="3" t="n">
        <x:v>48</x:v>
      </x:c>
      <x:c r="E109" s="3" t="n">
        <x:v>8</x:v>
      </x:c>
      <x:c r="F109" s="3" t="n">
        <x:v>6</x:v>
      </x:c>
      <x:c r="G109" s="9" t="n">
        <x:v>0.18</x:v>
      </x:c>
      <x:c r="H109" s="9" t="n">
        <x:v>0.850778</x:v>
      </x:c>
      <x:c r="I109" s="9" t="n">
        <x:f>'Physical_Arcs'!R49</x:f>
        <x:v>10.555555555555555</x:v>
      </x:c>
      <x:c r="J109" s="9" t="n">
        <x:f>I109*'Parameters'!$C$18</x:f>
        <x:v>2.111111111111111</x:v>
      </x:c>
      <x:c r="K109" s="9" t="n">
        <x:f>J109*'Parameters'!$C$19</x:f>
        <x:v>2.638888888888889</x:v>
      </x:c>
      <x:c r="L109" s="9" t="n">
        <x:f>I109*(1-0.40)-J109</x:f>
        <x:v>4.222222222222221</x:v>
      </x:c>
      <x:c r="M109" s="9" t="n">
        <x:f>'Physical_Arcs'!S49</x:f>
        <x:v>10.555555555555555</x:v>
      </x:c>
      <x:c r="N109" s="9" t="n">
        <x:f>M109*'Parameters'!$C$18</x:f>
        <x:v>2.111111111111111</x:v>
      </x:c>
      <x:c r="O109" s="9" t="n">
        <x:f>N109*'Parameters'!$C$19</x:f>
        <x:v>2.638888888888889</x:v>
      </x:c>
      <x:c r="P109" s="9" t="n">
        <x:f>M109*(1-0.40)-N109</x:f>
        <x:v>4.222222222222221</x:v>
      </x:c>
      <x:c r="Q109" s="9" t="n">
        <x:f>'Physical_Arcs'!T49</x:f>
        <x:v>5.277777777777778</x:v>
      </x:c>
      <x:c r="R109" s="9" t="n">
        <x:f>Q109*'Parameters'!$C$18</x:f>
        <x:v>1.0555555555555556</x:v>
      </x:c>
      <x:c r="S109" s="9" t="n">
        <x:f>R109*'Parameters'!$C$19</x:f>
        <x:v>1.3194444444444444</x:v>
      </x:c>
      <x:c r="T109" s="9" t="n">
        <x:f>Q109*(1-0.40)-R109</x:f>
        <x:v>2.1111111111111107</x:v>
      </x:c>
    </x:row>
    <x:row r="110" ht="21" customHeight="1">
      <x:c r="A110" s="3" t="n">
        <x:v>1</x:v>
      </x:c>
      <x:c r="B110" s="3" t="str">
        <x:v>00:10</x:v>
      </x:c>
      <x:c r="C110" s="3" t="n">
        <x:v>1</x:v>
      </x:c>
      <x:c r="D110" s="3" t="n">
        <x:v>49</x:v>
      </x:c>
      <x:c r="E110" s="3" t="n">
        <x:v>8</x:v>
      </x:c>
      <x:c r="F110" s="3" t="n">
        <x:v>4</x:v>
      </x:c>
      <x:c r="G110" s="9" t="n">
        <x:v>0.18</x:v>
      </x:c>
      <x:c r="H110" s="9" t="n">
        <x:v>0.904949</x:v>
      </x:c>
      <x:c r="I110" s="9" t="n">
        <x:f>'Physical_Arcs'!R50</x:f>
        <x:v>1.5833333333333333</x:v>
      </x:c>
      <x:c r="J110" s="9" t="n">
        <x:f>I110*'Parameters'!$C$18</x:f>
        <x:v>0.31666666666666665</x:v>
      </x:c>
      <x:c r="K110" s="9" t="n">
        <x:f>J110*'Parameters'!$C$19</x:f>
        <x:v>0.3958333333333333</x:v>
      </x:c>
      <x:c r="L110" s="9" t="n">
        <x:f>I110*(1-0.40)-J110</x:f>
        <x:v>0.6333333333333333</x:v>
      </x:c>
      <x:c r="M110" s="9" t="n">
        <x:f>'Physical_Arcs'!S50</x:f>
        <x:v>1.5833333333333333</x:v>
      </x:c>
      <x:c r="N110" s="9" t="n">
        <x:f>M110*'Parameters'!$C$18</x:f>
        <x:v>0.31666666666666665</x:v>
      </x:c>
      <x:c r="O110" s="9" t="n">
        <x:f>N110*'Parameters'!$C$19</x:f>
        <x:v>0.3958333333333333</x:v>
      </x:c>
      <x:c r="P110" s="9" t="n">
        <x:f>M110*(1-0.40)-N110</x:f>
        <x:v>0.6333333333333333</x:v>
      </x:c>
      <x:c r="Q110" s="9" t="n">
        <x:f>'Physical_Arcs'!T50</x:f>
        <x:v>0.8055555555555556</x:v>
      </x:c>
      <x:c r="R110" s="9" t="n">
        <x:f>Q110*'Parameters'!$C$18</x:f>
        <x:v>0.16111111111111112</x:v>
      </x:c>
      <x:c r="S110" s="9" t="n">
        <x:f>R110*'Parameters'!$C$19</x:f>
        <x:v>0.2013888888888889</x:v>
      </x:c>
      <x:c r="T110" s="9" t="n">
        <x:f>Q110*(1-0.40)-R110</x:f>
        <x:v>0.3222222222222222</x:v>
      </x:c>
    </x:row>
    <x:row r="111" ht="21" customHeight="1">
      <x:c r="A111" s="3" t="n">
        <x:v>1</x:v>
      </x:c>
      <x:c r="B111" s="3" t="str">
        <x:v>00:10</x:v>
      </x:c>
      <x:c r="C111" s="3" t="n">
        <x:v>1</x:v>
      </x:c>
      <x:c r="D111" s="3" t="n">
        <x:v>50</x:v>
      </x:c>
      <x:c r="E111" s="3" t="n">
        <x:v>8</x:v>
      </x:c>
      <x:c r="F111" s="3" t="n">
        <x:v>5</x:v>
      </x:c>
      <x:c r="G111" s="9" t="n">
        <x:v>0.18</x:v>
      </x:c>
      <x:c r="H111" s="9" t="n">
        <x:v>0.990416</x:v>
      </x:c>
      <x:c r="I111" s="9" t="n">
        <x:f>'Physical_Arcs'!R51</x:f>
        <x:v>10.777777777777779</x:v>
      </x:c>
      <x:c r="J111" s="9" t="n">
        <x:f>I111*'Parameters'!$C$18</x:f>
        <x:v>2.155555555555556</x:v>
      </x:c>
      <x:c r="K111" s="9" t="n">
        <x:f>J111*'Parameters'!$C$19</x:f>
        <x:v>2.6944444444444446</x:v>
      </x:c>
      <x:c r="L111" s="9" t="n">
        <x:f>I111*(1-0.40)-J111</x:f>
        <x:v>4.311111111111111</x:v>
      </x:c>
      <x:c r="M111" s="9" t="n">
        <x:f>'Physical_Arcs'!S51</x:f>
        <x:v>10.777777777777779</x:v>
      </x:c>
      <x:c r="N111" s="9" t="n">
        <x:f>M111*'Parameters'!$C$18</x:f>
        <x:v>2.155555555555556</x:v>
      </x:c>
      <x:c r="O111" s="9" t="n">
        <x:f>N111*'Parameters'!$C$19</x:f>
        <x:v>2.6944444444444446</x:v>
      </x:c>
      <x:c r="P111" s="9" t="n">
        <x:f>M111*(1-0.40)-N111</x:f>
        <x:v>4.311111111111111</x:v>
      </x:c>
      <x:c r="Q111" s="9" t="n">
        <x:f>'Physical_Arcs'!T51</x:f>
        <x:v>5.388888888888889</x:v>
      </x:c>
      <x:c r="R111" s="9" t="n">
        <x:f>Q111*'Parameters'!$C$18</x:f>
        <x:v>1.077777777777778</x:v>
      </x:c>
      <x:c r="S111" s="9" t="n">
        <x:f>R111*'Parameters'!$C$19</x:f>
        <x:v>1.3472222222222223</x:v>
      </x:c>
      <x:c r="T111" s="9" t="n">
        <x:f>Q111*(1-0.40)-R111</x:f>
        <x:v>2.1555555555555554</x:v>
      </x:c>
    </x:row>
    <x:row r="112" ht="21" customHeight="1">
      <x:c r="A112" s="3" t="n">
        <x:v>1</x:v>
      </x:c>
      <x:c r="B112" s="3" t="str">
        <x:v>00:10</x:v>
      </x:c>
      <x:c r="C112" s="3" t="n">
        <x:v>1</x:v>
      </x:c>
      <x:c r="D112" s="3" t="n">
        <x:v>51</x:v>
      </x:c>
      <x:c r="E112" s="3" t="n">
        <x:v>8</x:v>
      </x:c>
      <x:c r="F112" s="3" t="n">
        <x:v>1</x:v>
      </x:c>
      <x:c r="G112" s="9" t="n">
        <x:v>0.18</x:v>
      </x:c>
      <x:c r="H112" s="9" t="n">
        <x:v>1.039066</x:v>
      </x:c>
      <x:c r="I112" s="9" t="n">
        <x:f>'Physical_Arcs'!R52</x:f>
        <x:v>8.88888888888889</x:v>
      </x:c>
      <x:c r="J112" s="9" t="n">
        <x:f>I112*'Parameters'!$C$18</x:f>
        <x:v>1.777777777777778</x:v>
      </x:c>
      <x:c r="K112" s="9" t="n">
        <x:f>J112*'Parameters'!$C$19</x:f>
        <x:v>2.2222222222222223</x:v>
      </x:c>
      <x:c r="L112" s="9" t="n">
        <x:f>I112*(1-0.40)-J112</x:f>
        <x:v>3.5555555555555554</x:v>
      </x:c>
      <x:c r="M112" s="9" t="n">
        <x:f>'Physical_Arcs'!S52</x:f>
        <x:v>8.88888888888889</x:v>
      </x:c>
      <x:c r="N112" s="9" t="n">
        <x:f>M112*'Parameters'!$C$18</x:f>
        <x:v>1.777777777777778</x:v>
      </x:c>
      <x:c r="O112" s="9" t="n">
        <x:f>N112*'Parameters'!$C$19</x:f>
        <x:v>2.2222222222222223</x:v>
      </x:c>
      <x:c r="P112" s="9" t="n">
        <x:f>M112*(1-0.40)-N112</x:f>
        <x:v>3.5555555555555554</x:v>
      </x:c>
      <x:c r="Q112" s="9" t="n">
        <x:f>'Physical_Arcs'!T52</x:f>
        <x:v>4.444444444444445</x:v>
      </x:c>
      <x:c r="R112" s="9" t="n">
        <x:f>Q112*'Parameters'!$C$18</x:f>
        <x:v>0.888888888888889</x:v>
      </x:c>
      <x:c r="S112" s="9" t="n">
        <x:f>R112*'Parameters'!$C$19</x:f>
        <x:v>1.1111111111111112</x:v>
      </x:c>
      <x:c r="T112" s="9" t="n">
        <x:f>Q112*(1-0.40)-R112</x:f>
        <x:v>1.7777777777777777</x:v>
      </x:c>
    </x:row>
    <x:row r="113" ht="21" customHeight="1">
      <x:c r="A113" s="3" t="n">
        <x:v>1</x:v>
      </x:c>
      <x:c r="B113" s="3" t="str">
        <x:v>00:10</x:v>
      </x:c>
      <x:c r="C113" s="3" t="n">
        <x:v>1</x:v>
      </x:c>
      <x:c r="D113" s="3" t="n">
        <x:v>52</x:v>
      </x:c>
      <x:c r="E113" s="3" t="n">
        <x:v>9</x:v>
      </x:c>
      <x:c r="F113" s="3" t="n">
        <x:v>10</x:v>
      </x:c>
      <x:c r="G113" s="9" t="n">
        <x:v>0.18</x:v>
      </x:c>
      <x:c r="H113" s="9" t="n">
        <x:v>0.954096</x:v>
      </x:c>
      <x:c r="I113" s="9" t="n">
        <x:f>'Physical_Arcs'!R53</x:f>
        <x:v>17.02777777777778</x:v>
      </x:c>
      <x:c r="J113" s="9" t="n">
        <x:f>I113*'Parameters'!$C$18</x:f>
        <x:v>3.405555555555556</x:v>
      </x:c>
      <x:c r="K113" s="9" t="n">
        <x:f>J113*'Parameters'!$C$19</x:f>
        <x:v>4.256944444444445</x:v>
      </x:c>
      <x:c r="L113" s="9" t="n">
        <x:f>I113*(1-0.40)-J113</x:f>
        <x:v>6.811111111111111</x:v>
      </x:c>
      <x:c r="M113" s="9" t="n">
        <x:f>'Physical_Arcs'!S53</x:f>
        <x:v>17.02777777777778</x:v>
      </x:c>
      <x:c r="N113" s="9" t="n">
        <x:f>M113*'Parameters'!$C$18</x:f>
        <x:v>3.405555555555556</x:v>
      </x:c>
      <x:c r="O113" s="9" t="n">
        <x:f>N113*'Parameters'!$C$19</x:f>
        <x:v>4.256944444444445</x:v>
      </x:c>
      <x:c r="P113" s="9" t="n">
        <x:f>M113*(1-0.40)-N113</x:f>
        <x:v>6.811111111111111</x:v>
      </x:c>
      <x:c r="Q113" s="9" t="n">
        <x:f>'Physical_Arcs'!T53</x:f>
        <x:v>17.02777777777778</x:v>
      </x:c>
      <x:c r="R113" s="9" t="n">
        <x:f>Q113*'Parameters'!$C$18</x:f>
        <x:v>3.405555555555556</x:v>
      </x:c>
      <x:c r="S113" s="9" t="n">
        <x:f>R113*'Parameters'!$C$19</x:f>
        <x:v>4.256944444444445</x:v>
      </x:c>
      <x:c r="T113" s="9" t="n">
        <x:f>Q113*(1-0.40)-R113</x:f>
        <x:v>6.811111111111111</x:v>
      </x:c>
    </x:row>
    <x:row r="114" ht="21" customHeight="1">
      <x:c r="A114" s="3" t="n">
        <x:v>1</x:v>
      </x:c>
      <x:c r="B114" s="3" t="str">
        <x:v>00:10</x:v>
      </x:c>
      <x:c r="C114" s="3" t="n">
        <x:v>1</x:v>
      </x:c>
      <x:c r="D114" s="3" t="n">
        <x:v>53</x:v>
      </x:c>
      <x:c r="E114" s="3" t="n">
        <x:v>9</x:v>
      </x:c>
      <x:c r="F114" s="3" t="n">
        <x:v>6</x:v>
      </x:c>
      <x:c r="G114" s="9" t="n">
        <x:v>0.18</x:v>
      </x:c>
      <x:c r="H114" s="9" t="n">
        <x:v>1.125574</x:v>
      </x:c>
      <x:c r="I114" s="9" t="n">
        <x:f>'Physical_Arcs'!R54</x:f>
        <x:v>9.666666666666666</x:v>
      </x:c>
      <x:c r="J114" s="9" t="n">
        <x:f>I114*'Parameters'!$C$18</x:f>
        <x:v>1.9333333333333333</x:v>
      </x:c>
      <x:c r="K114" s="9" t="n">
        <x:f>J114*'Parameters'!$C$19</x:f>
        <x:v>2.4166666666666665</x:v>
      </x:c>
      <x:c r="L114" s="9" t="n">
        <x:f>I114*(1-0.40)-J114</x:f>
        <x:v>3.8666666666666663</x:v>
      </x:c>
      <x:c r="M114" s="9" t="n">
        <x:f>'Physical_Arcs'!S54</x:f>
        <x:v>9.666666666666666</x:v>
      </x:c>
      <x:c r="N114" s="9" t="n">
        <x:f>M114*'Parameters'!$C$18</x:f>
        <x:v>1.9333333333333333</x:v>
      </x:c>
      <x:c r="O114" s="9" t="n">
        <x:f>N114*'Parameters'!$C$19</x:f>
        <x:v>2.4166666666666665</x:v>
      </x:c>
      <x:c r="P114" s="9" t="n">
        <x:f>M114*(1-0.40)-N114</x:f>
        <x:v>3.8666666666666663</x:v>
      </x:c>
      <x:c r="Q114" s="9" t="n">
        <x:f>'Physical_Arcs'!T54</x:f>
        <x:v>4.833333333333333</x:v>
      </x:c>
      <x:c r="R114" s="9" t="n">
        <x:f>Q114*'Parameters'!$C$18</x:f>
        <x:v>0.9666666666666667</x:v>
      </x:c>
      <x:c r="S114" s="9" t="n">
        <x:f>R114*'Parameters'!$C$19</x:f>
        <x:v>1.2083333333333333</x:v>
      </x:c>
      <x:c r="T114" s="9" t="n">
        <x:f>Q114*(1-0.40)-R114</x:f>
        <x:v>1.9333333333333331</x:v>
      </x:c>
    </x:row>
    <x:row r="115" ht="21" customHeight="1">
      <x:c r="A115" s="3" t="n">
        <x:v>1</x:v>
      </x:c>
      <x:c r="B115" s="3" t="str">
        <x:v>00:10</x:v>
      </x:c>
      <x:c r="C115" s="3" t="n">
        <x:v>1</x:v>
      </x:c>
      <x:c r="D115" s="3" t="n">
        <x:v>54</x:v>
      </x:c>
      <x:c r="E115" s="3" t="n">
        <x:v>9</x:v>
      </x:c>
      <x:c r="F115" s="3" t="n">
        <x:v>2</x:v>
      </x:c>
      <x:c r="G115" s="9" t="n">
        <x:v>0.18</x:v>
      </x:c>
      <x:c r="H115" s="9" t="n">
        <x:v>0.854534</x:v>
      </x:c>
      <x:c r="I115" s="9" t="n">
        <x:f>'Physical_Arcs'!R55</x:f>
        <x:v>9.88888888888889</x:v>
      </x:c>
      <x:c r="J115" s="9" t="n">
        <x:f>I115*'Parameters'!$C$18</x:f>
        <x:v>1.9777777777777779</x:v>
      </x:c>
      <x:c r="K115" s="9" t="n">
        <x:f>J115*'Parameters'!$C$19</x:f>
        <x:v>2.4722222222222223</x:v>
      </x:c>
      <x:c r="L115" s="9" t="n">
        <x:f>I115*(1-0.40)-J115</x:f>
        <x:v>3.9555555555555557</x:v>
      </x:c>
      <x:c r="M115" s="9" t="n">
        <x:f>'Physical_Arcs'!S55</x:f>
        <x:v>9.88888888888889</x:v>
      </x:c>
      <x:c r="N115" s="9" t="n">
        <x:f>M115*'Parameters'!$C$18</x:f>
        <x:v>1.9777777777777779</x:v>
      </x:c>
      <x:c r="O115" s="9" t="n">
        <x:f>N115*'Parameters'!$C$19</x:f>
        <x:v>2.4722222222222223</x:v>
      </x:c>
      <x:c r="P115" s="9" t="n">
        <x:f>M115*(1-0.40)-N115</x:f>
        <x:v>3.9555555555555557</x:v>
      </x:c>
      <x:c r="Q115" s="9" t="n">
        <x:f>'Physical_Arcs'!T55</x:f>
        <x:v>4.944444444444445</x:v>
      </x:c>
      <x:c r="R115" s="9" t="n">
        <x:f>Q115*'Parameters'!$C$18</x:f>
        <x:v>0.9888888888888889</x:v>
      </x:c>
      <x:c r="S115" s="9" t="n">
        <x:f>R115*'Parameters'!$C$19</x:f>
        <x:v>1.2361111111111112</x:v>
      </x:c>
      <x:c r="T115" s="9" t="n">
        <x:f>Q115*(1-0.40)-R115</x:f>
        <x:v>1.9777777777777779</x:v>
      </x:c>
    </x:row>
    <x:row r="116" ht="21" customHeight="1">
      <x:c r="A116" s="3" t="n">
        <x:v>1</x:v>
      </x:c>
      <x:c r="B116" s="3" t="str">
        <x:v>00:10</x:v>
      </x:c>
      <x:c r="C116" s="3" t="n">
        <x:v>1</x:v>
      </x:c>
      <x:c r="D116" s="3" t="n">
        <x:v>55</x:v>
      </x:c>
      <x:c r="E116" s="3" t="n">
        <x:v>9</x:v>
      </x:c>
      <x:c r="F116" s="3" t="n">
        <x:v>7</x:v>
      </x:c>
      <x:c r="G116" s="9" t="n">
        <x:v>0.18</x:v>
      </x:c>
      <x:c r="H116" s="9" t="n">
        <x:v>0.900033</x:v>
      </x:c>
      <x:c r="I116" s="9" t="n">
        <x:f>'Physical_Arcs'!R56</x:f>
        <x:v>4.166666666666667</x:v>
      </x:c>
      <x:c r="J116" s="9" t="n">
        <x:f>I116*'Parameters'!$C$18</x:f>
        <x:v>0.8333333333333335</x:v>
      </x:c>
      <x:c r="K116" s="9" t="n">
        <x:f>J116*'Parameters'!$C$19</x:f>
        <x:v>1.041666666666667</x:v>
      </x:c>
      <x:c r="L116" s="9" t="n">
        <x:f>I116*(1-0.40)-J116</x:f>
        <x:v>1.6666666666666665</x:v>
      </x:c>
      <x:c r="M116" s="9" t="n">
        <x:f>'Physical_Arcs'!S56</x:f>
        <x:v>4.166666666666667</x:v>
      </x:c>
      <x:c r="N116" s="9" t="n">
        <x:f>M116*'Parameters'!$C$18</x:f>
        <x:v>0.8333333333333335</x:v>
      </x:c>
      <x:c r="O116" s="9" t="n">
        <x:f>N116*'Parameters'!$C$19</x:f>
        <x:v>1.041666666666667</x:v>
      </x:c>
      <x:c r="P116" s="9" t="n">
        <x:f>M116*(1-0.40)-N116</x:f>
        <x:v>1.6666666666666665</x:v>
      </x:c>
      <x:c r="Q116" s="9" t="n">
        <x:f>'Physical_Arcs'!T56</x:f>
        <x:v>2.0833333333333335</x:v>
      </x:c>
      <x:c r="R116" s="9" t="n">
        <x:f>Q116*'Parameters'!$C$18</x:f>
        <x:v>0.41666666666666674</x:v>
      </x:c>
      <x:c r="S116" s="9" t="n">
        <x:f>R116*'Parameters'!$C$19</x:f>
        <x:v>0.5208333333333335</x:v>
      </x:c>
      <x:c r="T116" s="9" t="n">
        <x:f>Q116*(1-0.40)-R116</x:f>
        <x:v>0.8333333333333333</x:v>
      </x:c>
    </x:row>
    <x:row r="117" ht="21" customHeight="1">
      <x:c r="A117" s="3" t="n">
        <x:v>1</x:v>
      </x:c>
      <x:c r="B117" s="3" t="str">
        <x:v>00:10</x:v>
      </x:c>
      <x:c r="C117" s="3" t="n">
        <x:v>1</x:v>
      </x:c>
      <x:c r="D117" s="3" t="n">
        <x:v>56</x:v>
      </x:c>
      <x:c r="E117" s="3" t="n">
        <x:v>9</x:v>
      </x:c>
      <x:c r="F117" s="3" t="n">
        <x:v>3</x:v>
      </x:c>
      <x:c r="G117" s="9" t="n">
        <x:v>0.18</x:v>
      </x:c>
      <x:c r="H117" s="9" t="n">
        <x:v>0.893428</x:v>
      </x:c>
      <x:c r="I117" s="9" t="n">
        <x:f>'Physical_Arcs'!R57</x:f>
        <x:v>3.7222222222222223</x:v>
      </x:c>
      <x:c r="J117" s="9" t="n">
        <x:f>I117*'Parameters'!$C$18</x:f>
        <x:v>0.7444444444444445</x:v>
      </x:c>
      <x:c r="K117" s="9" t="n">
        <x:f>J117*'Parameters'!$C$19</x:f>
        <x:v>0.9305555555555556</x:v>
      </x:c>
      <x:c r="L117" s="9" t="n">
        <x:f>I117*(1-0.40)-J117</x:f>
        <x:v>1.488888888888889</x:v>
      </x:c>
      <x:c r="M117" s="9" t="n">
        <x:f>'Physical_Arcs'!S57</x:f>
        <x:v>3.7222222222222223</x:v>
      </x:c>
      <x:c r="N117" s="9" t="n">
        <x:f>M117*'Parameters'!$C$18</x:f>
        <x:v>0.7444444444444445</x:v>
      </x:c>
      <x:c r="O117" s="9" t="n">
        <x:f>N117*'Parameters'!$C$19</x:f>
        <x:v>0.9305555555555556</x:v>
      </x:c>
      <x:c r="P117" s="9" t="n">
        <x:f>M117*(1-0.40)-N117</x:f>
        <x:v>1.488888888888889</x:v>
      </x:c>
      <x:c r="Q117" s="9" t="n">
        <x:f>'Physical_Arcs'!T57</x:f>
        <x:v>1.8611111111111112</x:v>
      </x:c>
      <x:c r="R117" s="9" t="n">
        <x:f>Q117*'Parameters'!$C$18</x:f>
        <x:v>0.37222222222222223</x:v>
      </x:c>
      <x:c r="S117" s="9" t="n">
        <x:f>R117*'Parameters'!$C$19</x:f>
        <x:v>0.4652777777777778</x:v>
      </x:c>
      <x:c r="T117" s="9" t="n">
        <x:f>Q117*(1-0.40)-R117</x:f>
        <x:v>0.7444444444444445</x:v>
      </x:c>
    </x:row>
    <x:row r="118" ht="21" customHeight="1">
      <x:c r="A118" s="3" t="n">
        <x:v>1</x:v>
      </x:c>
      <x:c r="B118" s="3" t="str">
        <x:v>00:10</x:v>
      </x:c>
      <x:c r="C118" s="3" t="n">
        <x:v>1</x:v>
      </x:c>
      <x:c r="D118" s="3" t="n">
        <x:v>57</x:v>
      </x:c>
      <x:c r="E118" s="3" t="n">
        <x:v>10</x:v>
      </x:c>
      <x:c r="F118" s="3" t="n">
        <x:v>1</x:v>
      </x:c>
      <x:c r="G118" s="9" t="n">
        <x:v>0.18</x:v>
      </x:c>
      <x:c r="H118" s="9" t="n">
        <x:v>1.027979</x:v>
      </x:c>
      <x:c r="I118" s="9" t="n">
        <x:f>'Physical_Arcs'!R58</x:f>
        <x:v>17.02777777777778</x:v>
      </x:c>
      <x:c r="J118" s="9" t="n">
        <x:f>I118*'Parameters'!$C$18</x:f>
        <x:v>3.405555555555556</x:v>
      </x:c>
      <x:c r="K118" s="9" t="n">
        <x:f>J118*'Parameters'!$C$19</x:f>
        <x:v>4.256944444444445</x:v>
      </x:c>
      <x:c r="L118" s="9" t="n">
        <x:f>I118*(1-0.40)-J118</x:f>
        <x:v>6.811111111111111</x:v>
      </x:c>
      <x:c r="M118" s="9" t="n">
        <x:f>'Physical_Arcs'!S58</x:f>
        <x:v>17.02777777777778</x:v>
      </x:c>
      <x:c r="N118" s="9" t="n">
        <x:f>M118*'Parameters'!$C$18</x:f>
        <x:v>3.405555555555556</x:v>
      </x:c>
      <x:c r="O118" s="9" t="n">
        <x:f>N118*'Parameters'!$C$19</x:f>
        <x:v>4.256944444444445</x:v>
      </x:c>
      <x:c r="P118" s="9" t="n">
        <x:f>M118*(1-0.40)-N118</x:f>
        <x:v>6.811111111111111</x:v>
      </x:c>
      <x:c r="Q118" s="9" t="n">
        <x:f>'Physical_Arcs'!T58</x:f>
        <x:v>17.02777777777778</x:v>
      </x:c>
      <x:c r="R118" s="9" t="n">
        <x:f>Q118*'Parameters'!$C$18</x:f>
        <x:v>3.405555555555556</x:v>
      </x:c>
      <x:c r="S118" s="9" t="n">
        <x:f>R118*'Parameters'!$C$19</x:f>
        <x:v>4.256944444444445</x:v>
      </x:c>
      <x:c r="T118" s="9" t="n">
        <x:f>Q118*(1-0.40)-R118</x:f>
        <x:v>6.811111111111111</x:v>
      </x:c>
    </x:row>
    <x:row r="119" ht="21" customHeight="1">
      <x:c r="A119" s="3" t="n">
        <x:v>1</x:v>
      </x:c>
      <x:c r="B119" s="3" t="str">
        <x:v>00:10</x:v>
      </x:c>
      <x:c r="C119" s="3" t="n">
        <x:v>1</x:v>
      </x:c>
      <x:c r="D119" s="3" t="n">
        <x:v>58</x:v>
      </x:c>
      <x:c r="E119" s="3" t="n">
        <x:v>10</x:v>
      </x:c>
      <x:c r="F119" s="3" t="n">
        <x:v>6</x:v>
      </x:c>
      <x:c r="G119" s="9" t="n">
        <x:v>0.18</x:v>
      </x:c>
      <x:c r="H119" s="9" t="n">
        <x:v>0.952676</x:v>
      </x:c>
      <x:c r="I119" s="9" t="n">
        <x:f>'Physical_Arcs'!R59</x:f>
        <x:v>6.305555555555555</x:v>
      </x:c>
      <x:c r="J119" s="9" t="n">
        <x:f>I119*'Parameters'!$C$18</x:f>
        <x:v>1.261111111111111</x:v>
      </x:c>
      <x:c r="K119" s="9" t="n">
        <x:f>J119*'Parameters'!$C$19</x:f>
        <x:v>1.5763888888888888</x:v>
      </x:c>
      <x:c r="L119" s="9" t="n">
        <x:f>I119*(1-0.40)-J119</x:f>
        <x:v>2.522222222222222</x:v>
      </x:c>
      <x:c r="M119" s="9" t="n">
        <x:f>'Physical_Arcs'!S59</x:f>
        <x:v>6.305555555555555</x:v>
      </x:c>
      <x:c r="N119" s="9" t="n">
        <x:f>M119*'Parameters'!$C$18</x:f>
        <x:v>1.261111111111111</x:v>
      </x:c>
      <x:c r="O119" s="9" t="n">
        <x:f>N119*'Parameters'!$C$19</x:f>
        <x:v>1.5763888888888888</x:v>
      </x:c>
      <x:c r="P119" s="9" t="n">
        <x:f>M119*(1-0.40)-N119</x:f>
        <x:v>2.522222222222222</x:v>
      </x:c>
      <x:c r="Q119" s="9" t="n">
        <x:f>'Physical_Arcs'!T59</x:f>
        <x:v>3.1666666666666665</x:v>
      </x:c>
      <x:c r="R119" s="9" t="n">
        <x:f>Q119*'Parameters'!$C$18</x:f>
        <x:v>0.6333333333333333</x:v>
      </x:c>
      <x:c r="S119" s="9" t="n">
        <x:f>R119*'Parameters'!$C$19</x:f>
        <x:v>0.7916666666666666</x:v>
      </x:c>
      <x:c r="T119" s="9" t="n">
        <x:f>Q119*(1-0.40)-R119</x:f>
        <x:v>1.2666666666666666</x:v>
      </x:c>
    </x:row>
    <x:row r="120" ht="21" customHeight="1">
      <x:c r="A120" s="3" t="n">
        <x:v>1</x:v>
      </x:c>
      <x:c r="B120" s="3" t="str">
        <x:v>00:10</x:v>
      </x:c>
      <x:c r="C120" s="3" t="n">
        <x:v>1</x:v>
      </x:c>
      <x:c r="D120" s="3" t="n">
        <x:v>59</x:v>
      </x:c>
      <x:c r="E120" s="3" t="n">
        <x:v>10</x:v>
      </x:c>
      <x:c r="F120" s="3" t="n">
        <x:v>4</x:v>
      </x:c>
      <x:c r="G120" s="9" t="n">
        <x:v>0.18</x:v>
      </x:c>
      <x:c r="H120" s="9" t="n">
        <x:v>1.114542</x:v>
      </x:c>
      <x:c r="I120" s="9" t="n">
        <x:f>'Physical_Arcs'!R60</x:f>
        <x:v>1.5833333333333333</x:v>
      </x:c>
      <x:c r="J120" s="9" t="n">
        <x:f>I120*'Parameters'!$C$18</x:f>
        <x:v>0.31666666666666665</x:v>
      </x:c>
      <x:c r="K120" s="9" t="n">
        <x:f>J120*'Parameters'!$C$19</x:f>
        <x:v>0.3958333333333333</x:v>
      </x:c>
      <x:c r="L120" s="9" t="n">
        <x:f>I120*(1-0.40)-J120</x:f>
        <x:v>0.6333333333333333</x:v>
      </x:c>
      <x:c r="M120" s="9" t="n">
        <x:f>'Physical_Arcs'!S60</x:f>
        <x:v>1.5833333333333333</x:v>
      </x:c>
      <x:c r="N120" s="9" t="n">
        <x:f>M120*'Parameters'!$C$18</x:f>
        <x:v>0.31666666666666665</x:v>
      </x:c>
      <x:c r="O120" s="9" t="n">
        <x:f>N120*'Parameters'!$C$19</x:f>
        <x:v>0.3958333333333333</x:v>
      </x:c>
      <x:c r="P120" s="9" t="n">
        <x:f>M120*(1-0.40)-N120</x:f>
        <x:v>0.6333333333333333</x:v>
      </x:c>
      <x:c r="Q120" s="9" t="n">
        <x:f>'Physical_Arcs'!T60</x:f>
        <x:v>0.8055555555555556</x:v>
      </x:c>
      <x:c r="R120" s="9" t="n">
        <x:f>Q120*'Parameters'!$C$18</x:f>
        <x:v>0.16111111111111112</x:v>
      </x:c>
      <x:c r="S120" s="9" t="n">
        <x:f>R120*'Parameters'!$C$19</x:f>
        <x:v>0.2013888888888889</x:v>
      </x:c>
      <x:c r="T120" s="9" t="n">
        <x:f>Q120*(1-0.40)-R120</x:f>
        <x:v>0.3222222222222222</x:v>
      </x:c>
    </x:row>
    <x:row r="121" ht="21" customHeight="1">
      <x:c r="A121" s="3" t="n">
        <x:v>1</x:v>
      </x:c>
      <x:c r="B121" s="3" t="str">
        <x:v>00:10</x:v>
      </x:c>
      <x:c r="C121" s="3" t="n">
        <x:v>1</x:v>
      </x:c>
      <x:c r="D121" s="3" t="n">
        <x:v>60</x:v>
      </x:c>
      <x:c r="E121" s="3" t="n">
        <x:v>10</x:v>
      </x:c>
      <x:c r="F121" s="3" t="n">
        <x:v>9</x:v>
      </x:c>
      <x:c r="G121" s="9" t="n">
        <x:v>0.18</x:v>
      </x:c>
      <x:c r="H121" s="9" t="n">
        <x:v>1.092245</x:v>
      </x:c>
      <x:c r="I121" s="9" t="n">
        <x:f>'Physical_Arcs'!R61</x:f>
        <x:v>10.333333333333334</x:v>
      </x:c>
      <x:c r="J121" s="9" t="n">
        <x:f>I121*'Parameters'!$C$18</x:f>
        <x:v>2.066666666666667</x:v>
      </x:c>
      <x:c r="K121" s="9" t="n">
        <x:f>J121*'Parameters'!$C$19</x:f>
        <x:v>2.5833333333333335</x:v>
      </x:c>
      <x:c r="L121" s="9" t="n">
        <x:f>I121*(1-0.40)-J121</x:f>
        <x:v>4.133333333333333</x:v>
      </x:c>
      <x:c r="M121" s="9" t="n">
        <x:f>'Physical_Arcs'!S61</x:f>
        <x:v>10.333333333333334</x:v>
      </x:c>
      <x:c r="N121" s="9" t="n">
        <x:f>M121*'Parameters'!$C$18</x:f>
        <x:v>2.066666666666667</x:v>
      </x:c>
      <x:c r="O121" s="9" t="n">
        <x:f>N121*'Parameters'!$C$19</x:f>
        <x:v>2.5833333333333335</x:v>
      </x:c>
      <x:c r="P121" s="9" t="n">
        <x:f>M121*(1-0.40)-N121</x:f>
        <x:v>4.133333333333333</x:v>
      </x:c>
      <x:c r="Q121" s="9" t="n">
        <x:f>'Physical_Arcs'!T61</x:f>
        <x:v>5.166666666666667</x:v>
      </x:c>
      <x:c r="R121" s="9" t="n">
        <x:f>Q121*'Parameters'!$C$18</x:f>
        <x:v>1.0333333333333334</x:v>
      </x:c>
      <x:c r="S121" s="9" t="n">
        <x:f>R121*'Parameters'!$C$19</x:f>
        <x:v>1.2916666666666667</x:v>
      </x:c>
      <x:c r="T121" s="9" t="n">
        <x:f>Q121*(1-0.40)-R121</x:f>
        <x:v>2.0666666666666664</x:v>
      </x:c>
    </x:row>
    <x:row r="122" ht="21" customHeight="1">
      <x:c r="A122" s="3" t="n">
        <x:v>2</x:v>
      </x:c>
      <x:c r="B122" s="3" t="str">
        <x:v>00:20</x:v>
      </x:c>
      <x:c r="C122" s="3" t="n">
        <x:v>1</x:v>
      </x:c>
      <x:c r="D122" s="3" t="n">
        <x:v>1</x:v>
      </x:c>
      <x:c r="E122" s="3" t="n">
        <x:v>1</x:v>
      </x:c>
      <x:c r="F122" s="3" t="n">
        <x:v>2</x:v>
      </x:c>
      <x:c r="G122" s="9" t="n">
        <x:v>0.18</x:v>
      </x:c>
      <x:c r="H122" s="9" t="n">
        <x:v>0.914787</x:v>
      </x:c>
      <x:c r="I122" s="9" t="n">
        <x:f>'Physical_Arcs'!R2</x:f>
        <x:v>17.02777777777778</x:v>
      </x:c>
      <x:c r="J122" s="9" t="n">
        <x:f>I122*'Parameters'!$C$18</x:f>
        <x:v>3.405555555555556</x:v>
      </x:c>
      <x:c r="K122" s="9" t="n">
        <x:f>J122*'Parameters'!$C$19</x:f>
        <x:v>4.256944444444445</x:v>
      </x:c>
      <x:c r="L122" s="9" t="n">
        <x:f>I122*(1-0.40)-J122</x:f>
        <x:v>6.811111111111111</x:v>
      </x:c>
      <x:c r="M122" s="9" t="n">
        <x:f>'Physical_Arcs'!S2</x:f>
        <x:v>17.02777777777778</x:v>
      </x:c>
      <x:c r="N122" s="9" t="n">
        <x:f>M122*'Parameters'!$C$18</x:f>
        <x:v>3.405555555555556</x:v>
      </x:c>
      <x:c r="O122" s="9" t="n">
        <x:f>N122*'Parameters'!$C$19</x:f>
        <x:v>4.256944444444445</x:v>
      </x:c>
      <x:c r="P122" s="9" t="n">
        <x:f>M122*(1-0.40)-N122</x:f>
        <x:v>6.811111111111111</x:v>
      </x:c>
      <x:c r="Q122" s="9" t="n">
        <x:f>'Physical_Arcs'!T2</x:f>
        <x:v>17.02777777777778</x:v>
      </x:c>
      <x:c r="R122" s="9" t="n">
        <x:f>Q122*'Parameters'!$C$18</x:f>
        <x:v>3.405555555555556</x:v>
      </x:c>
      <x:c r="S122" s="9" t="n">
        <x:f>R122*'Parameters'!$C$19</x:f>
        <x:v>4.256944444444445</x:v>
      </x:c>
      <x:c r="T122" s="9" t="n">
        <x:f>Q122*(1-0.40)-R122</x:f>
        <x:v>6.811111111111111</x:v>
      </x:c>
    </x:row>
    <x:row r="123" ht="21" customHeight="1">
      <x:c r="A123" s="3" t="n">
        <x:v>2</x:v>
      </x:c>
      <x:c r="B123" s="3" t="str">
        <x:v>00:20</x:v>
      </x:c>
      <x:c r="C123" s="3" t="n">
        <x:v>1</x:v>
      </x:c>
      <x:c r="D123" s="3" t="n">
        <x:v>2</x:v>
      </x:c>
      <x:c r="E123" s="3" t="n">
        <x:v>1</x:v>
      </x:c>
      <x:c r="F123" s="3" t="n">
        <x:v>10</x:v>
      </x:c>
      <x:c r="G123" s="9" t="n">
        <x:v>0.18</x:v>
      </x:c>
      <x:c r="H123" s="9" t="n">
        <x:v>1.003995</x:v>
      </x:c>
      <x:c r="I123" s="9" t="n">
        <x:f>'Physical_Arcs'!R3</x:f>
        <x:v>3.2777777777777777</x:v>
      </x:c>
      <x:c r="J123" s="9" t="n">
        <x:f>I123*'Parameters'!$C$18</x:f>
        <x:v>0.6555555555555556</x:v>
      </x:c>
      <x:c r="K123" s="9" t="n">
        <x:f>J123*'Parameters'!$C$19</x:f>
        <x:v>0.8194444444444444</x:v>
      </x:c>
      <x:c r="L123" s="9" t="n">
        <x:f>I123*(1-0.40)-J123</x:f>
        <x:v>1.311111111111111</x:v>
      </x:c>
      <x:c r="M123" s="9" t="n">
        <x:f>'Physical_Arcs'!S3</x:f>
        <x:v>3.2777777777777777</x:v>
      </x:c>
      <x:c r="N123" s="9" t="n">
        <x:f>M123*'Parameters'!$C$18</x:f>
        <x:v>0.6555555555555556</x:v>
      </x:c>
      <x:c r="O123" s="9" t="n">
        <x:f>N123*'Parameters'!$C$19</x:f>
        <x:v>0.8194444444444444</x:v>
      </x:c>
      <x:c r="P123" s="9" t="n">
        <x:f>M123*(1-0.40)-N123</x:f>
        <x:v>1.311111111111111</x:v>
      </x:c>
      <x:c r="Q123" s="9" t="n">
        <x:f>'Physical_Arcs'!T3</x:f>
        <x:v>1.6388888888888888</x:v>
      </x:c>
      <x:c r="R123" s="9" t="n">
        <x:f>Q123*'Parameters'!$C$18</x:f>
        <x:v>0.3277777777777778</x:v>
      </x:c>
      <x:c r="S123" s="9" t="n">
        <x:f>R123*'Parameters'!$C$19</x:f>
        <x:v>0.4097222222222222</x:v>
      </x:c>
      <x:c r="T123" s="9" t="n">
        <x:f>Q123*(1-0.40)-R123</x:f>
        <x:v>0.6555555555555554</x:v>
      </x:c>
    </x:row>
    <x:row r="124" ht="21" customHeight="1">
      <x:c r="A124" s="3" t="n">
        <x:v>2</x:v>
      </x:c>
      <x:c r="B124" s="3" t="str">
        <x:v>00:20</x:v>
      </x:c>
      <x:c r="C124" s="3" t="n">
        <x:v>1</x:v>
      </x:c>
      <x:c r="D124" s="3" t="n">
        <x:v>3</x:v>
      </x:c>
      <x:c r="E124" s="3" t="n">
        <x:v>1</x:v>
      </x:c>
      <x:c r="F124" s="3" t="n">
        <x:v>8</x:v>
      </x:c>
      <x:c r="G124" s="9" t="n">
        <x:v>0.18</x:v>
      </x:c>
      <x:c r="H124" s="9" t="n">
        <x:v>0.923863</x:v>
      </x:c>
      <x:c r="I124" s="9" t="n">
        <x:f>'Physical_Arcs'!R4</x:f>
        <x:v>6.083333333333333</x:v>
      </x:c>
      <x:c r="J124" s="9" t="n">
        <x:f>I124*'Parameters'!$C$18</x:f>
        <x:v>1.2166666666666668</x:v>
      </x:c>
      <x:c r="K124" s="9" t="n">
        <x:f>J124*'Parameters'!$C$19</x:f>
        <x:v>1.5208333333333335</x:v>
      </x:c>
      <x:c r="L124" s="9" t="n">
        <x:f>I124*(1-0.40)-J124</x:f>
        <x:v>2.4333333333333327</x:v>
      </x:c>
      <x:c r="M124" s="9" t="n">
        <x:f>'Physical_Arcs'!S4</x:f>
        <x:v>6.083333333333333</x:v>
      </x:c>
      <x:c r="N124" s="9" t="n">
        <x:f>M124*'Parameters'!$C$18</x:f>
        <x:v>1.2166666666666668</x:v>
      </x:c>
      <x:c r="O124" s="9" t="n">
        <x:f>N124*'Parameters'!$C$19</x:f>
        <x:v>1.5208333333333335</x:v>
      </x:c>
      <x:c r="P124" s="9" t="n">
        <x:f>M124*(1-0.40)-N124</x:f>
        <x:v>2.4333333333333327</x:v>
      </x:c>
      <x:c r="Q124" s="9" t="n">
        <x:f>'Physical_Arcs'!T4</x:f>
        <x:v>3.0555555555555554</x:v>
      </x:c>
      <x:c r="R124" s="9" t="n">
        <x:f>Q124*'Parameters'!$C$18</x:f>
        <x:v>0.6111111111111112</x:v>
      </x:c>
      <x:c r="S124" s="9" t="n">
        <x:f>R124*'Parameters'!$C$19</x:f>
        <x:v>0.763888888888889</x:v>
      </x:c>
      <x:c r="T124" s="9" t="n">
        <x:f>Q124*(1-0.40)-R124</x:f>
        <x:v>1.2222222222222219</x:v>
      </x:c>
    </x:row>
    <x:row r="125" ht="21" customHeight="1">
      <x:c r="A125" s="3" t="n">
        <x:v>2</x:v>
      </x:c>
      <x:c r="B125" s="3" t="str">
        <x:v>00:20</x:v>
      </x:c>
      <x:c r="C125" s="3" t="n">
        <x:v>1</x:v>
      </x:c>
      <x:c r="D125" s="3" t="n">
        <x:v>4</x:v>
      </x:c>
      <x:c r="E125" s="3" t="n">
        <x:v>1</x:v>
      </x:c>
      <x:c r="F125" s="3" t="n">
        <x:v>7</x:v>
      </x:c>
      <x:c r="G125" s="9" t="n">
        <x:v>0.18</x:v>
      </x:c>
      <x:c r="H125" s="9" t="n">
        <x:v>1.111072</x:v>
      </x:c>
      <x:c r="I125" s="9" t="n">
        <x:f>'Physical_Arcs'!R5</x:f>
        <x:v>9</x:v>
      </x:c>
      <x:c r="J125" s="9" t="n">
        <x:f>I125*'Parameters'!$C$18</x:f>
        <x:v>1.8</x:v>
      </x:c>
      <x:c r="K125" s="9" t="n">
        <x:f>J125*'Parameters'!$C$19</x:f>
        <x:v>2.25</x:v>
      </x:c>
      <x:c r="L125" s="9" t="n">
        <x:f>I125*(1-0.40)-J125</x:f>
        <x:v>3.5999999999999996</x:v>
      </x:c>
      <x:c r="M125" s="9" t="n">
        <x:f>'Physical_Arcs'!S5</x:f>
        <x:v>9</x:v>
      </x:c>
      <x:c r="N125" s="9" t="n">
        <x:f>M125*'Parameters'!$C$18</x:f>
        <x:v>1.8</x:v>
      </x:c>
      <x:c r="O125" s="9" t="n">
        <x:f>N125*'Parameters'!$C$19</x:f>
        <x:v>2.25</x:v>
      </x:c>
      <x:c r="P125" s="9" t="n">
        <x:f>M125*(1-0.40)-N125</x:f>
        <x:v>3.5999999999999996</x:v>
      </x:c>
      <x:c r="Q125" s="9" t="n">
        <x:f>'Physical_Arcs'!T5</x:f>
        <x:v>4.5</x:v>
      </x:c>
      <x:c r="R125" s="9" t="n">
        <x:f>Q125*'Parameters'!$C$18</x:f>
        <x:v>0.9</x:v>
      </x:c>
      <x:c r="S125" s="9" t="n">
        <x:f>R125*'Parameters'!$C$19</x:f>
        <x:v>1.125</x:v>
      </x:c>
      <x:c r="T125" s="9" t="n">
        <x:f>Q125*(1-0.40)-R125</x:f>
        <x:v>1.7999999999999998</x:v>
      </x:c>
    </x:row>
    <x:row r="126" ht="21" customHeight="1">
      <x:c r="A126" s="3" t="n">
        <x:v>2</x:v>
      </x:c>
      <x:c r="B126" s="3" t="str">
        <x:v>00:20</x:v>
      </x:c>
      <x:c r="C126" s="3" t="n">
        <x:v>1</x:v>
      </x:c>
      <x:c r="D126" s="3" t="n">
        <x:v>5</x:v>
      </x:c>
      <x:c r="E126" s="3" t="n">
        <x:v>1</x:v>
      </x:c>
      <x:c r="F126" s="3" t="n">
        <x:v>4</x:v>
      </x:c>
      <x:c r="G126" s="9" t="n">
        <x:v>0.18</x:v>
      </x:c>
      <x:c r="H126" s="9" t="n">
        <x:v>1.001665</x:v>
      </x:c>
      <x:c r="I126" s="9" t="n">
        <x:f>'Physical_Arcs'!R6</x:f>
        <x:v>4.166666666666667</x:v>
      </x:c>
      <x:c r="J126" s="9" t="n">
        <x:f>I126*'Parameters'!$C$18</x:f>
        <x:v>0.8333333333333335</x:v>
      </x:c>
      <x:c r="K126" s="9" t="n">
        <x:f>J126*'Parameters'!$C$19</x:f>
        <x:v>1.041666666666667</x:v>
      </x:c>
      <x:c r="L126" s="9" t="n">
        <x:f>I126*(1-0.40)-J126</x:f>
        <x:v>1.6666666666666665</x:v>
      </x:c>
      <x:c r="M126" s="9" t="n">
        <x:f>'Physical_Arcs'!S6</x:f>
        <x:v>4.166666666666667</x:v>
      </x:c>
      <x:c r="N126" s="9" t="n">
        <x:f>M126*'Parameters'!$C$18</x:f>
        <x:v>0.8333333333333335</x:v>
      </x:c>
      <x:c r="O126" s="9" t="n">
        <x:f>N126*'Parameters'!$C$19</x:f>
        <x:v>1.041666666666667</x:v>
      </x:c>
      <x:c r="P126" s="9" t="n">
        <x:f>M126*(1-0.40)-N126</x:f>
        <x:v>1.6666666666666665</x:v>
      </x:c>
      <x:c r="Q126" s="9" t="n">
        <x:f>'Physical_Arcs'!T6</x:f>
        <x:v>2.0833333333333335</x:v>
      </x:c>
      <x:c r="R126" s="9" t="n">
        <x:f>Q126*'Parameters'!$C$18</x:f>
        <x:v>0.41666666666666674</x:v>
      </x:c>
      <x:c r="S126" s="9" t="n">
        <x:f>R126*'Parameters'!$C$19</x:f>
        <x:v>0.5208333333333335</x:v>
      </x:c>
      <x:c r="T126" s="9" t="n">
        <x:f>Q126*(1-0.40)-R126</x:f>
        <x:v>0.8333333333333333</x:v>
      </x:c>
    </x:row>
    <x:row r="127" ht="21" customHeight="1">
      <x:c r="A127" s="3" t="n">
        <x:v>2</x:v>
      </x:c>
      <x:c r="B127" s="3" t="str">
        <x:v>00:20</x:v>
      </x:c>
      <x:c r="C127" s="3" t="n">
        <x:v>1</x:v>
      </x:c>
      <x:c r="D127" s="3" t="n">
        <x:v>6</x:v>
      </x:c>
      <x:c r="E127" s="3" t="n">
        <x:v>1</x:v>
      </x:c>
      <x:c r="F127" s="3" t="n">
        <x:v>9</x:v>
      </x:c>
      <x:c r="G127" s="9" t="n">
        <x:v>0.18</x:v>
      </x:c>
      <x:c r="H127" s="9" t="n">
        <x:v>0.942884</x:v>
      </x:c>
      <x:c r="I127" s="9" t="n">
        <x:f>'Physical_Arcs'!R7</x:f>
        <x:v>11.027777777777779</x:v>
      </x:c>
      <x:c r="J127" s="9" t="n">
        <x:f>I127*'Parameters'!$C$18</x:f>
        <x:v>2.2055555555555557</x:v>
      </x:c>
      <x:c r="K127" s="9" t="n">
        <x:f>J127*'Parameters'!$C$19</x:f>
        <x:v>2.7569444444444446</x:v>
      </x:c>
      <x:c r="L127" s="9" t="n">
        <x:f>I127*(1-0.40)-J127</x:f>
        <x:v>4.411111111111111</x:v>
      </x:c>
      <x:c r="M127" s="9" t="n">
        <x:f>'Physical_Arcs'!S7</x:f>
        <x:v>11.027777777777779</x:v>
      </x:c>
      <x:c r="N127" s="9" t="n">
        <x:f>M127*'Parameters'!$C$18</x:f>
        <x:v>2.2055555555555557</x:v>
      </x:c>
      <x:c r="O127" s="9" t="n">
        <x:f>N127*'Parameters'!$C$19</x:f>
        <x:v>2.7569444444444446</x:v>
      </x:c>
      <x:c r="P127" s="9" t="n">
        <x:f>M127*(1-0.40)-N127</x:f>
        <x:v>4.411111111111111</x:v>
      </x:c>
      <x:c r="Q127" s="9" t="n">
        <x:f>'Physical_Arcs'!T7</x:f>
        <x:v>5.527777777777778</x:v>
      </x:c>
      <x:c r="R127" s="9" t="n">
        <x:f>Q127*'Parameters'!$C$18</x:f>
        <x:v>1.1055555555555556</x:v>
      </x:c>
      <x:c r="S127" s="9" t="n">
        <x:f>R127*'Parameters'!$C$19</x:f>
        <x:v>1.3819444444444446</x:v>
      </x:c>
      <x:c r="T127" s="9" t="n">
        <x:f>Q127*(1-0.40)-R127</x:f>
        <x:v>2.211111111111111</x:v>
      </x:c>
    </x:row>
    <x:row r="128" ht="21" customHeight="1">
      <x:c r="A128" s="3" t="n">
        <x:v>2</x:v>
      </x:c>
      <x:c r="B128" s="3" t="str">
        <x:v>00:20</x:v>
      </x:c>
      <x:c r="C128" s="3" t="n">
        <x:v>1</x:v>
      </x:c>
      <x:c r="D128" s="3" t="n">
        <x:v>7</x:v>
      </x:c>
      <x:c r="E128" s="3" t="n">
        <x:v>1</x:v>
      </x:c>
      <x:c r="F128" s="3" t="n">
        <x:v>5</x:v>
      </x:c>
      <x:c r="G128" s="9" t="n">
        <x:v>0.18</x:v>
      </x:c>
      <x:c r="H128" s="9" t="n">
        <x:v>1.038222</x:v>
      </x:c>
      <x:c r="I128" s="9" t="n">
        <x:f>'Physical_Arcs'!R8</x:f>
        <x:v>7.972222222222222</x:v>
      </x:c>
      <x:c r="J128" s="9" t="n">
        <x:f>I128*'Parameters'!$C$18</x:f>
        <x:v>1.5944444444444446</x:v>
      </x:c>
      <x:c r="K128" s="9" t="n">
        <x:f>J128*'Parameters'!$C$19</x:f>
        <x:v>1.9930555555555558</x:v>
      </x:c>
      <x:c r="L128" s="9" t="n">
        <x:f>I128*(1-0.40)-J128</x:f>
        <x:v>3.1888888888888887</x:v>
      </x:c>
      <x:c r="M128" s="9" t="n">
        <x:f>'Physical_Arcs'!S8</x:f>
        <x:v>7.972222222222222</x:v>
      </x:c>
      <x:c r="N128" s="9" t="n">
        <x:f>M128*'Parameters'!$C$18</x:f>
        <x:v>1.5944444444444446</x:v>
      </x:c>
      <x:c r="O128" s="9" t="n">
        <x:f>N128*'Parameters'!$C$19</x:f>
        <x:v>1.9930555555555558</x:v>
      </x:c>
      <x:c r="P128" s="9" t="n">
        <x:f>M128*(1-0.40)-N128</x:f>
        <x:v>3.1888888888888887</x:v>
      </x:c>
      <x:c r="Q128" s="9" t="n">
        <x:f>'Physical_Arcs'!T8</x:f>
        <x:v>4</x:v>
      </x:c>
      <x:c r="R128" s="9" t="n">
        <x:f>Q128*'Parameters'!$C$18</x:f>
        <x:v>0.8</x:v>
      </x:c>
      <x:c r="S128" s="9" t="n">
        <x:f>R128*'Parameters'!$C$19</x:f>
        <x:v>1</x:v>
      </x:c>
      <x:c r="T128" s="9" t="n">
        <x:f>Q128*(1-0.40)-R128</x:f>
        <x:v>1.5999999999999999</x:v>
      </x:c>
    </x:row>
    <x:row r="129" ht="21" customHeight="1">
      <x:c r="A129" s="3" t="n">
        <x:v>2</x:v>
      </x:c>
      <x:c r="B129" s="3" t="str">
        <x:v>00:20</x:v>
      </x:c>
      <x:c r="C129" s="3" t="n">
        <x:v>1</x:v>
      </x:c>
      <x:c r="D129" s="3" t="n">
        <x:v>8</x:v>
      </x:c>
      <x:c r="E129" s="3" t="n">
        <x:v>1</x:v>
      </x:c>
      <x:c r="F129" s="3" t="n">
        <x:v>3</x:v>
      </x:c>
      <x:c r="G129" s="9" t="n">
        <x:v>0.18</x:v>
      </x:c>
      <x:c r="H129" s="9" t="n">
        <x:v>1.122297</x:v>
      </x:c>
      <x:c r="I129" s="9" t="n">
        <x:f>'Physical_Arcs'!R9</x:f>
        <x:v>4.166666666666667</x:v>
      </x:c>
      <x:c r="J129" s="9" t="n">
        <x:f>I129*'Parameters'!$C$18</x:f>
        <x:v>0.8333333333333335</x:v>
      </x:c>
      <x:c r="K129" s="9" t="n">
        <x:f>J129*'Parameters'!$C$19</x:f>
        <x:v>1.041666666666667</x:v>
      </x:c>
      <x:c r="L129" s="9" t="n">
        <x:f>I129*(1-0.40)-J129</x:f>
        <x:v>1.6666666666666665</x:v>
      </x:c>
      <x:c r="M129" s="9" t="n">
        <x:f>'Physical_Arcs'!S9</x:f>
        <x:v>4.166666666666667</x:v>
      </x:c>
      <x:c r="N129" s="9" t="n">
        <x:f>M129*'Parameters'!$C$18</x:f>
        <x:v>0.8333333333333335</x:v>
      </x:c>
      <x:c r="O129" s="9" t="n">
        <x:f>N129*'Parameters'!$C$19</x:f>
        <x:v>1.041666666666667</x:v>
      </x:c>
      <x:c r="P129" s="9" t="n">
        <x:f>M129*(1-0.40)-N129</x:f>
        <x:v>1.6666666666666665</x:v>
      </x:c>
      <x:c r="Q129" s="9" t="n">
        <x:f>'Physical_Arcs'!T9</x:f>
        <x:v>2.0833333333333335</x:v>
      </x:c>
      <x:c r="R129" s="9" t="n">
        <x:f>Q129*'Parameters'!$C$18</x:f>
        <x:v>0.41666666666666674</x:v>
      </x:c>
      <x:c r="S129" s="9" t="n">
        <x:f>R129*'Parameters'!$C$19</x:f>
        <x:v>0.5208333333333335</x:v>
      </x:c>
      <x:c r="T129" s="9" t="n">
        <x:f>Q129*(1-0.40)-R129</x:f>
        <x:v>0.8333333333333333</x:v>
      </x:c>
    </x:row>
    <x:row r="130" ht="21" customHeight="1">
      <x:c r="A130" s="3" t="n">
        <x:v>2</x:v>
      </x:c>
      <x:c r="B130" s="3" t="str">
        <x:v>00:20</x:v>
      </x:c>
      <x:c r="C130" s="3" t="n">
        <x:v>1</x:v>
      </x:c>
      <x:c r="D130" s="3" t="n">
        <x:v>9</x:v>
      </x:c>
      <x:c r="E130" s="3" t="n">
        <x:v>1</x:v>
      </x:c>
      <x:c r="F130" s="3" t="n">
        <x:v>6</x:v>
      </x:c>
      <x:c r="G130" s="9" t="n">
        <x:v>0.18</x:v>
      </x:c>
      <x:c r="H130" s="9" t="n">
        <x:v>1.132682</x:v>
      </x:c>
      <x:c r="I130" s="9" t="n">
        <x:f>'Physical_Arcs'!R10</x:f>
        <x:v>2.138888888888889</x:v>
      </x:c>
      <x:c r="J130" s="9" t="n">
        <x:f>I130*'Parameters'!$C$18</x:f>
        <x:v>0.4277777777777778</x:v>
      </x:c>
      <x:c r="K130" s="9" t="n">
        <x:f>J130*'Parameters'!$C$19</x:f>
        <x:v>0.5347222222222223</x:v>
      </x:c>
      <x:c r="L130" s="9" t="n">
        <x:f>I130*(1-0.40)-J130</x:f>
        <x:v>0.8555555555555554</x:v>
      </x:c>
      <x:c r="M130" s="9" t="n">
        <x:f>'Physical_Arcs'!S10</x:f>
        <x:v>2.138888888888889</x:v>
      </x:c>
      <x:c r="N130" s="9" t="n">
        <x:f>M130*'Parameters'!$C$18</x:f>
        <x:v>0.4277777777777778</x:v>
      </x:c>
      <x:c r="O130" s="9" t="n">
        <x:f>N130*'Parameters'!$C$19</x:f>
        <x:v>0.5347222222222223</x:v>
      </x:c>
      <x:c r="P130" s="9" t="n">
        <x:f>M130*(1-0.40)-N130</x:f>
        <x:v>0.8555555555555554</x:v>
      </x:c>
      <x:c r="Q130" s="9" t="n">
        <x:f>'Physical_Arcs'!T10</x:f>
        <x:v>1.0833333333333333</x:v>
      </x:c>
      <x:c r="R130" s="9" t="n">
        <x:f>Q130*'Parameters'!$C$18</x:f>
        <x:v>0.21666666666666667</x:v>
      </x:c>
      <x:c r="S130" s="9" t="n">
        <x:f>R130*'Parameters'!$C$19</x:f>
        <x:v>0.27083333333333337</x:v>
      </x:c>
      <x:c r="T130" s="9" t="n">
        <x:f>Q130*(1-0.40)-R130</x:f>
        <x:v>0.43333333333333324</x:v>
      </x:c>
    </x:row>
    <x:row r="131" ht="21" customHeight="1">
      <x:c r="A131" s="3" t="n">
        <x:v>2</x:v>
      </x:c>
      <x:c r="B131" s="3" t="str">
        <x:v>00:20</x:v>
      </x:c>
      <x:c r="C131" s="3" t="n">
        <x:v>1</x:v>
      </x:c>
      <x:c r="D131" s="3" t="n">
        <x:v>10</x:v>
      </x:c>
      <x:c r="E131" s="3" t="n">
        <x:v>2</x:v>
      </x:c>
      <x:c r="F131" s="3" t="n">
        <x:v>3</x:v>
      </x:c>
      <x:c r="G131" s="9" t="n">
        <x:v>0.18</x:v>
      </x:c>
      <x:c r="H131" s="9" t="n">
        <x:v>0.871154</x:v>
      </x:c>
      <x:c r="I131" s="9" t="n">
        <x:f>'Physical_Arcs'!R11</x:f>
        <x:v>17.02777777777778</x:v>
      </x:c>
      <x:c r="J131" s="9" t="n">
        <x:f>I131*'Parameters'!$C$18</x:f>
        <x:v>3.405555555555556</x:v>
      </x:c>
      <x:c r="K131" s="9" t="n">
        <x:f>J131*'Parameters'!$C$19</x:f>
        <x:v>4.256944444444445</x:v>
      </x:c>
      <x:c r="L131" s="9" t="n">
        <x:f>I131*(1-0.40)-J131</x:f>
        <x:v>6.811111111111111</x:v>
      </x:c>
      <x:c r="M131" s="9" t="n">
        <x:f>'Physical_Arcs'!S11</x:f>
        <x:v>17.02777777777778</x:v>
      </x:c>
      <x:c r="N131" s="9" t="n">
        <x:f>M131*'Parameters'!$C$18</x:f>
        <x:v>3.405555555555556</x:v>
      </x:c>
      <x:c r="O131" s="9" t="n">
        <x:f>N131*'Parameters'!$C$19</x:f>
        <x:v>4.256944444444445</x:v>
      </x:c>
      <x:c r="P131" s="9" t="n">
        <x:f>M131*(1-0.40)-N131</x:f>
        <x:v>6.811111111111111</x:v>
      </x:c>
      <x:c r="Q131" s="9" t="n">
        <x:f>'Physical_Arcs'!T11</x:f>
        <x:v>17.02777777777778</x:v>
      </x:c>
      <x:c r="R131" s="9" t="n">
        <x:f>Q131*'Parameters'!$C$18</x:f>
        <x:v>3.405555555555556</x:v>
      </x:c>
      <x:c r="S131" s="9" t="n">
        <x:f>R131*'Parameters'!$C$19</x:f>
        <x:v>4.256944444444445</x:v>
      </x:c>
      <x:c r="T131" s="9" t="n">
        <x:f>Q131*(1-0.40)-R131</x:f>
        <x:v>6.811111111111111</x:v>
      </x:c>
    </x:row>
    <x:row r="132" ht="21" customHeight="1">
      <x:c r="A132" s="3" t="n">
        <x:v>2</x:v>
      </x:c>
      <x:c r="B132" s="3" t="str">
        <x:v>00:20</x:v>
      </x:c>
      <x:c r="C132" s="3" t="n">
        <x:v>1</x:v>
      </x:c>
      <x:c r="D132" s="3" t="n">
        <x:v>11</x:v>
      </x:c>
      <x:c r="E132" s="3" t="n">
        <x:v>2</x:v>
      </x:c>
      <x:c r="F132" s="3" t="n">
        <x:v>4</x:v>
      </x:c>
      <x:c r="G132" s="9" t="n">
        <x:v>0.18</x:v>
      </x:c>
      <x:c r="H132" s="9" t="n">
        <x:v>1.147412</x:v>
      </x:c>
      <x:c r="I132" s="9" t="n">
        <x:f>'Physical_Arcs'!R12</x:f>
        <x:v>7.972222222222222</x:v>
      </x:c>
      <x:c r="J132" s="9" t="n">
        <x:f>I132*'Parameters'!$C$18</x:f>
        <x:v>1.5944444444444446</x:v>
      </x:c>
      <x:c r="K132" s="9" t="n">
        <x:f>J132*'Parameters'!$C$19</x:f>
        <x:v>1.9930555555555558</x:v>
      </x:c>
      <x:c r="L132" s="9" t="n">
        <x:f>I132*(1-0.40)-J132</x:f>
        <x:v>3.1888888888888887</x:v>
      </x:c>
      <x:c r="M132" s="9" t="n">
        <x:f>'Physical_Arcs'!S12</x:f>
        <x:v>7.972222222222222</x:v>
      </x:c>
      <x:c r="N132" s="9" t="n">
        <x:f>M132*'Parameters'!$C$18</x:f>
        <x:v>1.5944444444444446</x:v>
      </x:c>
      <x:c r="O132" s="9" t="n">
        <x:f>N132*'Parameters'!$C$19</x:f>
        <x:v>1.9930555555555558</x:v>
      </x:c>
      <x:c r="P132" s="9" t="n">
        <x:f>M132*(1-0.40)-N132</x:f>
        <x:v>3.1888888888888887</x:v>
      </x:c>
      <x:c r="Q132" s="9" t="n">
        <x:f>'Physical_Arcs'!T12</x:f>
        <x:v>4</x:v>
      </x:c>
      <x:c r="R132" s="9" t="n">
        <x:f>Q132*'Parameters'!$C$18</x:f>
        <x:v>0.8</x:v>
      </x:c>
      <x:c r="S132" s="9" t="n">
        <x:f>R132*'Parameters'!$C$19</x:f>
        <x:v>1</x:v>
      </x:c>
      <x:c r="T132" s="9" t="n">
        <x:f>Q132*(1-0.40)-R132</x:f>
        <x:v>1.5999999999999999</x:v>
      </x:c>
    </x:row>
    <x:row r="133" ht="21" customHeight="1">
      <x:c r="A133" s="3" t="n">
        <x:v>2</x:v>
      </x:c>
      <x:c r="B133" s="3" t="str">
        <x:v>00:20</x:v>
      </x:c>
      <x:c r="C133" s="3" t="n">
        <x:v>1</x:v>
      </x:c>
      <x:c r="D133" s="3" t="n">
        <x:v>12</x:v>
      </x:c>
      <x:c r="E133" s="3" t="n">
        <x:v>2</x:v>
      </x:c>
      <x:c r="F133" s="3" t="n">
        <x:v>7</x:v>
      </x:c>
      <x:c r="G133" s="9" t="n">
        <x:v>0.18</x:v>
      </x:c>
      <x:c r="H133" s="9" t="n">
        <x:v>0.96729</x:v>
      </x:c>
      <x:c r="I133" s="9" t="n">
        <x:f>'Physical_Arcs'!R13</x:f>
        <x:v>4.611111111111111</x:v>
      </x:c>
      <x:c r="J133" s="9" t="n">
        <x:f>I133*'Parameters'!$C$18</x:f>
        <x:v>0.9222222222222222</x:v>
      </x:c>
      <x:c r="K133" s="9" t="n">
        <x:f>J133*'Parameters'!$C$19</x:f>
        <x:v>1.1527777777777777</x:v>
      </x:c>
      <x:c r="L133" s="9" t="n">
        <x:f>I133*(1-0.40)-J133</x:f>
        <x:v>1.844444444444444</x:v>
      </x:c>
      <x:c r="M133" s="9" t="n">
        <x:f>'Physical_Arcs'!S13</x:f>
        <x:v>4.611111111111111</x:v>
      </x:c>
      <x:c r="N133" s="9" t="n">
        <x:f>M133*'Parameters'!$C$18</x:f>
        <x:v>0.9222222222222222</x:v>
      </x:c>
      <x:c r="O133" s="9" t="n">
        <x:f>N133*'Parameters'!$C$19</x:f>
        <x:v>1.1527777777777777</x:v>
      </x:c>
      <x:c r="P133" s="9" t="n">
        <x:f>M133*(1-0.40)-N133</x:f>
        <x:v>1.844444444444444</x:v>
      </x:c>
      <x:c r="Q133" s="9" t="n">
        <x:f>'Physical_Arcs'!T13</x:f>
        <x:v>2.3055555555555554</x:v>
      </x:c>
      <x:c r="R133" s="9" t="n">
        <x:f>Q133*'Parameters'!$C$18</x:f>
        <x:v>0.4611111111111111</x:v>
      </x:c>
      <x:c r="S133" s="9" t="n">
        <x:f>R133*'Parameters'!$C$19</x:f>
        <x:v>0.5763888888888888</x:v>
      </x:c>
      <x:c r="T133" s="9" t="n">
        <x:f>Q133*(1-0.40)-R133</x:f>
        <x:v>0.922222222222222</x:v>
      </x:c>
    </x:row>
    <x:row r="134" ht="21" customHeight="1">
      <x:c r="A134" s="3" t="n">
        <x:v>2</x:v>
      </x:c>
      <x:c r="B134" s="3" t="str">
        <x:v>00:20</x:v>
      </x:c>
      <x:c r="C134" s="3" t="n">
        <x:v>1</x:v>
      </x:c>
      <x:c r="D134" s="3" t="n">
        <x:v>13</x:v>
      </x:c>
      <x:c r="E134" s="3" t="n">
        <x:v>2</x:v>
      </x:c>
      <x:c r="F134" s="3" t="n">
        <x:v>9</x:v>
      </x:c>
      <x:c r="G134" s="9" t="n">
        <x:v>0.18</x:v>
      </x:c>
      <x:c r="H134" s="9" t="n">
        <x:v>1.117625</x:v>
      </x:c>
      <x:c r="I134" s="9" t="n">
        <x:f>'Physical_Arcs'!R14</x:f>
        <x:v>8.666666666666666</x:v>
      </x:c>
      <x:c r="J134" s="9" t="n">
        <x:f>I134*'Parameters'!$C$18</x:f>
        <x:v>1.7333333333333334</x:v>
      </x:c>
      <x:c r="K134" s="9" t="n">
        <x:f>J134*'Parameters'!$C$19</x:f>
        <x:v>2.166666666666667</x:v>
      </x:c>
      <x:c r="L134" s="9" t="n">
        <x:f>I134*(1-0.40)-J134</x:f>
        <x:v>3.466666666666666</x:v>
      </x:c>
      <x:c r="M134" s="9" t="n">
        <x:f>'Physical_Arcs'!S14</x:f>
        <x:v>8.666666666666666</x:v>
      </x:c>
      <x:c r="N134" s="9" t="n">
        <x:f>M134*'Parameters'!$C$18</x:f>
        <x:v>1.7333333333333334</x:v>
      </x:c>
      <x:c r="O134" s="9" t="n">
        <x:f>N134*'Parameters'!$C$19</x:f>
        <x:v>2.166666666666667</x:v>
      </x:c>
      <x:c r="P134" s="9" t="n">
        <x:f>M134*(1-0.40)-N134</x:f>
        <x:v>3.466666666666666</x:v>
      </x:c>
      <x:c r="Q134" s="9" t="n">
        <x:f>'Physical_Arcs'!T14</x:f>
        <x:v>4.333333333333333</x:v>
      </x:c>
      <x:c r="R134" s="9" t="n">
        <x:f>Q134*'Parameters'!$C$18</x:f>
        <x:v>0.8666666666666667</x:v>
      </x:c>
      <x:c r="S134" s="9" t="n">
        <x:f>R134*'Parameters'!$C$19</x:f>
        <x:v>1.0833333333333335</x:v>
      </x:c>
      <x:c r="T134" s="9" t="n">
        <x:f>Q134*(1-0.40)-R134</x:f>
        <x:v>1.733333333333333</x:v>
      </x:c>
    </x:row>
    <x:row r="135" ht="21" customHeight="1">
      <x:c r="A135" s="3" t="n">
        <x:v>2</x:v>
      </x:c>
      <x:c r="B135" s="3" t="str">
        <x:v>00:20</x:v>
      </x:c>
      <x:c r="C135" s="3" t="n">
        <x:v>1</x:v>
      </x:c>
      <x:c r="D135" s="3" t="n">
        <x:v>14</x:v>
      </x:c>
      <x:c r="E135" s="3" t="n">
        <x:v>2</x:v>
      </x:c>
      <x:c r="F135" s="3" t="n">
        <x:v>8</x:v>
      </x:c>
      <x:c r="G135" s="9" t="n">
        <x:v>0.18</x:v>
      </x:c>
      <x:c r="H135" s="9" t="n">
        <x:v>1.144902</x:v>
      </x:c>
      <x:c r="I135" s="9" t="n">
        <x:f>'Physical_Arcs'!R15</x:f>
        <x:v>7.75</x:v>
      </x:c>
      <x:c r="J135" s="9" t="n">
        <x:f>I135*'Parameters'!$C$18</x:f>
        <x:v>1.55</x:v>
      </x:c>
      <x:c r="K135" s="9" t="n">
        <x:f>J135*'Parameters'!$C$19</x:f>
        <x:v>1.9375</x:v>
      </x:c>
      <x:c r="L135" s="9" t="n">
        <x:f>I135*(1-0.40)-J135</x:f>
        <x:v>3.0999999999999996</x:v>
      </x:c>
      <x:c r="M135" s="9" t="n">
        <x:f>'Physical_Arcs'!S15</x:f>
        <x:v>7.75</x:v>
      </x:c>
      <x:c r="N135" s="9" t="n">
        <x:f>M135*'Parameters'!$C$18</x:f>
        <x:v>1.55</x:v>
      </x:c>
      <x:c r="O135" s="9" t="n">
        <x:f>N135*'Parameters'!$C$19</x:f>
        <x:v>1.9375</x:v>
      </x:c>
      <x:c r="P135" s="9" t="n">
        <x:f>M135*(1-0.40)-N135</x:f>
        <x:v>3.0999999999999996</x:v>
      </x:c>
      <x:c r="Q135" s="9" t="n">
        <x:f>'Physical_Arcs'!T15</x:f>
        <x:v>3.888888888888889</x:v>
      </x:c>
      <x:c r="R135" s="9" t="n">
        <x:f>Q135*'Parameters'!$C$18</x:f>
        <x:v>0.7777777777777778</x:v>
      </x:c>
      <x:c r="S135" s="9" t="n">
        <x:f>R135*'Parameters'!$C$19</x:f>
        <x:v>0.9722222222222222</x:v>
      </x:c>
      <x:c r="T135" s="9" t="n">
        <x:f>Q135*(1-0.40)-R135</x:f>
        <x:v>1.5555555555555554</x:v>
      </x:c>
    </x:row>
    <x:row r="136" ht="21" customHeight="1">
      <x:c r="A136" s="3" t="n">
        <x:v>2</x:v>
      </x:c>
      <x:c r="B136" s="3" t="str">
        <x:v>00:20</x:v>
      </x:c>
      <x:c r="C136" s="3" t="n">
        <x:v>1</x:v>
      </x:c>
      <x:c r="D136" s="3" t="n">
        <x:v>15</x:v>
      </x:c>
      <x:c r="E136" s="3" t="n">
        <x:v>2</x:v>
      </x:c>
      <x:c r="F136" s="3" t="n">
        <x:v>10</x:v>
      </x:c>
      <x:c r="G136" s="9" t="n">
        <x:v>0.18</x:v>
      </x:c>
      <x:c r="H136" s="9" t="n">
        <x:v>1.146684</x:v>
      </x:c>
      <x:c r="I136" s="9" t="n">
        <x:f>'Physical_Arcs'!R16</x:f>
        <x:v>7.416666666666667</x:v>
      </x:c>
      <x:c r="J136" s="9" t="n">
        <x:f>I136*'Parameters'!$C$18</x:f>
        <x:v>1.4833333333333334</x:v>
      </x:c>
      <x:c r="K136" s="9" t="n">
        <x:f>J136*'Parameters'!$C$19</x:f>
        <x:v>1.8541666666666667</x:v>
      </x:c>
      <x:c r="L136" s="9" t="n">
        <x:f>I136*(1-0.40)-J136</x:f>
        <x:v>2.966666666666667</x:v>
      </x:c>
      <x:c r="M136" s="9" t="n">
        <x:f>'Physical_Arcs'!S16</x:f>
        <x:v>7.416666666666667</x:v>
      </x:c>
      <x:c r="N136" s="9" t="n">
        <x:f>M136*'Parameters'!$C$18</x:f>
        <x:v>1.4833333333333334</x:v>
      </x:c>
      <x:c r="O136" s="9" t="n">
        <x:f>N136*'Parameters'!$C$19</x:f>
        <x:v>1.8541666666666667</x:v>
      </x:c>
      <x:c r="P136" s="9" t="n">
        <x:f>M136*(1-0.40)-N136</x:f>
        <x:v>2.966666666666667</x:v>
      </x:c>
      <x:c r="Q136" s="9" t="n">
        <x:f>'Physical_Arcs'!T16</x:f>
        <x:v>3.7222222222222223</x:v>
      </x:c>
      <x:c r="R136" s="9" t="n">
        <x:f>Q136*'Parameters'!$C$18</x:f>
        <x:v>0.7444444444444445</x:v>
      </x:c>
      <x:c r="S136" s="9" t="n">
        <x:f>R136*'Parameters'!$C$19</x:f>
        <x:v>0.9305555555555556</x:v>
      </x:c>
      <x:c r="T136" s="9" t="n">
        <x:f>Q136*(1-0.40)-R136</x:f>
        <x:v>1.488888888888889</x:v>
      </x:c>
    </x:row>
    <x:row r="137" ht="21" customHeight="1">
      <x:c r="A137" s="3" t="n">
        <x:v>2</x:v>
      </x:c>
      <x:c r="B137" s="3" t="str">
        <x:v>00:20</x:v>
      </x:c>
      <x:c r="C137" s="3" t="n">
        <x:v>1</x:v>
      </x:c>
      <x:c r="D137" s="3" t="n">
        <x:v>16</x:v>
      </x:c>
      <x:c r="E137" s="3" t="n">
        <x:v>3</x:v>
      </x:c>
      <x:c r="F137" s="3" t="n">
        <x:v>4</x:v>
      </x:c>
      <x:c r="G137" s="9" t="n">
        <x:v>0.18</x:v>
      </x:c>
      <x:c r="H137" s="9" t="n">
        <x:v>1.017658</x:v>
      </x:c>
      <x:c r="I137" s="9" t="n">
        <x:f>'Physical_Arcs'!R17</x:f>
        <x:v>17.02777777777778</x:v>
      </x:c>
      <x:c r="J137" s="9" t="n">
        <x:f>I137*'Parameters'!$C$18</x:f>
        <x:v>3.405555555555556</x:v>
      </x:c>
      <x:c r="K137" s="9" t="n">
        <x:f>J137*'Parameters'!$C$19</x:f>
        <x:v>4.256944444444445</x:v>
      </x:c>
      <x:c r="L137" s="9" t="n">
        <x:f>I137*(1-0.40)-J137</x:f>
        <x:v>6.811111111111111</x:v>
      </x:c>
      <x:c r="M137" s="9" t="n">
        <x:f>'Physical_Arcs'!S17</x:f>
        <x:v>17.02777777777778</x:v>
      </x:c>
      <x:c r="N137" s="9" t="n">
        <x:f>M137*'Parameters'!$C$18</x:f>
        <x:v>3.405555555555556</x:v>
      </x:c>
      <x:c r="O137" s="9" t="n">
        <x:f>N137*'Parameters'!$C$19</x:f>
        <x:v>4.256944444444445</x:v>
      </x:c>
      <x:c r="P137" s="9" t="n">
        <x:f>M137*(1-0.40)-N137</x:f>
        <x:v>6.811111111111111</x:v>
      </x:c>
      <x:c r="Q137" s="9" t="n">
        <x:f>'Physical_Arcs'!T17</x:f>
        <x:v>17.02777777777778</x:v>
      </x:c>
      <x:c r="R137" s="9" t="n">
        <x:f>Q137*'Parameters'!$C$18</x:f>
        <x:v>3.405555555555556</x:v>
      </x:c>
      <x:c r="S137" s="9" t="n">
        <x:f>R137*'Parameters'!$C$19</x:f>
        <x:v>4.256944444444445</x:v>
      </x:c>
      <x:c r="T137" s="9" t="n">
        <x:f>Q137*(1-0.40)-R137</x:f>
        <x:v>6.811111111111111</x:v>
      </x:c>
    </x:row>
    <x:row r="138" ht="21" customHeight="1">
      <x:c r="A138" s="3" t="n">
        <x:v>2</x:v>
      </x:c>
      <x:c r="B138" s="3" t="str">
        <x:v>00:20</x:v>
      </x:c>
      <x:c r="C138" s="3" t="n">
        <x:v>1</x:v>
      </x:c>
      <x:c r="D138" s="3" t="n">
        <x:v>17</x:v>
      </x:c>
      <x:c r="E138" s="3" t="n">
        <x:v>3</x:v>
      </x:c>
      <x:c r="F138" s="3" t="n">
        <x:v>2</x:v>
      </x:c>
      <x:c r="G138" s="9" t="n">
        <x:v>0.18</x:v>
      </x:c>
      <x:c r="H138" s="9" t="n">
        <x:v>0.875995</x:v>
      </x:c>
      <x:c r="I138" s="9" t="n">
        <x:f>'Physical_Arcs'!R18</x:f>
        <x:v>10.666666666666666</x:v>
      </x:c>
      <x:c r="J138" s="9" t="n">
        <x:f>I138*'Parameters'!$C$18</x:f>
        <x:v>2.1333333333333333</x:v>
      </x:c>
      <x:c r="K138" s="9" t="n">
        <x:f>J138*'Parameters'!$C$19</x:f>
        <x:v>2.6666666666666665</x:v>
      </x:c>
      <x:c r="L138" s="9" t="n">
        <x:f>I138*(1-0.40)-J138</x:f>
        <x:v>4.266666666666666</x:v>
      </x:c>
      <x:c r="M138" s="9" t="n">
        <x:f>'Physical_Arcs'!S18</x:f>
        <x:v>10.666666666666666</x:v>
      </x:c>
      <x:c r="N138" s="9" t="n">
        <x:f>M138*'Parameters'!$C$18</x:f>
        <x:v>2.1333333333333333</x:v>
      </x:c>
      <x:c r="O138" s="9" t="n">
        <x:f>N138*'Parameters'!$C$19</x:f>
        <x:v>2.6666666666666665</x:v>
      </x:c>
      <x:c r="P138" s="9" t="n">
        <x:f>M138*(1-0.40)-N138</x:f>
        <x:v>4.266666666666666</x:v>
      </x:c>
      <x:c r="Q138" s="9" t="n">
        <x:f>'Physical_Arcs'!T18</x:f>
        <x:v>5.333333333333333</x:v>
      </x:c>
      <x:c r="R138" s="9" t="n">
        <x:f>Q138*'Parameters'!$C$18</x:f>
        <x:v>1.0666666666666667</x:v>
      </x:c>
      <x:c r="S138" s="9" t="n">
        <x:f>R138*'Parameters'!$C$19</x:f>
        <x:v>1.3333333333333333</x:v>
      </x:c>
      <x:c r="T138" s="9" t="n">
        <x:f>Q138*(1-0.40)-R138</x:f>
        <x:v>2.133333333333333</x:v>
      </x:c>
    </x:row>
    <x:row r="139" ht="21" customHeight="1">
      <x:c r="A139" s="3" t="n">
        <x:v>2</x:v>
      </x:c>
      <x:c r="B139" s="3" t="str">
        <x:v>00:20</x:v>
      </x:c>
      <x:c r="C139" s="3" t="n">
        <x:v>1</x:v>
      </x:c>
      <x:c r="D139" s="3" t="n">
        <x:v>18</x:v>
      </x:c>
      <x:c r="E139" s="3" t="n">
        <x:v>3</x:v>
      </x:c>
      <x:c r="F139" s="3" t="n">
        <x:v>1</x:v>
      </x:c>
      <x:c r="G139" s="9" t="n">
        <x:v>0.18</x:v>
      </x:c>
      <x:c r="H139" s="9" t="n">
        <x:v>1.015397</x:v>
      </x:c>
      <x:c r="I139" s="9" t="n">
        <x:f>'Physical_Arcs'!R19</x:f>
        <x:v>5.166666666666667</x:v>
      </x:c>
      <x:c r="J139" s="9" t="n">
        <x:f>I139*'Parameters'!$C$18</x:f>
        <x:v>1.0333333333333334</x:v>
      </x:c>
      <x:c r="K139" s="9" t="n">
        <x:f>J139*'Parameters'!$C$19</x:f>
        <x:v>1.2916666666666667</x:v>
      </x:c>
      <x:c r="L139" s="9" t="n">
        <x:f>I139*(1-0.40)-J139</x:f>
        <x:v>2.0666666666666664</x:v>
      </x:c>
      <x:c r="M139" s="9" t="n">
        <x:f>'Physical_Arcs'!S19</x:f>
        <x:v>5.166666666666667</x:v>
      </x:c>
      <x:c r="N139" s="9" t="n">
        <x:f>M139*'Parameters'!$C$18</x:f>
        <x:v>1.0333333333333334</x:v>
      </x:c>
      <x:c r="O139" s="9" t="n">
        <x:f>N139*'Parameters'!$C$19</x:f>
        <x:v>1.2916666666666667</x:v>
      </x:c>
      <x:c r="P139" s="9" t="n">
        <x:f>M139*(1-0.40)-N139</x:f>
        <x:v>2.0666666666666664</x:v>
      </x:c>
      <x:c r="Q139" s="9" t="n">
        <x:f>'Physical_Arcs'!T19</x:f>
        <x:v>2.5833333333333335</x:v>
      </x:c>
      <x:c r="R139" s="9" t="n">
        <x:f>Q139*'Parameters'!$C$18</x:f>
        <x:v>0.5166666666666667</x:v>
      </x:c>
      <x:c r="S139" s="9" t="n">
        <x:f>R139*'Parameters'!$C$19</x:f>
        <x:v>0.6458333333333334</x:v>
      </x:c>
      <x:c r="T139" s="9" t="n">
        <x:f>Q139*(1-0.40)-R139</x:f>
        <x:v>1.0333333333333332</x:v>
      </x:c>
    </x:row>
    <x:row r="140" ht="21" customHeight="1">
      <x:c r="A140" s="3" t="n">
        <x:v>2</x:v>
      </x:c>
      <x:c r="B140" s="3" t="str">
        <x:v>00:20</x:v>
      </x:c>
      <x:c r="C140" s="3" t="n">
        <x:v>1</x:v>
      </x:c>
      <x:c r="D140" s="3" t="n">
        <x:v>19</x:v>
      </x:c>
      <x:c r="E140" s="3" t="n">
        <x:v>3</x:v>
      </x:c>
      <x:c r="F140" s="3" t="n">
        <x:v>7</x:v>
      </x:c>
      <x:c r="G140" s="9" t="n">
        <x:v>0.18</x:v>
      </x:c>
      <x:c r="H140" s="9" t="n">
        <x:v>0.996008</x:v>
      </x:c>
      <x:c r="I140" s="9" t="n">
        <x:f>'Physical_Arcs'!R20</x:f>
        <x:v>5.75</x:v>
      </x:c>
      <x:c r="J140" s="9" t="n">
        <x:f>I140*'Parameters'!$C$18</x:f>
        <x:v>1.1500000000000001</x:v>
      </x:c>
      <x:c r="K140" s="9" t="n">
        <x:f>J140*'Parameters'!$C$19</x:f>
        <x:v>1.4375000000000002</x:v>
      </x:c>
      <x:c r="L140" s="9" t="n">
        <x:f>I140*(1-0.40)-J140</x:f>
        <x:v>2.3</x:v>
      </x:c>
      <x:c r="M140" s="9" t="n">
        <x:f>'Physical_Arcs'!S20</x:f>
        <x:v>5.75</x:v>
      </x:c>
      <x:c r="N140" s="9" t="n">
        <x:f>M140*'Parameters'!$C$18</x:f>
        <x:v>1.1500000000000001</x:v>
      </x:c>
      <x:c r="O140" s="9" t="n">
        <x:f>N140*'Parameters'!$C$19</x:f>
        <x:v>1.4375000000000002</x:v>
      </x:c>
      <x:c r="P140" s="9" t="n">
        <x:f>M140*(1-0.40)-N140</x:f>
        <x:v>2.3</x:v>
      </x:c>
      <x:c r="Q140" s="9" t="n">
        <x:f>'Physical_Arcs'!T20</x:f>
        <x:v>2.888888888888889</x:v>
      </x:c>
      <x:c r="R140" s="9" t="n">
        <x:f>Q140*'Parameters'!$C$18</x:f>
        <x:v>0.5777777777777778</x:v>
      </x:c>
      <x:c r="S140" s="9" t="n">
        <x:f>R140*'Parameters'!$C$19</x:f>
        <x:v>0.7222222222222223</x:v>
      </x:c>
      <x:c r="T140" s="9" t="n">
        <x:f>Q140*(1-0.40)-R140</x:f>
        <x:v>1.1555555555555554</x:v>
      </x:c>
    </x:row>
    <x:row r="141" ht="21" customHeight="1">
      <x:c r="A141" s="3" t="n">
        <x:v>2</x:v>
      </x:c>
      <x:c r="B141" s="3" t="str">
        <x:v>00:20</x:v>
      </x:c>
      <x:c r="C141" s="3" t="n">
        <x:v>1</x:v>
      </x:c>
      <x:c r="D141" s="3" t="n">
        <x:v>20</x:v>
      </x:c>
      <x:c r="E141" s="3" t="n">
        <x:v>3</x:v>
      </x:c>
      <x:c r="F141" s="3" t="n">
        <x:v>10</x:v>
      </x:c>
      <x:c r="G141" s="9" t="n">
        <x:v>0.18</x:v>
      </x:c>
      <x:c r="H141" s="9" t="n">
        <x:v>1.118855</x:v>
      </x:c>
      <x:c r="I141" s="9" t="n">
        <x:f>'Physical_Arcs'!R21</x:f>
        <x:v>5.166666666666667</x:v>
      </x:c>
      <x:c r="J141" s="9" t="n">
        <x:f>I141*'Parameters'!$C$18</x:f>
        <x:v>1.0333333333333334</x:v>
      </x:c>
      <x:c r="K141" s="9" t="n">
        <x:f>J141*'Parameters'!$C$19</x:f>
        <x:v>1.2916666666666667</x:v>
      </x:c>
      <x:c r="L141" s="9" t="n">
        <x:f>I141*(1-0.40)-J141</x:f>
        <x:v>2.0666666666666664</x:v>
      </x:c>
      <x:c r="M141" s="9" t="n">
        <x:f>'Physical_Arcs'!S21</x:f>
        <x:v>5.166666666666667</x:v>
      </x:c>
      <x:c r="N141" s="9" t="n">
        <x:f>M141*'Parameters'!$C$18</x:f>
        <x:v>1.0333333333333334</x:v>
      </x:c>
      <x:c r="O141" s="9" t="n">
        <x:f>N141*'Parameters'!$C$19</x:f>
        <x:v>1.2916666666666667</x:v>
      </x:c>
      <x:c r="P141" s="9" t="n">
        <x:f>M141*(1-0.40)-N141</x:f>
        <x:v>2.0666666666666664</x:v>
      </x:c>
      <x:c r="Q141" s="9" t="n">
        <x:f>'Physical_Arcs'!T21</x:f>
        <x:v>2.5833333333333335</x:v>
      </x:c>
      <x:c r="R141" s="9" t="n">
        <x:f>Q141*'Parameters'!$C$18</x:f>
        <x:v>0.5166666666666667</x:v>
      </x:c>
      <x:c r="S141" s="9" t="n">
        <x:f>R141*'Parameters'!$C$19</x:f>
        <x:v>0.6458333333333334</x:v>
      </x:c>
      <x:c r="T141" s="9" t="n">
        <x:f>Q141*(1-0.40)-R141</x:f>
        <x:v>1.0333333333333332</x:v>
      </x:c>
    </x:row>
    <x:row r="142" ht="21" customHeight="1">
      <x:c r="A142" s="3" t="n">
        <x:v>2</x:v>
      </x:c>
      <x:c r="B142" s="3" t="str">
        <x:v>00:20</x:v>
      </x:c>
      <x:c r="C142" s="3" t="n">
        <x:v>1</x:v>
      </x:c>
      <x:c r="D142" s="3" t="n">
        <x:v>21</x:v>
      </x:c>
      <x:c r="E142" s="3" t="n">
        <x:v>3</x:v>
      </x:c>
      <x:c r="F142" s="3" t="n">
        <x:v>9</x:v>
      </x:c>
      <x:c r="G142" s="9" t="n">
        <x:v>0.18</x:v>
      </x:c>
      <x:c r="H142" s="9" t="n">
        <x:v>0.947299</x:v>
      </x:c>
      <x:c r="I142" s="9" t="n">
        <x:f>'Physical_Arcs'!R22</x:f>
        <x:v>9.333333333333334</x:v>
      </x:c>
      <x:c r="J142" s="9" t="n">
        <x:f>I142*'Parameters'!$C$18</x:f>
        <x:v>1.866666666666667</x:v>
      </x:c>
      <x:c r="K142" s="9" t="n">
        <x:f>J142*'Parameters'!$C$19</x:f>
        <x:v>2.3333333333333335</x:v>
      </x:c>
      <x:c r="L142" s="9" t="n">
        <x:f>I142*(1-0.40)-J142</x:f>
        <x:v>3.7333333333333334</x:v>
      </x:c>
      <x:c r="M142" s="9" t="n">
        <x:f>'Physical_Arcs'!S22</x:f>
        <x:v>9.333333333333334</x:v>
      </x:c>
      <x:c r="N142" s="9" t="n">
        <x:f>M142*'Parameters'!$C$18</x:f>
        <x:v>1.866666666666667</x:v>
      </x:c>
      <x:c r="O142" s="9" t="n">
        <x:f>N142*'Parameters'!$C$19</x:f>
        <x:v>2.3333333333333335</x:v>
      </x:c>
      <x:c r="P142" s="9" t="n">
        <x:f>M142*(1-0.40)-N142</x:f>
        <x:v>3.7333333333333334</x:v>
      </x:c>
      <x:c r="Q142" s="9" t="n">
        <x:f>'Physical_Arcs'!T22</x:f>
        <x:v>4.666666666666667</x:v>
      </x:c>
      <x:c r="R142" s="9" t="n">
        <x:f>Q142*'Parameters'!$C$18</x:f>
        <x:v>0.9333333333333335</x:v>
      </x:c>
      <x:c r="S142" s="9" t="n">
        <x:f>R142*'Parameters'!$C$19</x:f>
        <x:v>1.1666666666666667</x:v>
      </x:c>
      <x:c r="T142" s="9" t="n">
        <x:f>Q142*(1-0.40)-R142</x:f>
        <x:v>1.8666666666666667</x:v>
      </x:c>
    </x:row>
    <x:row r="143" ht="21" customHeight="1">
      <x:c r="A143" s="3" t="n">
        <x:v>2</x:v>
      </x:c>
      <x:c r="B143" s="3" t="str">
        <x:v>00:20</x:v>
      </x:c>
      <x:c r="C143" s="3" t="n">
        <x:v>1</x:v>
      </x:c>
      <x:c r="D143" s="3" t="n">
        <x:v>22</x:v>
      </x:c>
      <x:c r="E143" s="3" t="n">
        <x:v>4</x:v>
      </x:c>
      <x:c r="F143" s="3" t="n">
        <x:v>5</x:v>
      </x:c>
      <x:c r="G143" s="9" t="n">
        <x:v>0.18</x:v>
      </x:c>
      <x:c r="H143" s="9" t="n">
        <x:v>0.958485</x:v>
      </x:c>
      <x:c r="I143" s="9" t="n">
        <x:f>'Physical_Arcs'!R23</x:f>
        <x:v>17.02777777777778</x:v>
      </x:c>
      <x:c r="J143" s="9" t="n">
        <x:f>I143*'Parameters'!$C$18</x:f>
        <x:v>3.405555555555556</x:v>
      </x:c>
      <x:c r="K143" s="9" t="n">
        <x:f>J143*'Parameters'!$C$19</x:f>
        <x:v>4.256944444444445</x:v>
      </x:c>
      <x:c r="L143" s="9" t="n">
        <x:f>I143*(1-0.40)-J143</x:f>
        <x:v>6.811111111111111</x:v>
      </x:c>
      <x:c r="M143" s="9" t="n">
        <x:f>'Physical_Arcs'!S23</x:f>
        <x:v>17.02777777777778</x:v>
      </x:c>
      <x:c r="N143" s="9" t="n">
        <x:f>M143*'Parameters'!$C$18</x:f>
        <x:v>3.405555555555556</x:v>
      </x:c>
      <x:c r="O143" s="9" t="n">
        <x:f>N143*'Parameters'!$C$19</x:f>
        <x:v>4.256944444444445</x:v>
      </x:c>
      <x:c r="P143" s="9" t="n">
        <x:f>M143*(1-0.40)-N143</x:f>
        <x:v>6.811111111111111</x:v>
      </x:c>
      <x:c r="Q143" s="9" t="n">
        <x:f>'Physical_Arcs'!T23</x:f>
        <x:v>17.02777777777778</x:v>
      </x:c>
      <x:c r="R143" s="9" t="n">
        <x:f>Q143*'Parameters'!$C$18</x:f>
        <x:v>3.405555555555556</x:v>
      </x:c>
      <x:c r="S143" s="9" t="n">
        <x:f>R143*'Parameters'!$C$19</x:f>
        <x:v>4.256944444444445</x:v>
      </x:c>
      <x:c r="T143" s="9" t="n">
        <x:f>Q143*(1-0.40)-R143</x:f>
        <x:v>6.811111111111111</x:v>
      </x:c>
    </x:row>
    <x:row r="144" ht="21" customHeight="1">
      <x:c r="A144" s="3" t="n">
        <x:v>2</x:v>
      </x:c>
      <x:c r="B144" s="3" t="str">
        <x:v>00:20</x:v>
      </x:c>
      <x:c r="C144" s="3" t="n">
        <x:v>1</x:v>
      </x:c>
      <x:c r="D144" s="3" t="n">
        <x:v>23</x:v>
      </x:c>
      <x:c r="E144" s="3" t="n">
        <x:v>4</x:v>
      </x:c>
      <x:c r="F144" s="3" t="n">
        <x:v>3</x:v>
      </x:c>
      <x:c r="G144" s="9" t="n">
        <x:v>0.18</x:v>
      </x:c>
      <x:c r="H144" s="9" t="n">
        <x:v>0.944916</x:v>
      </x:c>
      <x:c r="I144" s="9" t="n">
        <x:f>'Physical_Arcs'!R24</x:f>
        <x:v>9.333333333333334</x:v>
      </x:c>
      <x:c r="J144" s="9" t="n">
        <x:f>I144*'Parameters'!$C$18</x:f>
        <x:v>1.866666666666667</x:v>
      </x:c>
      <x:c r="K144" s="9" t="n">
        <x:f>J144*'Parameters'!$C$19</x:f>
        <x:v>2.3333333333333335</x:v>
      </x:c>
      <x:c r="L144" s="9" t="n">
        <x:f>I144*(1-0.40)-J144</x:f>
        <x:v>3.7333333333333334</x:v>
      </x:c>
      <x:c r="M144" s="9" t="n">
        <x:f>'Physical_Arcs'!S24</x:f>
        <x:v>9.333333333333334</x:v>
      </x:c>
      <x:c r="N144" s="9" t="n">
        <x:f>M144*'Parameters'!$C$18</x:f>
        <x:v>1.866666666666667</x:v>
      </x:c>
      <x:c r="O144" s="9" t="n">
        <x:f>N144*'Parameters'!$C$19</x:f>
        <x:v>2.3333333333333335</x:v>
      </x:c>
      <x:c r="P144" s="9" t="n">
        <x:f>M144*(1-0.40)-N144</x:f>
        <x:v>3.7333333333333334</x:v>
      </x:c>
      <x:c r="Q144" s="9" t="n">
        <x:f>'Physical_Arcs'!T24</x:f>
        <x:v>4.666666666666667</x:v>
      </x:c>
      <x:c r="R144" s="9" t="n">
        <x:f>Q144*'Parameters'!$C$18</x:f>
        <x:v>0.9333333333333335</x:v>
      </x:c>
      <x:c r="S144" s="9" t="n">
        <x:f>R144*'Parameters'!$C$19</x:f>
        <x:v>1.1666666666666667</x:v>
      </x:c>
      <x:c r="T144" s="9" t="n">
        <x:f>Q144*(1-0.40)-R144</x:f>
        <x:v>1.8666666666666667</x:v>
      </x:c>
    </x:row>
    <x:row r="145" ht="21" customHeight="1">
      <x:c r="A145" s="3" t="n">
        <x:v>2</x:v>
      </x:c>
      <x:c r="B145" s="3" t="str">
        <x:v>00:20</x:v>
      </x:c>
      <x:c r="C145" s="3" t="n">
        <x:v>1</x:v>
      </x:c>
      <x:c r="D145" s="3" t="n">
        <x:v>24</x:v>
      </x:c>
      <x:c r="E145" s="3" t="n">
        <x:v>4</x:v>
      </x:c>
      <x:c r="F145" s="3" t="n">
        <x:v>10</x:v>
      </x:c>
      <x:c r="G145" s="9" t="n">
        <x:v>0.18</x:v>
      </x:c>
      <x:c r="H145" s="9" t="n">
        <x:v>0.875461</x:v>
      </x:c>
      <x:c r="I145" s="9" t="n">
        <x:f>'Physical_Arcs'!R25</x:f>
        <x:v>7.194444444444445</x:v>
      </x:c>
      <x:c r="J145" s="9" t="n">
        <x:f>I145*'Parameters'!$C$18</x:f>
        <x:v>1.438888888888889</x:v>
      </x:c>
      <x:c r="K145" s="9" t="n">
        <x:f>J145*'Parameters'!$C$19</x:f>
        <x:v>1.7986111111111114</x:v>
      </x:c>
      <x:c r="L145" s="9" t="n">
        <x:f>I145*(1-0.40)-J145</x:f>
        <x:v>2.8777777777777773</x:v>
      </x:c>
      <x:c r="M145" s="9" t="n">
        <x:f>'Physical_Arcs'!S25</x:f>
        <x:v>7.194444444444445</x:v>
      </x:c>
      <x:c r="N145" s="9" t="n">
        <x:f>M145*'Parameters'!$C$18</x:f>
        <x:v>1.438888888888889</x:v>
      </x:c>
      <x:c r="O145" s="9" t="n">
        <x:f>N145*'Parameters'!$C$19</x:f>
        <x:v>1.7986111111111114</x:v>
      </x:c>
      <x:c r="P145" s="9" t="n">
        <x:f>M145*(1-0.40)-N145</x:f>
        <x:v>2.8777777777777773</x:v>
      </x:c>
      <x:c r="Q145" s="9" t="n">
        <x:f>'Physical_Arcs'!T25</x:f>
        <x:v>3.611111111111111</x:v>
      </x:c>
      <x:c r="R145" s="9" t="n">
        <x:f>Q145*'Parameters'!$C$18</x:f>
        <x:v>0.7222222222222223</x:v>
      </x:c>
      <x:c r="S145" s="9" t="n">
        <x:f>R145*'Parameters'!$C$19</x:f>
        <x:v>0.9027777777777779</x:v>
      </x:c>
      <x:c r="T145" s="9" t="n">
        <x:f>Q145*(1-0.40)-R145</x:f>
        <x:v>1.4444444444444442</x:v>
      </x:c>
    </x:row>
    <x:row r="146" ht="21" customHeight="1">
      <x:c r="A146" s="3" t="n">
        <x:v>2</x:v>
      </x:c>
      <x:c r="B146" s="3" t="str">
        <x:v>00:20</x:v>
      </x:c>
      <x:c r="C146" s="3" t="n">
        <x:v>1</x:v>
      </x:c>
      <x:c r="D146" s="3" t="n">
        <x:v>25</x:v>
      </x:c>
      <x:c r="E146" s="3" t="n">
        <x:v>4</x:v>
      </x:c>
      <x:c r="F146" s="3" t="n">
        <x:v>8</x:v>
      </x:c>
      <x:c r="G146" s="9" t="n">
        <x:v>0.18</x:v>
      </x:c>
      <x:c r="H146" s="9" t="n">
        <x:v>0.993326</x:v>
      </x:c>
      <x:c r="I146" s="9" t="n">
        <x:f>'Physical_Arcs'!R26</x:f>
        <x:v>5.277777777777778</x:v>
      </x:c>
      <x:c r="J146" s="9" t="n">
        <x:f>I146*'Parameters'!$C$18</x:f>
        <x:v>1.0555555555555556</x:v>
      </x:c>
      <x:c r="K146" s="9" t="n">
        <x:f>J146*'Parameters'!$C$19</x:f>
        <x:v>1.3194444444444444</x:v>
      </x:c>
      <x:c r="L146" s="9" t="n">
        <x:f>I146*(1-0.40)-J146</x:f>
        <x:v>2.1111111111111107</x:v>
      </x:c>
      <x:c r="M146" s="9" t="n">
        <x:f>'Physical_Arcs'!S26</x:f>
        <x:v>5.277777777777778</x:v>
      </x:c>
      <x:c r="N146" s="9" t="n">
        <x:f>M146*'Parameters'!$C$18</x:f>
        <x:v>1.0555555555555556</x:v>
      </x:c>
      <x:c r="O146" s="9" t="n">
        <x:f>N146*'Parameters'!$C$19</x:f>
        <x:v>1.3194444444444444</x:v>
      </x:c>
      <x:c r="P146" s="9" t="n">
        <x:f>M146*(1-0.40)-N146</x:f>
        <x:v>2.1111111111111107</x:v>
      </x:c>
      <x:c r="Q146" s="9" t="n">
        <x:f>'Physical_Arcs'!T26</x:f>
        <x:v>2.638888888888889</x:v>
      </x:c>
      <x:c r="R146" s="9" t="n">
        <x:f>Q146*'Parameters'!$C$18</x:f>
        <x:v>0.5277777777777778</x:v>
      </x:c>
      <x:c r="S146" s="9" t="n">
        <x:f>R146*'Parameters'!$C$19</x:f>
        <x:v>0.6597222222222222</x:v>
      </x:c>
      <x:c r="T146" s="9" t="n">
        <x:f>Q146*(1-0.40)-R146</x:f>
        <x:v>1.0555555555555554</x:v>
      </x:c>
    </x:row>
    <x:row r="147" ht="21" customHeight="1">
      <x:c r="A147" s="3" t="n">
        <x:v>2</x:v>
      </x:c>
      <x:c r="B147" s="3" t="str">
        <x:v>00:20</x:v>
      </x:c>
      <x:c r="C147" s="3" t="n">
        <x:v>1</x:v>
      </x:c>
      <x:c r="D147" s="3" t="n">
        <x:v>26</x:v>
      </x:c>
      <x:c r="E147" s="3" t="n">
        <x:v>4</x:v>
      </x:c>
      <x:c r="F147" s="3" t="n">
        <x:v>7</x:v>
      </x:c>
      <x:c r="G147" s="9" t="n">
        <x:v>0.18</x:v>
      </x:c>
      <x:c r="H147" s="9" t="n">
        <x:v>1.099203</x:v>
      </x:c>
      <x:c r="I147" s="9" t="n">
        <x:f>'Physical_Arcs'!R27</x:f>
        <x:v>6.527777777777778</x:v>
      </x:c>
      <x:c r="J147" s="9" t="n">
        <x:f>I147*'Parameters'!$C$18</x:f>
        <x:v>1.3055555555555556</x:v>
      </x:c>
      <x:c r="K147" s="9" t="n">
        <x:f>J147*'Parameters'!$C$19</x:f>
        <x:v>1.6319444444444444</x:v>
      </x:c>
      <x:c r="L147" s="9" t="n">
        <x:f>I147*(1-0.40)-J147</x:f>
        <x:v>2.6111111111111107</x:v>
      </x:c>
      <x:c r="M147" s="9" t="n">
        <x:f>'Physical_Arcs'!S27</x:f>
        <x:v>6.527777777777778</x:v>
      </x:c>
      <x:c r="N147" s="9" t="n">
        <x:f>M147*'Parameters'!$C$18</x:f>
        <x:v>1.3055555555555556</x:v>
      </x:c>
      <x:c r="O147" s="9" t="n">
        <x:f>N147*'Parameters'!$C$19</x:f>
        <x:v>1.6319444444444444</x:v>
      </x:c>
      <x:c r="P147" s="9" t="n">
        <x:f>M147*(1-0.40)-N147</x:f>
        <x:v>2.6111111111111107</x:v>
      </x:c>
      <x:c r="Q147" s="9" t="n">
        <x:f>'Physical_Arcs'!T27</x:f>
        <x:v>3.2777777777777777</x:v>
      </x:c>
      <x:c r="R147" s="9" t="n">
        <x:f>Q147*'Parameters'!$C$18</x:f>
        <x:v>0.6555555555555556</x:v>
      </x:c>
      <x:c r="S147" s="9" t="n">
        <x:f>R147*'Parameters'!$C$19</x:f>
        <x:v>0.8194444444444444</x:v>
      </x:c>
      <x:c r="T147" s="9" t="n">
        <x:f>Q147*(1-0.40)-R147</x:f>
        <x:v>1.311111111111111</x:v>
      </x:c>
    </x:row>
    <x:row r="148" ht="21" customHeight="1">
      <x:c r="A148" s="3" t="n">
        <x:v>2</x:v>
      </x:c>
      <x:c r="B148" s="3" t="str">
        <x:v>00:20</x:v>
      </x:c>
      <x:c r="C148" s="3" t="n">
        <x:v>1</x:v>
      </x:c>
      <x:c r="D148" s="3" t="n">
        <x:v>27</x:v>
      </x:c>
      <x:c r="E148" s="3" t="n">
        <x:v>4</x:v>
      </x:c>
      <x:c r="F148" s="3" t="n">
        <x:v>2</x:v>
      </x:c>
      <x:c r="G148" s="9" t="n">
        <x:v>0.18</x:v>
      </x:c>
      <x:c r="H148" s="9" t="n">
        <x:v>0.861111</x:v>
      </x:c>
      <x:c r="I148" s="9" t="n">
        <x:f>'Physical_Arcs'!R28</x:f>
        <x:v>4.944444444444445</x:v>
      </x:c>
      <x:c r="J148" s="9" t="n">
        <x:f>I148*'Parameters'!$C$18</x:f>
        <x:v>0.9888888888888889</x:v>
      </x:c>
      <x:c r="K148" s="9" t="n">
        <x:f>J148*'Parameters'!$C$19</x:f>
        <x:v>1.2361111111111112</x:v>
      </x:c>
      <x:c r="L148" s="9" t="n">
        <x:f>I148*(1-0.40)-J148</x:f>
        <x:v>1.9777777777777779</x:v>
      </x:c>
      <x:c r="M148" s="9" t="n">
        <x:f>'Physical_Arcs'!S28</x:f>
        <x:v>4.944444444444445</x:v>
      </x:c>
      <x:c r="N148" s="9" t="n">
        <x:f>M148*'Parameters'!$C$18</x:f>
        <x:v>0.9888888888888889</x:v>
      </x:c>
      <x:c r="O148" s="9" t="n">
        <x:f>N148*'Parameters'!$C$19</x:f>
        <x:v>1.2361111111111112</x:v>
      </x:c>
      <x:c r="P148" s="9" t="n">
        <x:f>M148*(1-0.40)-N148</x:f>
        <x:v>1.9777777777777779</x:v>
      </x:c>
      <x:c r="Q148" s="9" t="n">
        <x:f>'Physical_Arcs'!T28</x:f>
        <x:v>2.4722222222222223</x:v>
      </x:c>
      <x:c r="R148" s="9" t="n">
        <x:f>Q148*'Parameters'!$C$18</x:f>
        <x:v>0.49444444444444446</x:v>
      </x:c>
      <x:c r="S148" s="9" t="n">
        <x:f>R148*'Parameters'!$C$19</x:f>
        <x:v>0.6180555555555556</x:v>
      </x:c>
      <x:c r="T148" s="9" t="n">
        <x:f>Q148*(1-0.40)-R148</x:f>
        <x:v>0.9888888888888889</x:v>
      </x:c>
    </x:row>
    <x:row r="149" ht="21" customHeight="1">
      <x:c r="A149" s="3" t="n">
        <x:v>2</x:v>
      </x:c>
      <x:c r="B149" s="3" t="str">
        <x:v>00:20</x:v>
      </x:c>
      <x:c r="C149" s="3" t="n">
        <x:v>1</x:v>
      </x:c>
      <x:c r="D149" s="3" t="n">
        <x:v>28</x:v>
      </x:c>
      <x:c r="E149" s="3" t="n">
        <x:v>4</x:v>
      </x:c>
      <x:c r="F149" s="3" t="n">
        <x:v>6</x:v>
      </x:c>
      <x:c r="G149" s="9" t="n">
        <x:v>0.18</x:v>
      </x:c>
      <x:c r="H149" s="9" t="n">
        <x:v>1.137214</x:v>
      </x:c>
      <x:c r="I149" s="9" t="n">
        <x:f>'Physical_Arcs'!R29</x:f>
        <x:v>3.388888888888889</x:v>
      </x:c>
      <x:c r="J149" s="9" t="n">
        <x:f>I149*'Parameters'!$C$18</x:f>
        <x:v>0.6777777777777778</x:v>
      </x:c>
      <x:c r="K149" s="9" t="n">
        <x:f>J149*'Parameters'!$C$19</x:f>
        <x:v>0.8472222222222223</x:v>
      </x:c>
      <x:c r="L149" s="9" t="n">
        <x:f>I149*(1-0.40)-J149</x:f>
        <x:v>1.3555555555555554</x:v>
      </x:c>
      <x:c r="M149" s="9" t="n">
        <x:f>'Physical_Arcs'!S29</x:f>
        <x:v>3.388888888888889</x:v>
      </x:c>
      <x:c r="N149" s="9" t="n">
        <x:f>M149*'Parameters'!$C$18</x:f>
        <x:v>0.6777777777777778</x:v>
      </x:c>
      <x:c r="O149" s="9" t="n">
        <x:f>N149*'Parameters'!$C$19</x:f>
        <x:v>0.8472222222222223</x:v>
      </x:c>
      <x:c r="P149" s="9" t="n">
        <x:f>M149*(1-0.40)-N149</x:f>
        <x:v>1.3555555555555554</x:v>
      </x:c>
      <x:c r="Q149" s="9" t="n">
        <x:f>'Physical_Arcs'!T29</x:f>
        <x:v>1.6944444444444444</x:v>
      </x:c>
      <x:c r="R149" s="9" t="n">
        <x:f>Q149*'Parameters'!$C$18</x:f>
        <x:v>0.3388888888888889</x:v>
      </x:c>
      <x:c r="S149" s="9" t="n">
        <x:f>R149*'Parameters'!$C$19</x:f>
        <x:v>0.42361111111111116</x:v>
      </x:c>
      <x:c r="T149" s="9" t="n">
        <x:f>Q149*(1-0.40)-R149</x:f>
        <x:v>0.6777777777777777</x:v>
      </x:c>
    </x:row>
    <x:row r="150" ht="21" customHeight="1">
      <x:c r="A150" s="3" t="n">
        <x:v>2</x:v>
      </x:c>
      <x:c r="B150" s="3" t="str">
        <x:v>00:20</x:v>
      </x:c>
      <x:c r="C150" s="3" t="n">
        <x:v>1</x:v>
      </x:c>
      <x:c r="D150" s="3" t="n">
        <x:v>29</x:v>
      </x:c>
      <x:c r="E150" s="3" t="n">
        <x:v>5</x:v>
      </x:c>
      <x:c r="F150" s="3" t="n">
        <x:v>6</x:v>
      </x:c>
      <x:c r="G150" s="9" t="n">
        <x:v>0.18</x:v>
      </x:c>
      <x:c r="H150" s="9" t="n">
        <x:v>0.949994</x:v>
      </x:c>
      <x:c r="I150" s="9" t="n">
        <x:f>'Physical_Arcs'!R30</x:f>
        <x:v>17.02777777777778</x:v>
      </x:c>
      <x:c r="J150" s="9" t="n">
        <x:f>I150*'Parameters'!$C$18</x:f>
        <x:v>3.405555555555556</x:v>
      </x:c>
      <x:c r="K150" s="9" t="n">
        <x:f>J150*'Parameters'!$C$19</x:f>
        <x:v>4.256944444444445</x:v>
      </x:c>
      <x:c r="L150" s="9" t="n">
        <x:f>I150*(1-0.40)-J150</x:f>
        <x:v>6.811111111111111</x:v>
      </x:c>
      <x:c r="M150" s="9" t="n">
        <x:f>'Physical_Arcs'!S30</x:f>
        <x:v>17.02777777777778</x:v>
      </x:c>
      <x:c r="N150" s="9" t="n">
        <x:f>M150*'Parameters'!$C$18</x:f>
        <x:v>3.405555555555556</x:v>
      </x:c>
      <x:c r="O150" s="9" t="n">
        <x:f>N150*'Parameters'!$C$19</x:f>
        <x:v>4.256944444444445</x:v>
      </x:c>
      <x:c r="P150" s="9" t="n">
        <x:f>M150*(1-0.40)-N150</x:f>
        <x:v>6.811111111111111</x:v>
      </x:c>
      <x:c r="Q150" s="9" t="n">
        <x:f>'Physical_Arcs'!T30</x:f>
        <x:v>17.02777777777778</x:v>
      </x:c>
      <x:c r="R150" s="9" t="n">
        <x:f>Q150*'Parameters'!$C$18</x:f>
        <x:v>3.405555555555556</x:v>
      </x:c>
      <x:c r="S150" s="9" t="n">
        <x:f>R150*'Parameters'!$C$19</x:f>
        <x:v>4.256944444444445</x:v>
      </x:c>
      <x:c r="T150" s="9" t="n">
        <x:f>Q150*(1-0.40)-R150</x:f>
        <x:v>6.811111111111111</x:v>
      </x:c>
    </x:row>
    <x:row r="151" ht="21" customHeight="1">
      <x:c r="A151" s="3" t="n">
        <x:v>2</x:v>
      </x:c>
      <x:c r="B151" s="3" t="str">
        <x:v>00:20</x:v>
      </x:c>
      <x:c r="C151" s="3" t="n">
        <x:v>1</x:v>
      </x:c>
      <x:c r="D151" s="3" t="n">
        <x:v>30</x:v>
      </x:c>
      <x:c r="E151" s="3" t="n">
        <x:v>5</x:v>
      </x:c>
      <x:c r="F151" s="3" t="n">
        <x:v>2</x:v>
      </x:c>
      <x:c r="G151" s="9" t="n">
        <x:v>0.18</x:v>
      </x:c>
      <x:c r="H151" s="9" t="n">
        <x:v>0.882396</x:v>
      </x:c>
      <x:c r="I151" s="9" t="n">
        <x:f>'Physical_Arcs'!R31</x:f>
        <x:v>2.9444444444444446</x:v>
      </x:c>
      <x:c r="J151" s="9" t="n">
        <x:f>I151*'Parameters'!$C$18</x:f>
        <x:v>0.5888888888888889</x:v>
      </x:c>
      <x:c r="K151" s="9" t="n">
        <x:f>J151*'Parameters'!$C$19</x:f>
        <x:v>0.7361111111111112</x:v>
      </x:c>
      <x:c r="L151" s="9" t="n">
        <x:f>I151*(1-0.40)-J151</x:f>
        <x:v>1.177777777777778</x:v>
      </x:c>
      <x:c r="M151" s="9" t="n">
        <x:f>'Physical_Arcs'!S31</x:f>
        <x:v>2.9444444444444446</x:v>
      </x:c>
      <x:c r="N151" s="9" t="n">
        <x:f>M151*'Parameters'!$C$18</x:f>
        <x:v>0.5888888888888889</x:v>
      </x:c>
      <x:c r="O151" s="9" t="n">
        <x:f>N151*'Parameters'!$C$19</x:f>
        <x:v>0.7361111111111112</x:v>
      </x:c>
      <x:c r="P151" s="9" t="n">
        <x:f>M151*(1-0.40)-N151</x:f>
        <x:v>1.177777777777778</x:v>
      </x:c>
      <x:c r="Q151" s="9" t="n">
        <x:f>'Physical_Arcs'!T31</x:f>
        <x:v>1.4722222222222223</x:v>
      </x:c>
      <x:c r="R151" s="9" t="n">
        <x:f>Q151*'Parameters'!$C$18</x:f>
        <x:v>0.29444444444444445</x:v>
      </x:c>
      <x:c r="S151" s="9" t="n">
        <x:f>R151*'Parameters'!$C$19</x:f>
        <x:v>0.3680555555555556</x:v>
      </x:c>
      <x:c r="T151" s="9" t="n">
        <x:f>Q151*(1-0.40)-R151</x:f>
        <x:v>0.588888888888889</x:v>
      </x:c>
    </x:row>
    <x:row r="152" ht="21" customHeight="1">
      <x:c r="A152" s="3" t="n">
        <x:v>2</x:v>
      </x:c>
      <x:c r="B152" s="3" t="str">
        <x:v>00:20</x:v>
      </x:c>
      <x:c r="C152" s="3" t="n">
        <x:v>1</x:v>
      </x:c>
      <x:c r="D152" s="3" t="n">
        <x:v>31</x:v>
      </x:c>
      <x:c r="E152" s="3" t="n">
        <x:v>5</x:v>
      </x:c>
      <x:c r="F152" s="3" t="n">
        <x:v>8</x:v>
      </x:c>
      <x:c r="G152" s="9" t="n">
        <x:v>0.18</x:v>
      </x:c>
      <x:c r="H152" s="9" t="n">
        <x:v>0.986718</x:v>
      </x:c>
      <x:c r="I152" s="9" t="n">
        <x:f>'Physical_Arcs'!R32</x:f>
        <x:v>9.333333333333334</x:v>
      </x:c>
      <x:c r="J152" s="9" t="n">
        <x:f>I152*'Parameters'!$C$18</x:f>
        <x:v>1.866666666666667</x:v>
      </x:c>
      <x:c r="K152" s="9" t="n">
        <x:f>J152*'Parameters'!$C$19</x:f>
        <x:v>2.3333333333333335</x:v>
      </x:c>
      <x:c r="L152" s="9" t="n">
        <x:f>I152*(1-0.40)-J152</x:f>
        <x:v>3.7333333333333334</x:v>
      </x:c>
      <x:c r="M152" s="9" t="n">
        <x:f>'Physical_Arcs'!S32</x:f>
        <x:v>9.333333333333334</x:v>
      </x:c>
      <x:c r="N152" s="9" t="n">
        <x:f>M152*'Parameters'!$C$18</x:f>
        <x:v>1.866666666666667</x:v>
      </x:c>
      <x:c r="O152" s="9" t="n">
        <x:f>N152*'Parameters'!$C$19</x:f>
        <x:v>2.3333333333333335</x:v>
      </x:c>
      <x:c r="P152" s="9" t="n">
        <x:f>M152*(1-0.40)-N152</x:f>
        <x:v>3.7333333333333334</x:v>
      </x:c>
      <x:c r="Q152" s="9" t="n">
        <x:f>'Physical_Arcs'!T32</x:f>
        <x:v>4.666666666666667</x:v>
      </x:c>
      <x:c r="R152" s="9" t="n">
        <x:f>Q152*'Parameters'!$C$18</x:f>
        <x:v>0.9333333333333335</x:v>
      </x:c>
      <x:c r="S152" s="9" t="n">
        <x:f>R152*'Parameters'!$C$19</x:f>
        <x:v>1.1666666666666667</x:v>
      </x:c>
      <x:c r="T152" s="9" t="n">
        <x:f>Q152*(1-0.40)-R152</x:f>
        <x:v>1.8666666666666667</x:v>
      </x:c>
    </x:row>
    <x:row r="153" ht="21" customHeight="1">
      <x:c r="A153" s="3" t="n">
        <x:v>2</x:v>
      </x:c>
      <x:c r="B153" s="3" t="str">
        <x:v>00:20</x:v>
      </x:c>
      <x:c r="C153" s="3" t="n">
        <x:v>1</x:v>
      </x:c>
      <x:c r="D153" s="3" t="n">
        <x:v>32</x:v>
      </x:c>
      <x:c r="E153" s="3" t="n">
        <x:v>5</x:v>
      </x:c>
      <x:c r="F153" s="3" t="n">
        <x:v>3</x:v>
      </x:c>
      <x:c r="G153" s="9" t="n">
        <x:v>0.18</x:v>
      </x:c>
      <x:c r="H153" s="9" t="n">
        <x:v>1.089544</x:v>
      </x:c>
      <x:c r="I153" s="9" t="n">
        <x:f>'Physical_Arcs'!R33</x:f>
        <x:v>11.13888888888889</x:v>
      </x:c>
      <x:c r="J153" s="9" t="n">
        <x:f>I153*'Parameters'!$C$18</x:f>
        <x:v>2.227777777777778</x:v>
      </x:c>
      <x:c r="K153" s="9" t="n">
        <x:f>J153*'Parameters'!$C$19</x:f>
        <x:v>2.7847222222222223</x:v>
      </x:c>
      <x:c r="L153" s="9" t="n">
        <x:f>I153*(1-0.40)-J153</x:f>
        <x:v>4.455555555555556</x:v>
      </x:c>
      <x:c r="M153" s="9" t="n">
        <x:f>'Physical_Arcs'!S33</x:f>
        <x:v>11.13888888888889</x:v>
      </x:c>
      <x:c r="N153" s="9" t="n">
        <x:f>M153*'Parameters'!$C$18</x:f>
        <x:v>2.227777777777778</x:v>
      </x:c>
      <x:c r="O153" s="9" t="n">
        <x:f>N153*'Parameters'!$C$19</x:f>
        <x:v>2.7847222222222223</x:v>
      </x:c>
      <x:c r="P153" s="9" t="n">
        <x:f>M153*(1-0.40)-N153</x:f>
        <x:v>4.455555555555556</x:v>
      </x:c>
      <x:c r="Q153" s="9" t="n">
        <x:f>'Physical_Arcs'!T33</x:f>
        <x:v>5.583333333333333</x:v>
      </x:c>
      <x:c r="R153" s="9" t="n">
        <x:f>Q153*'Parameters'!$C$18</x:f>
        <x:v>1.1166666666666667</x:v>
      </x:c>
      <x:c r="S153" s="9" t="n">
        <x:f>R153*'Parameters'!$C$19</x:f>
        <x:v>1.3958333333333335</x:v>
      </x:c>
      <x:c r="T153" s="9" t="n">
        <x:f>Q153*(1-0.40)-R153</x:f>
        <x:v>2.233333333333333</x:v>
      </x:c>
    </x:row>
    <x:row r="154" ht="21" customHeight="1">
      <x:c r="A154" s="3" t="n">
        <x:v>2</x:v>
      </x:c>
      <x:c r="B154" s="3" t="str">
        <x:v>00:20</x:v>
      </x:c>
      <x:c r="C154" s="3" t="n">
        <x:v>1</x:v>
      </x:c>
      <x:c r="D154" s="3" t="n">
        <x:v>33</x:v>
      </x:c>
      <x:c r="E154" s="3" t="n">
        <x:v>5</x:v>
      </x:c>
      <x:c r="F154" s="3" t="n">
        <x:v>10</x:v>
      </x:c>
      <x:c r="G154" s="9" t="n">
        <x:v>0.18</x:v>
      </x:c>
      <x:c r="H154" s="9" t="n">
        <x:v>1.103596</x:v>
      </x:c>
      <x:c r="I154" s="9" t="n">
        <x:f>'Physical_Arcs'!R34</x:f>
        <x:v>4.611111111111111</x:v>
      </x:c>
      <x:c r="J154" s="9" t="n">
        <x:f>I154*'Parameters'!$C$18</x:f>
        <x:v>0.9222222222222222</x:v>
      </x:c>
      <x:c r="K154" s="9" t="n">
        <x:f>J154*'Parameters'!$C$19</x:f>
        <x:v>1.1527777777777777</x:v>
      </x:c>
      <x:c r="L154" s="9" t="n">
        <x:f>I154*(1-0.40)-J154</x:f>
        <x:v>1.844444444444444</x:v>
      </x:c>
      <x:c r="M154" s="9" t="n">
        <x:f>'Physical_Arcs'!S34</x:f>
        <x:v>4.611111111111111</x:v>
      </x:c>
      <x:c r="N154" s="9" t="n">
        <x:f>M154*'Parameters'!$C$18</x:f>
        <x:v>0.9222222222222222</x:v>
      </x:c>
      <x:c r="O154" s="9" t="n">
        <x:f>N154*'Parameters'!$C$19</x:f>
        <x:v>1.1527777777777777</x:v>
      </x:c>
      <x:c r="P154" s="9" t="n">
        <x:f>M154*(1-0.40)-N154</x:f>
        <x:v>1.844444444444444</x:v>
      </x:c>
      <x:c r="Q154" s="9" t="n">
        <x:f>'Physical_Arcs'!T34</x:f>
        <x:v>2.3055555555555554</x:v>
      </x:c>
      <x:c r="R154" s="9" t="n">
        <x:f>Q154*'Parameters'!$C$18</x:f>
        <x:v>0.4611111111111111</x:v>
      </x:c>
      <x:c r="S154" s="9" t="n">
        <x:f>R154*'Parameters'!$C$19</x:f>
        <x:v>0.5763888888888888</x:v>
      </x:c>
      <x:c r="T154" s="9" t="n">
        <x:f>Q154*(1-0.40)-R154</x:f>
        <x:v>0.922222222222222</x:v>
      </x:c>
    </x:row>
    <x:row r="155" ht="21" customHeight="1">
      <x:c r="A155" s="3" t="n">
        <x:v>2</x:v>
      </x:c>
      <x:c r="B155" s="3" t="str">
        <x:v>00:20</x:v>
      </x:c>
      <x:c r="C155" s="3" t="n">
        <x:v>1</x:v>
      </x:c>
      <x:c r="D155" s="3" t="n">
        <x:v>34</x:v>
      </x:c>
      <x:c r="E155" s="3" t="n">
        <x:v>6</x:v>
      </x:c>
      <x:c r="F155" s="3" t="n">
        <x:v>7</x:v>
      </x:c>
      <x:c r="G155" s="9" t="n">
        <x:v>0.18</x:v>
      </x:c>
      <x:c r="H155" s="9" t="n">
        <x:v>0.973887</x:v>
      </x:c>
      <x:c r="I155" s="9" t="n">
        <x:f>'Physical_Arcs'!R35</x:f>
        <x:v>17.02777777777778</x:v>
      </x:c>
      <x:c r="J155" s="9" t="n">
        <x:f>I155*'Parameters'!$C$18</x:f>
        <x:v>3.405555555555556</x:v>
      </x:c>
      <x:c r="K155" s="9" t="n">
        <x:f>J155*'Parameters'!$C$19</x:f>
        <x:v>4.256944444444445</x:v>
      </x:c>
      <x:c r="L155" s="9" t="n">
        <x:f>I155*(1-0.40)-J155</x:f>
        <x:v>6.811111111111111</x:v>
      </x:c>
      <x:c r="M155" s="9" t="n">
        <x:f>'Physical_Arcs'!S35</x:f>
        <x:v>17.02777777777778</x:v>
      </x:c>
      <x:c r="N155" s="9" t="n">
        <x:f>M155*'Parameters'!$C$18</x:f>
        <x:v>3.405555555555556</x:v>
      </x:c>
      <x:c r="O155" s="9" t="n">
        <x:f>N155*'Parameters'!$C$19</x:f>
        <x:v>4.256944444444445</x:v>
      </x:c>
      <x:c r="P155" s="9" t="n">
        <x:f>M155*(1-0.40)-N155</x:f>
        <x:v>6.811111111111111</x:v>
      </x:c>
      <x:c r="Q155" s="9" t="n">
        <x:f>'Physical_Arcs'!T35</x:f>
        <x:v>17.02777777777778</x:v>
      </x:c>
      <x:c r="R155" s="9" t="n">
        <x:f>Q155*'Parameters'!$C$18</x:f>
        <x:v>3.405555555555556</x:v>
      </x:c>
      <x:c r="S155" s="9" t="n">
        <x:f>R155*'Parameters'!$C$19</x:f>
        <x:v>4.256944444444445</x:v>
      </x:c>
      <x:c r="T155" s="9" t="n">
        <x:f>Q155*(1-0.40)-R155</x:f>
        <x:v>6.811111111111111</x:v>
      </x:c>
    </x:row>
    <x:row r="156" ht="21" customHeight="1">
      <x:c r="A156" s="3" t="n">
        <x:v>2</x:v>
      </x:c>
      <x:c r="B156" s="3" t="str">
        <x:v>00:20</x:v>
      </x:c>
      <x:c r="C156" s="3" t="n">
        <x:v>1</x:v>
      </x:c>
      <x:c r="D156" s="3" t="n">
        <x:v>35</x:v>
      </x:c>
      <x:c r="E156" s="3" t="n">
        <x:v>6</x:v>
      </x:c>
      <x:c r="F156" s="3" t="n">
        <x:v>10</x:v>
      </x:c>
      <x:c r="G156" s="9" t="n">
        <x:v>0.18</x:v>
      </x:c>
      <x:c r="H156" s="9" t="n">
        <x:v>1.009062</x:v>
      </x:c>
      <x:c r="I156" s="9" t="n">
        <x:f>'Physical_Arcs'!R36</x:f>
        <x:v>4.055555555555555</x:v>
      </x:c>
      <x:c r="J156" s="9" t="n">
        <x:f>I156*'Parameters'!$C$18</x:f>
        <x:v>0.8111111111111111</x:v>
      </x:c>
      <x:c r="K156" s="9" t="n">
        <x:f>J156*'Parameters'!$C$19</x:f>
        <x:v>1.0138888888888888</x:v>
      </x:c>
      <x:c r="L156" s="9" t="n">
        <x:f>I156*(1-0.40)-J156</x:f>
        <x:v>1.622222222222222</x:v>
      </x:c>
      <x:c r="M156" s="9" t="n">
        <x:f>'Physical_Arcs'!S36</x:f>
        <x:v>4.055555555555555</x:v>
      </x:c>
      <x:c r="N156" s="9" t="n">
        <x:f>M156*'Parameters'!$C$18</x:f>
        <x:v>0.8111111111111111</x:v>
      </x:c>
      <x:c r="O156" s="9" t="n">
        <x:f>N156*'Parameters'!$C$19</x:f>
        <x:v>1.0138888888888888</x:v>
      </x:c>
      <x:c r="P156" s="9" t="n">
        <x:f>M156*(1-0.40)-N156</x:f>
        <x:v>1.622222222222222</x:v>
      </x:c>
      <x:c r="Q156" s="9" t="n">
        <x:f>'Physical_Arcs'!T36</x:f>
        <x:v>2.0277777777777777</x:v>
      </x:c>
      <x:c r="R156" s="9" t="n">
        <x:f>Q156*'Parameters'!$C$18</x:f>
        <x:v>0.40555555555555556</x:v>
      </x:c>
      <x:c r="S156" s="9" t="n">
        <x:f>R156*'Parameters'!$C$19</x:f>
        <x:v>0.5069444444444444</x:v>
      </x:c>
      <x:c r="T156" s="9" t="n">
        <x:f>Q156*(1-0.40)-R156</x:f>
        <x:v>0.811111111111111</x:v>
      </x:c>
    </x:row>
    <x:row r="157" ht="21" customHeight="1">
      <x:c r="A157" s="3" t="n">
        <x:v>2</x:v>
      </x:c>
      <x:c r="B157" s="3" t="str">
        <x:v>00:20</x:v>
      </x:c>
      <x:c r="C157" s="3" t="n">
        <x:v>1</x:v>
      </x:c>
      <x:c r="D157" s="3" t="n">
        <x:v>36</x:v>
      </x:c>
      <x:c r="E157" s="3" t="n">
        <x:v>6</x:v>
      </x:c>
      <x:c r="F157" s="3" t="n">
        <x:v>8</x:v>
      </x:c>
      <x:c r="G157" s="9" t="n">
        <x:v>0.18</x:v>
      </x:c>
      <x:c r="H157" s="9" t="n">
        <x:v>1.132129</x:v>
      </x:c>
      <x:c r="I157" s="9" t="n">
        <x:f>'Physical_Arcs'!R37</x:f>
        <x:v>6.972222222222222</x:v>
      </x:c>
      <x:c r="J157" s="9" t="n">
        <x:f>I157*'Parameters'!$C$18</x:f>
        <x:v>1.3944444444444446</x:v>
      </x:c>
      <x:c r="K157" s="9" t="n">
        <x:f>J157*'Parameters'!$C$19</x:f>
        <x:v>1.7430555555555558</x:v>
      </x:c>
      <x:c r="L157" s="9" t="n">
        <x:f>I157*(1-0.40)-J157</x:f>
        <x:v>2.7888888888888888</x:v>
      </x:c>
      <x:c r="M157" s="9" t="n">
        <x:f>'Physical_Arcs'!S37</x:f>
        <x:v>6.972222222222222</x:v>
      </x:c>
      <x:c r="N157" s="9" t="n">
        <x:f>M157*'Parameters'!$C$18</x:f>
        <x:v>1.3944444444444446</x:v>
      </x:c>
      <x:c r="O157" s="9" t="n">
        <x:f>N157*'Parameters'!$C$19</x:f>
        <x:v>1.7430555555555558</x:v>
      </x:c>
      <x:c r="P157" s="9" t="n">
        <x:f>M157*(1-0.40)-N157</x:f>
        <x:v>2.7888888888888888</x:v>
      </x:c>
      <x:c r="Q157" s="9" t="n">
        <x:f>'Physical_Arcs'!T37</x:f>
        <x:v>3.5</x:v>
      </x:c>
      <x:c r="R157" s="9" t="n">
        <x:f>Q157*'Parameters'!$C$18</x:f>
        <x:v>0.7000000000000001</x:v>
      </x:c>
      <x:c r="S157" s="9" t="n">
        <x:f>R157*'Parameters'!$C$19</x:f>
        <x:v>0.8750000000000001</x:v>
      </x:c>
      <x:c r="T157" s="9" t="n">
        <x:f>Q157*(1-0.40)-R157</x:f>
        <x:v>1.4</x:v>
      </x:c>
    </x:row>
    <x:row r="158" ht="21" customHeight="1">
      <x:c r="A158" s="3" t="n">
        <x:v>2</x:v>
      </x:c>
      <x:c r="B158" s="3" t="str">
        <x:v>00:20</x:v>
      </x:c>
      <x:c r="C158" s="3" t="n">
        <x:v>1</x:v>
      </x:c>
      <x:c r="D158" s="3" t="n">
        <x:v>37</x:v>
      </x:c>
      <x:c r="E158" s="3" t="n">
        <x:v>6</x:v>
      </x:c>
      <x:c r="F158" s="3" t="n">
        <x:v>1</x:v>
      </x:c>
      <x:c r="G158" s="9" t="n">
        <x:v>0.18</x:v>
      </x:c>
      <x:c r="H158" s="9" t="n">
        <x:v>1.020746</x:v>
      </x:c>
      <x:c r="I158" s="9" t="n">
        <x:f>'Physical_Arcs'!R38</x:f>
        <x:v>6.305555555555555</x:v>
      </x:c>
      <x:c r="J158" s="9" t="n">
        <x:f>I158*'Parameters'!$C$18</x:f>
        <x:v>1.261111111111111</x:v>
      </x:c>
      <x:c r="K158" s="9" t="n">
        <x:f>J158*'Parameters'!$C$19</x:f>
        <x:v>1.5763888888888888</x:v>
      </x:c>
      <x:c r="L158" s="9" t="n">
        <x:f>I158*(1-0.40)-J158</x:f>
        <x:v>2.522222222222222</x:v>
      </x:c>
      <x:c r="M158" s="9" t="n">
        <x:f>'Physical_Arcs'!S38</x:f>
        <x:v>6.305555555555555</x:v>
      </x:c>
      <x:c r="N158" s="9" t="n">
        <x:f>M158*'Parameters'!$C$18</x:f>
        <x:v>1.261111111111111</x:v>
      </x:c>
      <x:c r="O158" s="9" t="n">
        <x:f>N158*'Parameters'!$C$19</x:f>
        <x:v>1.5763888888888888</x:v>
      </x:c>
      <x:c r="P158" s="9" t="n">
        <x:f>M158*(1-0.40)-N158</x:f>
        <x:v>2.522222222222222</x:v>
      </x:c>
      <x:c r="Q158" s="9" t="n">
        <x:f>'Physical_Arcs'!T38</x:f>
        <x:v>3.1666666666666665</x:v>
      </x:c>
      <x:c r="R158" s="9" t="n">
        <x:f>Q158*'Parameters'!$C$18</x:f>
        <x:v>0.6333333333333333</x:v>
      </x:c>
      <x:c r="S158" s="9" t="n">
        <x:f>R158*'Parameters'!$C$19</x:f>
        <x:v>0.7916666666666666</x:v>
      </x:c>
      <x:c r="T158" s="9" t="n">
        <x:f>Q158*(1-0.40)-R158</x:f>
        <x:v>1.2666666666666666</x:v>
      </x:c>
    </x:row>
    <x:row r="159" ht="21" customHeight="1">
      <x:c r="A159" s="3" t="n">
        <x:v>2</x:v>
      </x:c>
      <x:c r="B159" s="3" t="str">
        <x:v>00:20</x:v>
      </x:c>
      <x:c r="C159" s="3" t="n">
        <x:v>1</x:v>
      </x:c>
      <x:c r="D159" s="3" t="n">
        <x:v>38</x:v>
      </x:c>
      <x:c r="E159" s="3" t="n">
        <x:v>6</x:v>
      </x:c>
      <x:c r="F159" s="3" t="n">
        <x:v>3</x:v>
      </x:c>
      <x:c r="G159" s="9" t="n">
        <x:v>0.18</x:v>
      </x:c>
      <x:c r="H159" s="9" t="n">
        <x:v>1.149081</x:v>
      </x:c>
      <x:c r="I159" s="9" t="n">
        <x:f>'Physical_Arcs'!R39</x:f>
        <x:v>1.9166666666666667</x:v>
      </x:c>
      <x:c r="J159" s="9" t="n">
        <x:f>I159*'Parameters'!$C$18</x:f>
        <x:v>0.38333333333333336</x:v>
      </x:c>
      <x:c r="K159" s="9" t="n">
        <x:f>J159*'Parameters'!$C$19</x:f>
        <x:v>0.4791666666666667</x:v>
      </x:c>
      <x:c r="L159" s="9" t="n">
        <x:f>I159*(1-0.40)-J159</x:f>
        <x:v>0.7666666666666666</x:v>
      </x:c>
      <x:c r="M159" s="9" t="n">
        <x:f>'Physical_Arcs'!S39</x:f>
        <x:v>1.9166666666666667</x:v>
      </x:c>
      <x:c r="N159" s="9" t="n">
        <x:f>M159*'Parameters'!$C$18</x:f>
        <x:v>0.38333333333333336</x:v>
      </x:c>
      <x:c r="O159" s="9" t="n">
        <x:f>N159*'Parameters'!$C$19</x:f>
        <x:v>0.4791666666666667</x:v>
      </x:c>
      <x:c r="P159" s="9" t="n">
        <x:f>M159*(1-0.40)-N159</x:f>
        <x:v>0.7666666666666666</x:v>
      </x:c>
      <x:c r="Q159" s="9" t="n">
        <x:f>'Physical_Arcs'!T39</x:f>
        <x:v>0.9722222222222222</x:v>
      </x:c>
      <x:c r="R159" s="9" t="n">
        <x:f>Q159*'Parameters'!$C$18</x:f>
        <x:v>0.19444444444444445</x:v>
      </x:c>
      <x:c r="S159" s="9" t="n">
        <x:f>R159*'Parameters'!$C$19</x:f>
        <x:v>0.24305555555555555</x:v>
      </x:c>
      <x:c r="T159" s="9" t="n">
        <x:f>Q159*(1-0.40)-R159</x:f>
        <x:v>0.38888888888888884</x:v>
      </x:c>
    </x:row>
    <x:row r="160" ht="21" customHeight="1">
      <x:c r="A160" s="3" t="n">
        <x:v>2</x:v>
      </x:c>
      <x:c r="B160" s="3" t="str">
        <x:v>00:20</x:v>
      </x:c>
      <x:c r="C160" s="3" t="n">
        <x:v>1</x:v>
      </x:c>
      <x:c r="D160" s="3" t="n">
        <x:v>39</x:v>
      </x:c>
      <x:c r="E160" s="3" t="n">
        <x:v>7</x:v>
      </x:c>
      <x:c r="F160" s="3" t="n">
        <x:v>8</x:v>
      </x:c>
      <x:c r="G160" s="9" t="n">
        <x:v>0.18</x:v>
      </x:c>
      <x:c r="H160" s="9" t="n">
        <x:v>1.003268</x:v>
      </x:c>
      <x:c r="I160" s="9" t="n">
        <x:f>'Physical_Arcs'!R40</x:f>
        <x:v>17.02777777777778</x:v>
      </x:c>
      <x:c r="J160" s="9" t="n">
        <x:f>I160*'Parameters'!$C$18</x:f>
        <x:v>3.405555555555556</x:v>
      </x:c>
      <x:c r="K160" s="9" t="n">
        <x:f>J160*'Parameters'!$C$19</x:f>
        <x:v>4.256944444444445</x:v>
      </x:c>
      <x:c r="L160" s="9" t="n">
        <x:f>I160*(1-0.40)-J160</x:f>
        <x:v>6.811111111111111</x:v>
      </x:c>
      <x:c r="M160" s="9" t="n">
        <x:f>'Physical_Arcs'!S40</x:f>
        <x:v>17.02777777777778</x:v>
      </x:c>
      <x:c r="N160" s="9" t="n">
        <x:f>M160*'Parameters'!$C$18</x:f>
        <x:v>3.405555555555556</x:v>
      </x:c>
      <x:c r="O160" s="9" t="n">
        <x:f>N160*'Parameters'!$C$19</x:f>
        <x:v>4.256944444444445</x:v>
      </x:c>
      <x:c r="P160" s="9" t="n">
        <x:f>M160*(1-0.40)-N160</x:f>
        <x:v>6.811111111111111</x:v>
      </x:c>
      <x:c r="Q160" s="9" t="n">
        <x:f>'Physical_Arcs'!T40</x:f>
        <x:v>17.02777777777778</x:v>
      </x:c>
      <x:c r="R160" s="9" t="n">
        <x:f>Q160*'Parameters'!$C$18</x:f>
        <x:v>3.405555555555556</x:v>
      </x:c>
      <x:c r="S160" s="9" t="n">
        <x:f>R160*'Parameters'!$C$19</x:f>
        <x:v>4.256944444444445</x:v>
      </x:c>
      <x:c r="T160" s="9" t="n">
        <x:f>Q160*(1-0.40)-R160</x:f>
        <x:v>6.811111111111111</x:v>
      </x:c>
    </x:row>
    <x:row r="161" ht="21" customHeight="1">
      <x:c r="A161" s="3" t="n">
        <x:v>2</x:v>
      </x:c>
      <x:c r="B161" s="3" t="str">
        <x:v>00:20</x:v>
      </x:c>
      <x:c r="C161" s="3" t="n">
        <x:v>1</x:v>
      </x:c>
      <x:c r="D161" s="3" t="n">
        <x:v>40</x:v>
      </x:c>
      <x:c r="E161" s="3" t="n">
        <x:v>7</x:v>
      </x:c>
      <x:c r="F161" s="3" t="n">
        <x:v>1</x:v>
      </x:c>
      <x:c r="G161" s="9" t="n">
        <x:v>0.18</x:v>
      </x:c>
      <x:c r="H161" s="9" t="n">
        <x:v>1.057592</x:v>
      </x:c>
      <x:c r="I161" s="9" t="n">
        <x:f>'Physical_Arcs'!R41</x:f>
        <x:v>7.972222222222222</x:v>
      </x:c>
      <x:c r="J161" s="9" t="n">
        <x:f>I161*'Parameters'!$C$18</x:f>
        <x:v>1.5944444444444446</x:v>
      </x:c>
      <x:c r="K161" s="9" t="n">
        <x:f>J161*'Parameters'!$C$19</x:f>
        <x:v>1.9930555555555558</x:v>
      </x:c>
      <x:c r="L161" s="9" t="n">
        <x:f>I161*(1-0.40)-J161</x:f>
        <x:v>3.1888888888888887</x:v>
      </x:c>
      <x:c r="M161" s="9" t="n">
        <x:f>'Physical_Arcs'!S41</x:f>
        <x:v>7.972222222222222</x:v>
      </x:c>
      <x:c r="N161" s="9" t="n">
        <x:f>M161*'Parameters'!$C$18</x:f>
        <x:v>1.5944444444444446</x:v>
      </x:c>
      <x:c r="O161" s="9" t="n">
        <x:f>N161*'Parameters'!$C$19</x:f>
        <x:v>1.9930555555555558</x:v>
      </x:c>
      <x:c r="P161" s="9" t="n">
        <x:f>M161*(1-0.40)-N161</x:f>
        <x:v>3.1888888888888887</x:v>
      </x:c>
      <x:c r="Q161" s="9" t="n">
        <x:f>'Physical_Arcs'!T41</x:f>
        <x:v>4</x:v>
      </x:c>
      <x:c r="R161" s="9" t="n">
        <x:f>Q161*'Parameters'!$C$18</x:f>
        <x:v>0.8</x:v>
      </x:c>
      <x:c r="S161" s="9" t="n">
        <x:f>R161*'Parameters'!$C$19</x:f>
        <x:v>1</x:v>
      </x:c>
      <x:c r="T161" s="9" t="n">
        <x:f>Q161*(1-0.40)-R161</x:f>
        <x:v>1.5999999999999999</x:v>
      </x:c>
    </x:row>
    <x:row r="162" ht="21" customHeight="1">
      <x:c r="A162" s="3" t="n">
        <x:v>2</x:v>
      </x:c>
      <x:c r="B162" s="3" t="str">
        <x:v>00:20</x:v>
      </x:c>
      <x:c r="C162" s="3" t="n">
        <x:v>1</x:v>
      </x:c>
      <x:c r="D162" s="3" t="n">
        <x:v>41</x:v>
      </x:c>
      <x:c r="E162" s="3" t="n">
        <x:v>7</x:v>
      </x:c>
      <x:c r="F162" s="3" t="n">
        <x:v>9</x:v>
      </x:c>
      <x:c r="G162" s="9" t="n">
        <x:v>0.18</x:v>
      </x:c>
      <x:c r="H162" s="9" t="n">
        <x:v>1.14801</x:v>
      </x:c>
      <x:c r="I162" s="9" t="n">
        <x:f>'Physical_Arcs'!R42</x:f>
        <x:v>8.88888888888889</x:v>
      </x:c>
      <x:c r="J162" s="9" t="n">
        <x:f>I162*'Parameters'!$C$18</x:f>
        <x:v>1.777777777777778</x:v>
      </x:c>
      <x:c r="K162" s="9" t="n">
        <x:f>J162*'Parameters'!$C$19</x:f>
        <x:v>2.2222222222222223</x:v>
      </x:c>
      <x:c r="L162" s="9" t="n">
        <x:f>I162*(1-0.40)-J162</x:f>
        <x:v>3.5555555555555554</x:v>
      </x:c>
      <x:c r="M162" s="9" t="n">
        <x:f>'Physical_Arcs'!S42</x:f>
        <x:v>8.88888888888889</x:v>
      </x:c>
      <x:c r="N162" s="9" t="n">
        <x:f>M162*'Parameters'!$C$18</x:f>
        <x:v>1.777777777777778</x:v>
      </x:c>
      <x:c r="O162" s="9" t="n">
        <x:f>N162*'Parameters'!$C$19</x:f>
        <x:v>2.2222222222222223</x:v>
      </x:c>
      <x:c r="P162" s="9" t="n">
        <x:f>M162*(1-0.40)-N162</x:f>
        <x:v>3.5555555555555554</x:v>
      </x:c>
      <x:c r="Q162" s="9" t="n">
        <x:f>'Physical_Arcs'!T42</x:f>
        <x:v>4.444444444444445</x:v>
      </x:c>
      <x:c r="R162" s="9" t="n">
        <x:f>Q162*'Parameters'!$C$18</x:f>
        <x:v>0.888888888888889</x:v>
      </x:c>
      <x:c r="S162" s="9" t="n">
        <x:f>R162*'Parameters'!$C$19</x:f>
        <x:v>1.1111111111111112</x:v>
      </x:c>
      <x:c r="T162" s="9" t="n">
        <x:f>Q162*(1-0.40)-R162</x:f>
        <x:v>1.7777777777777777</x:v>
      </x:c>
    </x:row>
    <x:row r="163" ht="21" customHeight="1">
      <x:c r="A163" s="3" t="n">
        <x:v>2</x:v>
      </x:c>
      <x:c r="B163" s="3" t="str">
        <x:v>00:20</x:v>
      </x:c>
      <x:c r="C163" s="3" t="n">
        <x:v>1</x:v>
      </x:c>
      <x:c r="D163" s="3" t="n">
        <x:v>42</x:v>
      </x:c>
      <x:c r="E163" s="3" t="n">
        <x:v>7</x:v>
      </x:c>
      <x:c r="F163" s="3" t="n">
        <x:v>2</x:v>
      </x:c>
      <x:c r="G163" s="9" t="n">
        <x:v>0.18</x:v>
      </x:c>
      <x:c r="H163" s="9" t="n">
        <x:v>0.989237</x:v>
      </x:c>
      <x:c r="I163" s="9" t="n">
        <x:f>'Physical_Arcs'!R43</x:f>
        <x:v>9</x:v>
      </x:c>
      <x:c r="J163" s="9" t="n">
        <x:f>I163*'Parameters'!$C$18</x:f>
        <x:v>1.8</x:v>
      </x:c>
      <x:c r="K163" s="9" t="n">
        <x:f>J163*'Parameters'!$C$19</x:f>
        <x:v>2.25</x:v>
      </x:c>
      <x:c r="L163" s="9" t="n">
        <x:f>I163*(1-0.40)-J163</x:f>
        <x:v>3.5999999999999996</x:v>
      </x:c>
      <x:c r="M163" s="9" t="n">
        <x:f>'Physical_Arcs'!S43</x:f>
        <x:v>9</x:v>
      </x:c>
      <x:c r="N163" s="9" t="n">
        <x:f>M163*'Parameters'!$C$18</x:f>
        <x:v>1.8</x:v>
      </x:c>
      <x:c r="O163" s="9" t="n">
        <x:f>N163*'Parameters'!$C$19</x:f>
        <x:v>2.25</x:v>
      </x:c>
      <x:c r="P163" s="9" t="n">
        <x:f>M163*(1-0.40)-N163</x:f>
        <x:v>3.5999999999999996</x:v>
      </x:c>
      <x:c r="Q163" s="9" t="n">
        <x:f>'Physical_Arcs'!T43</x:f>
        <x:v>4.5</x:v>
      </x:c>
      <x:c r="R163" s="9" t="n">
        <x:f>Q163*'Parameters'!$C$18</x:f>
        <x:v>0.9</x:v>
      </x:c>
      <x:c r="S163" s="9" t="n">
        <x:f>R163*'Parameters'!$C$19</x:f>
        <x:v>1.125</x:v>
      </x:c>
      <x:c r="T163" s="9" t="n">
        <x:f>Q163*(1-0.40)-R163</x:f>
        <x:v>1.7999999999999998</x:v>
      </x:c>
    </x:row>
    <x:row r="164" ht="21" customHeight="1">
      <x:c r="A164" s="3" t="n">
        <x:v>2</x:v>
      </x:c>
      <x:c r="B164" s="3" t="str">
        <x:v>00:20</x:v>
      </x:c>
      <x:c r="C164" s="3" t="n">
        <x:v>1</x:v>
      </x:c>
      <x:c r="D164" s="3" t="n">
        <x:v>43</x:v>
      </x:c>
      <x:c r="E164" s="3" t="n">
        <x:v>7</x:v>
      </x:c>
      <x:c r="F164" s="3" t="n">
        <x:v>3</x:v>
      </x:c>
      <x:c r="G164" s="9" t="n">
        <x:v>0.18</x:v>
      </x:c>
      <x:c r="H164" s="9" t="n">
        <x:v>1.050432</x:v>
      </x:c>
      <x:c r="I164" s="9" t="n">
        <x:f>'Physical_Arcs'!R44</x:f>
        <x:v>7.638888888888889</x:v>
      </x:c>
      <x:c r="J164" s="9" t="n">
        <x:f>I164*'Parameters'!$C$18</x:f>
        <x:v>1.527777777777778</x:v>
      </x:c>
      <x:c r="K164" s="9" t="n">
        <x:f>J164*'Parameters'!$C$19</x:f>
        <x:v>1.9097222222222223</x:v>
      </x:c>
      <x:c r="L164" s="9" t="n">
        <x:f>I164*(1-0.40)-J164</x:f>
        <x:v>3.0555555555555554</x:v>
      </x:c>
      <x:c r="M164" s="9" t="n">
        <x:f>'Physical_Arcs'!S44</x:f>
        <x:v>7.638888888888889</x:v>
      </x:c>
      <x:c r="N164" s="9" t="n">
        <x:f>M164*'Parameters'!$C$18</x:f>
        <x:v>1.527777777777778</x:v>
      </x:c>
      <x:c r="O164" s="9" t="n">
        <x:f>N164*'Parameters'!$C$19</x:f>
        <x:v>1.9097222222222223</x:v>
      </x:c>
      <x:c r="P164" s="9" t="n">
        <x:f>M164*(1-0.40)-N164</x:f>
        <x:v>3.0555555555555554</x:v>
      </x:c>
      <x:c r="Q164" s="9" t="n">
        <x:f>'Physical_Arcs'!T44</x:f>
        <x:v>3.8333333333333335</x:v>
      </x:c>
      <x:c r="R164" s="9" t="n">
        <x:f>Q164*'Parameters'!$C$18</x:f>
        <x:v>0.7666666666666667</x:v>
      </x:c>
      <x:c r="S164" s="9" t="n">
        <x:f>R164*'Parameters'!$C$19</x:f>
        <x:v>0.9583333333333334</x:v>
      </x:c>
      <x:c r="T164" s="9" t="n">
        <x:f>Q164*(1-0.40)-R164</x:f>
        <x:v>1.5333333333333332</x:v>
      </x:c>
    </x:row>
    <x:row r="165" ht="21" customHeight="1">
      <x:c r="A165" s="3" t="n">
        <x:v>2</x:v>
      </x:c>
      <x:c r="B165" s="3" t="str">
        <x:v>00:20</x:v>
      </x:c>
      <x:c r="C165" s="3" t="n">
        <x:v>1</x:v>
      </x:c>
      <x:c r="D165" s="3" t="n">
        <x:v>44</x:v>
      </x:c>
      <x:c r="E165" s="3" t="n">
        <x:v>8</x:v>
      </x:c>
      <x:c r="F165" s="3" t="n">
        <x:v>9</x:v>
      </x:c>
      <x:c r="G165" s="9" t="n">
        <x:v>0.18</x:v>
      </x:c>
      <x:c r="H165" s="9" t="n">
        <x:v>0.868101</x:v>
      </x:c>
      <x:c r="I165" s="9" t="n">
        <x:f>'Physical_Arcs'!R45</x:f>
        <x:v>17.02777777777778</x:v>
      </x:c>
      <x:c r="J165" s="9" t="n">
        <x:f>I165*'Parameters'!$C$18</x:f>
        <x:v>3.405555555555556</x:v>
      </x:c>
      <x:c r="K165" s="9" t="n">
        <x:f>J165*'Parameters'!$C$19</x:f>
        <x:v>4.256944444444445</x:v>
      </x:c>
      <x:c r="L165" s="9" t="n">
        <x:f>I165*(1-0.40)-J165</x:f>
        <x:v>6.811111111111111</x:v>
      </x:c>
      <x:c r="M165" s="9" t="n">
        <x:f>'Physical_Arcs'!S45</x:f>
        <x:v>17.02777777777778</x:v>
      </x:c>
      <x:c r="N165" s="9" t="n">
        <x:f>M165*'Parameters'!$C$18</x:f>
        <x:v>3.405555555555556</x:v>
      </x:c>
      <x:c r="O165" s="9" t="n">
        <x:f>N165*'Parameters'!$C$19</x:f>
        <x:v>4.256944444444445</x:v>
      </x:c>
      <x:c r="P165" s="9" t="n">
        <x:f>M165*(1-0.40)-N165</x:f>
        <x:v>6.811111111111111</x:v>
      </x:c>
      <x:c r="Q165" s="9" t="n">
        <x:f>'Physical_Arcs'!T45</x:f>
        <x:v>17.02777777777778</x:v>
      </x:c>
      <x:c r="R165" s="9" t="n">
        <x:f>Q165*'Parameters'!$C$18</x:f>
        <x:v>3.405555555555556</x:v>
      </x:c>
      <x:c r="S165" s="9" t="n">
        <x:f>R165*'Parameters'!$C$19</x:f>
        <x:v>4.256944444444445</x:v>
      </x:c>
      <x:c r="T165" s="9" t="n">
        <x:f>Q165*(1-0.40)-R165</x:f>
        <x:v>6.811111111111111</x:v>
      </x:c>
    </x:row>
    <x:row r="166" ht="21" customHeight="1">
      <x:c r="A166" s="3" t="n">
        <x:v>2</x:v>
      </x:c>
      <x:c r="B166" s="3" t="str">
        <x:v>00:20</x:v>
      </x:c>
      <x:c r="C166" s="3" t="n">
        <x:v>1</x:v>
      </x:c>
      <x:c r="D166" s="3" t="n">
        <x:v>45</x:v>
      </x:c>
      <x:c r="E166" s="3" t="n">
        <x:v>8</x:v>
      </x:c>
      <x:c r="F166" s="3" t="n">
        <x:v>3</x:v>
      </x:c>
      <x:c r="G166" s="9" t="n">
        <x:v>0.18</x:v>
      </x:c>
      <x:c r="H166" s="9" t="n">
        <x:v>0.944958</x:v>
      </x:c>
      <x:c r="I166" s="9" t="n">
        <x:f>'Physical_Arcs'!R46</x:f>
        <x:v>5.388888888888889</x:v>
      </x:c>
      <x:c r="J166" s="9" t="n">
        <x:f>I166*'Parameters'!$C$18</x:f>
        <x:v>1.077777777777778</x:v>
      </x:c>
      <x:c r="K166" s="9" t="n">
        <x:f>J166*'Parameters'!$C$19</x:f>
        <x:v>1.3472222222222223</x:v>
      </x:c>
      <x:c r="L166" s="9" t="n">
        <x:f>I166*(1-0.40)-J166</x:f>
        <x:v>2.1555555555555554</x:v>
      </x:c>
      <x:c r="M166" s="9" t="n">
        <x:f>'Physical_Arcs'!S46</x:f>
        <x:v>5.388888888888889</x:v>
      </x:c>
      <x:c r="N166" s="9" t="n">
        <x:f>M166*'Parameters'!$C$18</x:f>
        <x:v>1.077777777777778</x:v>
      </x:c>
      <x:c r="O166" s="9" t="n">
        <x:f>N166*'Parameters'!$C$19</x:f>
        <x:v>1.3472222222222223</x:v>
      </x:c>
      <x:c r="P166" s="9" t="n">
        <x:f>M166*(1-0.40)-N166</x:f>
        <x:v>2.1555555555555554</x:v>
      </x:c>
      <x:c r="Q166" s="9" t="n">
        <x:f>'Physical_Arcs'!T46</x:f>
        <x:v>2.6944444444444446</x:v>
      </x:c>
      <x:c r="R166" s="9" t="n">
        <x:f>Q166*'Parameters'!$C$18</x:f>
        <x:v>0.538888888888889</x:v>
      </x:c>
      <x:c r="S166" s="9" t="n">
        <x:f>R166*'Parameters'!$C$19</x:f>
        <x:v>0.6736111111111112</x:v>
      </x:c>
      <x:c r="T166" s="9" t="n">
        <x:f>Q166*(1-0.40)-R166</x:f>
        <x:v>1.0777777777777777</x:v>
      </x:c>
    </x:row>
    <x:row r="167" ht="21" customHeight="1">
      <x:c r="A167" s="3" t="n">
        <x:v>2</x:v>
      </x:c>
      <x:c r="B167" s="3" t="str">
        <x:v>00:20</x:v>
      </x:c>
      <x:c r="C167" s="3" t="n">
        <x:v>1</x:v>
      </x:c>
      <x:c r="D167" s="3" t="n">
        <x:v>46</x:v>
      </x:c>
      <x:c r="E167" s="3" t="n">
        <x:v>8</x:v>
      </x:c>
      <x:c r="F167" s="3" t="n">
        <x:v>7</x:v>
      </x:c>
      <x:c r="G167" s="9" t="n">
        <x:v>0.18</x:v>
      </x:c>
      <x:c r="H167" s="9" t="n">
        <x:v>0.866232</x:v>
      </x:c>
      <x:c r="I167" s="9" t="n">
        <x:f>'Physical_Arcs'!R47</x:f>
        <x:v>5.388888888888889</x:v>
      </x:c>
      <x:c r="J167" s="9" t="n">
        <x:f>I167*'Parameters'!$C$18</x:f>
        <x:v>1.077777777777778</x:v>
      </x:c>
      <x:c r="K167" s="9" t="n">
        <x:f>J167*'Parameters'!$C$19</x:f>
        <x:v>1.3472222222222223</x:v>
      </x:c>
      <x:c r="L167" s="9" t="n">
        <x:f>I167*(1-0.40)-J167</x:f>
        <x:v>2.1555555555555554</x:v>
      </x:c>
      <x:c r="M167" s="9" t="n">
        <x:f>'Physical_Arcs'!S47</x:f>
        <x:v>5.388888888888889</x:v>
      </x:c>
      <x:c r="N167" s="9" t="n">
        <x:f>M167*'Parameters'!$C$18</x:f>
        <x:v>1.077777777777778</x:v>
      </x:c>
      <x:c r="O167" s="9" t="n">
        <x:f>N167*'Parameters'!$C$19</x:f>
        <x:v>1.3472222222222223</x:v>
      </x:c>
      <x:c r="P167" s="9" t="n">
        <x:f>M167*(1-0.40)-N167</x:f>
        <x:v>2.1555555555555554</x:v>
      </x:c>
      <x:c r="Q167" s="9" t="n">
        <x:f>'Physical_Arcs'!T47</x:f>
        <x:v>2.6944444444444446</x:v>
      </x:c>
      <x:c r="R167" s="9" t="n">
        <x:f>Q167*'Parameters'!$C$18</x:f>
        <x:v>0.538888888888889</x:v>
      </x:c>
      <x:c r="S167" s="9" t="n">
        <x:f>R167*'Parameters'!$C$19</x:f>
        <x:v>0.6736111111111112</x:v>
      </x:c>
      <x:c r="T167" s="9" t="n">
        <x:f>Q167*(1-0.40)-R167</x:f>
        <x:v>1.0777777777777777</x:v>
      </x:c>
    </x:row>
    <x:row r="168" ht="21" customHeight="1">
      <x:c r="A168" s="3" t="n">
        <x:v>2</x:v>
      </x:c>
      <x:c r="B168" s="3" t="str">
        <x:v>00:20</x:v>
      </x:c>
      <x:c r="C168" s="3" t="n">
        <x:v>1</x:v>
      </x:c>
      <x:c r="D168" s="3" t="n">
        <x:v>47</x:v>
      </x:c>
      <x:c r="E168" s="3" t="n">
        <x:v>8</x:v>
      </x:c>
      <x:c r="F168" s="3" t="n">
        <x:v>2</x:v>
      </x:c>
      <x:c r="G168" s="9" t="n">
        <x:v>0.18</x:v>
      </x:c>
      <x:c r="H168" s="9" t="n">
        <x:v>1.135644</x:v>
      </x:c>
      <x:c r="I168" s="9" t="n">
        <x:f>'Physical_Arcs'!R48</x:f>
        <x:v>8.083333333333334</x:v>
      </x:c>
      <x:c r="J168" s="9" t="n">
        <x:f>I168*'Parameters'!$C$18</x:f>
        <x:v>1.616666666666667</x:v>
      </x:c>
      <x:c r="K168" s="9" t="n">
        <x:f>J168*'Parameters'!$C$19</x:f>
        <x:v>2.0208333333333335</x:v>
      </x:c>
      <x:c r="L168" s="9" t="n">
        <x:f>I168*(1-0.40)-J168</x:f>
        <x:v>3.2333333333333334</x:v>
      </x:c>
      <x:c r="M168" s="9" t="n">
        <x:f>'Physical_Arcs'!S48</x:f>
        <x:v>8.083333333333334</x:v>
      </x:c>
      <x:c r="N168" s="9" t="n">
        <x:f>M168*'Parameters'!$C$18</x:f>
        <x:v>1.616666666666667</x:v>
      </x:c>
      <x:c r="O168" s="9" t="n">
        <x:f>N168*'Parameters'!$C$19</x:f>
        <x:v>2.0208333333333335</x:v>
      </x:c>
      <x:c r="P168" s="9" t="n">
        <x:f>M168*(1-0.40)-N168</x:f>
        <x:v>3.2333333333333334</x:v>
      </x:c>
      <x:c r="Q168" s="9" t="n">
        <x:f>'Physical_Arcs'!T48</x:f>
        <x:v>4.055555555555555</x:v>
      </x:c>
      <x:c r="R168" s="9" t="n">
        <x:f>Q168*'Parameters'!$C$18</x:f>
        <x:v>0.8111111111111111</x:v>
      </x:c>
      <x:c r="S168" s="9" t="n">
        <x:f>R168*'Parameters'!$C$19</x:f>
        <x:v>1.0138888888888888</x:v>
      </x:c>
      <x:c r="T168" s="9" t="n">
        <x:f>Q168*(1-0.40)-R168</x:f>
        <x:v>1.622222222222222</x:v>
      </x:c>
    </x:row>
    <x:row r="169" ht="21" customHeight="1">
      <x:c r="A169" s="3" t="n">
        <x:v>2</x:v>
      </x:c>
      <x:c r="B169" s="3" t="str">
        <x:v>00:20</x:v>
      </x:c>
      <x:c r="C169" s="3" t="n">
        <x:v>1</x:v>
      </x:c>
      <x:c r="D169" s="3" t="n">
        <x:v>48</x:v>
      </x:c>
      <x:c r="E169" s="3" t="n">
        <x:v>8</x:v>
      </x:c>
      <x:c r="F169" s="3" t="n">
        <x:v>6</x:v>
      </x:c>
      <x:c r="G169" s="9" t="n">
        <x:v>0.18</x:v>
      </x:c>
      <x:c r="H169" s="9" t="n">
        <x:v>0.850778</x:v>
      </x:c>
      <x:c r="I169" s="9" t="n">
        <x:f>'Physical_Arcs'!R49</x:f>
        <x:v>10.555555555555555</x:v>
      </x:c>
      <x:c r="J169" s="9" t="n">
        <x:f>I169*'Parameters'!$C$18</x:f>
        <x:v>2.111111111111111</x:v>
      </x:c>
      <x:c r="K169" s="9" t="n">
        <x:f>J169*'Parameters'!$C$19</x:f>
        <x:v>2.638888888888889</x:v>
      </x:c>
      <x:c r="L169" s="9" t="n">
        <x:f>I169*(1-0.40)-J169</x:f>
        <x:v>4.222222222222221</x:v>
      </x:c>
      <x:c r="M169" s="9" t="n">
        <x:f>'Physical_Arcs'!S49</x:f>
        <x:v>10.555555555555555</x:v>
      </x:c>
      <x:c r="N169" s="9" t="n">
        <x:f>M169*'Parameters'!$C$18</x:f>
        <x:v>2.111111111111111</x:v>
      </x:c>
      <x:c r="O169" s="9" t="n">
        <x:f>N169*'Parameters'!$C$19</x:f>
        <x:v>2.638888888888889</x:v>
      </x:c>
      <x:c r="P169" s="9" t="n">
        <x:f>M169*(1-0.40)-N169</x:f>
        <x:v>4.222222222222221</x:v>
      </x:c>
      <x:c r="Q169" s="9" t="n">
        <x:f>'Physical_Arcs'!T49</x:f>
        <x:v>5.277777777777778</x:v>
      </x:c>
      <x:c r="R169" s="9" t="n">
        <x:f>Q169*'Parameters'!$C$18</x:f>
        <x:v>1.0555555555555556</x:v>
      </x:c>
      <x:c r="S169" s="9" t="n">
        <x:f>R169*'Parameters'!$C$19</x:f>
        <x:v>1.3194444444444444</x:v>
      </x:c>
      <x:c r="T169" s="9" t="n">
        <x:f>Q169*(1-0.40)-R169</x:f>
        <x:v>2.1111111111111107</x:v>
      </x:c>
    </x:row>
    <x:row r="170" ht="21" customHeight="1">
      <x:c r="A170" s="3" t="n">
        <x:v>2</x:v>
      </x:c>
      <x:c r="B170" s="3" t="str">
        <x:v>00:20</x:v>
      </x:c>
      <x:c r="C170" s="3" t="n">
        <x:v>1</x:v>
      </x:c>
      <x:c r="D170" s="3" t="n">
        <x:v>49</x:v>
      </x:c>
      <x:c r="E170" s="3" t="n">
        <x:v>8</x:v>
      </x:c>
      <x:c r="F170" s="3" t="n">
        <x:v>4</x:v>
      </x:c>
      <x:c r="G170" s="9" t="n">
        <x:v>0.18</x:v>
      </x:c>
      <x:c r="H170" s="9" t="n">
        <x:v>0.904949</x:v>
      </x:c>
      <x:c r="I170" s="9" t="n">
        <x:f>'Physical_Arcs'!R50</x:f>
        <x:v>1.5833333333333333</x:v>
      </x:c>
      <x:c r="J170" s="9" t="n">
        <x:f>I170*'Parameters'!$C$18</x:f>
        <x:v>0.31666666666666665</x:v>
      </x:c>
      <x:c r="K170" s="9" t="n">
        <x:f>J170*'Parameters'!$C$19</x:f>
        <x:v>0.3958333333333333</x:v>
      </x:c>
      <x:c r="L170" s="9" t="n">
        <x:f>I170*(1-0.40)-J170</x:f>
        <x:v>0.6333333333333333</x:v>
      </x:c>
      <x:c r="M170" s="9" t="n">
        <x:f>'Physical_Arcs'!S50</x:f>
        <x:v>1.5833333333333333</x:v>
      </x:c>
      <x:c r="N170" s="9" t="n">
        <x:f>M170*'Parameters'!$C$18</x:f>
        <x:v>0.31666666666666665</x:v>
      </x:c>
      <x:c r="O170" s="9" t="n">
        <x:f>N170*'Parameters'!$C$19</x:f>
        <x:v>0.3958333333333333</x:v>
      </x:c>
      <x:c r="P170" s="9" t="n">
        <x:f>M170*(1-0.40)-N170</x:f>
        <x:v>0.6333333333333333</x:v>
      </x:c>
      <x:c r="Q170" s="9" t="n">
        <x:f>'Physical_Arcs'!T50</x:f>
        <x:v>0.8055555555555556</x:v>
      </x:c>
      <x:c r="R170" s="9" t="n">
        <x:f>Q170*'Parameters'!$C$18</x:f>
        <x:v>0.16111111111111112</x:v>
      </x:c>
      <x:c r="S170" s="9" t="n">
        <x:f>R170*'Parameters'!$C$19</x:f>
        <x:v>0.2013888888888889</x:v>
      </x:c>
      <x:c r="T170" s="9" t="n">
        <x:f>Q170*(1-0.40)-R170</x:f>
        <x:v>0.3222222222222222</x:v>
      </x:c>
    </x:row>
    <x:row r="171" ht="21" customHeight="1">
      <x:c r="A171" s="3" t="n">
        <x:v>2</x:v>
      </x:c>
      <x:c r="B171" s="3" t="str">
        <x:v>00:20</x:v>
      </x:c>
      <x:c r="C171" s="3" t="n">
        <x:v>1</x:v>
      </x:c>
      <x:c r="D171" s="3" t="n">
        <x:v>50</x:v>
      </x:c>
      <x:c r="E171" s="3" t="n">
        <x:v>8</x:v>
      </x:c>
      <x:c r="F171" s="3" t="n">
        <x:v>5</x:v>
      </x:c>
      <x:c r="G171" s="9" t="n">
        <x:v>0.18</x:v>
      </x:c>
      <x:c r="H171" s="9" t="n">
        <x:v>0.990416</x:v>
      </x:c>
      <x:c r="I171" s="9" t="n">
        <x:f>'Physical_Arcs'!R51</x:f>
        <x:v>10.777777777777779</x:v>
      </x:c>
      <x:c r="J171" s="9" t="n">
        <x:f>I171*'Parameters'!$C$18</x:f>
        <x:v>2.155555555555556</x:v>
      </x:c>
      <x:c r="K171" s="9" t="n">
        <x:f>J171*'Parameters'!$C$19</x:f>
        <x:v>2.6944444444444446</x:v>
      </x:c>
      <x:c r="L171" s="9" t="n">
        <x:f>I171*(1-0.40)-J171</x:f>
        <x:v>4.311111111111111</x:v>
      </x:c>
      <x:c r="M171" s="9" t="n">
        <x:f>'Physical_Arcs'!S51</x:f>
        <x:v>10.777777777777779</x:v>
      </x:c>
      <x:c r="N171" s="9" t="n">
        <x:f>M171*'Parameters'!$C$18</x:f>
        <x:v>2.155555555555556</x:v>
      </x:c>
      <x:c r="O171" s="9" t="n">
        <x:f>N171*'Parameters'!$C$19</x:f>
        <x:v>2.6944444444444446</x:v>
      </x:c>
      <x:c r="P171" s="9" t="n">
        <x:f>M171*(1-0.40)-N171</x:f>
        <x:v>4.311111111111111</x:v>
      </x:c>
      <x:c r="Q171" s="9" t="n">
        <x:f>'Physical_Arcs'!T51</x:f>
        <x:v>5.388888888888889</x:v>
      </x:c>
      <x:c r="R171" s="9" t="n">
        <x:f>Q171*'Parameters'!$C$18</x:f>
        <x:v>1.077777777777778</x:v>
      </x:c>
      <x:c r="S171" s="9" t="n">
        <x:f>R171*'Parameters'!$C$19</x:f>
        <x:v>1.3472222222222223</x:v>
      </x:c>
      <x:c r="T171" s="9" t="n">
        <x:f>Q171*(1-0.40)-R171</x:f>
        <x:v>2.1555555555555554</x:v>
      </x:c>
    </x:row>
    <x:row r="172" ht="21" customHeight="1">
      <x:c r="A172" s="3" t="n">
        <x:v>2</x:v>
      </x:c>
      <x:c r="B172" s="3" t="str">
        <x:v>00:20</x:v>
      </x:c>
      <x:c r="C172" s="3" t="n">
        <x:v>1</x:v>
      </x:c>
      <x:c r="D172" s="3" t="n">
        <x:v>51</x:v>
      </x:c>
      <x:c r="E172" s="3" t="n">
        <x:v>8</x:v>
      </x:c>
      <x:c r="F172" s="3" t="n">
        <x:v>1</x:v>
      </x:c>
      <x:c r="G172" s="9" t="n">
        <x:v>0.18</x:v>
      </x:c>
      <x:c r="H172" s="9" t="n">
        <x:v>1.039066</x:v>
      </x:c>
      <x:c r="I172" s="9" t="n">
        <x:f>'Physical_Arcs'!R52</x:f>
        <x:v>8.88888888888889</x:v>
      </x:c>
      <x:c r="J172" s="9" t="n">
        <x:f>I172*'Parameters'!$C$18</x:f>
        <x:v>1.777777777777778</x:v>
      </x:c>
      <x:c r="K172" s="9" t="n">
        <x:f>J172*'Parameters'!$C$19</x:f>
        <x:v>2.2222222222222223</x:v>
      </x:c>
      <x:c r="L172" s="9" t="n">
        <x:f>I172*(1-0.40)-J172</x:f>
        <x:v>3.5555555555555554</x:v>
      </x:c>
      <x:c r="M172" s="9" t="n">
        <x:f>'Physical_Arcs'!S52</x:f>
        <x:v>8.88888888888889</x:v>
      </x:c>
      <x:c r="N172" s="9" t="n">
        <x:f>M172*'Parameters'!$C$18</x:f>
        <x:v>1.777777777777778</x:v>
      </x:c>
      <x:c r="O172" s="9" t="n">
        <x:f>N172*'Parameters'!$C$19</x:f>
        <x:v>2.2222222222222223</x:v>
      </x:c>
      <x:c r="P172" s="9" t="n">
        <x:f>M172*(1-0.40)-N172</x:f>
        <x:v>3.5555555555555554</x:v>
      </x:c>
      <x:c r="Q172" s="9" t="n">
        <x:f>'Physical_Arcs'!T52</x:f>
        <x:v>4.444444444444445</x:v>
      </x:c>
      <x:c r="R172" s="9" t="n">
        <x:f>Q172*'Parameters'!$C$18</x:f>
        <x:v>0.888888888888889</x:v>
      </x:c>
      <x:c r="S172" s="9" t="n">
        <x:f>R172*'Parameters'!$C$19</x:f>
        <x:v>1.1111111111111112</x:v>
      </x:c>
      <x:c r="T172" s="9" t="n">
        <x:f>Q172*(1-0.40)-R172</x:f>
        <x:v>1.7777777777777777</x:v>
      </x:c>
    </x:row>
    <x:row r="173" ht="21" customHeight="1">
      <x:c r="A173" s="3" t="n">
        <x:v>2</x:v>
      </x:c>
      <x:c r="B173" s="3" t="str">
        <x:v>00:20</x:v>
      </x:c>
      <x:c r="C173" s="3" t="n">
        <x:v>1</x:v>
      </x:c>
      <x:c r="D173" s="3" t="n">
        <x:v>52</x:v>
      </x:c>
      <x:c r="E173" s="3" t="n">
        <x:v>9</x:v>
      </x:c>
      <x:c r="F173" s="3" t="n">
        <x:v>10</x:v>
      </x:c>
      <x:c r="G173" s="9" t="n">
        <x:v>0.18</x:v>
      </x:c>
      <x:c r="H173" s="9" t="n">
        <x:v>0.954096</x:v>
      </x:c>
      <x:c r="I173" s="9" t="n">
        <x:f>'Physical_Arcs'!R53</x:f>
        <x:v>17.02777777777778</x:v>
      </x:c>
      <x:c r="J173" s="9" t="n">
        <x:f>I173*'Parameters'!$C$18</x:f>
        <x:v>3.405555555555556</x:v>
      </x:c>
      <x:c r="K173" s="9" t="n">
        <x:f>J173*'Parameters'!$C$19</x:f>
        <x:v>4.256944444444445</x:v>
      </x:c>
      <x:c r="L173" s="9" t="n">
        <x:f>I173*(1-0.40)-J173</x:f>
        <x:v>6.811111111111111</x:v>
      </x:c>
      <x:c r="M173" s="9" t="n">
        <x:f>'Physical_Arcs'!S53</x:f>
        <x:v>17.02777777777778</x:v>
      </x:c>
      <x:c r="N173" s="9" t="n">
        <x:f>M173*'Parameters'!$C$18</x:f>
        <x:v>3.405555555555556</x:v>
      </x:c>
      <x:c r="O173" s="9" t="n">
        <x:f>N173*'Parameters'!$C$19</x:f>
        <x:v>4.256944444444445</x:v>
      </x:c>
      <x:c r="P173" s="9" t="n">
        <x:f>M173*(1-0.40)-N173</x:f>
        <x:v>6.811111111111111</x:v>
      </x:c>
      <x:c r="Q173" s="9" t="n">
        <x:f>'Physical_Arcs'!T53</x:f>
        <x:v>17.02777777777778</x:v>
      </x:c>
      <x:c r="R173" s="9" t="n">
        <x:f>Q173*'Parameters'!$C$18</x:f>
        <x:v>3.405555555555556</x:v>
      </x:c>
      <x:c r="S173" s="9" t="n">
        <x:f>R173*'Parameters'!$C$19</x:f>
        <x:v>4.256944444444445</x:v>
      </x:c>
      <x:c r="T173" s="9" t="n">
        <x:f>Q173*(1-0.40)-R173</x:f>
        <x:v>6.811111111111111</x:v>
      </x:c>
    </x:row>
    <x:row r="174" ht="21" customHeight="1">
      <x:c r="A174" s="3" t="n">
        <x:v>2</x:v>
      </x:c>
      <x:c r="B174" s="3" t="str">
        <x:v>00:20</x:v>
      </x:c>
      <x:c r="C174" s="3" t="n">
        <x:v>1</x:v>
      </x:c>
      <x:c r="D174" s="3" t="n">
        <x:v>53</x:v>
      </x:c>
      <x:c r="E174" s="3" t="n">
        <x:v>9</x:v>
      </x:c>
      <x:c r="F174" s="3" t="n">
        <x:v>6</x:v>
      </x:c>
      <x:c r="G174" s="9" t="n">
        <x:v>0.18</x:v>
      </x:c>
      <x:c r="H174" s="9" t="n">
        <x:v>1.125574</x:v>
      </x:c>
      <x:c r="I174" s="9" t="n">
        <x:f>'Physical_Arcs'!R54</x:f>
        <x:v>9.666666666666666</x:v>
      </x:c>
      <x:c r="J174" s="9" t="n">
        <x:f>I174*'Parameters'!$C$18</x:f>
        <x:v>1.9333333333333333</x:v>
      </x:c>
      <x:c r="K174" s="9" t="n">
        <x:f>J174*'Parameters'!$C$19</x:f>
        <x:v>2.4166666666666665</x:v>
      </x:c>
      <x:c r="L174" s="9" t="n">
        <x:f>I174*(1-0.40)-J174</x:f>
        <x:v>3.8666666666666663</x:v>
      </x:c>
      <x:c r="M174" s="9" t="n">
        <x:f>'Physical_Arcs'!S54</x:f>
        <x:v>9.666666666666666</x:v>
      </x:c>
      <x:c r="N174" s="9" t="n">
        <x:f>M174*'Parameters'!$C$18</x:f>
        <x:v>1.9333333333333333</x:v>
      </x:c>
      <x:c r="O174" s="9" t="n">
        <x:f>N174*'Parameters'!$C$19</x:f>
        <x:v>2.4166666666666665</x:v>
      </x:c>
      <x:c r="P174" s="9" t="n">
        <x:f>M174*(1-0.40)-N174</x:f>
        <x:v>3.8666666666666663</x:v>
      </x:c>
      <x:c r="Q174" s="9" t="n">
        <x:f>'Physical_Arcs'!T54</x:f>
        <x:v>4.833333333333333</x:v>
      </x:c>
      <x:c r="R174" s="9" t="n">
        <x:f>Q174*'Parameters'!$C$18</x:f>
        <x:v>0.9666666666666667</x:v>
      </x:c>
      <x:c r="S174" s="9" t="n">
        <x:f>R174*'Parameters'!$C$19</x:f>
        <x:v>1.2083333333333333</x:v>
      </x:c>
      <x:c r="T174" s="9" t="n">
        <x:f>Q174*(1-0.40)-R174</x:f>
        <x:v>1.9333333333333331</x:v>
      </x:c>
    </x:row>
    <x:row r="175" ht="21" customHeight="1">
      <x:c r="A175" s="3" t="n">
        <x:v>2</x:v>
      </x:c>
      <x:c r="B175" s="3" t="str">
        <x:v>00:20</x:v>
      </x:c>
      <x:c r="C175" s="3" t="n">
        <x:v>1</x:v>
      </x:c>
      <x:c r="D175" s="3" t="n">
        <x:v>54</x:v>
      </x:c>
      <x:c r="E175" s="3" t="n">
        <x:v>9</x:v>
      </x:c>
      <x:c r="F175" s="3" t="n">
        <x:v>2</x:v>
      </x:c>
      <x:c r="G175" s="9" t="n">
        <x:v>0.18</x:v>
      </x:c>
      <x:c r="H175" s="9" t="n">
        <x:v>0.854534</x:v>
      </x:c>
      <x:c r="I175" s="9" t="n">
        <x:f>'Physical_Arcs'!R55</x:f>
        <x:v>9.88888888888889</x:v>
      </x:c>
      <x:c r="J175" s="9" t="n">
        <x:f>I175*'Parameters'!$C$18</x:f>
        <x:v>1.9777777777777779</x:v>
      </x:c>
      <x:c r="K175" s="9" t="n">
        <x:f>J175*'Parameters'!$C$19</x:f>
        <x:v>2.4722222222222223</x:v>
      </x:c>
      <x:c r="L175" s="9" t="n">
        <x:f>I175*(1-0.40)-J175</x:f>
        <x:v>3.9555555555555557</x:v>
      </x:c>
      <x:c r="M175" s="9" t="n">
        <x:f>'Physical_Arcs'!S55</x:f>
        <x:v>9.88888888888889</x:v>
      </x:c>
      <x:c r="N175" s="9" t="n">
        <x:f>M175*'Parameters'!$C$18</x:f>
        <x:v>1.9777777777777779</x:v>
      </x:c>
      <x:c r="O175" s="9" t="n">
        <x:f>N175*'Parameters'!$C$19</x:f>
        <x:v>2.4722222222222223</x:v>
      </x:c>
      <x:c r="P175" s="9" t="n">
        <x:f>M175*(1-0.40)-N175</x:f>
        <x:v>3.9555555555555557</x:v>
      </x:c>
      <x:c r="Q175" s="9" t="n">
        <x:f>'Physical_Arcs'!T55</x:f>
        <x:v>4.944444444444445</x:v>
      </x:c>
      <x:c r="R175" s="9" t="n">
        <x:f>Q175*'Parameters'!$C$18</x:f>
        <x:v>0.9888888888888889</x:v>
      </x:c>
      <x:c r="S175" s="9" t="n">
        <x:f>R175*'Parameters'!$C$19</x:f>
        <x:v>1.2361111111111112</x:v>
      </x:c>
      <x:c r="T175" s="9" t="n">
        <x:f>Q175*(1-0.40)-R175</x:f>
        <x:v>1.9777777777777779</x:v>
      </x:c>
    </x:row>
    <x:row r="176" ht="21" customHeight="1">
      <x:c r="A176" s="3" t="n">
        <x:v>2</x:v>
      </x:c>
      <x:c r="B176" s="3" t="str">
        <x:v>00:20</x:v>
      </x:c>
      <x:c r="C176" s="3" t="n">
        <x:v>1</x:v>
      </x:c>
      <x:c r="D176" s="3" t="n">
        <x:v>55</x:v>
      </x:c>
      <x:c r="E176" s="3" t="n">
        <x:v>9</x:v>
      </x:c>
      <x:c r="F176" s="3" t="n">
        <x:v>7</x:v>
      </x:c>
      <x:c r="G176" s="9" t="n">
        <x:v>0.18</x:v>
      </x:c>
      <x:c r="H176" s="9" t="n">
        <x:v>0.900033</x:v>
      </x:c>
      <x:c r="I176" s="9" t="n">
        <x:f>'Physical_Arcs'!R56</x:f>
        <x:v>4.166666666666667</x:v>
      </x:c>
      <x:c r="J176" s="9" t="n">
        <x:f>I176*'Parameters'!$C$18</x:f>
        <x:v>0.8333333333333335</x:v>
      </x:c>
      <x:c r="K176" s="9" t="n">
        <x:f>J176*'Parameters'!$C$19</x:f>
        <x:v>1.041666666666667</x:v>
      </x:c>
      <x:c r="L176" s="9" t="n">
        <x:f>I176*(1-0.40)-J176</x:f>
        <x:v>1.6666666666666665</x:v>
      </x:c>
      <x:c r="M176" s="9" t="n">
        <x:f>'Physical_Arcs'!S56</x:f>
        <x:v>4.166666666666667</x:v>
      </x:c>
      <x:c r="N176" s="9" t="n">
        <x:f>M176*'Parameters'!$C$18</x:f>
        <x:v>0.8333333333333335</x:v>
      </x:c>
      <x:c r="O176" s="9" t="n">
        <x:f>N176*'Parameters'!$C$19</x:f>
        <x:v>1.041666666666667</x:v>
      </x:c>
      <x:c r="P176" s="9" t="n">
        <x:f>M176*(1-0.40)-N176</x:f>
        <x:v>1.6666666666666665</x:v>
      </x:c>
      <x:c r="Q176" s="9" t="n">
        <x:f>'Physical_Arcs'!T56</x:f>
        <x:v>2.0833333333333335</x:v>
      </x:c>
      <x:c r="R176" s="9" t="n">
        <x:f>Q176*'Parameters'!$C$18</x:f>
        <x:v>0.41666666666666674</x:v>
      </x:c>
      <x:c r="S176" s="9" t="n">
        <x:f>R176*'Parameters'!$C$19</x:f>
        <x:v>0.5208333333333335</x:v>
      </x:c>
      <x:c r="T176" s="9" t="n">
        <x:f>Q176*(1-0.40)-R176</x:f>
        <x:v>0.8333333333333333</x:v>
      </x:c>
    </x:row>
    <x:row r="177" ht="21" customHeight="1">
      <x:c r="A177" s="3" t="n">
        <x:v>2</x:v>
      </x:c>
      <x:c r="B177" s="3" t="str">
        <x:v>00:20</x:v>
      </x:c>
      <x:c r="C177" s="3" t="n">
        <x:v>1</x:v>
      </x:c>
      <x:c r="D177" s="3" t="n">
        <x:v>56</x:v>
      </x:c>
      <x:c r="E177" s="3" t="n">
        <x:v>9</x:v>
      </x:c>
      <x:c r="F177" s="3" t="n">
        <x:v>3</x:v>
      </x:c>
      <x:c r="G177" s="9" t="n">
        <x:v>0.18</x:v>
      </x:c>
      <x:c r="H177" s="9" t="n">
        <x:v>0.893428</x:v>
      </x:c>
      <x:c r="I177" s="9" t="n">
        <x:f>'Physical_Arcs'!R57</x:f>
        <x:v>3.7222222222222223</x:v>
      </x:c>
      <x:c r="J177" s="9" t="n">
        <x:f>I177*'Parameters'!$C$18</x:f>
        <x:v>0.7444444444444445</x:v>
      </x:c>
      <x:c r="K177" s="9" t="n">
        <x:f>J177*'Parameters'!$C$19</x:f>
        <x:v>0.9305555555555556</x:v>
      </x:c>
      <x:c r="L177" s="9" t="n">
        <x:f>I177*(1-0.40)-J177</x:f>
        <x:v>1.488888888888889</x:v>
      </x:c>
      <x:c r="M177" s="9" t="n">
        <x:f>'Physical_Arcs'!S57</x:f>
        <x:v>3.7222222222222223</x:v>
      </x:c>
      <x:c r="N177" s="9" t="n">
        <x:f>M177*'Parameters'!$C$18</x:f>
        <x:v>0.7444444444444445</x:v>
      </x:c>
      <x:c r="O177" s="9" t="n">
        <x:f>N177*'Parameters'!$C$19</x:f>
        <x:v>0.9305555555555556</x:v>
      </x:c>
      <x:c r="P177" s="9" t="n">
        <x:f>M177*(1-0.40)-N177</x:f>
        <x:v>1.488888888888889</x:v>
      </x:c>
      <x:c r="Q177" s="9" t="n">
        <x:f>'Physical_Arcs'!T57</x:f>
        <x:v>1.8611111111111112</x:v>
      </x:c>
      <x:c r="R177" s="9" t="n">
        <x:f>Q177*'Parameters'!$C$18</x:f>
        <x:v>0.37222222222222223</x:v>
      </x:c>
      <x:c r="S177" s="9" t="n">
        <x:f>R177*'Parameters'!$C$19</x:f>
        <x:v>0.4652777777777778</x:v>
      </x:c>
      <x:c r="T177" s="9" t="n">
        <x:f>Q177*(1-0.40)-R177</x:f>
        <x:v>0.7444444444444445</x:v>
      </x:c>
    </x:row>
    <x:row r="178" ht="21" customHeight="1">
      <x:c r="A178" s="3" t="n">
        <x:v>2</x:v>
      </x:c>
      <x:c r="B178" s="3" t="str">
        <x:v>00:20</x:v>
      </x:c>
      <x:c r="C178" s="3" t="n">
        <x:v>1</x:v>
      </x:c>
      <x:c r="D178" s="3" t="n">
        <x:v>57</x:v>
      </x:c>
      <x:c r="E178" s="3" t="n">
        <x:v>10</x:v>
      </x:c>
      <x:c r="F178" s="3" t="n">
        <x:v>1</x:v>
      </x:c>
      <x:c r="G178" s="9" t="n">
        <x:v>0.18</x:v>
      </x:c>
      <x:c r="H178" s="9" t="n">
        <x:v>1.027979</x:v>
      </x:c>
      <x:c r="I178" s="9" t="n">
        <x:f>'Physical_Arcs'!R58</x:f>
        <x:v>17.02777777777778</x:v>
      </x:c>
      <x:c r="J178" s="9" t="n">
        <x:f>I178*'Parameters'!$C$18</x:f>
        <x:v>3.405555555555556</x:v>
      </x:c>
      <x:c r="K178" s="9" t="n">
        <x:f>J178*'Parameters'!$C$19</x:f>
        <x:v>4.256944444444445</x:v>
      </x:c>
      <x:c r="L178" s="9" t="n">
        <x:f>I178*(1-0.40)-J178</x:f>
        <x:v>6.811111111111111</x:v>
      </x:c>
      <x:c r="M178" s="9" t="n">
        <x:f>'Physical_Arcs'!S58</x:f>
        <x:v>17.02777777777778</x:v>
      </x:c>
      <x:c r="N178" s="9" t="n">
        <x:f>M178*'Parameters'!$C$18</x:f>
        <x:v>3.405555555555556</x:v>
      </x:c>
      <x:c r="O178" s="9" t="n">
        <x:f>N178*'Parameters'!$C$19</x:f>
        <x:v>4.256944444444445</x:v>
      </x:c>
      <x:c r="P178" s="9" t="n">
        <x:f>M178*(1-0.40)-N178</x:f>
        <x:v>6.811111111111111</x:v>
      </x:c>
      <x:c r="Q178" s="9" t="n">
        <x:f>'Physical_Arcs'!T58</x:f>
        <x:v>17.02777777777778</x:v>
      </x:c>
      <x:c r="R178" s="9" t="n">
        <x:f>Q178*'Parameters'!$C$18</x:f>
        <x:v>3.405555555555556</x:v>
      </x:c>
      <x:c r="S178" s="9" t="n">
        <x:f>R178*'Parameters'!$C$19</x:f>
        <x:v>4.256944444444445</x:v>
      </x:c>
      <x:c r="T178" s="9" t="n">
        <x:f>Q178*(1-0.40)-R178</x:f>
        <x:v>6.811111111111111</x:v>
      </x:c>
    </x:row>
    <x:row r="179" ht="21" customHeight="1">
      <x:c r="A179" s="3" t="n">
        <x:v>2</x:v>
      </x:c>
      <x:c r="B179" s="3" t="str">
        <x:v>00:20</x:v>
      </x:c>
      <x:c r="C179" s="3" t="n">
        <x:v>1</x:v>
      </x:c>
      <x:c r="D179" s="3" t="n">
        <x:v>58</x:v>
      </x:c>
      <x:c r="E179" s="3" t="n">
        <x:v>10</x:v>
      </x:c>
      <x:c r="F179" s="3" t="n">
        <x:v>6</x:v>
      </x:c>
      <x:c r="G179" s="9" t="n">
        <x:v>0.18</x:v>
      </x:c>
      <x:c r="H179" s="9" t="n">
        <x:v>0.952676</x:v>
      </x:c>
      <x:c r="I179" s="9" t="n">
        <x:f>'Physical_Arcs'!R59</x:f>
        <x:v>6.305555555555555</x:v>
      </x:c>
      <x:c r="J179" s="9" t="n">
        <x:f>I179*'Parameters'!$C$18</x:f>
        <x:v>1.261111111111111</x:v>
      </x:c>
      <x:c r="K179" s="9" t="n">
        <x:f>J179*'Parameters'!$C$19</x:f>
        <x:v>1.5763888888888888</x:v>
      </x:c>
      <x:c r="L179" s="9" t="n">
        <x:f>I179*(1-0.40)-J179</x:f>
        <x:v>2.522222222222222</x:v>
      </x:c>
      <x:c r="M179" s="9" t="n">
        <x:f>'Physical_Arcs'!S59</x:f>
        <x:v>6.305555555555555</x:v>
      </x:c>
      <x:c r="N179" s="9" t="n">
        <x:f>M179*'Parameters'!$C$18</x:f>
        <x:v>1.261111111111111</x:v>
      </x:c>
      <x:c r="O179" s="9" t="n">
        <x:f>N179*'Parameters'!$C$19</x:f>
        <x:v>1.5763888888888888</x:v>
      </x:c>
      <x:c r="P179" s="9" t="n">
        <x:f>M179*(1-0.40)-N179</x:f>
        <x:v>2.522222222222222</x:v>
      </x:c>
      <x:c r="Q179" s="9" t="n">
        <x:f>'Physical_Arcs'!T59</x:f>
        <x:v>3.1666666666666665</x:v>
      </x:c>
      <x:c r="R179" s="9" t="n">
        <x:f>Q179*'Parameters'!$C$18</x:f>
        <x:v>0.6333333333333333</x:v>
      </x:c>
      <x:c r="S179" s="9" t="n">
        <x:f>R179*'Parameters'!$C$19</x:f>
        <x:v>0.7916666666666666</x:v>
      </x:c>
      <x:c r="T179" s="9" t="n">
        <x:f>Q179*(1-0.40)-R179</x:f>
        <x:v>1.2666666666666666</x:v>
      </x:c>
    </x:row>
    <x:row r="180" ht="21" customHeight="1">
      <x:c r="A180" s="3" t="n">
        <x:v>2</x:v>
      </x:c>
      <x:c r="B180" s="3" t="str">
        <x:v>00:20</x:v>
      </x:c>
      <x:c r="C180" s="3" t="n">
        <x:v>1</x:v>
      </x:c>
      <x:c r="D180" s="3" t="n">
        <x:v>59</x:v>
      </x:c>
      <x:c r="E180" s="3" t="n">
        <x:v>10</x:v>
      </x:c>
      <x:c r="F180" s="3" t="n">
        <x:v>4</x:v>
      </x:c>
      <x:c r="G180" s="9" t="n">
        <x:v>0.18</x:v>
      </x:c>
      <x:c r="H180" s="9" t="n">
        <x:v>1.114542</x:v>
      </x:c>
      <x:c r="I180" s="9" t="n">
        <x:f>'Physical_Arcs'!R60</x:f>
        <x:v>1.5833333333333333</x:v>
      </x:c>
      <x:c r="J180" s="9" t="n">
        <x:f>I180*'Parameters'!$C$18</x:f>
        <x:v>0.31666666666666665</x:v>
      </x:c>
      <x:c r="K180" s="9" t="n">
        <x:f>J180*'Parameters'!$C$19</x:f>
        <x:v>0.3958333333333333</x:v>
      </x:c>
      <x:c r="L180" s="9" t="n">
        <x:f>I180*(1-0.40)-J180</x:f>
        <x:v>0.6333333333333333</x:v>
      </x:c>
      <x:c r="M180" s="9" t="n">
        <x:f>'Physical_Arcs'!S60</x:f>
        <x:v>1.5833333333333333</x:v>
      </x:c>
      <x:c r="N180" s="9" t="n">
        <x:f>M180*'Parameters'!$C$18</x:f>
        <x:v>0.31666666666666665</x:v>
      </x:c>
      <x:c r="O180" s="9" t="n">
        <x:f>N180*'Parameters'!$C$19</x:f>
        <x:v>0.3958333333333333</x:v>
      </x:c>
      <x:c r="P180" s="9" t="n">
        <x:f>M180*(1-0.40)-N180</x:f>
        <x:v>0.6333333333333333</x:v>
      </x:c>
      <x:c r="Q180" s="9" t="n">
        <x:f>'Physical_Arcs'!T60</x:f>
        <x:v>0.8055555555555556</x:v>
      </x:c>
      <x:c r="R180" s="9" t="n">
        <x:f>Q180*'Parameters'!$C$18</x:f>
        <x:v>0.16111111111111112</x:v>
      </x:c>
      <x:c r="S180" s="9" t="n">
        <x:f>R180*'Parameters'!$C$19</x:f>
        <x:v>0.2013888888888889</x:v>
      </x:c>
      <x:c r="T180" s="9" t="n">
        <x:f>Q180*(1-0.40)-R180</x:f>
        <x:v>0.3222222222222222</x:v>
      </x:c>
    </x:row>
    <x:row r="181" ht="21" customHeight="1">
      <x:c r="A181" s="3" t="n">
        <x:v>2</x:v>
      </x:c>
      <x:c r="B181" s="3" t="str">
        <x:v>00:20</x:v>
      </x:c>
      <x:c r="C181" s="3" t="n">
        <x:v>1</x:v>
      </x:c>
      <x:c r="D181" s="3" t="n">
        <x:v>60</x:v>
      </x:c>
      <x:c r="E181" s="3" t="n">
        <x:v>10</x:v>
      </x:c>
      <x:c r="F181" s="3" t="n">
        <x:v>9</x:v>
      </x:c>
      <x:c r="G181" s="9" t="n">
        <x:v>0.18</x:v>
      </x:c>
      <x:c r="H181" s="9" t="n">
        <x:v>1.092245</x:v>
      </x:c>
      <x:c r="I181" s="9" t="n">
        <x:f>'Physical_Arcs'!R61</x:f>
        <x:v>10.333333333333334</x:v>
      </x:c>
      <x:c r="J181" s="9" t="n">
        <x:f>I181*'Parameters'!$C$18</x:f>
        <x:v>2.066666666666667</x:v>
      </x:c>
      <x:c r="K181" s="9" t="n">
        <x:f>J181*'Parameters'!$C$19</x:f>
        <x:v>2.5833333333333335</x:v>
      </x:c>
      <x:c r="L181" s="9" t="n">
        <x:f>I181*(1-0.40)-J181</x:f>
        <x:v>4.133333333333333</x:v>
      </x:c>
      <x:c r="M181" s="9" t="n">
        <x:f>'Physical_Arcs'!S61</x:f>
        <x:v>10.333333333333334</x:v>
      </x:c>
      <x:c r="N181" s="9" t="n">
        <x:f>M181*'Parameters'!$C$18</x:f>
        <x:v>2.066666666666667</x:v>
      </x:c>
      <x:c r="O181" s="9" t="n">
        <x:f>N181*'Parameters'!$C$19</x:f>
        <x:v>2.5833333333333335</x:v>
      </x:c>
      <x:c r="P181" s="9" t="n">
        <x:f>M181*(1-0.40)-N181</x:f>
        <x:v>4.133333333333333</x:v>
      </x:c>
      <x:c r="Q181" s="9" t="n">
        <x:f>'Physical_Arcs'!T61</x:f>
        <x:v>5.166666666666667</x:v>
      </x:c>
      <x:c r="R181" s="9" t="n">
        <x:f>Q181*'Parameters'!$C$18</x:f>
        <x:v>1.0333333333333334</x:v>
      </x:c>
      <x:c r="S181" s="9" t="n">
        <x:f>R181*'Parameters'!$C$19</x:f>
        <x:v>1.2916666666666667</x:v>
      </x:c>
      <x:c r="T181" s="9" t="n">
        <x:f>Q181*(1-0.40)-R181</x:f>
        <x:v>2.0666666666666664</x:v>
      </x:c>
    </x:row>
    <x:row r="182" ht="21" customHeight="1">
      <x:c r="A182" s="3" t="n">
        <x:v>3</x:v>
      </x:c>
      <x:c r="B182" s="3" t="str">
        <x:v>00:30</x:v>
      </x:c>
      <x:c r="C182" s="3" t="n">
        <x:v>1</x:v>
      </x:c>
      <x:c r="D182" s="3" t="n">
        <x:v>1</x:v>
      </x:c>
      <x:c r="E182" s="3" t="n">
        <x:v>1</x:v>
      </x:c>
      <x:c r="F182" s="3" t="n">
        <x:v>2</x:v>
      </x:c>
      <x:c r="G182" s="9" t="n">
        <x:v>0.18</x:v>
      </x:c>
      <x:c r="H182" s="9" t="n">
        <x:v>0.914787</x:v>
      </x:c>
      <x:c r="I182" s="9" t="n">
        <x:f>'Physical_Arcs'!R2</x:f>
        <x:v>17.02777777777778</x:v>
      </x:c>
      <x:c r="J182" s="9" t="n">
        <x:f>I182*'Parameters'!$C$18</x:f>
        <x:v>3.405555555555556</x:v>
      </x:c>
      <x:c r="K182" s="9" t="n">
        <x:f>J182*'Parameters'!$C$19</x:f>
        <x:v>4.256944444444445</x:v>
      </x:c>
      <x:c r="L182" s="9" t="n">
        <x:f>I182*(1-0.40)-J182</x:f>
        <x:v>6.811111111111111</x:v>
      </x:c>
      <x:c r="M182" s="9" t="n">
        <x:f>'Physical_Arcs'!S2</x:f>
        <x:v>17.02777777777778</x:v>
      </x:c>
      <x:c r="N182" s="9" t="n">
        <x:f>M182*'Parameters'!$C$18</x:f>
        <x:v>3.405555555555556</x:v>
      </x:c>
      <x:c r="O182" s="9" t="n">
        <x:f>N182*'Parameters'!$C$19</x:f>
        <x:v>4.256944444444445</x:v>
      </x:c>
      <x:c r="P182" s="9" t="n">
        <x:f>M182*(1-0.40)-N182</x:f>
        <x:v>6.811111111111111</x:v>
      </x:c>
      <x:c r="Q182" s="9" t="n">
        <x:f>'Physical_Arcs'!T2</x:f>
        <x:v>17.02777777777778</x:v>
      </x:c>
      <x:c r="R182" s="9" t="n">
        <x:f>Q182*'Parameters'!$C$18</x:f>
        <x:v>3.405555555555556</x:v>
      </x:c>
      <x:c r="S182" s="9" t="n">
        <x:f>R182*'Parameters'!$C$19</x:f>
        <x:v>4.256944444444445</x:v>
      </x:c>
      <x:c r="T182" s="9" t="n">
        <x:f>Q182*(1-0.40)-R182</x:f>
        <x:v>6.811111111111111</x:v>
      </x:c>
    </x:row>
    <x:row r="183" ht="21" customHeight="1">
      <x:c r="A183" s="3" t="n">
        <x:v>3</x:v>
      </x:c>
      <x:c r="B183" s="3" t="str">
        <x:v>00:30</x:v>
      </x:c>
      <x:c r="C183" s="3" t="n">
        <x:v>1</x:v>
      </x:c>
      <x:c r="D183" s="3" t="n">
        <x:v>2</x:v>
      </x:c>
      <x:c r="E183" s="3" t="n">
        <x:v>1</x:v>
      </x:c>
      <x:c r="F183" s="3" t="n">
        <x:v>10</x:v>
      </x:c>
      <x:c r="G183" s="9" t="n">
        <x:v>0.18</x:v>
      </x:c>
      <x:c r="H183" s="9" t="n">
        <x:v>1.003995</x:v>
      </x:c>
      <x:c r="I183" s="9" t="n">
        <x:f>'Physical_Arcs'!R3</x:f>
        <x:v>3.2777777777777777</x:v>
      </x:c>
      <x:c r="J183" s="9" t="n">
        <x:f>I183*'Parameters'!$C$18</x:f>
        <x:v>0.6555555555555556</x:v>
      </x:c>
      <x:c r="K183" s="9" t="n">
        <x:f>J183*'Parameters'!$C$19</x:f>
        <x:v>0.8194444444444444</x:v>
      </x:c>
      <x:c r="L183" s="9" t="n">
        <x:f>I183*(1-0.40)-J183</x:f>
        <x:v>1.311111111111111</x:v>
      </x:c>
      <x:c r="M183" s="9" t="n">
        <x:f>'Physical_Arcs'!S3</x:f>
        <x:v>3.2777777777777777</x:v>
      </x:c>
      <x:c r="N183" s="9" t="n">
        <x:f>M183*'Parameters'!$C$18</x:f>
        <x:v>0.6555555555555556</x:v>
      </x:c>
      <x:c r="O183" s="9" t="n">
        <x:f>N183*'Parameters'!$C$19</x:f>
        <x:v>0.8194444444444444</x:v>
      </x:c>
      <x:c r="P183" s="9" t="n">
        <x:f>M183*(1-0.40)-N183</x:f>
        <x:v>1.311111111111111</x:v>
      </x:c>
      <x:c r="Q183" s="9" t="n">
        <x:f>'Physical_Arcs'!T3</x:f>
        <x:v>1.6388888888888888</x:v>
      </x:c>
      <x:c r="R183" s="9" t="n">
        <x:f>Q183*'Parameters'!$C$18</x:f>
        <x:v>0.3277777777777778</x:v>
      </x:c>
      <x:c r="S183" s="9" t="n">
        <x:f>R183*'Parameters'!$C$19</x:f>
        <x:v>0.4097222222222222</x:v>
      </x:c>
      <x:c r="T183" s="9" t="n">
        <x:f>Q183*(1-0.40)-R183</x:f>
        <x:v>0.6555555555555554</x:v>
      </x:c>
    </x:row>
    <x:row r="184" ht="21" customHeight="1">
      <x:c r="A184" s="3" t="n">
        <x:v>3</x:v>
      </x:c>
      <x:c r="B184" s="3" t="str">
        <x:v>00:30</x:v>
      </x:c>
      <x:c r="C184" s="3" t="n">
        <x:v>1</x:v>
      </x:c>
      <x:c r="D184" s="3" t="n">
        <x:v>3</x:v>
      </x:c>
      <x:c r="E184" s="3" t="n">
        <x:v>1</x:v>
      </x:c>
      <x:c r="F184" s="3" t="n">
        <x:v>8</x:v>
      </x:c>
      <x:c r="G184" s="9" t="n">
        <x:v>0.18</x:v>
      </x:c>
      <x:c r="H184" s="9" t="n">
        <x:v>0.923863</x:v>
      </x:c>
      <x:c r="I184" s="9" t="n">
        <x:f>'Physical_Arcs'!R4</x:f>
        <x:v>6.083333333333333</x:v>
      </x:c>
      <x:c r="J184" s="9" t="n">
        <x:f>I184*'Parameters'!$C$18</x:f>
        <x:v>1.2166666666666668</x:v>
      </x:c>
      <x:c r="K184" s="9" t="n">
        <x:f>J184*'Parameters'!$C$19</x:f>
        <x:v>1.5208333333333335</x:v>
      </x:c>
      <x:c r="L184" s="9" t="n">
        <x:f>I184*(1-0.40)-J184</x:f>
        <x:v>2.4333333333333327</x:v>
      </x:c>
      <x:c r="M184" s="9" t="n">
        <x:f>'Physical_Arcs'!S4</x:f>
        <x:v>6.083333333333333</x:v>
      </x:c>
      <x:c r="N184" s="9" t="n">
        <x:f>M184*'Parameters'!$C$18</x:f>
        <x:v>1.2166666666666668</x:v>
      </x:c>
      <x:c r="O184" s="9" t="n">
        <x:f>N184*'Parameters'!$C$19</x:f>
        <x:v>1.5208333333333335</x:v>
      </x:c>
      <x:c r="P184" s="9" t="n">
        <x:f>M184*(1-0.40)-N184</x:f>
        <x:v>2.4333333333333327</x:v>
      </x:c>
      <x:c r="Q184" s="9" t="n">
        <x:f>'Physical_Arcs'!T4</x:f>
        <x:v>3.0555555555555554</x:v>
      </x:c>
      <x:c r="R184" s="9" t="n">
        <x:f>Q184*'Parameters'!$C$18</x:f>
        <x:v>0.6111111111111112</x:v>
      </x:c>
      <x:c r="S184" s="9" t="n">
        <x:f>R184*'Parameters'!$C$19</x:f>
        <x:v>0.763888888888889</x:v>
      </x:c>
      <x:c r="T184" s="9" t="n">
        <x:f>Q184*(1-0.40)-R184</x:f>
        <x:v>1.2222222222222219</x:v>
      </x:c>
    </x:row>
    <x:row r="185" ht="21" customHeight="1">
      <x:c r="A185" s="3" t="n">
        <x:v>3</x:v>
      </x:c>
      <x:c r="B185" s="3" t="str">
        <x:v>00:30</x:v>
      </x:c>
      <x:c r="C185" s="3" t="n">
        <x:v>1</x:v>
      </x:c>
      <x:c r="D185" s="3" t="n">
        <x:v>4</x:v>
      </x:c>
      <x:c r="E185" s="3" t="n">
        <x:v>1</x:v>
      </x:c>
      <x:c r="F185" s="3" t="n">
        <x:v>7</x:v>
      </x:c>
      <x:c r="G185" s="9" t="n">
        <x:v>0.18</x:v>
      </x:c>
      <x:c r="H185" s="9" t="n">
        <x:v>1.111072</x:v>
      </x:c>
      <x:c r="I185" s="9" t="n">
        <x:f>'Physical_Arcs'!R5</x:f>
        <x:v>9</x:v>
      </x:c>
      <x:c r="J185" s="9" t="n">
        <x:f>I185*'Parameters'!$C$18</x:f>
        <x:v>1.8</x:v>
      </x:c>
      <x:c r="K185" s="9" t="n">
        <x:f>J185*'Parameters'!$C$19</x:f>
        <x:v>2.25</x:v>
      </x:c>
      <x:c r="L185" s="9" t="n">
        <x:f>I185*(1-0.40)-J185</x:f>
        <x:v>3.5999999999999996</x:v>
      </x:c>
      <x:c r="M185" s="9" t="n">
        <x:f>'Physical_Arcs'!S5</x:f>
        <x:v>9</x:v>
      </x:c>
      <x:c r="N185" s="9" t="n">
        <x:f>M185*'Parameters'!$C$18</x:f>
        <x:v>1.8</x:v>
      </x:c>
      <x:c r="O185" s="9" t="n">
        <x:f>N185*'Parameters'!$C$19</x:f>
        <x:v>2.25</x:v>
      </x:c>
      <x:c r="P185" s="9" t="n">
        <x:f>M185*(1-0.40)-N185</x:f>
        <x:v>3.5999999999999996</x:v>
      </x:c>
      <x:c r="Q185" s="9" t="n">
        <x:f>'Physical_Arcs'!T5</x:f>
        <x:v>4.5</x:v>
      </x:c>
      <x:c r="R185" s="9" t="n">
        <x:f>Q185*'Parameters'!$C$18</x:f>
        <x:v>0.9</x:v>
      </x:c>
      <x:c r="S185" s="9" t="n">
        <x:f>R185*'Parameters'!$C$19</x:f>
        <x:v>1.125</x:v>
      </x:c>
      <x:c r="T185" s="9" t="n">
        <x:f>Q185*(1-0.40)-R185</x:f>
        <x:v>1.7999999999999998</x:v>
      </x:c>
    </x:row>
    <x:row r="186" ht="21" customHeight="1">
      <x:c r="A186" s="3" t="n">
        <x:v>3</x:v>
      </x:c>
      <x:c r="B186" s="3" t="str">
        <x:v>00:30</x:v>
      </x:c>
      <x:c r="C186" s="3" t="n">
        <x:v>1</x:v>
      </x:c>
      <x:c r="D186" s="3" t="n">
        <x:v>5</x:v>
      </x:c>
      <x:c r="E186" s="3" t="n">
        <x:v>1</x:v>
      </x:c>
      <x:c r="F186" s="3" t="n">
        <x:v>4</x:v>
      </x:c>
      <x:c r="G186" s="9" t="n">
        <x:v>0.18</x:v>
      </x:c>
      <x:c r="H186" s="9" t="n">
        <x:v>1.001665</x:v>
      </x:c>
      <x:c r="I186" s="9" t="n">
        <x:f>'Physical_Arcs'!R6</x:f>
        <x:v>4.166666666666667</x:v>
      </x:c>
      <x:c r="J186" s="9" t="n">
        <x:f>I186*'Parameters'!$C$18</x:f>
        <x:v>0.8333333333333335</x:v>
      </x:c>
      <x:c r="K186" s="9" t="n">
        <x:f>J186*'Parameters'!$C$19</x:f>
        <x:v>1.041666666666667</x:v>
      </x:c>
      <x:c r="L186" s="9" t="n">
        <x:f>I186*(1-0.40)-J186</x:f>
        <x:v>1.6666666666666665</x:v>
      </x:c>
      <x:c r="M186" s="9" t="n">
        <x:f>'Physical_Arcs'!S6</x:f>
        <x:v>4.166666666666667</x:v>
      </x:c>
      <x:c r="N186" s="9" t="n">
        <x:f>M186*'Parameters'!$C$18</x:f>
        <x:v>0.8333333333333335</x:v>
      </x:c>
      <x:c r="O186" s="9" t="n">
        <x:f>N186*'Parameters'!$C$19</x:f>
        <x:v>1.041666666666667</x:v>
      </x:c>
      <x:c r="P186" s="9" t="n">
        <x:f>M186*(1-0.40)-N186</x:f>
        <x:v>1.6666666666666665</x:v>
      </x:c>
      <x:c r="Q186" s="9" t="n">
        <x:f>'Physical_Arcs'!T6</x:f>
        <x:v>2.0833333333333335</x:v>
      </x:c>
      <x:c r="R186" s="9" t="n">
        <x:f>Q186*'Parameters'!$C$18</x:f>
        <x:v>0.41666666666666674</x:v>
      </x:c>
      <x:c r="S186" s="9" t="n">
        <x:f>R186*'Parameters'!$C$19</x:f>
        <x:v>0.5208333333333335</x:v>
      </x:c>
      <x:c r="T186" s="9" t="n">
        <x:f>Q186*(1-0.40)-R186</x:f>
        <x:v>0.8333333333333333</x:v>
      </x:c>
    </x:row>
    <x:row r="187" ht="21" customHeight="1">
      <x:c r="A187" s="3" t="n">
        <x:v>3</x:v>
      </x:c>
      <x:c r="B187" s="3" t="str">
        <x:v>00:30</x:v>
      </x:c>
      <x:c r="C187" s="3" t="n">
        <x:v>1</x:v>
      </x:c>
      <x:c r="D187" s="3" t="n">
        <x:v>6</x:v>
      </x:c>
      <x:c r="E187" s="3" t="n">
        <x:v>1</x:v>
      </x:c>
      <x:c r="F187" s="3" t="n">
        <x:v>9</x:v>
      </x:c>
      <x:c r="G187" s="9" t="n">
        <x:v>0.18</x:v>
      </x:c>
      <x:c r="H187" s="9" t="n">
        <x:v>0.942884</x:v>
      </x:c>
      <x:c r="I187" s="9" t="n">
        <x:f>'Physical_Arcs'!R7</x:f>
        <x:v>11.027777777777779</x:v>
      </x:c>
      <x:c r="J187" s="9" t="n">
        <x:f>I187*'Parameters'!$C$18</x:f>
        <x:v>2.2055555555555557</x:v>
      </x:c>
      <x:c r="K187" s="9" t="n">
        <x:f>J187*'Parameters'!$C$19</x:f>
        <x:v>2.7569444444444446</x:v>
      </x:c>
      <x:c r="L187" s="9" t="n">
        <x:f>I187*(1-0.40)-J187</x:f>
        <x:v>4.411111111111111</x:v>
      </x:c>
      <x:c r="M187" s="9" t="n">
        <x:f>'Physical_Arcs'!S7</x:f>
        <x:v>11.027777777777779</x:v>
      </x:c>
      <x:c r="N187" s="9" t="n">
        <x:f>M187*'Parameters'!$C$18</x:f>
        <x:v>2.2055555555555557</x:v>
      </x:c>
      <x:c r="O187" s="9" t="n">
        <x:f>N187*'Parameters'!$C$19</x:f>
        <x:v>2.7569444444444446</x:v>
      </x:c>
      <x:c r="P187" s="9" t="n">
        <x:f>M187*(1-0.40)-N187</x:f>
        <x:v>4.411111111111111</x:v>
      </x:c>
      <x:c r="Q187" s="9" t="n">
        <x:f>'Physical_Arcs'!T7</x:f>
        <x:v>5.527777777777778</x:v>
      </x:c>
      <x:c r="R187" s="9" t="n">
        <x:f>Q187*'Parameters'!$C$18</x:f>
        <x:v>1.1055555555555556</x:v>
      </x:c>
      <x:c r="S187" s="9" t="n">
        <x:f>R187*'Parameters'!$C$19</x:f>
        <x:v>1.3819444444444446</x:v>
      </x:c>
      <x:c r="T187" s="9" t="n">
        <x:f>Q187*(1-0.40)-R187</x:f>
        <x:v>2.211111111111111</x:v>
      </x:c>
    </x:row>
    <x:row r="188" ht="21" customHeight="1">
      <x:c r="A188" s="3" t="n">
        <x:v>3</x:v>
      </x:c>
      <x:c r="B188" s="3" t="str">
        <x:v>00:30</x:v>
      </x:c>
      <x:c r="C188" s="3" t="n">
        <x:v>1</x:v>
      </x:c>
      <x:c r="D188" s="3" t="n">
        <x:v>7</x:v>
      </x:c>
      <x:c r="E188" s="3" t="n">
        <x:v>1</x:v>
      </x:c>
      <x:c r="F188" s="3" t="n">
        <x:v>5</x:v>
      </x:c>
      <x:c r="G188" s="9" t="n">
        <x:v>0.18</x:v>
      </x:c>
      <x:c r="H188" s="9" t="n">
        <x:v>1.038222</x:v>
      </x:c>
      <x:c r="I188" s="9" t="n">
        <x:f>'Physical_Arcs'!R8</x:f>
        <x:v>7.972222222222222</x:v>
      </x:c>
      <x:c r="J188" s="9" t="n">
        <x:f>I188*'Parameters'!$C$18</x:f>
        <x:v>1.5944444444444446</x:v>
      </x:c>
      <x:c r="K188" s="9" t="n">
        <x:f>J188*'Parameters'!$C$19</x:f>
        <x:v>1.9930555555555558</x:v>
      </x:c>
      <x:c r="L188" s="9" t="n">
        <x:f>I188*(1-0.40)-J188</x:f>
        <x:v>3.1888888888888887</x:v>
      </x:c>
      <x:c r="M188" s="9" t="n">
        <x:f>'Physical_Arcs'!S8</x:f>
        <x:v>7.972222222222222</x:v>
      </x:c>
      <x:c r="N188" s="9" t="n">
        <x:f>M188*'Parameters'!$C$18</x:f>
        <x:v>1.5944444444444446</x:v>
      </x:c>
      <x:c r="O188" s="9" t="n">
        <x:f>N188*'Parameters'!$C$19</x:f>
        <x:v>1.9930555555555558</x:v>
      </x:c>
      <x:c r="P188" s="9" t="n">
        <x:f>M188*(1-0.40)-N188</x:f>
        <x:v>3.1888888888888887</x:v>
      </x:c>
      <x:c r="Q188" s="9" t="n">
        <x:f>'Physical_Arcs'!T8</x:f>
        <x:v>4</x:v>
      </x:c>
      <x:c r="R188" s="9" t="n">
        <x:f>Q188*'Parameters'!$C$18</x:f>
        <x:v>0.8</x:v>
      </x:c>
      <x:c r="S188" s="9" t="n">
        <x:f>R188*'Parameters'!$C$19</x:f>
        <x:v>1</x:v>
      </x:c>
      <x:c r="T188" s="9" t="n">
        <x:f>Q188*(1-0.40)-R188</x:f>
        <x:v>1.5999999999999999</x:v>
      </x:c>
    </x:row>
    <x:row r="189" ht="21" customHeight="1">
      <x:c r="A189" s="3" t="n">
        <x:v>3</x:v>
      </x:c>
      <x:c r="B189" s="3" t="str">
        <x:v>00:30</x:v>
      </x:c>
      <x:c r="C189" s="3" t="n">
        <x:v>1</x:v>
      </x:c>
      <x:c r="D189" s="3" t="n">
        <x:v>8</x:v>
      </x:c>
      <x:c r="E189" s="3" t="n">
        <x:v>1</x:v>
      </x:c>
      <x:c r="F189" s="3" t="n">
        <x:v>3</x:v>
      </x:c>
      <x:c r="G189" s="9" t="n">
        <x:v>0.18</x:v>
      </x:c>
      <x:c r="H189" s="9" t="n">
        <x:v>1.122297</x:v>
      </x:c>
      <x:c r="I189" s="9" t="n">
        <x:f>'Physical_Arcs'!R9</x:f>
        <x:v>4.166666666666667</x:v>
      </x:c>
      <x:c r="J189" s="9" t="n">
        <x:f>I189*'Parameters'!$C$18</x:f>
        <x:v>0.8333333333333335</x:v>
      </x:c>
      <x:c r="K189" s="9" t="n">
        <x:f>J189*'Parameters'!$C$19</x:f>
        <x:v>1.041666666666667</x:v>
      </x:c>
      <x:c r="L189" s="9" t="n">
        <x:f>I189*(1-0.40)-J189</x:f>
        <x:v>1.6666666666666665</x:v>
      </x:c>
      <x:c r="M189" s="9" t="n">
        <x:f>'Physical_Arcs'!S9</x:f>
        <x:v>4.166666666666667</x:v>
      </x:c>
      <x:c r="N189" s="9" t="n">
        <x:f>M189*'Parameters'!$C$18</x:f>
        <x:v>0.8333333333333335</x:v>
      </x:c>
      <x:c r="O189" s="9" t="n">
        <x:f>N189*'Parameters'!$C$19</x:f>
        <x:v>1.041666666666667</x:v>
      </x:c>
      <x:c r="P189" s="9" t="n">
        <x:f>M189*(1-0.40)-N189</x:f>
        <x:v>1.6666666666666665</x:v>
      </x:c>
      <x:c r="Q189" s="9" t="n">
        <x:f>'Physical_Arcs'!T9</x:f>
        <x:v>2.0833333333333335</x:v>
      </x:c>
      <x:c r="R189" s="9" t="n">
        <x:f>Q189*'Parameters'!$C$18</x:f>
        <x:v>0.41666666666666674</x:v>
      </x:c>
      <x:c r="S189" s="9" t="n">
        <x:f>R189*'Parameters'!$C$19</x:f>
        <x:v>0.5208333333333335</x:v>
      </x:c>
      <x:c r="T189" s="9" t="n">
        <x:f>Q189*(1-0.40)-R189</x:f>
        <x:v>0.8333333333333333</x:v>
      </x:c>
    </x:row>
    <x:row r="190" ht="21" customHeight="1">
      <x:c r="A190" s="3" t="n">
        <x:v>3</x:v>
      </x:c>
      <x:c r="B190" s="3" t="str">
        <x:v>00:30</x:v>
      </x:c>
      <x:c r="C190" s="3" t="n">
        <x:v>1</x:v>
      </x:c>
      <x:c r="D190" s="3" t="n">
        <x:v>9</x:v>
      </x:c>
      <x:c r="E190" s="3" t="n">
        <x:v>1</x:v>
      </x:c>
      <x:c r="F190" s="3" t="n">
        <x:v>6</x:v>
      </x:c>
      <x:c r="G190" s="9" t="n">
        <x:v>0.18</x:v>
      </x:c>
      <x:c r="H190" s="9" t="n">
        <x:v>1.132682</x:v>
      </x:c>
      <x:c r="I190" s="9" t="n">
        <x:f>'Physical_Arcs'!R10</x:f>
        <x:v>2.138888888888889</x:v>
      </x:c>
      <x:c r="J190" s="9" t="n">
        <x:f>I190*'Parameters'!$C$18</x:f>
        <x:v>0.4277777777777778</x:v>
      </x:c>
      <x:c r="K190" s="9" t="n">
        <x:f>J190*'Parameters'!$C$19</x:f>
        <x:v>0.5347222222222223</x:v>
      </x:c>
      <x:c r="L190" s="9" t="n">
        <x:f>I190*(1-0.40)-J190</x:f>
        <x:v>0.8555555555555554</x:v>
      </x:c>
      <x:c r="M190" s="9" t="n">
        <x:f>'Physical_Arcs'!S10</x:f>
        <x:v>2.138888888888889</x:v>
      </x:c>
      <x:c r="N190" s="9" t="n">
        <x:f>M190*'Parameters'!$C$18</x:f>
        <x:v>0.4277777777777778</x:v>
      </x:c>
      <x:c r="O190" s="9" t="n">
        <x:f>N190*'Parameters'!$C$19</x:f>
        <x:v>0.5347222222222223</x:v>
      </x:c>
      <x:c r="P190" s="9" t="n">
        <x:f>M190*(1-0.40)-N190</x:f>
        <x:v>0.8555555555555554</x:v>
      </x:c>
      <x:c r="Q190" s="9" t="n">
        <x:f>'Physical_Arcs'!T10</x:f>
        <x:v>1.0833333333333333</x:v>
      </x:c>
      <x:c r="R190" s="9" t="n">
        <x:f>Q190*'Parameters'!$C$18</x:f>
        <x:v>0.21666666666666667</x:v>
      </x:c>
      <x:c r="S190" s="9" t="n">
        <x:f>R190*'Parameters'!$C$19</x:f>
        <x:v>0.27083333333333337</x:v>
      </x:c>
      <x:c r="T190" s="9" t="n">
        <x:f>Q190*(1-0.40)-R190</x:f>
        <x:v>0.43333333333333324</x:v>
      </x:c>
    </x:row>
    <x:row r="191" ht="21" customHeight="1">
      <x:c r="A191" s="3" t="n">
        <x:v>3</x:v>
      </x:c>
      <x:c r="B191" s="3" t="str">
        <x:v>00:30</x:v>
      </x:c>
      <x:c r="C191" s="3" t="n">
        <x:v>1</x:v>
      </x:c>
      <x:c r="D191" s="3" t="n">
        <x:v>10</x:v>
      </x:c>
      <x:c r="E191" s="3" t="n">
        <x:v>2</x:v>
      </x:c>
      <x:c r="F191" s="3" t="n">
        <x:v>3</x:v>
      </x:c>
      <x:c r="G191" s="9" t="n">
        <x:v>0.18</x:v>
      </x:c>
      <x:c r="H191" s="9" t="n">
        <x:v>0.871154</x:v>
      </x:c>
      <x:c r="I191" s="9" t="n">
        <x:f>'Physical_Arcs'!R11</x:f>
        <x:v>17.02777777777778</x:v>
      </x:c>
      <x:c r="J191" s="9" t="n">
        <x:f>I191*'Parameters'!$C$18</x:f>
        <x:v>3.405555555555556</x:v>
      </x:c>
      <x:c r="K191" s="9" t="n">
        <x:f>J191*'Parameters'!$C$19</x:f>
        <x:v>4.256944444444445</x:v>
      </x:c>
      <x:c r="L191" s="9" t="n">
        <x:f>I191*(1-0.40)-J191</x:f>
        <x:v>6.811111111111111</x:v>
      </x:c>
      <x:c r="M191" s="9" t="n">
        <x:f>'Physical_Arcs'!S11</x:f>
        <x:v>17.02777777777778</x:v>
      </x:c>
      <x:c r="N191" s="9" t="n">
        <x:f>M191*'Parameters'!$C$18</x:f>
        <x:v>3.405555555555556</x:v>
      </x:c>
      <x:c r="O191" s="9" t="n">
        <x:f>N191*'Parameters'!$C$19</x:f>
        <x:v>4.256944444444445</x:v>
      </x:c>
      <x:c r="P191" s="9" t="n">
        <x:f>M191*(1-0.40)-N191</x:f>
        <x:v>6.811111111111111</x:v>
      </x:c>
      <x:c r="Q191" s="9" t="n">
        <x:f>'Physical_Arcs'!T11</x:f>
        <x:v>17.02777777777778</x:v>
      </x:c>
      <x:c r="R191" s="9" t="n">
        <x:f>Q191*'Parameters'!$C$18</x:f>
        <x:v>3.405555555555556</x:v>
      </x:c>
      <x:c r="S191" s="9" t="n">
        <x:f>R191*'Parameters'!$C$19</x:f>
        <x:v>4.256944444444445</x:v>
      </x:c>
      <x:c r="T191" s="9" t="n">
        <x:f>Q191*(1-0.40)-R191</x:f>
        <x:v>6.811111111111111</x:v>
      </x:c>
    </x:row>
    <x:row r="192" ht="21" customHeight="1">
      <x:c r="A192" s="3" t="n">
        <x:v>3</x:v>
      </x:c>
      <x:c r="B192" s="3" t="str">
        <x:v>00:30</x:v>
      </x:c>
      <x:c r="C192" s="3" t="n">
        <x:v>1</x:v>
      </x:c>
      <x:c r="D192" s="3" t="n">
        <x:v>11</x:v>
      </x:c>
      <x:c r="E192" s="3" t="n">
        <x:v>2</x:v>
      </x:c>
      <x:c r="F192" s="3" t="n">
        <x:v>4</x:v>
      </x:c>
      <x:c r="G192" s="9" t="n">
        <x:v>0.18</x:v>
      </x:c>
      <x:c r="H192" s="9" t="n">
        <x:v>1.147412</x:v>
      </x:c>
      <x:c r="I192" s="9" t="n">
        <x:f>'Physical_Arcs'!R12</x:f>
        <x:v>7.972222222222222</x:v>
      </x:c>
      <x:c r="J192" s="9" t="n">
        <x:f>I192*'Parameters'!$C$18</x:f>
        <x:v>1.5944444444444446</x:v>
      </x:c>
      <x:c r="K192" s="9" t="n">
        <x:f>J192*'Parameters'!$C$19</x:f>
        <x:v>1.9930555555555558</x:v>
      </x:c>
      <x:c r="L192" s="9" t="n">
        <x:f>I192*(1-0.40)-J192</x:f>
        <x:v>3.1888888888888887</x:v>
      </x:c>
      <x:c r="M192" s="9" t="n">
        <x:f>'Physical_Arcs'!S12</x:f>
        <x:v>7.972222222222222</x:v>
      </x:c>
      <x:c r="N192" s="9" t="n">
        <x:f>M192*'Parameters'!$C$18</x:f>
        <x:v>1.5944444444444446</x:v>
      </x:c>
      <x:c r="O192" s="9" t="n">
        <x:f>N192*'Parameters'!$C$19</x:f>
        <x:v>1.9930555555555558</x:v>
      </x:c>
      <x:c r="P192" s="9" t="n">
        <x:f>M192*(1-0.40)-N192</x:f>
        <x:v>3.1888888888888887</x:v>
      </x:c>
      <x:c r="Q192" s="9" t="n">
        <x:f>'Physical_Arcs'!T12</x:f>
        <x:v>4</x:v>
      </x:c>
      <x:c r="R192" s="9" t="n">
        <x:f>Q192*'Parameters'!$C$18</x:f>
        <x:v>0.8</x:v>
      </x:c>
      <x:c r="S192" s="9" t="n">
        <x:f>R192*'Parameters'!$C$19</x:f>
        <x:v>1</x:v>
      </x:c>
      <x:c r="T192" s="9" t="n">
        <x:f>Q192*(1-0.40)-R192</x:f>
        <x:v>1.5999999999999999</x:v>
      </x:c>
    </x:row>
    <x:row r="193" ht="21" customHeight="1">
      <x:c r="A193" s="3" t="n">
        <x:v>3</x:v>
      </x:c>
      <x:c r="B193" s="3" t="str">
        <x:v>00:30</x:v>
      </x:c>
      <x:c r="C193" s="3" t="n">
        <x:v>1</x:v>
      </x:c>
      <x:c r="D193" s="3" t="n">
        <x:v>12</x:v>
      </x:c>
      <x:c r="E193" s="3" t="n">
        <x:v>2</x:v>
      </x:c>
      <x:c r="F193" s="3" t="n">
        <x:v>7</x:v>
      </x:c>
      <x:c r="G193" s="9" t="n">
        <x:v>0.18</x:v>
      </x:c>
      <x:c r="H193" s="9" t="n">
        <x:v>0.96729</x:v>
      </x:c>
      <x:c r="I193" s="9" t="n">
        <x:f>'Physical_Arcs'!R13</x:f>
        <x:v>4.611111111111111</x:v>
      </x:c>
      <x:c r="J193" s="9" t="n">
        <x:f>I193*'Parameters'!$C$18</x:f>
        <x:v>0.9222222222222222</x:v>
      </x:c>
      <x:c r="K193" s="9" t="n">
        <x:f>J193*'Parameters'!$C$19</x:f>
        <x:v>1.1527777777777777</x:v>
      </x:c>
      <x:c r="L193" s="9" t="n">
        <x:f>I193*(1-0.40)-J193</x:f>
        <x:v>1.844444444444444</x:v>
      </x:c>
      <x:c r="M193" s="9" t="n">
        <x:f>'Physical_Arcs'!S13</x:f>
        <x:v>4.611111111111111</x:v>
      </x:c>
      <x:c r="N193" s="9" t="n">
        <x:f>M193*'Parameters'!$C$18</x:f>
        <x:v>0.9222222222222222</x:v>
      </x:c>
      <x:c r="O193" s="9" t="n">
        <x:f>N193*'Parameters'!$C$19</x:f>
        <x:v>1.1527777777777777</x:v>
      </x:c>
      <x:c r="P193" s="9" t="n">
        <x:f>M193*(1-0.40)-N193</x:f>
        <x:v>1.844444444444444</x:v>
      </x:c>
      <x:c r="Q193" s="9" t="n">
        <x:f>'Physical_Arcs'!T13</x:f>
        <x:v>2.3055555555555554</x:v>
      </x:c>
      <x:c r="R193" s="9" t="n">
        <x:f>Q193*'Parameters'!$C$18</x:f>
        <x:v>0.4611111111111111</x:v>
      </x:c>
      <x:c r="S193" s="9" t="n">
        <x:f>R193*'Parameters'!$C$19</x:f>
        <x:v>0.5763888888888888</x:v>
      </x:c>
      <x:c r="T193" s="9" t="n">
        <x:f>Q193*(1-0.40)-R193</x:f>
        <x:v>0.922222222222222</x:v>
      </x:c>
    </x:row>
    <x:row r="194" ht="21" customHeight="1">
      <x:c r="A194" s="3" t="n">
        <x:v>3</x:v>
      </x:c>
      <x:c r="B194" s="3" t="str">
        <x:v>00:30</x:v>
      </x:c>
      <x:c r="C194" s="3" t="n">
        <x:v>1</x:v>
      </x:c>
      <x:c r="D194" s="3" t="n">
        <x:v>13</x:v>
      </x:c>
      <x:c r="E194" s="3" t="n">
        <x:v>2</x:v>
      </x:c>
      <x:c r="F194" s="3" t="n">
        <x:v>9</x:v>
      </x:c>
      <x:c r="G194" s="9" t="n">
        <x:v>0.18</x:v>
      </x:c>
      <x:c r="H194" s="9" t="n">
        <x:v>1.117625</x:v>
      </x:c>
      <x:c r="I194" s="9" t="n">
        <x:f>'Physical_Arcs'!R14</x:f>
        <x:v>8.666666666666666</x:v>
      </x:c>
      <x:c r="J194" s="9" t="n">
        <x:f>I194*'Parameters'!$C$18</x:f>
        <x:v>1.7333333333333334</x:v>
      </x:c>
      <x:c r="K194" s="9" t="n">
        <x:f>J194*'Parameters'!$C$19</x:f>
        <x:v>2.166666666666667</x:v>
      </x:c>
      <x:c r="L194" s="9" t="n">
        <x:f>I194*(1-0.40)-J194</x:f>
        <x:v>3.466666666666666</x:v>
      </x:c>
      <x:c r="M194" s="9" t="n">
        <x:f>'Physical_Arcs'!S14</x:f>
        <x:v>8.666666666666666</x:v>
      </x:c>
      <x:c r="N194" s="9" t="n">
        <x:f>M194*'Parameters'!$C$18</x:f>
        <x:v>1.7333333333333334</x:v>
      </x:c>
      <x:c r="O194" s="9" t="n">
        <x:f>N194*'Parameters'!$C$19</x:f>
        <x:v>2.166666666666667</x:v>
      </x:c>
      <x:c r="P194" s="9" t="n">
        <x:f>M194*(1-0.40)-N194</x:f>
        <x:v>3.466666666666666</x:v>
      </x:c>
      <x:c r="Q194" s="9" t="n">
        <x:f>'Physical_Arcs'!T14</x:f>
        <x:v>4.333333333333333</x:v>
      </x:c>
      <x:c r="R194" s="9" t="n">
        <x:f>Q194*'Parameters'!$C$18</x:f>
        <x:v>0.8666666666666667</x:v>
      </x:c>
      <x:c r="S194" s="9" t="n">
        <x:f>R194*'Parameters'!$C$19</x:f>
        <x:v>1.0833333333333335</x:v>
      </x:c>
      <x:c r="T194" s="9" t="n">
        <x:f>Q194*(1-0.40)-R194</x:f>
        <x:v>1.733333333333333</x:v>
      </x:c>
    </x:row>
    <x:row r="195" ht="21" customHeight="1">
      <x:c r="A195" s="3" t="n">
        <x:v>3</x:v>
      </x:c>
      <x:c r="B195" s="3" t="str">
        <x:v>00:30</x:v>
      </x:c>
      <x:c r="C195" s="3" t="n">
        <x:v>1</x:v>
      </x:c>
      <x:c r="D195" s="3" t="n">
        <x:v>14</x:v>
      </x:c>
      <x:c r="E195" s="3" t="n">
        <x:v>2</x:v>
      </x:c>
      <x:c r="F195" s="3" t="n">
        <x:v>8</x:v>
      </x:c>
      <x:c r="G195" s="9" t="n">
        <x:v>0.18</x:v>
      </x:c>
      <x:c r="H195" s="9" t="n">
        <x:v>1.144902</x:v>
      </x:c>
      <x:c r="I195" s="9" t="n">
        <x:f>'Physical_Arcs'!R15</x:f>
        <x:v>7.75</x:v>
      </x:c>
      <x:c r="J195" s="9" t="n">
        <x:f>I195*'Parameters'!$C$18</x:f>
        <x:v>1.55</x:v>
      </x:c>
      <x:c r="K195" s="9" t="n">
        <x:f>J195*'Parameters'!$C$19</x:f>
        <x:v>1.9375</x:v>
      </x:c>
      <x:c r="L195" s="9" t="n">
        <x:f>I195*(1-0.40)-J195</x:f>
        <x:v>3.0999999999999996</x:v>
      </x:c>
      <x:c r="M195" s="9" t="n">
        <x:f>'Physical_Arcs'!S15</x:f>
        <x:v>7.75</x:v>
      </x:c>
      <x:c r="N195" s="9" t="n">
        <x:f>M195*'Parameters'!$C$18</x:f>
        <x:v>1.55</x:v>
      </x:c>
      <x:c r="O195" s="9" t="n">
        <x:f>N195*'Parameters'!$C$19</x:f>
        <x:v>1.9375</x:v>
      </x:c>
      <x:c r="P195" s="9" t="n">
        <x:f>M195*(1-0.40)-N195</x:f>
        <x:v>3.0999999999999996</x:v>
      </x:c>
      <x:c r="Q195" s="9" t="n">
        <x:f>'Physical_Arcs'!T15</x:f>
        <x:v>3.888888888888889</x:v>
      </x:c>
      <x:c r="R195" s="9" t="n">
        <x:f>Q195*'Parameters'!$C$18</x:f>
        <x:v>0.7777777777777778</x:v>
      </x:c>
      <x:c r="S195" s="9" t="n">
        <x:f>R195*'Parameters'!$C$19</x:f>
        <x:v>0.9722222222222222</x:v>
      </x:c>
      <x:c r="T195" s="9" t="n">
        <x:f>Q195*(1-0.40)-R195</x:f>
        <x:v>1.5555555555555554</x:v>
      </x:c>
    </x:row>
    <x:row r="196" ht="21" customHeight="1">
      <x:c r="A196" s="3" t="n">
        <x:v>3</x:v>
      </x:c>
      <x:c r="B196" s="3" t="str">
        <x:v>00:30</x:v>
      </x:c>
      <x:c r="C196" s="3" t="n">
        <x:v>1</x:v>
      </x:c>
      <x:c r="D196" s="3" t="n">
        <x:v>15</x:v>
      </x:c>
      <x:c r="E196" s="3" t="n">
        <x:v>2</x:v>
      </x:c>
      <x:c r="F196" s="3" t="n">
        <x:v>10</x:v>
      </x:c>
      <x:c r="G196" s="9" t="n">
        <x:v>0.18</x:v>
      </x:c>
      <x:c r="H196" s="9" t="n">
        <x:v>1.146684</x:v>
      </x:c>
      <x:c r="I196" s="9" t="n">
        <x:f>'Physical_Arcs'!R16</x:f>
        <x:v>7.416666666666667</x:v>
      </x:c>
      <x:c r="J196" s="9" t="n">
        <x:f>I196*'Parameters'!$C$18</x:f>
        <x:v>1.4833333333333334</x:v>
      </x:c>
      <x:c r="K196" s="9" t="n">
        <x:f>J196*'Parameters'!$C$19</x:f>
        <x:v>1.8541666666666667</x:v>
      </x:c>
      <x:c r="L196" s="9" t="n">
        <x:f>I196*(1-0.40)-J196</x:f>
        <x:v>2.966666666666667</x:v>
      </x:c>
      <x:c r="M196" s="9" t="n">
        <x:f>'Physical_Arcs'!S16</x:f>
        <x:v>7.416666666666667</x:v>
      </x:c>
      <x:c r="N196" s="9" t="n">
        <x:f>M196*'Parameters'!$C$18</x:f>
        <x:v>1.4833333333333334</x:v>
      </x:c>
      <x:c r="O196" s="9" t="n">
        <x:f>N196*'Parameters'!$C$19</x:f>
        <x:v>1.8541666666666667</x:v>
      </x:c>
      <x:c r="P196" s="9" t="n">
        <x:f>M196*(1-0.40)-N196</x:f>
        <x:v>2.966666666666667</x:v>
      </x:c>
      <x:c r="Q196" s="9" t="n">
        <x:f>'Physical_Arcs'!T16</x:f>
        <x:v>3.7222222222222223</x:v>
      </x:c>
      <x:c r="R196" s="9" t="n">
        <x:f>Q196*'Parameters'!$C$18</x:f>
        <x:v>0.7444444444444445</x:v>
      </x:c>
      <x:c r="S196" s="9" t="n">
        <x:f>R196*'Parameters'!$C$19</x:f>
        <x:v>0.9305555555555556</x:v>
      </x:c>
      <x:c r="T196" s="9" t="n">
        <x:f>Q196*(1-0.40)-R196</x:f>
        <x:v>1.488888888888889</x:v>
      </x:c>
    </x:row>
    <x:row r="197" ht="21" customHeight="1">
      <x:c r="A197" s="3" t="n">
        <x:v>3</x:v>
      </x:c>
      <x:c r="B197" s="3" t="str">
        <x:v>00:30</x:v>
      </x:c>
      <x:c r="C197" s="3" t="n">
        <x:v>1</x:v>
      </x:c>
      <x:c r="D197" s="3" t="n">
        <x:v>16</x:v>
      </x:c>
      <x:c r="E197" s="3" t="n">
        <x:v>3</x:v>
      </x:c>
      <x:c r="F197" s="3" t="n">
        <x:v>4</x:v>
      </x:c>
      <x:c r="G197" s="9" t="n">
        <x:v>0.18</x:v>
      </x:c>
      <x:c r="H197" s="9" t="n">
        <x:v>1.017658</x:v>
      </x:c>
      <x:c r="I197" s="9" t="n">
        <x:f>'Physical_Arcs'!R17</x:f>
        <x:v>17.02777777777778</x:v>
      </x:c>
      <x:c r="J197" s="9" t="n">
        <x:f>I197*'Parameters'!$C$18</x:f>
        <x:v>3.405555555555556</x:v>
      </x:c>
      <x:c r="K197" s="9" t="n">
        <x:f>J197*'Parameters'!$C$19</x:f>
        <x:v>4.256944444444445</x:v>
      </x:c>
      <x:c r="L197" s="9" t="n">
        <x:f>I197*(1-0.40)-J197</x:f>
        <x:v>6.811111111111111</x:v>
      </x:c>
      <x:c r="M197" s="9" t="n">
        <x:f>'Physical_Arcs'!S17</x:f>
        <x:v>17.02777777777778</x:v>
      </x:c>
      <x:c r="N197" s="9" t="n">
        <x:f>M197*'Parameters'!$C$18</x:f>
        <x:v>3.405555555555556</x:v>
      </x:c>
      <x:c r="O197" s="9" t="n">
        <x:f>N197*'Parameters'!$C$19</x:f>
        <x:v>4.256944444444445</x:v>
      </x:c>
      <x:c r="P197" s="9" t="n">
        <x:f>M197*(1-0.40)-N197</x:f>
        <x:v>6.811111111111111</x:v>
      </x:c>
      <x:c r="Q197" s="9" t="n">
        <x:f>'Physical_Arcs'!T17</x:f>
        <x:v>17.02777777777778</x:v>
      </x:c>
      <x:c r="R197" s="9" t="n">
        <x:f>Q197*'Parameters'!$C$18</x:f>
        <x:v>3.405555555555556</x:v>
      </x:c>
      <x:c r="S197" s="9" t="n">
        <x:f>R197*'Parameters'!$C$19</x:f>
        <x:v>4.256944444444445</x:v>
      </x:c>
      <x:c r="T197" s="9" t="n">
        <x:f>Q197*(1-0.40)-R197</x:f>
        <x:v>6.811111111111111</x:v>
      </x:c>
    </x:row>
    <x:row r="198" ht="21" customHeight="1">
      <x:c r="A198" s="3" t="n">
        <x:v>3</x:v>
      </x:c>
      <x:c r="B198" s="3" t="str">
        <x:v>00:30</x:v>
      </x:c>
      <x:c r="C198" s="3" t="n">
        <x:v>1</x:v>
      </x:c>
      <x:c r="D198" s="3" t="n">
        <x:v>17</x:v>
      </x:c>
      <x:c r="E198" s="3" t="n">
        <x:v>3</x:v>
      </x:c>
      <x:c r="F198" s="3" t="n">
        <x:v>2</x:v>
      </x:c>
      <x:c r="G198" s="9" t="n">
        <x:v>0.18</x:v>
      </x:c>
      <x:c r="H198" s="9" t="n">
        <x:v>0.875995</x:v>
      </x:c>
      <x:c r="I198" s="9" t="n">
        <x:f>'Physical_Arcs'!R18</x:f>
        <x:v>10.666666666666666</x:v>
      </x:c>
      <x:c r="J198" s="9" t="n">
        <x:f>I198*'Parameters'!$C$18</x:f>
        <x:v>2.1333333333333333</x:v>
      </x:c>
      <x:c r="K198" s="9" t="n">
        <x:f>J198*'Parameters'!$C$19</x:f>
        <x:v>2.6666666666666665</x:v>
      </x:c>
      <x:c r="L198" s="9" t="n">
        <x:f>I198*(1-0.40)-J198</x:f>
        <x:v>4.266666666666666</x:v>
      </x:c>
      <x:c r="M198" s="9" t="n">
        <x:f>'Physical_Arcs'!S18</x:f>
        <x:v>10.666666666666666</x:v>
      </x:c>
      <x:c r="N198" s="9" t="n">
        <x:f>M198*'Parameters'!$C$18</x:f>
        <x:v>2.1333333333333333</x:v>
      </x:c>
      <x:c r="O198" s="9" t="n">
        <x:f>N198*'Parameters'!$C$19</x:f>
        <x:v>2.6666666666666665</x:v>
      </x:c>
      <x:c r="P198" s="9" t="n">
        <x:f>M198*(1-0.40)-N198</x:f>
        <x:v>4.266666666666666</x:v>
      </x:c>
      <x:c r="Q198" s="9" t="n">
        <x:f>'Physical_Arcs'!T18</x:f>
        <x:v>5.333333333333333</x:v>
      </x:c>
      <x:c r="R198" s="9" t="n">
        <x:f>Q198*'Parameters'!$C$18</x:f>
        <x:v>1.0666666666666667</x:v>
      </x:c>
      <x:c r="S198" s="9" t="n">
        <x:f>R198*'Parameters'!$C$19</x:f>
        <x:v>1.3333333333333333</x:v>
      </x:c>
      <x:c r="T198" s="9" t="n">
        <x:f>Q198*(1-0.40)-R198</x:f>
        <x:v>2.133333333333333</x:v>
      </x:c>
    </x:row>
    <x:row r="199" ht="21" customHeight="1">
      <x:c r="A199" s="3" t="n">
        <x:v>3</x:v>
      </x:c>
      <x:c r="B199" s="3" t="str">
        <x:v>00:30</x:v>
      </x:c>
      <x:c r="C199" s="3" t="n">
        <x:v>1</x:v>
      </x:c>
      <x:c r="D199" s="3" t="n">
        <x:v>18</x:v>
      </x:c>
      <x:c r="E199" s="3" t="n">
        <x:v>3</x:v>
      </x:c>
      <x:c r="F199" s="3" t="n">
        <x:v>1</x:v>
      </x:c>
      <x:c r="G199" s="9" t="n">
        <x:v>0.18</x:v>
      </x:c>
      <x:c r="H199" s="9" t="n">
        <x:v>1.015397</x:v>
      </x:c>
      <x:c r="I199" s="9" t="n">
        <x:f>'Physical_Arcs'!R19</x:f>
        <x:v>5.166666666666667</x:v>
      </x:c>
      <x:c r="J199" s="9" t="n">
        <x:f>I199*'Parameters'!$C$18</x:f>
        <x:v>1.0333333333333334</x:v>
      </x:c>
      <x:c r="K199" s="9" t="n">
        <x:f>J199*'Parameters'!$C$19</x:f>
        <x:v>1.2916666666666667</x:v>
      </x:c>
      <x:c r="L199" s="9" t="n">
        <x:f>I199*(1-0.40)-J199</x:f>
        <x:v>2.0666666666666664</x:v>
      </x:c>
      <x:c r="M199" s="9" t="n">
        <x:f>'Physical_Arcs'!S19</x:f>
        <x:v>5.166666666666667</x:v>
      </x:c>
      <x:c r="N199" s="9" t="n">
        <x:f>M199*'Parameters'!$C$18</x:f>
        <x:v>1.0333333333333334</x:v>
      </x:c>
      <x:c r="O199" s="9" t="n">
        <x:f>N199*'Parameters'!$C$19</x:f>
        <x:v>1.2916666666666667</x:v>
      </x:c>
      <x:c r="P199" s="9" t="n">
        <x:f>M199*(1-0.40)-N199</x:f>
        <x:v>2.0666666666666664</x:v>
      </x:c>
      <x:c r="Q199" s="9" t="n">
        <x:f>'Physical_Arcs'!T19</x:f>
        <x:v>2.5833333333333335</x:v>
      </x:c>
      <x:c r="R199" s="9" t="n">
        <x:f>Q199*'Parameters'!$C$18</x:f>
        <x:v>0.5166666666666667</x:v>
      </x:c>
      <x:c r="S199" s="9" t="n">
        <x:f>R199*'Parameters'!$C$19</x:f>
        <x:v>0.6458333333333334</x:v>
      </x:c>
      <x:c r="T199" s="9" t="n">
        <x:f>Q199*(1-0.40)-R199</x:f>
        <x:v>1.0333333333333332</x:v>
      </x:c>
    </x:row>
    <x:row r="200" ht="21" customHeight="1">
      <x:c r="A200" s="3" t="n">
        <x:v>3</x:v>
      </x:c>
      <x:c r="B200" s="3" t="str">
        <x:v>00:30</x:v>
      </x:c>
      <x:c r="C200" s="3" t="n">
        <x:v>1</x:v>
      </x:c>
      <x:c r="D200" s="3" t="n">
        <x:v>19</x:v>
      </x:c>
      <x:c r="E200" s="3" t="n">
        <x:v>3</x:v>
      </x:c>
      <x:c r="F200" s="3" t="n">
        <x:v>7</x:v>
      </x:c>
      <x:c r="G200" s="9" t="n">
        <x:v>0.18</x:v>
      </x:c>
      <x:c r="H200" s="9" t="n">
        <x:v>0.996008</x:v>
      </x:c>
      <x:c r="I200" s="9" t="n">
        <x:f>'Physical_Arcs'!R20</x:f>
        <x:v>5.75</x:v>
      </x:c>
      <x:c r="J200" s="9" t="n">
        <x:f>I200*'Parameters'!$C$18</x:f>
        <x:v>1.1500000000000001</x:v>
      </x:c>
      <x:c r="K200" s="9" t="n">
        <x:f>J200*'Parameters'!$C$19</x:f>
        <x:v>1.4375000000000002</x:v>
      </x:c>
      <x:c r="L200" s="9" t="n">
        <x:f>I200*(1-0.40)-J200</x:f>
        <x:v>2.3</x:v>
      </x:c>
      <x:c r="M200" s="9" t="n">
        <x:f>'Physical_Arcs'!S20</x:f>
        <x:v>5.75</x:v>
      </x:c>
      <x:c r="N200" s="9" t="n">
        <x:f>M200*'Parameters'!$C$18</x:f>
        <x:v>1.1500000000000001</x:v>
      </x:c>
      <x:c r="O200" s="9" t="n">
        <x:f>N200*'Parameters'!$C$19</x:f>
        <x:v>1.4375000000000002</x:v>
      </x:c>
      <x:c r="P200" s="9" t="n">
        <x:f>M200*(1-0.40)-N200</x:f>
        <x:v>2.3</x:v>
      </x:c>
      <x:c r="Q200" s="9" t="n">
        <x:f>'Physical_Arcs'!T20</x:f>
        <x:v>2.888888888888889</x:v>
      </x:c>
      <x:c r="R200" s="9" t="n">
        <x:f>Q200*'Parameters'!$C$18</x:f>
        <x:v>0.5777777777777778</x:v>
      </x:c>
      <x:c r="S200" s="9" t="n">
        <x:f>R200*'Parameters'!$C$19</x:f>
        <x:v>0.7222222222222223</x:v>
      </x:c>
      <x:c r="T200" s="9" t="n">
        <x:f>Q200*(1-0.40)-R200</x:f>
        <x:v>1.1555555555555554</x:v>
      </x:c>
    </x:row>
    <x:row r="201" ht="21" customHeight="1">
      <x:c r="A201" s="3" t="n">
        <x:v>3</x:v>
      </x:c>
      <x:c r="B201" s="3" t="str">
        <x:v>00:30</x:v>
      </x:c>
      <x:c r="C201" s="3" t="n">
        <x:v>1</x:v>
      </x:c>
      <x:c r="D201" s="3" t="n">
        <x:v>20</x:v>
      </x:c>
      <x:c r="E201" s="3" t="n">
        <x:v>3</x:v>
      </x:c>
      <x:c r="F201" s="3" t="n">
        <x:v>10</x:v>
      </x:c>
      <x:c r="G201" s="9" t="n">
        <x:v>0.18</x:v>
      </x:c>
      <x:c r="H201" s="9" t="n">
        <x:v>1.118855</x:v>
      </x:c>
      <x:c r="I201" s="9" t="n">
        <x:f>'Physical_Arcs'!R21</x:f>
        <x:v>5.166666666666667</x:v>
      </x:c>
      <x:c r="J201" s="9" t="n">
        <x:f>I201*'Parameters'!$C$18</x:f>
        <x:v>1.0333333333333334</x:v>
      </x:c>
      <x:c r="K201" s="9" t="n">
        <x:f>J201*'Parameters'!$C$19</x:f>
        <x:v>1.2916666666666667</x:v>
      </x:c>
      <x:c r="L201" s="9" t="n">
        <x:f>I201*(1-0.40)-J201</x:f>
        <x:v>2.0666666666666664</x:v>
      </x:c>
      <x:c r="M201" s="9" t="n">
        <x:f>'Physical_Arcs'!S21</x:f>
        <x:v>5.166666666666667</x:v>
      </x:c>
      <x:c r="N201" s="9" t="n">
        <x:f>M201*'Parameters'!$C$18</x:f>
        <x:v>1.0333333333333334</x:v>
      </x:c>
      <x:c r="O201" s="9" t="n">
        <x:f>N201*'Parameters'!$C$19</x:f>
        <x:v>1.2916666666666667</x:v>
      </x:c>
      <x:c r="P201" s="9" t="n">
        <x:f>M201*(1-0.40)-N201</x:f>
        <x:v>2.0666666666666664</x:v>
      </x:c>
      <x:c r="Q201" s="9" t="n">
        <x:f>'Physical_Arcs'!T21</x:f>
        <x:v>2.5833333333333335</x:v>
      </x:c>
      <x:c r="R201" s="9" t="n">
        <x:f>Q201*'Parameters'!$C$18</x:f>
        <x:v>0.5166666666666667</x:v>
      </x:c>
      <x:c r="S201" s="9" t="n">
        <x:f>R201*'Parameters'!$C$19</x:f>
        <x:v>0.6458333333333334</x:v>
      </x:c>
      <x:c r="T201" s="9" t="n">
        <x:f>Q201*(1-0.40)-R201</x:f>
        <x:v>1.0333333333333332</x:v>
      </x:c>
    </x:row>
    <x:row r="202" ht="21" customHeight="1">
      <x:c r="A202" s="3" t="n">
        <x:v>3</x:v>
      </x:c>
      <x:c r="B202" s="3" t="str">
        <x:v>00:30</x:v>
      </x:c>
      <x:c r="C202" s="3" t="n">
        <x:v>1</x:v>
      </x:c>
      <x:c r="D202" s="3" t="n">
        <x:v>21</x:v>
      </x:c>
      <x:c r="E202" s="3" t="n">
        <x:v>3</x:v>
      </x:c>
      <x:c r="F202" s="3" t="n">
        <x:v>9</x:v>
      </x:c>
      <x:c r="G202" s="9" t="n">
        <x:v>0.18</x:v>
      </x:c>
      <x:c r="H202" s="9" t="n">
        <x:v>0.947299</x:v>
      </x:c>
      <x:c r="I202" s="9" t="n">
        <x:f>'Physical_Arcs'!R22</x:f>
        <x:v>9.333333333333334</x:v>
      </x:c>
      <x:c r="J202" s="9" t="n">
        <x:f>I202*'Parameters'!$C$18</x:f>
        <x:v>1.866666666666667</x:v>
      </x:c>
      <x:c r="K202" s="9" t="n">
        <x:f>J202*'Parameters'!$C$19</x:f>
        <x:v>2.3333333333333335</x:v>
      </x:c>
      <x:c r="L202" s="9" t="n">
        <x:f>I202*(1-0.40)-J202</x:f>
        <x:v>3.7333333333333334</x:v>
      </x:c>
      <x:c r="M202" s="9" t="n">
        <x:f>'Physical_Arcs'!S22</x:f>
        <x:v>9.333333333333334</x:v>
      </x:c>
      <x:c r="N202" s="9" t="n">
        <x:f>M202*'Parameters'!$C$18</x:f>
        <x:v>1.866666666666667</x:v>
      </x:c>
      <x:c r="O202" s="9" t="n">
        <x:f>N202*'Parameters'!$C$19</x:f>
        <x:v>2.3333333333333335</x:v>
      </x:c>
      <x:c r="P202" s="9" t="n">
        <x:f>M202*(1-0.40)-N202</x:f>
        <x:v>3.7333333333333334</x:v>
      </x:c>
      <x:c r="Q202" s="9" t="n">
        <x:f>'Physical_Arcs'!T22</x:f>
        <x:v>4.666666666666667</x:v>
      </x:c>
      <x:c r="R202" s="9" t="n">
        <x:f>Q202*'Parameters'!$C$18</x:f>
        <x:v>0.9333333333333335</x:v>
      </x:c>
      <x:c r="S202" s="9" t="n">
        <x:f>R202*'Parameters'!$C$19</x:f>
        <x:v>1.1666666666666667</x:v>
      </x:c>
      <x:c r="T202" s="9" t="n">
        <x:f>Q202*(1-0.40)-R202</x:f>
        <x:v>1.8666666666666667</x:v>
      </x:c>
    </x:row>
    <x:row r="203" ht="21" customHeight="1">
      <x:c r="A203" s="3" t="n">
        <x:v>3</x:v>
      </x:c>
      <x:c r="B203" s="3" t="str">
        <x:v>00:30</x:v>
      </x:c>
      <x:c r="C203" s="3" t="n">
        <x:v>1</x:v>
      </x:c>
      <x:c r="D203" s="3" t="n">
        <x:v>22</x:v>
      </x:c>
      <x:c r="E203" s="3" t="n">
        <x:v>4</x:v>
      </x:c>
      <x:c r="F203" s="3" t="n">
        <x:v>5</x:v>
      </x:c>
      <x:c r="G203" s="9" t="n">
        <x:v>0.18</x:v>
      </x:c>
      <x:c r="H203" s="9" t="n">
        <x:v>0.958485</x:v>
      </x:c>
      <x:c r="I203" s="9" t="n">
        <x:f>'Physical_Arcs'!R23</x:f>
        <x:v>17.02777777777778</x:v>
      </x:c>
      <x:c r="J203" s="9" t="n">
        <x:f>I203*'Parameters'!$C$18</x:f>
        <x:v>3.405555555555556</x:v>
      </x:c>
      <x:c r="K203" s="9" t="n">
        <x:f>J203*'Parameters'!$C$19</x:f>
        <x:v>4.256944444444445</x:v>
      </x:c>
      <x:c r="L203" s="9" t="n">
        <x:f>I203*(1-0.40)-J203</x:f>
        <x:v>6.811111111111111</x:v>
      </x:c>
      <x:c r="M203" s="9" t="n">
        <x:f>'Physical_Arcs'!S23</x:f>
        <x:v>17.02777777777778</x:v>
      </x:c>
      <x:c r="N203" s="9" t="n">
        <x:f>M203*'Parameters'!$C$18</x:f>
        <x:v>3.405555555555556</x:v>
      </x:c>
      <x:c r="O203" s="9" t="n">
        <x:f>N203*'Parameters'!$C$19</x:f>
        <x:v>4.256944444444445</x:v>
      </x:c>
      <x:c r="P203" s="9" t="n">
        <x:f>M203*(1-0.40)-N203</x:f>
        <x:v>6.811111111111111</x:v>
      </x:c>
      <x:c r="Q203" s="9" t="n">
        <x:f>'Physical_Arcs'!T23</x:f>
        <x:v>17.02777777777778</x:v>
      </x:c>
      <x:c r="R203" s="9" t="n">
        <x:f>Q203*'Parameters'!$C$18</x:f>
        <x:v>3.405555555555556</x:v>
      </x:c>
      <x:c r="S203" s="9" t="n">
        <x:f>R203*'Parameters'!$C$19</x:f>
        <x:v>4.256944444444445</x:v>
      </x:c>
      <x:c r="T203" s="9" t="n">
        <x:f>Q203*(1-0.40)-R203</x:f>
        <x:v>6.811111111111111</x:v>
      </x:c>
    </x:row>
    <x:row r="204" ht="21" customHeight="1">
      <x:c r="A204" s="3" t="n">
        <x:v>3</x:v>
      </x:c>
      <x:c r="B204" s="3" t="str">
        <x:v>00:30</x:v>
      </x:c>
      <x:c r="C204" s="3" t="n">
        <x:v>1</x:v>
      </x:c>
      <x:c r="D204" s="3" t="n">
        <x:v>23</x:v>
      </x:c>
      <x:c r="E204" s="3" t="n">
        <x:v>4</x:v>
      </x:c>
      <x:c r="F204" s="3" t="n">
        <x:v>3</x:v>
      </x:c>
      <x:c r="G204" s="9" t="n">
        <x:v>0.18</x:v>
      </x:c>
      <x:c r="H204" s="9" t="n">
        <x:v>0.944916</x:v>
      </x:c>
      <x:c r="I204" s="9" t="n">
        <x:f>'Physical_Arcs'!R24</x:f>
        <x:v>9.333333333333334</x:v>
      </x:c>
      <x:c r="J204" s="9" t="n">
        <x:f>I204*'Parameters'!$C$18</x:f>
        <x:v>1.866666666666667</x:v>
      </x:c>
      <x:c r="K204" s="9" t="n">
        <x:f>J204*'Parameters'!$C$19</x:f>
        <x:v>2.3333333333333335</x:v>
      </x:c>
      <x:c r="L204" s="9" t="n">
        <x:f>I204*(1-0.40)-J204</x:f>
        <x:v>3.7333333333333334</x:v>
      </x:c>
      <x:c r="M204" s="9" t="n">
        <x:f>'Physical_Arcs'!S24</x:f>
        <x:v>9.333333333333334</x:v>
      </x:c>
      <x:c r="N204" s="9" t="n">
        <x:f>M204*'Parameters'!$C$18</x:f>
        <x:v>1.866666666666667</x:v>
      </x:c>
      <x:c r="O204" s="9" t="n">
        <x:f>N204*'Parameters'!$C$19</x:f>
        <x:v>2.3333333333333335</x:v>
      </x:c>
      <x:c r="P204" s="9" t="n">
        <x:f>M204*(1-0.40)-N204</x:f>
        <x:v>3.7333333333333334</x:v>
      </x:c>
      <x:c r="Q204" s="9" t="n">
        <x:f>'Physical_Arcs'!T24</x:f>
        <x:v>4.666666666666667</x:v>
      </x:c>
      <x:c r="R204" s="9" t="n">
        <x:f>Q204*'Parameters'!$C$18</x:f>
        <x:v>0.9333333333333335</x:v>
      </x:c>
      <x:c r="S204" s="9" t="n">
        <x:f>R204*'Parameters'!$C$19</x:f>
        <x:v>1.1666666666666667</x:v>
      </x:c>
      <x:c r="T204" s="9" t="n">
        <x:f>Q204*(1-0.40)-R204</x:f>
        <x:v>1.8666666666666667</x:v>
      </x:c>
    </x:row>
    <x:row r="205" ht="21" customHeight="1">
      <x:c r="A205" s="3" t="n">
        <x:v>3</x:v>
      </x:c>
      <x:c r="B205" s="3" t="str">
        <x:v>00:30</x:v>
      </x:c>
      <x:c r="C205" s="3" t="n">
        <x:v>1</x:v>
      </x:c>
      <x:c r="D205" s="3" t="n">
        <x:v>24</x:v>
      </x:c>
      <x:c r="E205" s="3" t="n">
        <x:v>4</x:v>
      </x:c>
      <x:c r="F205" s="3" t="n">
        <x:v>10</x:v>
      </x:c>
      <x:c r="G205" s="9" t="n">
        <x:v>0.18</x:v>
      </x:c>
      <x:c r="H205" s="9" t="n">
        <x:v>0.875461</x:v>
      </x:c>
      <x:c r="I205" s="9" t="n">
        <x:f>'Physical_Arcs'!R25</x:f>
        <x:v>7.194444444444445</x:v>
      </x:c>
      <x:c r="J205" s="9" t="n">
        <x:f>I205*'Parameters'!$C$18</x:f>
        <x:v>1.438888888888889</x:v>
      </x:c>
      <x:c r="K205" s="9" t="n">
        <x:f>J205*'Parameters'!$C$19</x:f>
        <x:v>1.7986111111111114</x:v>
      </x:c>
      <x:c r="L205" s="9" t="n">
        <x:f>I205*(1-0.40)-J205</x:f>
        <x:v>2.8777777777777773</x:v>
      </x:c>
      <x:c r="M205" s="9" t="n">
        <x:f>'Physical_Arcs'!S25</x:f>
        <x:v>7.194444444444445</x:v>
      </x:c>
      <x:c r="N205" s="9" t="n">
        <x:f>M205*'Parameters'!$C$18</x:f>
        <x:v>1.438888888888889</x:v>
      </x:c>
      <x:c r="O205" s="9" t="n">
        <x:f>N205*'Parameters'!$C$19</x:f>
        <x:v>1.7986111111111114</x:v>
      </x:c>
      <x:c r="P205" s="9" t="n">
        <x:f>M205*(1-0.40)-N205</x:f>
        <x:v>2.8777777777777773</x:v>
      </x:c>
      <x:c r="Q205" s="9" t="n">
        <x:f>'Physical_Arcs'!T25</x:f>
        <x:v>3.611111111111111</x:v>
      </x:c>
      <x:c r="R205" s="9" t="n">
        <x:f>Q205*'Parameters'!$C$18</x:f>
        <x:v>0.7222222222222223</x:v>
      </x:c>
      <x:c r="S205" s="9" t="n">
        <x:f>R205*'Parameters'!$C$19</x:f>
        <x:v>0.9027777777777779</x:v>
      </x:c>
      <x:c r="T205" s="9" t="n">
        <x:f>Q205*(1-0.40)-R205</x:f>
        <x:v>1.4444444444444442</x:v>
      </x:c>
    </x:row>
    <x:row r="206" ht="21" customHeight="1">
      <x:c r="A206" s="3" t="n">
        <x:v>3</x:v>
      </x:c>
      <x:c r="B206" s="3" t="str">
        <x:v>00:30</x:v>
      </x:c>
      <x:c r="C206" s="3" t="n">
        <x:v>1</x:v>
      </x:c>
      <x:c r="D206" s="3" t="n">
        <x:v>25</x:v>
      </x:c>
      <x:c r="E206" s="3" t="n">
        <x:v>4</x:v>
      </x:c>
      <x:c r="F206" s="3" t="n">
        <x:v>8</x:v>
      </x:c>
      <x:c r="G206" s="9" t="n">
        <x:v>0.18</x:v>
      </x:c>
      <x:c r="H206" s="9" t="n">
        <x:v>0.993326</x:v>
      </x:c>
      <x:c r="I206" s="9" t="n">
        <x:f>'Physical_Arcs'!R26</x:f>
        <x:v>5.277777777777778</x:v>
      </x:c>
      <x:c r="J206" s="9" t="n">
        <x:f>I206*'Parameters'!$C$18</x:f>
        <x:v>1.0555555555555556</x:v>
      </x:c>
      <x:c r="K206" s="9" t="n">
        <x:f>J206*'Parameters'!$C$19</x:f>
        <x:v>1.3194444444444444</x:v>
      </x:c>
      <x:c r="L206" s="9" t="n">
        <x:f>I206*(1-0.40)-J206</x:f>
        <x:v>2.1111111111111107</x:v>
      </x:c>
      <x:c r="M206" s="9" t="n">
        <x:f>'Physical_Arcs'!S26</x:f>
        <x:v>5.277777777777778</x:v>
      </x:c>
      <x:c r="N206" s="9" t="n">
        <x:f>M206*'Parameters'!$C$18</x:f>
        <x:v>1.0555555555555556</x:v>
      </x:c>
      <x:c r="O206" s="9" t="n">
        <x:f>N206*'Parameters'!$C$19</x:f>
        <x:v>1.3194444444444444</x:v>
      </x:c>
      <x:c r="P206" s="9" t="n">
        <x:f>M206*(1-0.40)-N206</x:f>
        <x:v>2.1111111111111107</x:v>
      </x:c>
      <x:c r="Q206" s="9" t="n">
        <x:f>'Physical_Arcs'!T26</x:f>
        <x:v>2.638888888888889</x:v>
      </x:c>
      <x:c r="R206" s="9" t="n">
        <x:f>Q206*'Parameters'!$C$18</x:f>
        <x:v>0.5277777777777778</x:v>
      </x:c>
      <x:c r="S206" s="9" t="n">
        <x:f>R206*'Parameters'!$C$19</x:f>
        <x:v>0.6597222222222222</x:v>
      </x:c>
      <x:c r="T206" s="9" t="n">
        <x:f>Q206*(1-0.40)-R206</x:f>
        <x:v>1.0555555555555554</x:v>
      </x:c>
    </x:row>
    <x:row r="207" ht="21" customHeight="1">
      <x:c r="A207" s="3" t="n">
        <x:v>3</x:v>
      </x:c>
      <x:c r="B207" s="3" t="str">
        <x:v>00:30</x:v>
      </x:c>
      <x:c r="C207" s="3" t="n">
        <x:v>1</x:v>
      </x:c>
      <x:c r="D207" s="3" t="n">
        <x:v>26</x:v>
      </x:c>
      <x:c r="E207" s="3" t="n">
        <x:v>4</x:v>
      </x:c>
      <x:c r="F207" s="3" t="n">
        <x:v>7</x:v>
      </x:c>
      <x:c r="G207" s="9" t="n">
        <x:v>0.18</x:v>
      </x:c>
      <x:c r="H207" s="9" t="n">
        <x:v>1.099203</x:v>
      </x:c>
      <x:c r="I207" s="9" t="n">
        <x:f>'Physical_Arcs'!R27</x:f>
        <x:v>6.527777777777778</x:v>
      </x:c>
      <x:c r="J207" s="9" t="n">
        <x:f>I207*'Parameters'!$C$18</x:f>
        <x:v>1.3055555555555556</x:v>
      </x:c>
      <x:c r="K207" s="9" t="n">
        <x:f>J207*'Parameters'!$C$19</x:f>
        <x:v>1.6319444444444444</x:v>
      </x:c>
      <x:c r="L207" s="9" t="n">
        <x:f>I207*(1-0.40)-J207</x:f>
        <x:v>2.6111111111111107</x:v>
      </x:c>
      <x:c r="M207" s="9" t="n">
        <x:f>'Physical_Arcs'!S27</x:f>
        <x:v>6.527777777777778</x:v>
      </x:c>
      <x:c r="N207" s="9" t="n">
        <x:f>M207*'Parameters'!$C$18</x:f>
        <x:v>1.3055555555555556</x:v>
      </x:c>
      <x:c r="O207" s="9" t="n">
        <x:f>N207*'Parameters'!$C$19</x:f>
        <x:v>1.6319444444444444</x:v>
      </x:c>
      <x:c r="P207" s="9" t="n">
        <x:f>M207*(1-0.40)-N207</x:f>
        <x:v>2.6111111111111107</x:v>
      </x:c>
      <x:c r="Q207" s="9" t="n">
        <x:f>'Physical_Arcs'!T27</x:f>
        <x:v>3.2777777777777777</x:v>
      </x:c>
      <x:c r="R207" s="9" t="n">
        <x:f>Q207*'Parameters'!$C$18</x:f>
        <x:v>0.6555555555555556</x:v>
      </x:c>
      <x:c r="S207" s="9" t="n">
        <x:f>R207*'Parameters'!$C$19</x:f>
        <x:v>0.8194444444444444</x:v>
      </x:c>
      <x:c r="T207" s="9" t="n">
        <x:f>Q207*(1-0.40)-R207</x:f>
        <x:v>1.311111111111111</x:v>
      </x:c>
    </x:row>
    <x:row r="208" ht="21" customHeight="1">
      <x:c r="A208" s="3" t="n">
        <x:v>3</x:v>
      </x:c>
      <x:c r="B208" s="3" t="str">
        <x:v>00:30</x:v>
      </x:c>
      <x:c r="C208" s="3" t="n">
        <x:v>1</x:v>
      </x:c>
      <x:c r="D208" s="3" t="n">
        <x:v>27</x:v>
      </x:c>
      <x:c r="E208" s="3" t="n">
        <x:v>4</x:v>
      </x:c>
      <x:c r="F208" s="3" t="n">
        <x:v>2</x:v>
      </x:c>
      <x:c r="G208" s="9" t="n">
        <x:v>0.18</x:v>
      </x:c>
      <x:c r="H208" s="9" t="n">
        <x:v>0.861111</x:v>
      </x:c>
      <x:c r="I208" s="9" t="n">
        <x:f>'Physical_Arcs'!R28</x:f>
        <x:v>4.944444444444445</x:v>
      </x:c>
      <x:c r="J208" s="9" t="n">
        <x:f>I208*'Parameters'!$C$18</x:f>
        <x:v>0.9888888888888889</x:v>
      </x:c>
      <x:c r="K208" s="9" t="n">
        <x:f>J208*'Parameters'!$C$19</x:f>
        <x:v>1.2361111111111112</x:v>
      </x:c>
      <x:c r="L208" s="9" t="n">
        <x:f>I208*(1-0.40)-J208</x:f>
        <x:v>1.9777777777777779</x:v>
      </x:c>
      <x:c r="M208" s="9" t="n">
        <x:f>'Physical_Arcs'!S28</x:f>
        <x:v>4.944444444444445</x:v>
      </x:c>
      <x:c r="N208" s="9" t="n">
        <x:f>M208*'Parameters'!$C$18</x:f>
        <x:v>0.9888888888888889</x:v>
      </x:c>
      <x:c r="O208" s="9" t="n">
        <x:f>N208*'Parameters'!$C$19</x:f>
        <x:v>1.2361111111111112</x:v>
      </x:c>
      <x:c r="P208" s="9" t="n">
        <x:f>M208*(1-0.40)-N208</x:f>
        <x:v>1.9777777777777779</x:v>
      </x:c>
      <x:c r="Q208" s="9" t="n">
        <x:f>'Physical_Arcs'!T28</x:f>
        <x:v>2.4722222222222223</x:v>
      </x:c>
      <x:c r="R208" s="9" t="n">
        <x:f>Q208*'Parameters'!$C$18</x:f>
        <x:v>0.49444444444444446</x:v>
      </x:c>
      <x:c r="S208" s="9" t="n">
        <x:f>R208*'Parameters'!$C$19</x:f>
        <x:v>0.6180555555555556</x:v>
      </x:c>
      <x:c r="T208" s="9" t="n">
        <x:f>Q208*(1-0.40)-R208</x:f>
        <x:v>0.9888888888888889</x:v>
      </x:c>
    </x:row>
    <x:row r="209" ht="21" customHeight="1">
      <x:c r="A209" s="3" t="n">
        <x:v>3</x:v>
      </x:c>
      <x:c r="B209" s="3" t="str">
        <x:v>00:30</x:v>
      </x:c>
      <x:c r="C209" s="3" t="n">
        <x:v>1</x:v>
      </x:c>
      <x:c r="D209" s="3" t="n">
        <x:v>28</x:v>
      </x:c>
      <x:c r="E209" s="3" t="n">
        <x:v>4</x:v>
      </x:c>
      <x:c r="F209" s="3" t="n">
        <x:v>6</x:v>
      </x:c>
      <x:c r="G209" s="9" t="n">
        <x:v>0.18</x:v>
      </x:c>
      <x:c r="H209" s="9" t="n">
        <x:v>1.137214</x:v>
      </x:c>
      <x:c r="I209" s="9" t="n">
        <x:f>'Physical_Arcs'!R29</x:f>
        <x:v>3.388888888888889</x:v>
      </x:c>
      <x:c r="J209" s="9" t="n">
        <x:f>I209*'Parameters'!$C$18</x:f>
        <x:v>0.6777777777777778</x:v>
      </x:c>
      <x:c r="K209" s="9" t="n">
        <x:f>J209*'Parameters'!$C$19</x:f>
        <x:v>0.8472222222222223</x:v>
      </x:c>
      <x:c r="L209" s="9" t="n">
        <x:f>I209*(1-0.40)-J209</x:f>
        <x:v>1.3555555555555554</x:v>
      </x:c>
      <x:c r="M209" s="9" t="n">
        <x:f>'Physical_Arcs'!S29</x:f>
        <x:v>3.388888888888889</x:v>
      </x:c>
      <x:c r="N209" s="9" t="n">
        <x:f>M209*'Parameters'!$C$18</x:f>
        <x:v>0.6777777777777778</x:v>
      </x:c>
      <x:c r="O209" s="9" t="n">
        <x:f>N209*'Parameters'!$C$19</x:f>
        <x:v>0.8472222222222223</x:v>
      </x:c>
      <x:c r="P209" s="9" t="n">
        <x:f>M209*(1-0.40)-N209</x:f>
        <x:v>1.3555555555555554</x:v>
      </x:c>
      <x:c r="Q209" s="9" t="n">
        <x:f>'Physical_Arcs'!T29</x:f>
        <x:v>1.6944444444444444</x:v>
      </x:c>
      <x:c r="R209" s="9" t="n">
        <x:f>Q209*'Parameters'!$C$18</x:f>
        <x:v>0.3388888888888889</x:v>
      </x:c>
      <x:c r="S209" s="9" t="n">
        <x:f>R209*'Parameters'!$C$19</x:f>
        <x:v>0.42361111111111116</x:v>
      </x:c>
      <x:c r="T209" s="9" t="n">
        <x:f>Q209*(1-0.40)-R209</x:f>
        <x:v>0.6777777777777777</x:v>
      </x:c>
    </x:row>
    <x:row r="210" ht="21" customHeight="1">
      <x:c r="A210" s="3" t="n">
        <x:v>3</x:v>
      </x:c>
      <x:c r="B210" s="3" t="str">
        <x:v>00:30</x:v>
      </x:c>
      <x:c r="C210" s="3" t="n">
        <x:v>1</x:v>
      </x:c>
      <x:c r="D210" s="3" t="n">
        <x:v>29</x:v>
      </x:c>
      <x:c r="E210" s="3" t="n">
        <x:v>5</x:v>
      </x:c>
      <x:c r="F210" s="3" t="n">
        <x:v>6</x:v>
      </x:c>
      <x:c r="G210" s="9" t="n">
        <x:v>0.18</x:v>
      </x:c>
      <x:c r="H210" s="9" t="n">
        <x:v>0.949994</x:v>
      </x:c>
      <x:c r="I210" s="9" t="n">
        <x:f>'Physical_Arcs'!R30</x:f>
        <x:v>17.02777777777778</x:v>
      </x:c>
      <x:c r="J210" s="9" t="n">
        <x:f>I210*'Parameters'!$C$18</x:f>
        <x:v>3.405555555555556</x:v>
      </x:c>
      <x:c r="K210" s="9" t="n">
        <x:f>J210*'Parameters'!$C$19</x:f>
        <x:v>4.256944444444445</x:v>
      </x:c>
      <x:c r="L210" s="9" t="n">
        <x:f>I210*(1-0.40)-J210</x:f>
        <x:v>6.811111111111111</x:v>
      </x:c>
      <x:c r="M210" s="9" t="n">
        <x:f>'Physical_Arcs'!S30</x:f>
        <x:v>17.02777777777778</x:v>
      </x:c>
      <x:c r="N210" s="9" t="n">
        <x:f>M210*'Parameters'!$C$18</x:f>
        <x:v>3.405555555555556</x:v>
      </x:c>
      <x:c r="O210" s="9" t="n">
        <x:f>N210*'Parameters'!$C$19</x:f>
        <x:v>4.256944444444445</x:v>
      </x:c>
      <x:c r="P210" s="9" t="n">
        <x:f>M210*(1-0.40)-N210</x:f>
        <x:v>6.811111111111111</x:v>
      </x:c>
      <x:c r="Q210" s="9" t="n">
        <x:f>'Physical_Arcs'!T30</x:f>
        <x:v>17.02777777777778</x:v>
      </x:c>
      <x:c r="R210" s="9" t="n">
        <x:f>Q210*'Parameters'!$C$18</x:f>
        <x:v>3.405555555555556</x:v>
      </x:c>
      <x:c r="S210" s="9" t="n">
        <x:f>R210*'Parameters'!$C$19</x:f>
        <x:v>4.256944444444445</x:v>
      </x:c>
      <x:c r="T210" s="9" t="n">
        <x:f>Q210*(1-0.40)-R210</x:f>
        <x:v>6.811111111111111</x:v>
      </x:c>
    </x:row>
    <x:row r="211" ht="21" customHeight="1">
      <x:c r="A211" s="3" t="n">
        <x:v>3</x:v>
      </x:c>
      <x:c r="B211" s="3" t="str">
        <x:v>00:30</x:v>
      </x:c>
      <x:c r="C211" s="3" t="n">
        <x:v>1</x:v>
      </x:c>
      <x:c r="D211" s="3" t="n">
        <x:v>30</x:v>
      </x:c>
      <x:c r="E211" s="3" t="n">
        <x:v>5</x:v>
      </x:c>
      <x:c r="F211" s="3" t="n">
        <x:v>2</x:v>
      </x:c>
      <x:c r="G211" s="9" t="n">
        <x:v>0.18</x:v>
      </x:c>
      <x:c r="H211" s="9" t="n">
        <x:v>0.882396</x:v>
      </x:c>
      <x:c r="I211" s="9" t="n">
        <x:f>'Physical_Arcs'!R31</x:f>
        <x:v>2.9444444444444446</x:v>
      </x:c>
      <x:c r="J211" s="9" t="n">
        <x:f>I211*'Parameters'!$C$18</x:f>
        <x:v>0.5888888888888889</x:v>
      </x:c>
      <x:c r="K211" s="9" t="n">
        <x:f>J211*'Parameters'!$C$19</x:f>
        <x:v>0.7361111111111112</x:v>
      </x:c>
      <x:c r="L211" s="9" t="n">
        <x:f>I211*(1-0.40)-J211</x:f>
        <x:v>1.177777777777778</x:v>
      </x:c>
      <x:c r="M211" s="9" t="n">
        <x:f>'Physical_Arcs'!S31</x:f>
        <x:v>2.9444444444444446</x:v>
      </x:c>
      <x:c r="N211" s="9" t="n">
        <x:f>M211*'Parameters'!$C$18</x:f>
        <x:v>0.5888888888888889</x:v>
      </x:c>
      <x:c r="O211" s="9" t="n">
        <x:f>N211*'Parameters'!$C$19</x:f>
        <x:v>0.7361111111111112</x:v>
      </x:c>
      <x:c r="P211" s="9" t="n">
        <x:f>M211*(1-0.40)-N211</x:f>
        <x:v>1.177777777777778</x:v>
      </x:c>
      <x:c r="Q211" s="9" t="n">
        <x:f>'Physical_Arcs'!T31</x:f>
        <x:v>1.4722222222222223</x:v>
      </x:c>
      <x:c r="R211" s="9" t="n">
        <x:f>Q211*'Parameters'!$C$18</x:f>
        <x:v>0.29444444444444445</x:v>
      </x:c>
      <x:c r="S211" s="9" t="n">
        <x:f>R211*'Parameters'!$C$19</x:f>
        <x:v>0.3680555555555556</x:v>
      </x:c>
      <x:c r="T211" s="9" t="n">
        <x:f>Q211*(1-0.40)-R211</x:f>
        <x:v>0.588888888888889</x:v>
      </x:c>
    </x:row>
    <x:row r="212" ht="21" customHeight="1">
      <x:c r="A212" s="3" t="n">
        <x:v>3</x:v>
      </x:c>
      <x:c r="B212" s="3" t="str">
        <x:v>00:30</x:v>
      </x:c>
      <x:c r="C212" s="3" t="n">
        <x:v>1</x:v>
      </x:c>
      <x:c r="D212" s="3" t="n">
        <x:v>31</x:v>
      </x:c>
      <x:c r="E212" s="3" t="n">
        <x:v>5</x:v>
      </x:c>
      <x:c r="F212" s="3" t="n">
        <x:v>8</x:v>
      </x:c>
      <x:c r="G212" s="9" t="n">
        <x:v>0.18</x:v>
      </x:c>
      <x:c r="H212" s="9" t="n">
        <x:v>0.986718</x:v>
      </x:c>
      <x:c r="I212" s="9" t="n">
        <x:f>'Physical_Arcs'!R32</x:f>
        <x:v>9.333333333333334</x:v>
      </x:c>
      <x:c r="J212" s="9" t="n">
        <x:f>I212*'Parameters'!$C$18</x:f>
        <x:v>1.866666666666667</x:v>
      </x:c>
      <x:c r="K212" s="9" t="n">
        <x:f>J212*'Parameters'!$C$19</x:f>
        <x:v>2.3333333333333335</x:v>
      </x:c>
      <x:c r="L212" s="9" t="n">
        <x:f>I212*(1-0.40)-J212</x:f>
        <x:v>3.7333333333333334</x:v>
      </x:c>
      <x:c r="M212" s="9" t="n">
        <x:f>'Physical_Arcs'!S32</x:f>
        <x:v>9.333333333333334</x:v>
      </x:c>
      <x:c r="N212" s="9" t="n">
        <x:f>M212*'Parameters'!$C$18</x:f>
        <x:v>1.866666666666667</x:v>
      </x:c>
      <x:c r="O212" s="9" t="n">
        <x:f>N212*'Parameters'!$C$19</x:f>
        <x:v>2.3333333333333335</x:v>
      </x:c>
      <x:c r="P212" s="9" t="n">
        <x:f>M212*(1-0.40)-N212</x:f>
        <x:v>3.7333333333333334</x:v>
      </x:c>
      <x:c r="Q212" s="9" t="n">
        <x:f>'Physical_Arcs'!T32</x:f>
        <x:v>4.666666666666667</x:v>
      </x:c>
      <x:c r="R212" s="9" t="n">
        <x:f>Q212*'Parameters'!$C$18</x:f>
        <x:v>0.9333333333333335</x:v>
      </x:c>
      <x:c r="S212" s="9" t="n">
        <x:f>R212*'Parameters'!$C$19</x:f>
        <x:v>1.1666666666666667</x:v>
      </x:c>
      <x:c r="T212" s="9" t="n">
        <x:f>Q212*(1-0.40)-R212</x:f>
        <x:v>1.8666666666666667</x:v>
      </x:c>
    </x:row>
    <x:row r="213" ht="21" customHeight="1">
      <x:c r="A213" s="3" t="n">
        <x:v>3</x:v>
      </x:c>
      <x:c r="B213" s="3" t="str">
        <x:v>00:30</x:v>
      </x:c>
      <x:c r="C213" s="3" t="n">
        <x:v>1</x:v>
      </x:c>
      <x:c r="D213" s="3" t="n">
        <x:v>32</x:v>
      </x:c>
      <x:c r="E213" s="3" t="n">
        <x:v>5</x:v>
      </x:c>
      <x:c r="F213" s="3" t="n">
        <x:v>3</x:v>
      </x:c>
      <x:c r="G213" s="9" t="n">
        <x:v>0.18</x:v>
      </x:c>
      <x:c r="H213" s="9" t="n">
        <x:v>1.089544</x:v>
      </x:c>
      <x:c r="I213" s="9" t="n">
        <x:f>'Physical_Arcs'!R33</x:f>
        <x:v>11.13888888888889</x:v>
      </x:c>
      <x:c r="J213" s="9" t="n">
        <x:f>I213*'Parameters'!$C$18</x:f>
        <x:v>2.227777777777778</x:v>
      </x:c>
      <x:c r="K213" s="9" t="n">
        <x:f>J213*'Parameters'!$C$19</x:f>
        <x:v>2.7847222222222223</x:v>
      </x:c>
      <x:c r="L213" s="9" t="n">
        <x:f>I213*(1-0.40)-J213</x:f>
        <x:v>4.455555555555556</x:v>
      </x:c>
      <x:c r="M213" s="9" t="n">
        <x:f>'Physical_Arcs'!S33</x:f>
        <x:v>11.13888888888889</x:v>
      </x:c>
      <x:c r="N213" s="9" t="n">
        <x:f>M213*'Parameters'!$C$18</x:f>
        <x:v>2.227777777777778</x:v>
      </x:c>
      <x:c r="O213" s="9" t="n">
        <x:f>N213*'Parameters'!$C$19</x:f>
        <x:v>2.7847222222222223</x:v>
      </x:c>
      <x:c r="P213" s="9" t="n">
        <x:f>M213*(1-0.40)-N213</x:f>
        <x:v>4.455555555555556</x:v>
      </x:c>
      <x:c r="Q213" s="9" t="n">
        <x:f>'Physical_Arcs'!T33</x:f>
        <x:v>5.583333333333333</x:v>
      </x:c>
      <x:c r="R213" s="9" t="n">
        <x:f>Q213*'Parameters'!$C$18</x:f>
        <x:v>1.1166666666666667</x:v>
      </x:c>
      <x:c r="S213" s="9" t="n">
        <x:f>R213*'Parameters'!$C$19</x:f>
        <x:v>1.3958333333333335</x:v>
      </x:c>
      <x:c r="T213" s="9" t="n">
        <x:f>Q213*(1-0.40)-R213</x:f>
        <x:v>2.233333333333333</x:v>
      </x:c>
    </x:row>
    <x:row r="214" ht="21" customHeight="1">
      <x:c r="A214" s="3" t="n">
        <x:v>3</x:v>
      </x:c>
      <x:c r="B214" s="3" t="str">
        <x:v>00:30</x:v>
      </x:c>
      <x:c r="C214" s="3" t="n">
        <x:v>1</x:v>
      </x:c>
      <x:c r="D214" s="3" t="n">
        <x:v>33</x:v>
      </x:c>
      <x:c r="E214" s="3" t="n">
        <x:v>5</x:v>
      </x:c>
      <x:c r="F214" s="3" t="n">
        <x:v>10</x:v>
      </x:c>
      <x:c r="G214" s="9" t="n">
        <x:v>0.18</x:v>
      </x:c>
      <x:c r="H214" s="9" t="n">
        <x:v>1.103596</x:v>
      </x:c>
      <x:c r="I214" s="9" t="n">
        <x:f>'Physical_Arcs'!R34</x:f>
        <x:v>4.611111111111111</x:v>
      </x:c>
      <x:c r="J214" s="9" t="n">
        <x:f>I214*'Parameters'!$C$18</x:f>
        <x:v>0.9222222222222222</x:v>
      </x:c>
      <x:c r="K214" s="9" t="n">
        <x:f>J214*'Parameters'!$C$19</x:f>
        <x:v>1.1527777777777777</x:v>
      </x:c>
      <x:c r="L214" s="9" t="n">
        <x:f>I214*(1-0.40)-J214</x:f>
        <x:v>1.844444444444444</x:v>
      </x:c>
      <x:c r="M214" s="9" t="n">
        <x:f>'Physical_Arcs'!S34</x:f>
        <x:v>4.611111111111111</x:v>
      </x:c>
      <x:c r="N214" s="9" t="n">
        <x:f>M214*'Parameters'!$C$18</x:f>
        <x:v>0.9222222222222222</x:v>
      </x:c>
      <x:c r="O214" s="9" t="n">
        <x:f>N214*'Parameters'!$C$19</x:f>
        <x:v>1.1527777777777777</x:v>
      </x:c>
      <x:c r="P214" s="9" t="n">
        <x:f>M214*(1-0.40)-N214</x:f>
        <x:v>1.844444444444444</x:v>
      </x:c>
      <x:c r="Q214" s="9" t="n">
        <x:f>'Physical_Arcs'!T34</x:f>
        <x:v>2.3055555555555554</x:v>
      </x:c>
      <x:c r="R214" s="9" t="n">
        <x:f>Q214*'Parameters'!$C$18</x:f>
        <x:v>0.4611111111111111</x:v>
      </x:c>
      <x:c r="S214" s="9" t="n">
        <x:f>R214*'Parameters'!$C$19</x:f>
        <x:v>0.5763888888888888</x:v>
      </x:c>
      <x:c r="T214" s="9" t="n">
        <x:f>Q214*(1-0.40)-R214</x:f>
        <x:v>0.922222222222222</x:v>
      </x:c>
    </x:row>
    <x:row r="215" ht="21" customHeight="1">
      <x:c r="A215" s="3" t="n">
        <x:v>3</x:v>
      </x:c>
      <x:c r="B215" s="3" t="str">
        <x:v>00:30</x:v>
      </x:c>
      <x:c r="C215" s="3" t="n">
        <x:v>1</x:v>
      </x:c>
      <x:c r="D215" s="3" t="n">
        <x:v>34</x:v>
      </x:c>
      <x:c r="E215" s="3" t="n">
        <x:v>6</x:v>
      </x:c>
      <x:c r="F215" s="3" t="n">
        <x:v>7</x:v>
      </x:c>
      <x:c r="G215" s="9" t="n">
        <x:v>0.18</x:v>
      </x:c>
      <x:c r="H215" s="9" t="n">
        <x:v>0.973887</x:v>
      </x:c>
      <x:c r="I215" s="9" t="n">
        <x:f>'Physical_Arcs'!R35</x:f>
        <x:v>17.02777777777778</x:v>
      </x:c>
      <x:c r="J215" s="9" t="n">
        <x:f>I215*'Parameters'!$C$18</x:f>
        <x:v>3.405555555555556</x:v>
      </x:c>
      <x:c r="K215" s="9" t="n">
        <x:f>J215*'Parameters'!$C$19</x:f>
        <x:v>4.256944444444445</x:v>
      </x:c>
      <x:c r="L215" s="9" t="n">
        <x:f>I215*(1-0.40)-J215</x:f>
        <x:v>6.811111111111111</x:v>
      </x:c>
      <x:c r="M215" s="9" t="n">
        <x:f>'Physical_Arcs'!S35</x:f>
        <x:v>17.02777777777778</x:v>
      </x:c>
      <x:c r="N215" s="9" t="n">
        <x:f>M215*'Parameters'!$C$18</x:f>
        <x:v>3.405555555555556</x:v>
      </x:c>
      <x:c r="O215" s="9" t="n">
        <x:f>N215*'Parameters'!$C$19</x:f>
        <x:v>4.256944444444445</x:v>
      </x:c>
      <x:c r="P215" s="9" t="n">
        <x:f>M215*(1-0.40)-N215</x:f>
        <x:v>6.811111111111111</x:v>
      </x:c>
      <x:c r="Q215" s="9" t="n">
        <x:f>'Physical_Arcs'!T35</x:f>
        <x:v>17.02777777777778</x:v>
      </x:c>
      <x:c r="R215" s="9" t="n">
        <x:f>Q215*'Parameters'!$C$18</x:f>
        <x:v>3.405555555555556</x:v>
      </x:c>
      <x:c r="S215" s="9" t="n">
        <x:f>R215*'Parameters'!$C$19</x:f>
        <x:v>4.256944444444445</x:v>
      </x:c>
      <x:c r="T215" s="9" t="n">
        <x:f>Q215*(1-0.40)-R215</x:f>
        <x:v>6.811111111111111</x:v>
      </x:c>
    </x:row>
    <x:row r="216" ht="21" customHeight="1">
      <x:c r="A216" s="3" t="n">
        <x:v>3</x:v>
      </x:c>
      <x:c r="B216" s="3" t="str">
        <x:v>00:30</x:v>
      </x:c>
      <x:c r="C216" s="3" t="n">
        <x:v>1</x:v>
      </x:c>
      <x:c r="D216" s="3" t="n">
        <x:v>35</x:v>
      </x:c>
      <x:c r="E216" s="3" t="n">
        <x:v>6</x:v>
      </x:c>
      <x:c r="F216" s="3" t="n">
        <x:v>10</x:v>
      </x:c>
      <x:c r="G216" s="9" t="n">
        <x:v>0.18</x:v>
      </x:c>
      <x:c r="H216" s="9" t="n">
        <x:v>1.009062</x:v>
      </x:c>
      <x:c r="I216" s="9" t="n">
        <x:f>'Physical_Arcs'!R36</x:f>
        <x:v>4.055555555555555</x:v>
      </x:c>
      <x:c r="J216" s="9" t="n">
        <x:f>I216*'Parameters'!$C$18</x:f>
        <x:v>0.8111111111111111</x:v>
      </x:c>
      <x:c r="K216" s="9" t="n">
        <x:f>J216*'Parameters'!$C$19</x:f>
        <x:v>1.0138888888888888</x:v>
      </x:c>
      <x:c r="L216" s="9" t="n">
        <x:f>I216*(1-0.40)-J216</x:f>
        <x:v>1.622222222222222</x:v>
      </x:c>
      <x:c r="M216" s="9" t="n">
        <x:f>'Physical_Arcs'!S36</x:f>
        <x:v>4.055555555555555</x:v>
      </x:c>
      <x:c r="N216" s="9" t="n">
        <x:f>M216*'Parameters'!$C$18</x:f>
        <x:v>0.8111111111111111</x:v>
      </x:c>
      <x:c r="O216" s="9" t="n">
        <x:f>N216*'Parameters'!$C$19</x:f>
        <x:v>1.0138888888888888</x:v>
      </x:c>
      <x:c r="P216" s="9" t="n">
        <x:f>M216*(1-0.40)-N216</x:f>
        <x:v>1.622222222222222</x:v>
      </x:c>
      <x:c r="Q216" s="9" t="n">
        <x:f>'Physical_Arcs'!T36</x:f>
        <x:v>2.0277777777777777</x:v>
      </x:c>
      <x:c r="R216" s="9" t="n">
        <x:f>Q216*'Parameters'!$C$18</x:f>
        <x:v>0.40555555555555556</x:v>
      </x:c>
      <x:c r="S216" s="9" t="n">
        <x:f>R216*'Parameters'!$C$19</x:f>
        <x:v>0.5069444444444444</x:v>
      </x:c>
      <x:c r="T216" s="9" t="n">
        <x:f>Q216*(1-0.40)-R216</x:f>
        <x:v>0.811111111111111</x:v>
      </x:c>
    </x:row>
    <x:row r="217" ht="21" customHeight="1">
      <x:c r="A217" s="3" t="n">
        <x:v>3</x:v>
      </x:c>
      <x:c r="B217" s="3" t="str">
        <x:v>00:30</x:v>
      </x:c>
      <x:c r="C217" s="3" t="n">
        <x:v>1</x:v>
      </x:c>
      <x:c r="D217" s="3" t="n">
        <x:v>36</x:v>
      </x:c>
      <x:c r="E217" s="3" t="n">
        <x:v>6</x:v>
      </x:c>
      <x:c r="F217" s="3" t="n">
        <x:v>8</x:v>
      </x:c>
      <x:c r="G217" s="9" t="n">
        <x:v>0.18</x:v>
      </x:c>
      <x:c r="H217" s="9" t="n">
        <x:v>1.132129</x:v>
      </x:c>
      <x:c r="I217" s="9" t="n">
        <x:f>'Physical_Arcs'!R37</x:f>
        <x:v>6.972222222222222</x:v>
      </x:c>
      <x:c r="J217" s="9" t="n">
        <x:f>I217*'Parameters'!$C$18</x:f>
        <x:v>1.3944444444444446</x:v>
      </x:c>
      <x:c r="K217" s="9" t="n">
        <x:f>J217*'Parameters'!$C$19</x:f>
        <x:v>1.7430555555555558</x:v>
      </x:c>
      <x:c r="L217" s="9" t="n">
        <x:f>I217*(1-0.40)-J217</x:f>
        <x:v>2.7888888888888888</x:v>
      </x:c>
      <x:c r="M217" s="9" t="n">
        <x:f>'Physical_Arcs'!S37</x:f>
        <x:v>6.972222222222222</x:v>
      </x:c>
      <x:c r="N217" s="9" t="n">
        <x:f>M217*'Parameters'!$C$18</x:f>
        <x:v>1.3944444444444446</x:v>
      </x:c>
      <x:c r="O217" s="9" t="n">
        <x:f>N217*'Parameters'!$C$19</x:f>
        <x:v>1.7430555555555558</x:v>
      </x:c>
      <x:c r="P217" s="9" t="n">
        <x:f>M217*(1-0.40)-N217</x:f>
        <x:v>2.7888888888888888</x:v>
      </x:c>
      <x:c r="Q217" s="9" t="n">
        <x:f>'Physical_Arcs'!T37</x:f>
        <x:v>3.5</x:v>
      </x:c>
      <x:c r="R217" s="9" t="n">
        <x:f>Q217*'Parameters'!$C$18</x:f>
        <x:v>0.7000000000000001</x:v>
      </x:c>
      <x:c r="S217" s="9" t="n">
        <x:f>R217*'Parameters'!$C$19</x:f>
        <x:v>0.8750000000000001</x:v>
      </x:c>
      <x:c r="T217" s="9" t="n">
        <x:f>Q217*(1-0.40)-R217</x:f>
        <x:v>1.4</x:v>
      </x:c>
    </x:row>
    <x:row r="218" ht="21" customHeight="1">
      <x:c r="A218" s="3" t="n">
        <x:v>3</x:v>
      </x:c>
      <x:c r="B218" s="3" t="str">
        <x:v>00:30</x:v>
      </x:c>
      <x:c r="C218" s="3" t="n">
        <x:v>1</x:v>
      </x:c>
      <x:c r="D218" s="3" t="n">
        <x:v>37</x:v>
      </x:c>
      <x:c r="E218" s="3" t="n">
        <x:v>6</x:v>
      </x:c>
      <x:c r="F218" s="3" t="n">
        <x:v>1</x:v>
      </x:c>
      <x:c r="G218" s="9" t="n">
        <x:v>0.18</x:v>
      </x:c>
      <x:c r="H218" s="9" t="n">
        <x:v>1.020746</x:v>
      </x:c>
      <x:c r="I218" s="9" t="n">
        <x:f>'Physical_Arcs'!R38</x:f>
        <x:v>6.305555555555555</x:v>
      </x:c>
      <x:c r="J218" s="9" t="n">
        <x:f>I218*'Parameters'!$C$18</x:f>
        <x:v>1.261111111111111</x:v>
      </x:c>
      <x:c r="K218" s="9" t="n">
        <x:f>J218*'Parameters'!$C$19</x:f>
        <x:v>1.5763888888888888</x:v>
      </x:c>
      <x:c r="L218" s="9" t="n">
        <x:f>I218*(1-0.40)-J218</x:f>
        <x:v>2.522222222222222</x:v>
      </x:c>
      <x:c r="M218" s="9" t="n">
        <x:f>'Physical_Arcs'!S38</x:f>
        <x:v>6.305555555555555</x:v>
      </x:c>
      <x:c r="N218" s="9" t="n">
        <x:f>M218*'Parameters'!$C$18</x:f>
        <x:v>1.261111111111111</x:v>
      </x:c>
      <x:c r="O218" s="9" t="n">
        <x:f>N218*'Parameters'!$C$19</x:f>
        <x:v>1.5763888888888888</x:v>
      </x:c>
      <x:c r="P218" s="9" t="n">
        <x:f>M218*(1-0.40)-N218</x:f>
        <x:v>2.522222222222222</x:v>
      </x:c>
      <x:c r="Q218" s="9" t="n">
        <x:f>'Physical_Arcs'!T38</x:f>
        <x:v>3.1666666666666665</x:v>
      </x:c>
      <x:c r="R218" s="9" t="n">
        <x:f>Q218*'Parameters'!$C$18</x:f>
        <x:v>0.6333333333333333</x:v>
      </x:c>
      <x:c r="S218" s="9" t="n">
        <x:f>R218*'Parameters'!$C$19</x:f>
        <x:v>0.7916666666666666</x:v>
      </x:c>
      <x:c r="T218" s="9" t="n">
        <x:f>Q218*(1-0.40)-R218</x:f>
        <x:v>1.2666666666666666</x:v>
      </x:c>
    </x:row>
    <x:row r="219" ht="21" customHeight="1">
      <x:c r="A219" s="3" t="n">
        <x:v>3</x:v>
      </x:c>
      <x:c r="B219" s="3" t="str">
        <x:v>00:30</x:v>
      </x:c>
      <x:c r="C219" s="3" t="n">
        <x:v>1</x:v>
      </x:c>
      <x:c r="D219" s="3" t="n">
        <x:v>38</x:v>
      </x:c>
      <x:c r="E219" s="3" t="n">
        <x:v>6</x:v>
      </x:c>
      <x:c r="F219" s="3" t="n">
        <x:v>3</x:v>
      </x:c>
      <x:c r="G219" s="9" t="n">
        <x:v>0.18</x:v>
      </x:c>
      <x:c r="H219" s="9" t="n">
        <x:v>1.149081</x:v>
      </x:c>
      <x:c r="I219" s="9" t="n">
        <x:f>'Physical_Arcs'!R39</x:f>
        <x:v>1.9166666666666667</x:v>
      </x:c>
      <x:c r="J219" s="9" t="n">
        <x:f>I219*'Parameters'!$C$18</x:f>
        <x:v>0.38333333333333336</x:v>
      </x:c>
      <x:c r="K219" s="9" t="n">
        <x:f>J219*'Parameters'!$C$19</x:f>
        <x:v>0.4791666666666667</x:v>
      </x:c>
      <x:c r="L219" s="9" t="n">
        <x:f>I219*(1-0.40)-J219</x:f>
        <x:v>0.7666666666666666</x:v>
      </x:c>
      <x:c r="M219" s="9" t="n">
        <x:f>'Physical_Arcs'!S39</x:f>
        <x:v>1.9166666666666667</x:v>
      </x:c>
      <x:c r="N219" s="9" t="n">
        <x:f>M219*'Parameters'!$C$18</x:f>
        <x:v>0.38333333333333336</x:v>
      </x:c>
      <x:c r="O219" s="9" t="n">
        <x:f>N219*'Parameters'!$C$19</x:f>
        <x:v>0.4791666666666667</x:v>
      </x:c>
      <x:c r="P219" s="9" t="n">
        <x:f>M219*(1-0.40)-N219</x:f>
        <x:v>0.7666666666666666</x:v>
      </x:c>
      <x:c r="Q219" s="9" t="n">
        <x:f>'Physical_Arcs'!T39</x:f>
        <x:v>0.9722222222222222</x:v>
      </x:c>
      <x:c r="R219" s="9" t="n">
        <x:f>Q219*'Parameters'!$C$18</x:f>
        <x:v>0.19444444444444445</x:v>
      </x:c>
      <x:c r="S219" s="9" t="n">
        <x:f>R219*'Parameters'!$C$19</x:f>
        <x:v>0.24305555555555555</x:v>
      </x:c>
      <x:c r="T219" s="9" t="n">
        <x:f>Q219*(1-0.40)-R219</x:f>
        <x:v>0.38888888888888884</x:v>
      </x:c>
    </x:row>
    <x:row r="220" ht="21" customHeight="1">
      <x:c r="A220" s="3" t="n">
        <x:v>3</x:v>
      </x:c>
      <x:c r="B220" s="3" t="str">
        <x:v>00:30</x:v>
      </x:c>
      <x:c r="C220" s="3" t="n">
        <x:v>1</x:v>
      </x:c>
      <x:c r="D220" s="3" t="n">
        <x:v>39</x:v>
      </x:c>
      <x:c r="E220" s="3" t="n">
        <x:v>7</x:v>
      </x:c>
      <x:c r="F220" s="3" t="n">
        <x:v>8</x:v>
      </x:c>
      <x:c r="G220" s="9" t="n">
        <x:v>0.18</x:v>
      </x:c>
      <x:c r="H220" s="9" t="n">
        <x:v>1.003268</x:v>
      </x:c>
      <x:c r="I220" s="9" t="n">
        <x:f>'Physical_Arcs'!R40</x:f>
        <x:v>17.02777777777778</x:v>
      </x:c>
      <x:c r="J220" s="9" t="n">
        <x:f>I220*'Parameters'!$C$18</x:f>
        <x:v>3.405555555555556</x:v>
      </x:c>
      <x:c r="K220" s="9" t="n">
        <x:f>J220*'Parameters'!$C$19</x:f>
        <x:v>4.256944444444445</x:v>
      </x:c>
      <x:c r="L220" s="9" t="n">
        <x:f>I220*(1-0.40)-J220</x:f>
        <x:v>6.811111111111111</x:v>
      </x:c>
      <x:c r="M220" s="9" t="n">
        <x:f>'Physical_Arcs'!S40</x:f>
        <x:v>17.02777777777778</x:v>
      </x:c>
      <x:c r="N220" s="9" t="n">
        <x:f>M220*'Parameters'!$C$18</x:f>
        <x:v>3.405555555555556</x:v>
      </x:c>
      <x:c r="O220" s="9" t="n">
        <x:f>N220*'Parameters'!$C$19</x:f>
        <x:v>4.256944444444445</x:v>
      </x:c>
      <x:c r="P220" s="9" t="n">
        <x:f>M220*(1-0.40)-N220</x:f>
        <x:v>6.811111111111111</x:v>
      </x:c>
      <x:c r="Q220" s="9" t="n">
        <x:f>'Physical_Arcs'!T40</x:f>
        <x:v>17.02777777777778</x:v>
      </x:c>
      <x:c r="R220" s="9" t="n">
        <x:f>Q220*'Parameters'!$C$18</x:f>
        <x:v>3.405555555555556</x:v>
      </x:c>
      <x:c r="S220" s="9" t="n">
        <x:f>R220*'Parameters'!$C$19</x:f>
        <x:v>4.256944444444445</x:v>
      </x:c>
      <x:c r="T220" s="9" t="n">
        <x:f>Q220*(1-0.40)-R220</x:f>
        <x:v>6.811111111111111</x:v>
      </x:c>
    </x:row>
    <x:row r="221" ht="21" customHeight="1">
      <x:c r="A221" s="3" t="n">
        <x:v>3</x:v>
      </x:c>
      <x:c r="B221" s="3" t="str">
        <x:v>00:30</x:v>
      </x:c>
      <x:c r="C221" s="3" t="n">
        <x:v>1</x:v>
      </x:c>
      <x:c r="D221" s="3" t="n">
        <x:v>40</x:v>
      </x:c>
      <x:c r="E221" s="3" t="n">
        <x:v>7</x:v>
      </x:c>
      <x:c r="F221" s="3" t="n">
        <x:v>1</x:v>
      </x:c>
      <x:c r="G221" s="9" t="n">
        <x:v>0.18</x:v>
      </x:c>
      <x:c r="H221" s="9" t="n">
        <x:v>1.057592</x:v>
      </x:c>
      <x:c r="I221" s="9" t="n">
        <x:f>'Physical_Arcs'!R41</x:f>
        <x:v>7.972222222222222</x:v>
      </x:c>
      <x:c r="J221" s="9" t="n">
        <x:f>I221*'Parameters'!$C$18</x:f>
        <x:v>1.5944444444444446</x:v>
      </x:c>
      <x:c r="K221" s="9" t="n">
        <x:f>J221*'Parameters'!$C$19</x:f>
        <x:v>1.9930555555555558</x:v>
      </x:c>
      <x:c r="L221" s="9" t="n">
        <x:f>I221*(1-0.40)-J221</x:f>
        <x:v>3.1888888888888887</x:v>
      </x:c>
      <x:c r="M221" s="9" t="n">
        <x:f>'Physical_Arcs'!S41</x:f>
        <x:v>7.972222222222222</x:v>
      </x:c>
      <x:c r="N221" s="9" t="n">
        <x:f>M221*'Parameters'!$C$18</x:f>
        <x:v>1.5944444444444446</x:v>
      </x:c>
      <x:c r="O221" s="9" t="n">
        <x:f>N221*'Parameters'!$C$19</x:f>
        <x:v>1.9930555555555558</x:v>
      </x:c>
      <x:c r="P221" s="9" t="n">
        <x:f>M221*(1-0.40)-N221</x:f>
        <x:v>3.1888888888888887</x:v>
      </x:c>
      <x:c r="Q221" s="9" t="n">
        <x:f>'Physical_Arcs'!T41</x:f>
        <x:v>4</x:v>
      </x:c>
      <x:c r="R221" s="9" t="n">
        <x:f>Q221*'Parameters'!$C$18</x:f>
        <x:v>0.8</x:v>
      </x:c>
      <x:c r="S221" s="9" t="n">
        <x:f>R221*'Parameters'!$C$19</x:f>
        <x:v>1</x:v>
      </x:c>
      <x:c r="T221" s="9" t="n">
        <x:f>Q221*(1-0.40)-R221</x:f>
        <x:v>1.5999999999999999</x:v>
      </x:c>
    </x:row>
    <x:row r="222" ht="21" customHeight="1">
      <x:c r="A222" s="3" t="n">
        <x:v>3</x:v>
      </x:c>
      <x:c r="B222" s="3" t="str">
        <x:v>00:30</x:v>
      </x:c>
      <x:c r="C222" s="3" t="n">
        <x:v>1</x:v>
      </x:c>
      <x:c r="D222" s="3" t="n">
        <x:v>41</x:v>
      </x:c>
      <x:c r="E222" s="3" t="n">
        <x:v>7</x:v>
      </x:c>
      <x:c r="F222" s="3" t="n">
        <x:v>9</x:v>
      </x:c>
      <x:c r="G222" s="9" t="n">
        <x:v>0.18</x:v>
      </x:c>
      <x:c r="H222" s="9" t="n">
        <x:v>1.14801</x:v>
      </x:c>
      <x:c r="I222" s="9" t="n">
        <x:f>'Physical_Arcs'!R42</x:f>
        <x:v>8.88888888888889</x:v>
      </x:c>
      <x:c r="J222" s="9" t="n">
        <x:f>I222*'Parameters'!$C$18</x:f>
        <x:v>1.777777777777778</x:v>
      </x:c>
      <x:c r="K222" s="9" t="n">
        <x:f>J222*'Parameters'!$C$19</x:f>
        <x:v>2.2222222222222223</x:v>
      </x:c>
      <x:c r="L222" s="9" t="n">
        <x:f>I222*(1-0.40)-J222</x:f>
        <x:v>3.5555555555555554</x:v>
      </x:c>
      <x:c r="M222" s="9" t="n">
        <x:f>'Physical_Arcs'!S42</x:f>
        <x:v>8.88888888888889</x:v>
      </x:c>
      <x:c r="N222" s="9" t="n">
        <x:f>M222*'Parameters'!$C$18</x:f>
        <x:v>1.777777777777778</x:v>
      </x:c>
      <x:c r="O222" s="9" t="n">
        <x:f>N222*'Parameters'!$C$19</x:f>
        <x:v>2.2222222222222223</x:v>
      </x:c>
      <x:c r="P222" s="9" t="n">
        <x:f>M222*(1-0.40)-N222</x:f>
        <x:v>3.5555555555555554</x:v>
      </x:c>
      <x:c r="Q222" s="9" t="n">
        <x:f>'Physical_Arcs'!T42</x:f>
        <x:v>4.444444444444445</x:v>
      </x:c>
      <x:c r="R222" s="9" t="n">
        <x:f>Q222*'Parameters'!$C$18</x:f>
        <x:v>0.888888888888889</x:v>
      </x:c>
      <x:c r="S222" s="9" t="n">
        <x:f>R222*'Parameters'!$C$19</x:f>
        <x:v>1.1111111111111112</x:v>
      </x:c>
      <x:c r="T222" s="9" t="n">
        <x:f>Q222*(1-0.40)-R222</x:f>
        <x:v>1.7777777777777777</x:v>
      </x:c>
    </x:row>
    <x:row r="223" ht="21" customHeight="1">
      <x:c r="A223" s="3" t="n">
        <x:v>3</x:v>
      </x:c>
      <x:c r="B223" s="3" t="str">
        <x:v>00:30</x:v>
      </x:c>
      <x:c r="C223" s="3" t="n">
        <x:v>1</x:v>
      </x:c>
      <x:c r="D223" s="3" t="n">
        <x:v>42</x:v>
      </x:c>
      <x:c r="E223" s="3" t="n">
        <x:v>7</x:v>
      </x:c>
      <x:c r="F223" s="3" t="n">
        <x:v>2</x:v>
      </x:c>
      <x:c r="G223" s="9" t="n">
        <x:v>0.18</x:v>
      </x:c>
      <x:c r="H223" s="9" t="n">
        <x:v>0.989237</x:v>
      </x:c>
      <x:c r="I223" s="9" t="n">
        <x:f>'Physical_Arcs'!R43</x:f>
        <x:v>9</x:v>
      </x:c>
      <x:c r="J223" s="9" t="n">
        <x:f>I223*'Parameters'!$C$18</x:f>
        <x:v>1.8</x:v>
      </x:c>
      <x:c r="K223" s="9" t="n">
        <x:f>J223*'Parameters'!$C$19</x:f>
        <x:v>2.25</x:v>
      </x:c>
      <x:c r="L223" s="9" t="n">
        <x:f>I223*(1-0.40)-J223</x:f>
        <x:v>3.5999999999999996</x:v>
      </x:c>
      <x:c r="M223" s="9" t="n">
        <x:f>'Physical_Arcs'!S43</x:f>
        <x:v>9</x:v>
      </x:c>
      <x:c r="N223" s="9" t="n">
        <x:f>M223*'Parameters'!$C$18</x:f>
        <x:v>1.8</x:v>
      </x:c>
      <x:c r="O223" s="9" t="n">
        <x:f>N223*'Parameters'!$C$19</x:f>
        <x:v>2.25</x:v>
      </x:c>
      <x:c r="P223" s="9" t="n">
        <x:f>M223*(1-0.40)-N223</x:f>
        <x:v>3.5999999999999996</x:v>
      </x:c>
      <x:c r="Q223" s="9" t="n">
        <x:f>'Physical_Arcs'!T43</x:f>
        <x:v>4.5</x:v>
      </x:c>
      <x:c r="R223" s="9" t="n">
        <x:f>Q223*'Parameters'!$C$18</x:f>
        <x:v>0.9</x:v>
      </x:c>
      <x:c r="S223" s="9" t="n">
        <x:f>R223*'Parameters'!$C$19</x:f>
        <x:v>1.125</x:v>
      </x:c>
      <x:c r="T223" s="9" t="n">
        <x:f>Q223*(1-0.40)-R223</x:f>
        <x:v>1.7999999999999998</x:v>
      </x:c>
    </x:row>
    <x:row r="224" ht="21" customHeight="1">
      <x:c r="A224" s="3" t="n">
        <x:v>3</x:v>
      </x:c>
      <x:c r="B224" s="3" t="str">
        <x:v>00:30</x:v>
      </x:c>
      <x:c r="C224" s="3" t="n">
        <x:v>1</x:v>
      </x:c>
      <x:c r="D224" s="3" t="n">
        <x:v>43</x:v>
      </x:c>
      <x:c r="E224" s="3" t="n">
        <x:v>7</x:v>
      </x:c>
      <x:c r="F224" s="3" t="n">
        <x:v>3</x:v>
      </x:c>
      <x:c r="G224" s="9" t="n">
        <x:v>0.18</x:v>
      </x:c>
      <x:c r="H224" s="9" t="n">
        <x:v>1.050432</x:v>
      </x:c>
      <x:c r="I224" s="9" t="n">
        <x:f>'Physical_Arcs'!R44</x:f>
        <x:v>7.638888888888889</x:v>
      </x:c>
      <x:c r="J224" s="9" t="n">
        <x:f>I224*'Parameters'!$C$18</x:f>
        <x:v>1.527777777777778</x:v>
      </x:c>
      <x:c r="K224" s="9" t="n">
        <x:f>J224*'Parameters'!$C$19</x:f>
        <x:v>1.9097222222222223</x:v>
      </x:c>
      <x:c r="L224" s="9" t="n">
        <x:f>I224*(1-0.40)-J224</x:f>
        <x:v>3.0555555555555554</x:v>
      </x:c>
      <x:c r="M224" s="9" t="n">
        <x:f>'Physical_Arcs'!S44</x:f>
        <x:v>7.638888888888889</x:v>
      </x:c>
      <x:c r="N224" s="9" t="n">
        <x:f>M224*'Parameters'!$C$18</x:f>
        <x:v>1.527777777777778</x:v>
      </x:c>
      <x:c r="O224" s="9" t="n">
        <x:f>N224*'Parameters'!$C$19</x:f>
        <x:v>1.9097222222222223</x:v>
      </x:c>
      <x:c r="P224" s="9" t="n">
        <x:f>M224*(1-0.40)-N224</x:f>
        <x:v>3.0555555555555554</x:v>
      </x:c>
      <x:c r="Q224" s="9" t="n">
        <x:f>'Physical_Arcs'!T44</x:f>
        <x:v>3.8333333333333335</x:v>
      </x:c>
      <x:c r="R224" s="9" t="n">
        <x:f>Q224*'Parameters'!$C$18</x:f>
        <x:v>0.7666666666666667</x:v>
      </x:c>
      <x:c r="S224" s="9" t="n">
        <x:f>R224*'Parameters'!$C$19</x:f>
        <x:v>0.9583333333333334</x:v>
      </x:c>
      <x:c r="T224" s="9" t="n">
        <x:f>Q224*(1-0.40)-R224</x:f>
        <x:v>1.5333333333333332</x:v>
      </x:c>
    </x:row>
    <x:row r="225" ht="21" customHeight="1">
      <x:c r="A225" s="3" t="n">
        <x:v>3</x:v>
      </x:c>
      <x:c r="B225" s="3" t="str">
        <x:v>00:30</x:v>
      </x:c>
      <x:c r="C225" s="3" t="n">
        <x:v>1</x:v>
      </x:c>
      <x:c r="D225" s="3" t="n">
        <x:v>44</x:v>
      </x:c>
      <x:c r="E225" s="3" t="n">
        <x:v>8</x:v>
      </x:c>
      <x:c r="F225" s="3" t="n">
        <x:v>9</x:v>
      </x:c>
      <x:c r="G225" s="9" t="n">
        <x:v>0.18</x:v>
      </x:c>
      <x:c r="H225" s="9" t="n">
        <x:v>0.868101</x:v>
      </x:c>
      <x:c r="I225" s="9" t="n">
        <x:f>'Physical_Arcs'!R45</x:f>
        <x:v>17.02777777777778</x:v>
      </x:c>
      <x:c r="J225" s="9" t="n">
        <x:f>I225*'Parameters'!$C$18</x:f>
        <x:v>3.405555555555556</x:v>
      </x:c>
      <x:c r="K225" s="9" t="n">
        <x:f>J225*'Parameters'!$C$19</x:f>
        <x:v>4.256944444444445</x:v>
      </x:c>
      <x:c r="L225" s="9" t="n">
        <x:f>I225*(1-0.40)-J225</x:f>
        <x:v>6.811111111111111</x:v>
      </x:c>
      <x:c r="M225" s="9" t="n">
        <x:f>'Physical_Arcs'!S45</x:f>
        <x:v>17.02777777777778</x:v>
      </x:c>
      <x:c r="N225" s="9" t="n">
        <x:f>M225*'Parameters'!$C$18</x:f>
        <x:v>3.405555555555556</x:v>
      </x:c>
      <x:c r="O225" s="9" t="n">
        <x:f>N225*'Parameters'!$C$19</x:f>
        <x:v>4.256944444444445</x:v>
      </x:c>
      <x:c r="P225" s="9" t="n">
        <x:f>M225*(1-0.40)-N225</x:f>
        <x:v>6.811111111111111</x:v>
      </x:c>
      <x:c r="Q225" s="9" t="n">
        <x:f>'Physical_Arcs'!T45</x:f>
        <x:v>17.02777777777778</x:v>
      </x:c>
      <x:c r="R225" s="9" t="n">
        <x:f>Q225*'Parameters'!$C$18</x:f>
        <x:v>3.405555555555556</x:v>
      </x:c>
      <x:c r="S225" s="9" t="n">
        <x:f>R225*'Parameters'!$C$19</x:f>
        <x:v>4.256944444444445</x:v>
      </x:c>
      <x:c r="T225" s="9" t="n">
        <x:f>Q225*(1-0.40)-R225</x:f>
        <x:v>6.811111111111111</x:v>
      </x:c>
    </x:row>
    <x:row r="226" ht="21" customHeight="1">
      <x:c r="A226" s="3" t="n">
        <x:v>3</x:v>
      </x:c>
      <x:c r="B226" s="3" t="str">
        <x:v>00:30</x:v>
      </x:c>
      <x:c r="C226" s="3" t="n">
        <x:v>1</x:v>
      </x:c>
      <x:c r="D226" s="3" t="n">
        <x:v>45</x:v>
      </x:c>
      <x:c r="E226" s="3" t="n">
        <x:v>8</x:v>
      </x:c>
      <x:c r="F226" s="3" t="n">
        <x:v>3</x:v>
      </x:c>
      <x:c r="G226" s="9" t="n">
        <x:v>0.18</x:v>
      </x:c>
      <x:c r="H226" s="9" t="n">
        <x:v>0.944958</x:v>
      </x:c>
      <x:c r="I226" s="9" t="n">
        <x:f>'Physical_Arcs'!R46</x:f>
        <x:v>5.388888888888889</x:v>
      </x:c>
      <x:c r="J226" s="9" t="n">
        <x:f>I226*'Parameters'!$C$18</x:f>
        <x:v>1.077777777777778</x:v>
      </x:c>
      <x:c r="K226" s="9" t="n">
        <x:f>J226*'Parameters'!$C$19</x:f>
        <x:v>1.3472222222222223</x:v>
      </x:c>
      <x:c r="L226" s="9" t="n">
        <x:f>I226*(1-0.40)-J226</x:f>
        <x:v>2.1555555555555554</x:v>
      </x:c>
      <x:c r="M226" s="9" t="n">
        <x:f>'Physical_Arcs'!S46</x:f>
        <x:v>5.388888888888889</x:v>
      </x:c>
      <x:c r="N226" s="9" t="n">
        <x:f>M226*'Parameters'!$C$18</x:f>
        <x:v>1.077777777777778</x:v>
      </x:c>
      <x:c r="O226" s="9" t="n">
        <x:f>N226*'Parameters'!$C$19</x:f>
        <x:v>1.3472222222222223</x:v>
      </x:c>
      <x:c r="P226" s="9" t="n">
        <x:f>M226*(1-0.40)-N226</x:f>
        <x:v>2.1555555555555554</x:v>
      </x:c>
      <x:c r="Q226" s="9" t="n">
        <x:f>'Physical_Arcs'!T46</x:f>
        <x:v>2.6944444444444446</x:v>
      </x:c>
      <x:c r="R226" s="9" t="n">
        <x:f>Q226*'Parameters'!$C$18</x:f>
        <x:v>0.538888888888889</x:v>
      </x:c>
      <x:c r="S226" s="9" t="n">
        <x:f>R226*'Parameters'!$C$19</x:f>
        <x:v>0.6736111111111112</x:v>
      </x:c>
      <x:c r="T226" s="9" t="n">
        <x:f>Q226*(1-0.40)-R226</x:f>
        <x:v>1.0777777777777777</x:v>
      </x:c>
    </x:row>
    <x:row r="227" ht="21" customHeight="1">
      <x:c r="A227" s="3" t="n">
        <x:v>3</x:v>
      </x:c>
      <x:c r="B227" s="3" t="str">
        <x:v>00:30</x:v>
      </x:c>
      <x:c r="C227" s="3" t="n">
        <x:v>1</x:v>
      </x:c>
      <x:c r="D227" s="3" t="n">
        <x:v>46</x:v>
      </x:c>
      <x:c r="E227" s="3" t="n">
        <x:v>8</x:v>
      </x:c>
      <x:c r="F227" s="3" t="n">
        <x:v>7</x:v>
      </x:c>
      <x:c r="G227" s="9" t="n">
        <x:v>0.18</x:v>
      </x:c>
      <x:c r="H227" s="9" t="n">
        <x:v>0.866232</x:v>
      </x:c>
      <x:c r="I227" s="9" t="n">
        <x:f>'Physical_Arcs'!R47</x:f>
        <x:v>5.388888888888889</x:v>
      </x:c>
      <x:c r="J227" s="9" t="n">
        <x:f>I227*'Parameters'!$C$18</x:f>
        <x:v>1.077777777777778</x:v>
      </x:c>
      <x:c r="K227" s="9" t="n">
        <x:f>J227*'Parameters'!$C$19</x:f>
        <x:v>1.3472222222222223</x:v>
      </x:c>
      <x:c r="L227" s="9" t="n">
        <x:f>I227*(1-0.40)-J227</x:f>
        <x:v>2.1555555555555554</x:v>
      </x:c>
      <x:c r="M227" s="9" t="n">
        <x:f>'Physical_Arcs'!S47</x:f>
        <x:v>5.388888888888889</x:v>
      </x:c>
      <x:c r="N227" s="9" t="n">
        <x:f>M227*'Parameters'!$C$18</x:f>
        <x:v>1.077777777777778</x:v>
      </x:c>
      <x:c r="O227" s="9" t="n">
        <x:f>N227*'Parameters'!$C$19</x:f>
        <x:v>1.3472222222222223</x:v>
      </x:c>
      <x:c r="P227" s="9" t="n">
        <x:f>M227*(1-0.40)-N227</x:f>
        <x:v>2.1555555555555554</x:v>
      </x:c>
      <x:c r="Q227" s="9" t="n">
        <x:f>'Physical_Arcs'!T47</x:f>
        <x:v>2.6944444444444446</x:v>
      </x:c>
      <x:c r="R227" s="9" t="n">
        <x:f>Q227*'Parameters'!$C$18</x:f>
        <x:v>0.538888888888889</x:v>
      </x:c>
      <x:c r="S227" s="9" t="n">
        <x:f>R227*'Parameters'!$C$19</x:f>
        <x:v>0.6736111111111112</x:v>
      </x:c>
      <x:c r="T227" s="9" t="n">
        <x:f>Q227*(1-0.40)-R227</x:f>
        <x:v>1.0777777777777777</x:v>
      </x:c>
    </x:row>
    <x:row r="228" ht="21" customHeight="1">
      <x:c r="A228" s="3" t="n">
        <x:v>3</x:v>
      </x:c>
      <x:c r="B228" s="3" t="str">
        <x:v>00:30</x:v>
      </x:c>
      <x:c r="C228" s="3" t="n">
        <x:v>1</x:v>
      </x:c>
      <x:c r="D228" s="3" t="n">
        <x:v>47</x:v>
      </x:c>
      <x:c r="E228" s="3" t="n">
        <x:v>8</x:v>
      </x:c>
      <x:c r="F228" s="3" t="n">
        <x:v>2</x:v>
      </x:c>
      <x:c r="G228" s="9" t="n">
        <x:v>0.18</x:v>
      </x:c>
      <x:c r="H228" s="9" t="n">
        <x:v>1.135644</x:v>
      </x:c>
      <x:c r="I228" s="9" t="n">
        <x:f>'Physical_Arcs'!R48</x:f>
        <x:v>8.083333333333334</x:v>
      </x:c>
      <x:c r="J228" s="9" t="n">
        <x:f>I228*'Parameters'!$C$18</x:f>
        <x:v>1.616666666666667</x:v>
      </x:c>
      <x:c r="K228" s="9" t="n">
        <x:f>J228*'Parameters'!$C$19</x:f>
        <x:v>2.0208333333333335</x:v>
      </x:c>
      <x:c r="L228" s="9" t="n">
        <x:f>I228*(1-0.40)-J228</x:f>
        <x:v>3.2333333333333334</x:v>
      </x:c>
      <x:c r="M228" s="9" t="n">
        <x:f>'Physical_Arcs'!S48</x:f>
        <x:v>8.083333333333334</x:v>
      </x:c>
      <x:c r="N228" s="9" t="n">
        <x:f>M228*'Parameters'!$C$18</x:f>
        <x:v>1.616666666666667</x:v>
      </x:c>
      <x:c r="O228" s="9" t="n">
        <x:f>N228*'Parameters'!$C$19</x:f>
        <x:v>2.0208333333333335</x:v>
      </x:c>
      <x:c r="P228" s="9" t="n">
        <x:f>M228*(1-0.40)-N228</x:f>
        <x:v>3.2333333333333334</x:v>
      </x:c>
      <x:c r="Q228" s="9" t="n">
        <x:f>'Physical_Arcs'!T48</x:f>
        <x:v>4.055555555555555</x:v>
      </x:c>
      <x:c r="R228" s="9" t="n">
        <x:f>Q228*'Parameters'!$C$18</x:f>
        <x:v>0.8111111111111111</x:v>
      </x:c>
      <x:c r="S228" s="9" t="n">
        <x:f>R228*'Parameters'!$C$19</x:f>
        <x:v>1.0138888888888888</x:v>
      </x:c>
      <x:c r="T228" s="9" t="n">
        <x:f>Q228*(1-0.40)-R228</x:f>
        <x:v>1.622222222222222</x:v>
      </x:c>
    </x:row>
    <x:row r="229" ht="21" customHeight="1">
      <x:c r="A229" s="3" t="n">
        <x:v>3</x:v>
      </x:c>
      <x:c r="B229" s="3" t="str">
        <x:v>00:30</x:v>
      </x:c>
      <x:c r="C229" s="3" t="n">
        <x:v>1</x:v>
      </x:c>
      <x:c r="D229" s="3" t="n">
        <x:v>48</x:v>
      </x:c>
      <x:c r="E229" s="3" t="n">
        <x:v>8</x:v>
      </x:c>
      <x:c r="F229" s="3" t="n">
        <x:v>6</x:v>
      </x:c>
      <x:c r="G229" s="9" t="n">
        <x:v>0.18</x:v>
      </x:c>
      <x:c r="H229" s="9" t="n">
        <x:v>0.850778</x:v>
      </x:c>
      <x:c r="I229" s="9" t="n">
        <x:f>'Physical_Arcs'!R49</x:f>
        <x:v>10.555555555555555</x:v>
      </x:c>
      <x:c r="J229" s="9" t="n">
        <x:f>I229*'Parameters'!$C$18</x:f>
        <x:v>2.111111111111111</x:v>
      </x:c>
      <x:c r="K229" s="9" t="n">
        <x:f>J229*'Parameters'!$C$19</x:f>
        <x:v>2.638888888888889</x:v>
      </x:c>
      <x:c r="L229" s="9" t="n">
        <x:f>I229*(1-0.40)-J229</x:f>
        <x:v>4.222222222222221</x:v>
      </x:c>
      <x:c r="M229" s="9" t="n">
        <x:f>'Physical_Arcs'!S49</x:f>
        <x:v>10.555555555555555</x:v>
      </x:c>
      <x:c r="N229" s="9" t="n">
        <x:f>M229*'Parameters'!$C$18</x:f>
        <x:v>2.111111111111111</x:v>
      </x:c>
      <x:c r="O229" s="9" t="n">
        <x:f>N229*'Parameters'!$C$19</x:f>
        <x:v>2.638888888888889</x:v>
      </x:c>
      <x:c r="P229" s="9" t="n">
        <x:f>M229*(1-0.40)-N229</x:f>
        <x:v>4.222222222222221</x:v>
      </x:c>
      <x:c r="Q229" s="9" t="n">
        <x:f>'Physical_Arcs'!T49</x:f>
        <x:v>5.277777777777778</x:v>
      </x:c>
      <x:c r="R229" s="9" t="n">
        <x:f>Q229*'Parameters'!$C$18</x:f>
        <x:v>1.0555555555555556</x:v>
      </x:c>
      <x:c r="S229" s="9" t="n">
        <x:f>R229*'Parameters'!$C$19</x:f>
        <x:v>1.3194444444444444</x:v>
      </x:c>
      <x:c r="T229" s="9" t="n">
        <x:f>Q229*(1-0.40)-R229</x:f>
        <x:v>2.1111111111111107</x:v>
      </x:c>
    </x:row>
    <x:row r="230" ht="21" customHeight="1">
      <x:c r="A230" s="3" t="n">
        <x:v>3</x:v>
      </x:c>
      <x:c r="B230" s="3" t="str">
        <x:v>00:30</x:v>
      </x:c>
      <x:c r="C230" s="3" t="n">
        <x:v>1</x:v>
      </x:c>
      <x:c r="D230" s="3" t="n">
        <x:v>49</x:v>
      </x:c>
      <x:c r="E230" s="3" t="n">
        <x:v>8</x:v>
      </x:c>
      <x:c r="F230" s="3" t="n">
        <x:v>4</x:v>
      </x:c>
      <x:c r="G230" s="9" t="n">
        <x:v>0.18</x:v>
      </x:c>
      <x:c r="H230" s="9" t="n">
        <x:v>0.904949</x:v>
      </x:c>
      <x:c r="I230" s="9" t="n">
        <x:f>'Physical_Arcs'!R50</x:f>
        <x:v>1.5833333333333333</x:v>
      </x:c>
      <x:c r="J230" s="9" t="n">
        <x:f>I230*'Parameters'!$C$18</x:f>
        <x:v>0.31666666666666665</x:v>
      </x:c>
      <x:c r="K230" s="9" t="n">
        <x:f>J230*'Parameters'!$C$19</x:f>
        <x:v>0.3958333333333333</x:v>
      </x:c>
      <x:c r="L230" s="9" t="n">
        <x:f>I230*(1-0.40)-J230</x:f>
        <x:v>0.6333333333333333</x:v>
      </x:c>
      <x:c r="M230" s="9" t="n">
        <x:f>'Physical_Arcs'!S50</x:f>
        <x:v>1.5833333333333333</x:v>
      </x:c>
      <x:c r="N230" s="9" t="n">
        <x:f>M230*'Parameters'!$C$18</x:f>
        <x:v>0.31666666666666665</x:v>
      </x:c>
      <x:c r="O230" s="9" t="n">
        <x:f>N230*'Parameters'!$C$19</x:f>
        <x:v>0.3958333333333333</x:v>
      </x:c>
      <x:c r="P230" s="9" t="n">
        <x:f>M230*(1-0.40)-N230</x:f>
        <x:v>0.6333333333333333</x:v>
      </x:c>
      <x:c r="Q230" s="9" t="n">
        <x:f>'Physical_Arcs'!T50</x:f>
        <x:v>0.8055555555555556</x:v>
      </x:c>
      <x:c r="R230" s="9" t="n">
        <x:f>Q230*'Parameters'!$C$18</x:f>
        <x:v>0.16111111111111112</x:v>
      </x:c>
      <x:c r="S230" s="9" t="n">
        <x:f>R230*'Parameters'!$C$19</x:f>
        <x:v>0.2013888888888889</x:v>
      </x:c>
      <x:c r="T230" s="9" t="n">
        <x:f>Q230*(1-0.40)-R230</x:f>
        <x:v>0.3222222222222222</x:v>
      </x:c>
    </x:row>
    <x:row r="231" ht="21" customHeight="1">
      <x:c r="A231" s="3" t="n">
        <x:v>3</x:v>
      </x:c>
      <x:c r="B231" s="3" t="str">
        <x:v>00:30</x:v>
      </x:c>
      <x:c r="C231" s="3" t="n">
        <x:v>1</x:v>
      </x:c>
      <x:c r="D231" s="3" t="n">
        <x:v>50</x:v>
      </x:c>
      <x:c r="E231" s="3" t="n">
        <x:v>8</x:v>
      </x:c>
      <x:c r="F231" s="3" t="n">
        <x:v>5</x:v>
      </x:c>
      <x:c r="G231" s="9" t="n">
        <x:v>0.18</x:v>
      </x:c>
      <x:c r="H231" s="9" t="n">
        <x:v>0.990416</x:v>
      </x:c>
      <x:c r="I231" s="9" t="n">
        <x:f>'Physical_Arcs'!R51</x:f>
        <x:v>10.777777777777779</x:v>
      </x:c>
      <x:c r="J231" s="9" t="n">
        <x:f>I231*'Parameters'!$C$18</x:f>
        <x:v>2.155555555555556</x:v>
      </x:c>
      <x:c r="K231" s="9" t="n">
        <x:f>J231*'Parameters'!$C$19</x:f>
        <x:v>2.6944444444444446</x:v>
      </x:c>
      <x:c r="L231" s="9" t="n">
        <x:f>I231*(1-0.40)-J231</x:f>
        <x:v>4.311111111111111</x:v>
      </x:c>
      <x:c r="M231" s="9" t="n">
        <x:f>'Physical_Arcs'!S51</x:f>
        <x:v>10.777777777777779</x:v>
      </x:c>
      <x:c r="N231" s="9" t="n">
        <x:f>M231*'Parameters'!$C$18</x:f>
        <x:v>2.155555555555556</x:v>
      </x:c>
      <x:c r="O231" s="9" t="n">
        <x:f>N231*'Parameters'!$C$19</x:f>
        <x:v>2.6944444444444446</x:v>
      </x:c>
      <x:c r="P231" s="9" t="n">
        <x:f>M231*(1-0.40)-N231</x:f>
        <x:v>4.311111111111111</x:v>
      </x:c>
      <x:c r="Q231" s="9" t="n">
        <x:f>'Physical_Arcs'!T51</x:f>
        <x:v>5.388888888888889</x:v>
      </x:c>
      <x:c r="R231" s="9" t="n">
        <x:f>Q231*'Parameters'!$C$18</x:f>
        <x:v>1.077777777777778</x:v>
      </x:c>
      <x:c r="S231" s="9" t="n">
        <x:f>R231*'Parameters'!$C$19</x:f>
        <x:v>1.3472222222222223</x:v>
      </x:c>
      <x:c r="T231" s="9" t="n">
        <x:f>Q231*(1-0.40)-R231</x:f>
        <x:v>2.1555555555555554</x:v>
      </x:c>
    </x:row>
    <x:row r="232" ht="21" customHeight="1">
      <x:c r="A232" s="3" t="n">
        <x:v>3</x:v>
      </x:c>
      <x:c r="B232" s="3" t="str">
        <x:v>00:30</x:v>
      </x:c>
      <x:c r="C232" s="3" t="n">
        <x:v>1</x:v>
      </x:c>
      <x:c r="D232" s="3" t="n">
        <x:v>51</x:v>
      </x:c>
      <x:c r="E232" s="3" t="n">
        <x:v>8</x:v>
      </x:c>
      <x:c r="F232" s="3" t="n">
        <x:v>1</x:v>
      </x:c>
      <x:c r="G232" s="9" t="n">
        <x:v>0.18</x:v>
      </x:c>
      <x:c r="H232" s="9" t="n">
        <x:v>1.039066</x:v>
      </x:c>
      <x:c r="I232" s="9" t="n">
        <x:f>'Physical_Arcs'!R52</x:f>
        <x:v>8.88888888888889</x:v>
      </x:c>
      <x:c r="J232" s="9" t="n">
        <x:f>I232*'Parameters'!$C$18</x:f>
        <x:v>1.777777777777778</x:v>
      </x:c>
      <x:c r="K232" s="9" t="n">
        <x:f>J232*'Parameters'!$C$19</x:f>
        <x:v>2.2222222222222223</x:v>
      </x:c>
      <x:c r="L232" s="9" t="n">
        <x:f>I232*(1-0.40)-J232</x:f>
        <x:v>3.5555555555555554</x:v>
      </x:c>
      <x:c r="M232" s="9" t="n">
        <x:f>'Physical_Arcs'!S52</x:f>
        <x:v>8.88888888888889</x:v>
      </x:c>
      <x:c r="N232" s="9" t="n">
        <x:f>M232*'Parameters'!$C$18</x:f>
        <x:v>1.777777777777778</x:v>
      </x:c>
      <x:c r="O232" s="9" t="n">
        <x:f>N232*'Parameters'!$C$19</x:f>
        <x:v>2.2222222222222223</x:v>
      </x:c>
      <x:c r="P232" s="9" t="n">
        <x:f>M232*(1-0.40)-N232</x:f>
        <x:v>3.5555555555555554</x:v>
      </x:c>
      <x:c r="Q232" s="9" t="n">
        <x:f>'Physical_Arcs'!T52</x:f>
        <x:v>4.444444444444445</x:v>
      </x:c>
      <x:c r="R232" s="9" t="n">
        <x:f>Q232*'Parameters'!$C$18</x:f>
        <x:v>0.888888888888889</x:v>
      </x:c>
      <x:c r="S232" s="9" t="n">
        <x:f>R232*'Parameters'!$C$19</x:f>
        <x:v>1.1111111111111112</x:v>
      </x:c>
      <x:c r="T232" s="9" t="n">
        <x:f>Q232*(1-0.40)-R232</x:f>
        <x:v>1.7777777777777777</x:v>
      </x:c>
    </x:row>
    <x:row r="233" ht="21" customHeight="1">
      <x:c r="A233" s="3" t="n">
        <x:v>3</x:v>
      </x:c>
      <x:c r="B233" s="3" t="str">
        <x:v>00:30</x:v>
      </x:c>
      <x:c r="C233" s="3" t="n">
        <x:v>1</x:v>
      </x:c>
      <x:c r="D233" s="3" t="n">
        <x:v>52</x:v>
      </x:c>
      <x:c r="E233" s="3" t="n">
        <x:v>9</x:v>
      </x:c>
      <x:c r="F233" s="3" t="n">
        <x:v>10</x:v>
      </x:c>
      <x:c r="G233" s="9" t="n">
        <x:v>0.18</x:v>
      </x:c>
      <x:c r="H233" s="9" t="n">
        <x:v>0.954096</x:v>
      </x:c>
      <x:c r="I233" s="9" t="n">
        <x:f>'Physical_Arcs'!R53</x:f>
        <x:v>17.02777777777778</x:v>
      </x:c>
      <x:c r="J233" s="9" t="n">
        <x:f>I233*'Parameters'!$C$18</x:f>
        <x:v>3.405555555555556</x:v>
      </x:c>
      <x:c r="K233" s="9" t="n">
        <x:f>J233*'Parameters'!$C$19</x:f>
        <x:v>4.256944444444445</x:v>
      </x:c>
      <x:c r="L233" s="9" t="n">
        <x:f>I233*(1-0.40)-J233</x:f>
        <x:v>6.811111111111111</x:v>
      </x:c>
      <x:c r="M233" s="9" t="n">
        <x:f>'Physical_Arcs'!S53</x:f>
        <x:v>17.02777777777778</x:v>
      </x:c>
      <x:c r="N233" s="9" t="n">
        <x:f>M233*'Parameters'!$C$18</x:f>
        <x:v>3.405555555555556</x:v>
      </x:c>
      <x:c r="O233" s="9" t="n">
        <x:f>N233*'Parameters'!$C$19</x:f>
        <x:v>4.256944444444445</x:v>
      </x:c>
      <x:c r="P233" s="9" t="n">
        <x:f>M233*(1-0.40)-N233</x:f>
        <x:v>6.811111111111111</x:v>
      </x:c>
      <x:c r="Q233" s="9" t="n">
        <x:f>'Physical_Arcs'!T53</x:f>
        <x:v>17.02777777777778</x:v>
      </x:c>
      <x:c r="R233" s="9" t="n">
        <x:f>Q233*'Parameters'!$C$18</x:f>
        <x:v>3.405555555555556</x:v>
      </x:c>
      <x:c r="S233" s="9" t="n">
        <x:f>R233*'Parameters'!$C$19</x:f>
        <x:v>4.256944444444445</x:v>
      </x:c>
      <x:c r="T233" s="9" t="n">
        <x:f>Q233*(1-0.40)-R233</x:f>
        <x:v>6.811111111111111</x:v>
      </x:c>
    </x:row>
    <x:row r="234" ht="21" customHeight="1">
      <x:c r="A234" s="3" t="n">
        <x:v>3</x:v>
      </x:c>
      <x:c r="B234" s="3" t="str">
        <x:v>00:30</x:v>
      </x:c>
      <x:c r="C234" s="3" t="n">
        <x:v>1</x:v>
      </x:c>
      <x:c r="D234" s="3" t="n">
        <x:v>53</x:v>
      </x:c>
      <x:c r="E234" s="3" t="n">
        <x:v>9</x:v>
      </x:c>
      <x:c r="F234" s="3" t="n">
        <x:v>6</x:v>
      </x:c>
      <x:c r="G234" s="9" t="n">
        <x:v>0.18</x:v>
      </x:c>
      <x:c r="H234" s="9" t="n">
        <x:v>1.125574</x:v>
      </x:c>
      <x:c r="I234" s="9" t="n">
        <x:f>'Physical_Arcs'!R54</x:f>
        <x:v>9.666666666666666</x:v>
      </x:c>
      <x:c r="J234" s="9" t="n">
        <x:f>I234*'Parameters'!$C$18</x:f>
        <x:v>1.9333333333333333</x:v>
      </x:c>
      <x:c r="K234" s="9" t="n">
        <x:f>J234*'Parameters'!$C$19</x:f>
        <x:v>2.4166666666666665</x:v>
      </x:c>
      <x:c r="L234" s="9" t="n">
        <x:f>I234*(1-0.40)-J234</x:f>
        <x:v>3.8666666666666663</x:v>
      </x:c>
      <x:c r="M234" s="9" t="n">
        <x:f>'Physical_Arcs'!S54</x:f>
        <x:v>9.666666666666666</x:v>
      </x:c>
      <x:c r="N234" s="9" t="n">
        <x:f>M234*'Parameters'!$C$18</x:f>
        <x:v>1.9333333333333333</x:v>
      </x:c>
      <x:c r="O234" s="9" t="n">
        <x:f>N234*'Parameters'!$C$19</x:f>
        <x:v>2.4166666666666665</x:v>
      </x:c>
      <x:c r="P234" s="9" t="n">
        <x:f>M234*(1-0.40)-N234</x:f>
        <x:v>3.8666666666666663</x:v>
      </x:c>
      <x:c r="Q234" s="9" t="n">
        <x:f>'Physical_Arcs'!T54</x:f>
        <x:v>4.833333333333333</x:v>
      </x:c>
      <x:c r="R234" s="9" t="n">
        <x:f>Q234*'Parameters'!$C$18</x:f>
        <x:v>0.9666666666666667</x:v>
      </x:c>
      <x:c r="S234" s="9" t="n">
        <x:f>R234*'Parameters'!$C$19</x:f>
        <x:v>1.2083333333333333</x:v>
      </x:c>
      <x:c r="T234" s="9" t="n">
        <x:f>Q234*(1-0.40)-R234</x:f>
        <x:v>1.9333333333333331</x:v>
      </x:c>
    </x:row>
    <x:row r="235" ht="21" customHeight="1">
      <x:c r="A235" s="3" t="n">
        <x:v>3</x:v>
      </x:c>
      <x:c r="B235" s="3" t="str">
        <x:v>00:30</x:v>
      </x:c>
      <x:c r="C235" s="3" t="n">
        <x:v>1</x:v>
      </x:c>
      <x:c r="D235" s="3" t="n">
        <x:v>54</x:v>
      </x:c>
      <x:c r="E235" s="3" t="n">
        <x:v>9</x:v>
      </x:c>
      <x:c r="F235" s="3" t="n">
        <x:v>2</x:v>
      </x:c>
      <x:c r="G235" s="9" t="n">
        <x:v>0.18</x:v>
      </x:c>
      <x:c r="H235" s="9" t="n">
        <x:v>0.854534</x:v>
      </x:c>
      <x:c r="I235" s="9" t="n">
        <x:f>'Physical_Arcs'!R55</x:f>
        <x:v>9.88888888888889</x:v>
      </x:c>
      <x:c r="J235" s="9" t="n">
        <x:f>I235*'Parameters'!$C$18</x:f>
        <x:v>1.9777777777777779</x:v>
      </x:c>
      <x:c r="K235" s="9" t="n">
        <x:f>J235*'Parameters'!$C$19</x:f>
        <x:v>2.4722222222222223</x:v>
      </x:c>
      <x:c r="L235" s="9" t="n">
        <x:f>I235*(1-0.40)-J235</x:f>
        <x:v>3.9555555555555557</x:v>
      </x:c>
      <x:c r="M235" s="9" t="n">
        <x:f>'Physical_Arcs'!S55</x:f>
        <x:v>9.88888888888889</x:v>
      </x:c>
      <x:c r="N235" s="9" t="n">
        <x:f>M235*'Parameters'!$C$18</x:f>
        <x:v>1.9777777777777779</x:v>
      </x:c>
      <x:c r="O235" s="9" t="n">
        <x:f>N235*'Parameters'!$C$19</x:f>
        <x:v>2.4722222222222223</x:v>
      </x:c>
      <x:c r="P235" s="9" t="n">
        <x:f>M235*(1-0.40)-N235</x:f>
        <x:v>3.9555555555555557</x:v>
      </x:c>
      <x:c r="Q235" s="9" t="n">
        <x:f>'Physical_Arcs'!T55</x:f>
        <x:v>4.944444444444445</x:v>
      </x:c>
      <x:c r="R235" s="9" t="n">
        <x:f>Q235*'Parameters'!$C$18</x:f>
        <x:v>0.9888888888888889</x:v>
      </x:c>
      <x:c r="S235" s="9" t="n">
        <x:f>R235*'Parameters'!$C$19</x:f>
        <x:v>1.2361111111111112</x:v>
      </x:c>
      <x:c r="T235" s="9" t="n">
        <x:f>Q235*(1-0.40)-R235</x:f>
        <x:v>1.9777777777777779</x:v>
      </x:c>
    </x:row>
    <x:row r="236" ht="21" customHeight="1">
      <x:c r="A236" s="3" t="n">
        <x:v>3</x:v>
      </x:c>
      <x:c r="B236" s="3" t="str">
        <x:v>00:30</x:v>
      </x:c>
      <x:c r="C236" s="3" t="n">
        <x:v>1</x:v>
      </x:c>
      <x:c r="D236" s="3" t="n">
        <x:v>55</x:v>
      </x:c>
      <x:c r="E236" s="3" t="n">
        <x:v>9</x:v>
      </x:c>
      <x:c r="F236" s="3" t="n">
        <x:v>7</x:v>
      </x:c>
      <x:c r="G236" s="9" t="n">
        <x:v>0.18</x:v>
      </x:c>
      <x:c r="H236" s="9" t="n">
        <x:v>0.900033</x:v>
      </x:c>
      <x:c r="I236" s="9" t="n">
        <x:f>'Physical_Arcs'!R56</x:f>
        <x:v>4.166666666666667</x:v>
      </x:c>
      <x:c r="J236" s="9" t="n">
        <x:f>I236*'Parameters'!$C$18</x:f>
        <x:v>0.8333333333333335</x:v>
      </x:c>
      <x:c r="K236" s="9" t="n">
        <x:f>J236*'Parameters'!$C$19</x:f>
        <x:v>1.041666666666667</x:v>
      </x:c>
      <x:c r="L236" s="9" t="n">
        <x:f>I236*(1-0.40)-J236</x:f>
        <x:v>1.6666666666666665</x:v>
      </x:c>
      <x:c r="M236" s="9" t="n">
        <x:f>'Physical_Arcs'!S56</x:f>
        <x:v>4.166666666666667</x:v>
      </x:c>
      <x:c r="N236" s="9" t="n">
        <x:f>M236*'Parameters'!$C$18</x:f>
        <x:v>0.8333333333333335</x:v>
      </x:c>
      <x:c r="O236" s="9" t="n">
        <x:f>N236*'Parameters'!$C$19</x:f>
        <x:v>1.041666666666667</x:v>
      </x:c>
      <x:c r="P236" s="9" t="n">
        <x:f>M236*(1-0.40)-N236</x:f>
        <x:v>1.6666666666666665</x:v>
      </x:c>
      <x:c r="Q236" s="9" t="n">
        <x:f>'Physical_Arcs'!T56</x:f>
        <x:v>2.0833333333333335</x:v>
      </x:c>
      <x:c r="R236" s="9" t="n">
        <x:f>Q236*'Parameters'!$C$18</x:f>
        <x:v>0.41666666666666674</x:v>
      </x:c>
      <x:c r="S236" s="9" t="n">
        <x:f>R236*'Parameters'!$C$19</x:f>
        <x:v>0.5208333333333335</x:v>
      </x:c>
      <x:c r="T236" s="9" t="n">
        <x:f>Q236*(1-0.40)-R236</x:f>
        <x:v>0.8333333333333333</x:v>
      </x:c>
    </x:row>
    <x:row r="237" ht="21" customHeight="1">
      <x:c r="A237" s="3" t="n">
        <x:v>3</x:v>
      </x:c>
      <x:c r="B237" s="3" t="str">
        <x:v>00:30</x:v>
      </x:c>
      <x:c r="C237" s="3" t="n">
        <x:v>1</x:v>
      </x:c>
      <x:c r="D237" s="3" t="n">
        <x:v>56</x:v>
      </x:c>
      <x:c r="E237" s="3" t="n">
        <x:v>9</x:v>
      </x:c>
      <x:c r="F237" s="3" t="n">
        <x:v>3</x:v>
      </x:c>
      <x:c r="G237" s="9" t="n">
        <x:v>0.18</x:v>
      </x:c>
      <x:c r="H237" s="9" t="n">
        <x:v>0.893428</x:v>
      </x:c>
      <x:c r="I237" s="9" t="n">
        <x:f>'Physical_Arcs'!R57</x:f>
        <x:v>3.7222222222222223</x:v>
      </x:c>
      <x:c r="J237" s="9" t="n">
        <x:f>I237*'Parameters'!$C$18</x:f>
        <x:v>0.7444444444444445</x:v>
      </x:c>
      <x:c r="K237" s="9" t="n">
        <x:f>J237*'Parameters'!$C$19</x:f>
        <x:v>0.9305555555555556</x:v>
      </x:c>
      <x:c r="L237" s="9" t="n">
        <x:f>I237*(1-0.40)-J237</x:f>
        <x:v>1.488888888888889</x:v>
      </x:c>
      <x:c r="M237" s="9" t="n">
        <x:f>'Physical_Arcs'!S57</x:f>
        <x:v>3.7222222222222223</x:v>
      </x:c>
      <x:c r="N237" s="9" t="n">
        <x:f>M237*'Parameters'!$C$18</x:f>
        <x:v>0.7444444444444445</x:v>
      </x:c>
      <x:c r="O237" s="9" t="n">
        <x:f>N237*'Parameters'!$C$19</x:f>
        <x:v>0.9305555555555556</x:v>
      </x:c>
      <x:c r="P237" s="9" t="n">
        <x:f>M237*(1-0.40)-N237</x:f>
        <x:v>1.488888888888889</x:v>
      </x:c>
      <x:c r="Q237" s="9" t="n">
        <x:f>'Physical_Arcs'!T57</x:f>
        <x:v>1.8611111111111112</x:v>
      </x:c>
      <x:c r="R237" s="9" t="n">
        <x:f>Q237*'Parameters'!$C$18</x:f>
        <x:v>0.37222222222222223</x:v>
      </x:c>
      <x:c r="S237" s="9" t="n">
        <x:f>R237*'Parameters'!$C$19</x:f>
        <x:v>0.4652777777777778</x:v>
      </x:c>
      <x:c r="T237" s="9" t="n">
        <x:f>Q237*(1-0.40)-R237</x:f>
        <x:v>0.7444444444444445</x:v>
      </x:c>
    </x:row>
    <x:row r="238" ht="21" customHeight="1">
      <x:c r="A238" s="3" t="n">
        <x:v>3</x:v>
      </x:c>
      <x:c r="B238" s="3" t="str">
        <x:v>00:30</x:v>
      </x:c>
      <x:c r="C238" s="3" t="n">
        <x:v>1</x:v>
      </x:c>
      <x:c r="D238" s="3" t="n">
        <x:v>57</x:v>
      </x:c>
      <x:c r="E238" s="3" t="n">
        <x:v>10</x:v>
      </x:c>
      <x:c r="F238" s="3" t="n">
        <x:v>1</x:v>
      </x:c>
      <x:c r="G238" s="9" t="n">
        <x:v>0.18</x:v>
      </x:c>
      <x:c r="H238" s="9" t="n">
        <x:v>1.027979</x:v>
      </x:c>
      <x:c r="I238" s="9" t="n">
        <x:f>'Physical_Arcs'!R58</x:f>
        <x:v>17.02777777777778</x:v>
      </x:c>
      <x:c r="J238" s="9" t="n">
        <x:f>I238*'Parameters'!$C$18</x:f>
        <x:v>3.405555555555556</x:v>
      </x:c>
      <x:c r="K238" s="9" t="n">
        <x:f>J238*'Parameters'!$C$19</x:f>
        <x:v>4.256944444444445</x:v>
      </x:c>
      <x:c r="L238" s="9" t="n">
        <x:f>I238*(1-0.40)-J238</x:f>
        <x:v>6.811111111111111</x:v>
      </x:c>
      <x:c r="M238" s="9" t="n">
        <x:f>'Physical_Arcs'!S58</x:f>
        <x:v>17.02777777777778</x:v>
      </x:c>
      <x:c r="N238" s="9" t="n">
        <x:f>M238*'Parameters'!$C$18</x:f>
        <x:v>3.405555555555556</x:v>
      </x:c>
      <x:c r="O238" s="9" t="n">
        <x:f>N238*'Parameters'!$C$19</x:f>
        <x:v>4.256944444444445</x:v>
      </x:c>
      <x:c r="P238" s="9" t="n">
        <x:f>M238*(1-0.40)-N238</x:f>
        <x:v>6.811111111111111</x:v>
      </x:c>
      <x:c r="Q238" s="9" t="n">
        <x:f>'Physical_Arcs'!T58</x:f>
        <x:v>17.02777777777778</x:v>
      </x:c>
      <x:c r="R238" s="9" t="n">
        <x:f>Q238*'Parameters'!$C$18</x:f>
        <x:v>3.405555555555556</x:v>
      </x:c>
      <x:c r="S238" s="9" t="n">
        <x:f>R238*'Parameters'!$C$19</x:f>
        <x:v>4.256944444444445</x:v>
      </x:c>
      <x:c r="T238" s="9" t="n">
        <x:f>Q238*(1-0.40)-R238</x:f>
        <x:v>6.811111111111111</x:v>
      </x:c>
    </x:row>
    <x:row r="239" ht="21" customHeight="1">
      <x:c r="A239" s="3" t="n">
        <x:v>3</x:v>
      </x:c>
      <x:c r="B239" s="3" t="str">
        <x:v>00:30</x:v>
      </x:c>
      <x:c r="C239" s="3" t="n">
        <x:v>1</x:v>
      </x:c>
      <x:c r="D239" s="3" t="n">
        <x:v>58</x:v>
      </x:c>
      <x:c r="E239" s="3" t="n">
        <x:v>10</x:v>
      </x:c>
      <x:c r="F239" s="3" t="n">
        <x:v>6</x:v>
      </x:c>
      <x:c r="G239" s="9" t="n">
        <x:v>0.18</x:v>
      </x:c>
      <x:c r="H239" s="9" t="n">
        <x:v>0.952676</x:v>
      </x:c>
      <x:c r="I239" s="9" t="n">
        <x:f>'Physical_Arcs'!R59</x:f>
        <x:v>6.305555555555555</x:v>
      </x:c>
      <x:c r="J239" s="9" t="n">
        <x:f>I239*'Parameters'!$C$18</x:f>
        <x:v>1.261111111111111</x:v>
      </x:c>
      <x:c r="K239" s="9" t="n">
        <x:f>J239*'Parameters'!$C$19</x:f>
        <x:v>1.5763888888888888</x:v>
      </x:c>
      <x:c r="L239" s="9" t="n">
        <x:f>I239*(1-0.40)-J239</x:f>
        <x:v>2.522222222222222</x:v>
      </x:c>
      <x:c r="M239" s="9" t="n">
        <x:f>'Physical_Arcs'!S59</x:f>
        <x:v>6.305555555555555</x:v>
      </x:c>
      <x:c r="N239" s="9" t="n">
        <x:f>M239*'Parameters'!$C$18</x:f>
        <x:v>1.261111111111111</x:v>
      </x:c>
      <x:c r="O239" s="9" t="n">
        <x:f>N239*'Parameters'!$C$19</x:f>
        <x:v>1.5763888888888888</x:v>
      </x:c>
      <x:c r="P239" s="9" t="n">
        <x:f>M239*(1-0.40)-N239</x:f>
        <x:v>2.522222222222222</x:v>
      </x:c>
      <x:c r="Q239" s="9" t="n">
        <x:f>'Physical_Arcs'!T59</x:f>
        <x:v>3.1666666666666665</x:v>
      </x:c>
      <x:c r="R239" s="9" t="n">
        <x:f>Q239*'Parameters'!$C$18</x:f>
        <x:v>0.6333333333333333</x:v>
      </x:c>
      <x:c r="S239" s="9" t="n">
        <x:f>R239*'Parameters'!$C$19</x:f>
        <x:v>0.7916666666666666</x:v>
      </x:c>
      <x:c r="T239" s="9" t="n">
        <x:f>Q239*(1-0.40)-R239</x:f>
        <x:v>1.2666666666666666</x:v>
      </x:c>
    </x:row>
    <x:row r="240" ht="21" customHeight="1">
      <x:c r="A240" s="3" t="n">
        <x:v>3</x:v>
      </x:c>
      <x:c r="B240" s="3" t="str">
        <x:v>00:30</x:v>
      </x:c>
      <x:c r="C240" s="3" t="n">
        <x:v>1</x:v>
      </x:c>
      <x:c r="D240" s="3" t="n">
        <x:v>59</x:v>
      </x:c>
      <x:c r="E240" s="3" t="n">
        <x:v>10</x:v>
      </x:c>
      <x:c r="F240" s="3" t="n">
        <x:v>4</x:v>
      </x:c>
      <x:c r="G240" s="9" t="n">
        <x:v>0.18</x:v>
      </x:c>
      <x:c r="H240" s="9" t="n">
        <x:v>1.114542</x:v>
      </x:c>
      <x:c r="I240" s="9" t="n">
        <x:f>'Physical_Arcs'!R60</x:f>
        <x:v>1.5833333333333333</x:v>
      </x:c>
      <x:c r="J240" s="9" t="n">
        <x:f>I240*'Parameters'!$C$18</x:f>
        <x:v>0.31666666666666665</x:v>
      </x:c>
      <x:c r="K240" s="9" t="n">
        <x:f>J240*'Parameters'!$C$19</x:f>
        <x:v>0.3958333333333333</x:v>
      </x:c>
      <x:c r="L240" s="9" t="n">
        <x:f>I240*(1-0.40)-J240</x:f>
        <x:v>0.6333333333333333</x:v>
      </x:c>
      <x:c r="M240" s="9" t="n">
        <x:f>'Physical_Arcs'!S60</x:f>
        <x:v>1.5833333333333333</x:v>
      </x:c>
      <x:c r="N240" s="9" t="n">
        <x:f>M240*'Parameters'!$C$18</x:f>
        <x:v>0.31666666666666665</x:v>
      </x:c>
      <x:c r="O240" s="9" t="n">
        <x:f>N240*'Parameters'!$C$19</x:f>
        <x:v>0.3958333333333333</x:v>
      </x:c>
      <x:c r="P240" s="9" t="n">
        <x:f>M240*(1-0.40)-N240</x:f>
        <x:v>0.6333333333333333</x:v>
      </x:c>
      <x:c r="Q240" s="9" t="n">
        <x:f>'Physical_Arcs'!T60</x:f>
        <x:v>0.8055555555555556</x:v>
      </x:c>
      <x:c r="R240" s="9" t="n">
        <x:f>Q240*'Parameters'!$C$18</x:f>
        <x:v>0.16111111111111112</x:v>
      </x:c>
      <x:c r="S240" s="9" t="n">
        <x:f>R240*'Parameters'!$C$19</x:f>
        <x:v>0.2013888888888889</x:v>
      </x:c>
      <x:c r="T240" s="9" t="n">
        <x:f>Q240*(1-0.40)-R240</x:f>
        <x:v>0.3222222222222222</x:v>
      </x:c>
    </x:row>
    <x:row r="241" ht="21" customHeight="1">
      <x:c r="A241" s="3" t="n">
        <x:v>3</x:v>
      </x:c>
      <x:c r="B241" s="3" t="str">
        <x:v>00:30</x:v>
      </x:c>
      <x:c r="C241" s="3" t="n">
        <x:v>1</x:v>
      </x:c>
      <x:c r="D241" s="3" t="n">
        <x:v>60</x:v>
      </x:c>
      <x:c r="E241" s="3" t="n">
        <x:v>10</x:v>
      </x:c>
      <x:c r="F241" s="3" t="n">
        <x:v>9</x:v>
      </x:c>
      <x:c r="G241" s="9" t="n">
        <x:v>0.18</x:v>
      </x:c>
      <x:c r="H241" s="9" t="n">
        <x:v>1.092245</x:v>
      </x:c>
      <x:c r="I241" s="9" t="n">
        <x:f>'Physical_Arcs'!R61</x:f>
        <x:v>10.333333333333334</x:v>
      </x:c>
      <x:c r="J241" s="9" t="n">
        <x:f>I241*'Parameters'!$C$18</x:f>
        <x:v>2.066666666666667</x:v>
      </x:c>
      <x:c r="K241" s="9" t="n">
        <x:f>J241*'Parameters'!$C$19</x:f>
        <x:v>2.5833333333333335</x:v>
      </x:c>
      <x:c r="L241" s="9" t="n">
        <x:f>I241*(1-0.40)-J241</x:f>
        <x:v>4.133333333333333</x:v>
      </x:c>
      <x:c r="M241" s="9" t="n">
        <x:f>'Physical_Arcs'!S61</x:f>
        <x:v>10.333333333333334</x:v>
      </x:c>
      <x:c r="N241" s="9" t="n">
        <x:f>M241*'Parameters'!$C$18</x:f>
        <x:v>2.066666666666667</x:v>
      </x:c>
      <x:c r="O241" s="9" t="n">
        <x:f>N241*'Parameters'!$C$19</x:f>
        <x:v>2.5833333333333335</x:v>
      </x:c>
      <x:c r="P241" s="9" t="n">
        <x:f>M241*(1-0.40)-N241</x:f>
        <x:v>4.133333333333333</x:v>
      </x:c>
      <x:c r="Q241" s="9" t="n">
        <x:f>'Physical_Arcs'!T61</x:f>
        <x:v>5.166666666666667</x:v>
      </x:c>
      <x:c r="R241" s="9" t="n">
        <x:f>Q241*'Parameters'!$C$18</x:f>
        <x:v>1.0333333333333334</x:v>
      </x:c>
      <x:c r="S241" s="9" t="n">
        <x:f>R241*'Parameters'!$C$19</x:f>
        <x:v>1.2916666666666667</x:v>
      </x:c>
      <x:c r="T241" s="9" t="n">
        <x:f>Q241*(1-0.40)-R241</x:f>
        <x:v>2.0666666666666664</x:v>
      </x:c>
    </x:row>
    <x:row r="242" ht="21" customHeight="1">
      <x:c r="A242" s="3" t="n">
        <x:v>4</x:v>
      </x:c>
      <x:c r="B242" s="3" t="str">
        <x:v>00:40</x:v>
      </x:c>
      <x:c r="C242" s="3" t="n">
        <x:v>1</x:v>
      </x:c>
      <x:c r="D242" s="3" t="n">
        <x:v>1</x:v>
      </x:c>
      <x:c r="E242" s="3" t="n">
        <x:v>1</x:v>
      </x:c>
      <x:c r="F242" s="3" t="n">
        <x:v>2</x:v>
      </x:c>
      <x:c r="G242" s="9" t="n">
        <x:v>0.18</x:v>
      </x:c>
      <x:c r="H242" s="9" t="n">
        <x:v>0.914787</x:v>
      </x:c>
      <x:c r="I242" s="9" t="n">
        <x:f>'Physical_Arcs'!R2</x:f>
        <x:v>17.02777777777778</x:v>
      </x:c>
      <x:c r="J242" s="9" t="n">
        <x:f>I242*'Parameters'!$C$18</x:f>
        <x:v>3.405555555555556</x:v>
      </x:c>
      <x:c r="K242" s="9" t="n">
        <x:f>J242*'Parameters'!$C$19</x:f>
        <x:v>4.256944444444445</x:v>
      </x:c>
      <x:c r="L242" s="9" t="n">
        <x:f>I242*(1-0.40)-J242</x:f>
        <x:v>6.811111111111111</x:v>
      </x:c>
      <x:c r="M242" s="9" t="n">
        <x:f>'Physical_Arcs'!S2</x:f>
        <x:v>17.02777777777778</x:v>
      </x:c>
      <x:c r="N242" s="9" t="n">
        <x:f>M242*'Parameters'!$C$18</x:f>
        <x:v>3.405555555555556</x:v>
      </x:c>
      <x:c r="O242" s="9" t="n">
        <x:f>N242*'Parameters'!$C$19</x:f>
        <x:v>4.256944444444445</x:v>
      </x:c>
      <x:c r="P242" s="9" t="n">
        <x:f>M242*(1-0.40)-N242</x:f>
        <x:v>6.811111111111111</x:v>
      </x:c>
      <x:c r="Q242" s="9" t="n">
        <x:f>'Physical_Arcs'!T2</x:f>
        <x:v>17.02777777777778</x:v>
      </x:c>
      <x:c r="R242" s="9" t="n">
        <x:f>Q242*'Parameters'!$C$18</x:f>
        <x:v>3.405555555555556</x:v>
      </x:c>
      <x:c r="S242" s="9" t="n">
        <x:f>R242*'Parameters'!$C$19</x:f>
        <x:v>4.256944444444445</x:v>
      </x:c>
      <x:c r="T242" s="9" t="n">
        <x:f>Q242*(1-0.40)-R242</x:f>
        <x:v>6.811111111111111</x:v>
      </x:c>
    </x:row>
    <x:row r="243" ht="21" customHeight="1">
      <x:c r="A243" s="3" t="n">
        <x:v>4</x:v>
      </x:c>
      <x:c r="B243" s="3" t="str">
        <x:v>00:40</x:v>
      </x:c>
      <x:c r="C243" s="3" t="n">
        <x:v>1</x:v>
      </x:c>
      <x:c r="D243" s="3" t="n">
        <x:v>2</x:v>
      </x:c>
      <x:c r="E243" s="3" t="n">
        <x:v>1</x:v>
      </x:c>
      <x:c r="F243" s="3" t="n">
        <x:v>10</x:v>
      </x:c>
      <x:c r="G243" s="9" t="n">
        <x:v>0.18</x:v>
      </x:c>
      <x:c r="H243" s="9" t="n">
        <x:v>1.003995</x:v>
      </x:c>
      <x:c r="I243" s="9" t="n">
        <x:f>'Physical_Arcs'!R3</x:f>
        <x:v>3.2777777777777777</x:v>
      </x:c>
      <x:c r="J243" s="9" t="n">
        <x:f>I243*'Parameters'!$C$18</x:f>
        <x:v>0.6555555555555556</x:v>
      </x:c>
      <x:c r="K243" s="9" t="n">
        <x:f>J243*'Parameters'!$C$19</x:f>
        <x:v>0.8194444444444444</x:v>
      </x:c>
      <x:c r="L243" s="9" t="n">
        <x:f>I243*(1-0.40)-J243</x:f>
        <x:v>1.311111111111111</x:v>
      </x:c>
      <x:c r="M243" s="9" t="n">
        <x:f>'Physical_Arcs'!S3</x:f>
        <x:v>3.2777777777777777</x:v>
      </x:c>
      <x:c r="N243" s="9" t="n">
        <x:f>M243*'Parameters'!$C$18</x:f>
        <x:v>0.6555555555555556</x:v>
      </x:c>
      <x:c r="O243" s="9" t="n">
        <x:f>N243*'Parameters'!$C$19</x:f>
        <x:v>0.8194444444444444</x:v>
      </x:c>
      <x:c r="P243" s="9" t="n">
        <x:f>M243*(1-0.40)-N243</x:f>
        <x:v>1.311111111111111</x:v>
      </x:c>
      <x:c r="Q243" s="9" t="n">
        <x:f>'Physical_Arcs'!T3</x:f>
        <x:v>1.6388888888888888</x:v>
      </x:c>
      <x:c r="R243" s="9" t="n">
        <x:f>Q243*'Parameters'!$C$18</x:f>
        <x:v>0.3277777777777778</x:v>
      </x:c>
      <x:c r="S243" s="9" t="n">
        <x:f>R243*'Parameters'!$C$19</x:f>
        <x:v>0.4097222222222222</x:v>
      </x:c>
      <x:c r="T243" s="9" t="n">
        <x:f>Q243*(1-0.40)-R243</x:f>
        <x:v>0.6555555555555554</x:v>
      </x:c>
    </x:row>
    <x:row r="244" ht="21" customHeight="1">
      <x:c r="A244" s="3" t="n">
        <x:v>4</x:v>
      </x:c>
      <x:c r="B244" s="3" t="str">
        <x:v>00:40</x:v>
      </x:c>
      <x:c r="C244" s="3" t="n">
        <x:v>1</x:v>
      </x:c>
      <x:c r="D244" s="3" t="n">
        <x:v>3</x:v>
      </x:c>
      <x:c r="E244" s="3" t="n">
        <x:v>1</x:v>
      </x:c>
      <x:c r="F244" s="3" t="n">
        <x:v>8</x:v>
      </x:c>
      <x:c r="G244" s="9" t="n">
        <x:v>0.18</x:v>
      </x:c>
      <x:c r="H244" s="9" t="n">
        <x:v>0.923863</x:v>
      </x:c>
      <x:c r="I244" s="9" t="n">
        <x:f>'Physical_Arcs'!R4</x:f>
        <x:v>6.083333333333333</x:v>
      </x:c>
      <x:c r="J244" s="9" t="n">
        <x:f>I244*'Parameters'!$C$18</x:f>
        <x:v>1.2166666666666668</x:v>
      </x:c>
      <x:c r="K244" s="9" t="n">
        <x:f>J244*'Parameters'!$C$19</x:f>
        <x:v>1.5208333333333335</x:v>
      </x:c>
      <x:c r="L244" s="9" t="n">
        <x:f>I244*(1-0.40)-J244</x:f>
        <x:v>2.4333333333333327</x:v>
      </x:c>
      <x:c r="M244" s="9" t="n">
        <x:f>'Physical_Arcs'!S4</x:f>
        <x:v>6.083333333333333</x:v>
      </x:c>
      <x:c r="N244" s="9" t="n">
        <x:f>M244*'Parameters'!$C$18</x:f>
        <x:v>1.2166666666666668</x:v>
      </x:c>
      <x:c r="O244" s="9" t="n">
        <x:f>N244*'Parameters'!$C$19</x:f>
        <x:v>1.5208333333333335</x:v>
      </x:c>
      <x:c r="P244" s="9" t="n">
        <x:f>M244*(1-0.40)-N244</x:f>
        <x:v>2.4333333333333327</x:v>
      </x:c>
      <x:c r="Q244" s="9" t="n">
        <x:f>'Physical_Arcs'!T4</x:f>
        <x:v>3.0555555555555554</x:v>
      </x:c>
      <x:c r="R244" s="9" t="n">
        <x:f>Q244*'Parameters'!$C$18</x:f>
        <x:v>0.6111111111111112</x:v>
      </x:c>
      <x:c r="S244" s="9" t="n">
        <x:f>R244*'Parameters'!$C$19</x:f>
        <x:v>0.763888888888889</x:v>
      </x:c>
      <x:c r="T244" s="9" t="n">
        <x:f>Q244*(1-0.40)-R244</x:f>
        <x:v>1.2222222222222219</x:v>
      </x:c>
    </x:row>
    <x:row r="245" ht="21" customHeight="1">
      <x:c r="A245" s="3" t="n">
        <x:v>4</x:v>
      </x:c>
      <x:c r="B245" s="3" t="str">
        <x:v>00:40</x:v>
      </x:c>
      <x:c r="C245" s="3" t="n">
        <x:v>1</x:v>
      </x:c>
      <x:c r="D245" s="3" t="n">
        <x:v>4</x:v>
      </x:c>
      <x:c r="E245" s="3" t="n">
        <x:v>1</x:v>
      </x:c>
      <x:c r="F245" s="3" t="n">
        <x:v>7</x:v>
      </x:c>
      <x:c r="G245" s="9" t="n">
        <x:v>0.18</x:v>
      </x:c>
      <x:c r="H245" s="9" t="n">
        <x:v>1.111072</x:v>
      </x:c>
      <x:c r="I245" s="9" t="n">
        <x:f>'Physical_Arcs'!R5</x:f>
        <x:v>9</x:v>
      </x:c>
      <x:c r="J245" s="9" t="n">
        <x:f>I245*'Parameters'!$C$18</x:f>
        <x:v>1.8</x:v>
      </x:c>
      <x:c r="K245" s="9" t="n">
        <x:f>J245*'Parameters'!$C$19</x:f>
        <x:v>2.25</x:v>
      </x:c>
      <x:c r="L245" s="9" t="n">
        <x:f>I245*(1-0.40)-J245</x:f>
        <x:v>3.5999999999999996</x:v>
      </x:c>
      <x:c r="M245" s="9" t="n">
        <x:f>'Physical_Arcs'!S5</x:f>
        <x:v>9</x:v>
      </x:c>
      <x:c r="N245" s="9" t="n">
        <x:f>M245*'Parameters'!$C$18</x:f>
        <x:v>1.8</x:v>
      </x:c>
      <x:c r="O245" s="9" t="n">
        <x:f>N245*'Parameters'!$C$19</x:f>
        <x:v>2.25</x:v>
      </x:c>
      <x:c r="P245" s="9" t="n">
        <x:f>M245*(1-0.40)-N245</x:f>
        <x:v>3.5999999999999996</x:v>
      </x:c>
      <x:c r="Q245" s="9" t="n">
        <x:f>'Physical_Arcs'!T5</x:f>
        <x:v>4.5</x:v>
      </x:c>
      <x:c r="R245" s="9" t="n">
        <x:f>Q245*'Parameters'!$C$18</x:f>
        <x:v>0.9</x:v>
      </x:c>
      <x:c r="S245" s="9" t="n">
        <x:f>R245*'Parameters'!$C$19</x:f>
        <x:v>1.125</x:v>
      </x:c>
      <x:c r="T245" s="9" t="n">
        <x:f>Q245*(1-0.40)-R245</x:f>
        <x:v>1.7999999999999998</x:v>
      </x:c>
    </x:row>
    <x:row r="246" ht="21" customHeight="1">
      <x:c r="A246" s="3" t="n">
        <x:v>4</x:v>
      </x:c>
      <x:c r="B246" s="3" t="str">
        <x:v>00:40</x:v>
      </x:c>
      <x:c r="C246" s="3" t="n">
        <x:v>1</x:v>
      </x:c>
      <x:c r="D246" s="3" t="n">
        <x:v>5</x:v>
      </x:c>
      <x:c r="E246" s="3" t="n">
        <x:v>1</x:v>
      </x:c>
      <x:c r="F246" s="3" t="n">
        <x:v>4</x:v>
      </x:c>
      <x:c r="G246" s="9" t="n">
        <x:v>0.18</x:v>
      </x:c>
      <x:c r="H246" s="9" t="n">
        <x:v>1.001665</x:v>
      </x:c>
      <x:c r="I246" s="9" t="n">
        <x:f>'Physical_Arcs'!R6</x:f>
        <x:v>4.166666666666667</x:v>
      </x:c>
      <x:c r="J246" s="9" t="n">
        <x:f>I246*'Parameters'!$C$18</x:f>
        <x:v>0.8333333333333335</x:v>
      </x:c>
      <x:c r="K246" s="9" t="n">
        <x:f>J246*'Parameters'!$C$19</x:f>
        <x:v>1.041666666666667</x:v>
      </x:c>
      <x:c r="L246" s="9" t="n">
        <x:f>I246*(1-0.40)-J246</x:f>
        <x:v>1.6666666666666665</x:v>
      </x:c>
      <x:c r="M246" s="9" t="n">
        <x:f>'Physical_Arcs'!S6</x:f>
        <x:v>4.166666666666667</x:v>
      </x:c>
      <x:c r="N246" s="9" t="n">
        <x:f>M246*'Parameters'!$C$18</x:f>
        <x:v>0.8333333333333335</x:v>
      </x:c>
      <x:c r="O246" s="9" t="n">
        <x:f>N246*'Parameters'!$C$19</x:f>
        <x:v>1.041666666666667</x:v>
      </x:c>
      <x:c r="P246" s="9" t="n">
        <x:f>M246*(1-0.40)-N246</x:f>
        <x:v>1.6666666666666665</x:v>
      </x:c>
      <x:c r="Q246" s="9" t="n">
        <x:f>'Physical_Arcs'!T6</x:f>
        <x:v>2.0833333333333335</x:v>
      </x:c>
      <x:c r="R246" s="9" t="n">
        <x:f>Q246*'Parameters'!$C$18</x:f>
        <x:v>0.41666666666666674</x:v>
      </x:c>
      <x:c r="S246" s="9" t="n">
        <x:f>R246*'Parameters'!$C$19</x:f>
        <x:v>0.5208333333333335</x:v>
      </x:c>
      <x:c r="T246" s="9" t="n">
        <x:f>Q246*(1-0.40)-R246</x:f>
        <x:v>0.8333333333333333</x:v>
      </x:c>
    </x:row>
    <x:row r="247" ht="21" customHeight="1">
      <x:c r="A247" s="3" t="n">
        <x:v>4</x:v>
      </x:c>
      <x:c r="B247" s="3" t="str">
        <x:v>00:40</x:v>
      </x:c>
      <x:c r="C247" s="3" t="n">
        <x:v>1</x:v>
      </x:c>
      <x:c r="D247" s="3" t="n">
        <x:v>6</x:v>
      </x:c>
      <x:c r="E247" s="3" t="n">
        <x:v>1</x:v>
      </x:c>
      <x:c r="F247" s="3" t="n">
        <x:v>9</x:v>
      </x:c>
      <x:c r="G247" s="9" t="n">
        <x:v>0.18</x:v>
      </x:c>
      <x:c r="H247" s="9" t="n">
        <x:v>0.942884</x:v>
      </x:c>
      <x:c r="I247" s="9" t="n">
        <x:f>'Physical_Arcs'!R7</x:f>
        <x:v>11.027777777777779</x:v>
      </x:c>
      <x:c r="J247" s="9" t="n">
        <x:f>I247*'Parameters'!$C$18</x:f>
        <x:v>2.2055555555555557</x:v>
      </x:c>
      <x:c r="K247" s="9" t="n">
        <x:f>J247*'Parameters'!$C$19</x:f>
        <x:v>2.7569444444444446</x:v>
      </x:c>
      <x:c r="L247" s="9" t="n">
        <x:f>I247*(1-0.40)-J247</x:f>
        <x:v>4.411111111111111</x:v>
      </x:c>
      <x:c r="M247" s="9" t="n">
        <x:f>'Physical_Arcs'!S7</x:f>
        <x:v>11.027777777777779</x:v>
      </x:c>
      <x:c r="N247" s="9" t="n">
        <x:f>M247*'Parameters'!$C$18</x:f>
        <x:v>2.2055555555555557</x:v>
      </x:c>
      <x:c r="O247" s="9" t="n">
        <x:f>N247*'Parameters'!$C$19</x:f>
        <x:v>2.7569444444444446</x:v>
      </x:c>
      <x:c r="P247" s="9" t="n">
        <x:f>M247*(1-0.40)-N247</x:f>
        <x:v>4.411111111111111</x:v>
      </x:c>
      <x:c r="Q247" s="9" t="n">
        <x:f>'Physical_Arcs'!T7</x:f>
        <x:v>5.527777777777778</x:v>
      </x:c>
      <x:c r="R247" s="9" t="n">
        <x:f>Q247*'Parameters'!$C$18</x:f>
        <x:v>1.1055555555555556</x:v>
      </x:c>
      <x:c r="S247" s="9" t="n">
        <x:f>R247*'Parameters'!$C$19</x:f>
        <x:v>1.3819444444444446</x:v>
      </x:c>
      <x:c r="T247" s="9" t="n">
        <x:f>Q247*(1-0.40)-R247</x:f>
        <x:v>2.211111111111111</x:v>
      </x:c>
    </x:row>
    <x:row r="248" ht="21" customHeight="1">
      <x:c r="A248" s="3" t="n">
        <x:v>4</x:v>
      </x:c>
      <x:c r="B248" s="3" t="str">
        <x:v>00:40</x:v>
      </x:c>
      <x:c r="C248" s="3" t="n">
        <x:v>1</x:v>
      </x:c>
      <x:c r="D248" s="3" t="n">
        <x:v>7</x:v>
      </x:c>
      <x:c r="E248" s="3" t="n">
        <x:v>1</x:v>
      </x:c>
      <x:c r="F248" s="3" t="n">
        <x:v>5</x:v>
      </x:c>
      <x:c r="G248" s="9" t="n">
        <x:v>0.18</x:v>
      </x:c>
      <x:c r="H248" s="9" t="n">
        <x:v>1.038222</x:v>
      </x:c>
      <x:c r="I248" s="9" t="n">
        <x:f>'Physical_Arcs'!R8</x:f>
        <x:v>7.972222222222222</x:v>
      </x:c>
      <x:c r="J248" s="9" t="n">
        <x:f>I248*'Parameters'!$C$18</x:f>
        <x:v>1.5944444444444446</x:v>
      </x:c>
      <x:c r="K248" s="9" t="n">
        <x:f>J248*'Parameters'!$C$19</x:f>
        <x:v>1.9930555555555558</x:v>
      </x:c>
      <x:c r="L248" s="9" t="n">
        <x:f>I248*(1-0.40)-J248</x:f>
        <x:v>3.1888888888888887</x:v>
      </x:c>
      <x:c r="M248" s="9" t="n">
        <x:f>'Physical_Arcs'!S8</x:f>
        <x:v>7.972222222222222</x:v>
      </x:c>
      <x:c r="N248" s="9" t="n">
        <x:f>M248*'Parameters'!$C$18</x:f>
        <x:v>1.5944444444444446</x:v>
      </x:c>
      <x:c r="O248" s="9" t="n">
        <x:f>N248*'Parameters'!$C$19</x:f>
        <x:v>1.9930555555555558</x:v>
      </x:c>
      <x:c r="P248" s="9" t="n">
        <x:f>M248*(1-0.40)-N248</x:f>
        <x:v>3.1888888888888887</x:v>
      </x:c>
      <x:c r="Q248" s="9" t="n">
        <x:f>'Physical_Arcs'!T8</x:f>
        <x:v>4</x:v>
      </x:c>
      <x:c r="R248" s="9" t="n">
        <x:f>Q248*'Parameters'!$C$18</x:f>
        <x:v>0.8</x:v>
      </x:c>
      <x:c r="S248" s="9" t="n">
        <x:f>R248*'Parameters'!$C$19</x:f>
        <x:v>1</x:v>
      </x:c>
      <x:c r="T248" s="9" t="n">
        <x:f>Q248*(1-0.40)-R248</x:f>
        <x:v>1.5999999999999999</x:v>
      </x:c>
    </x:row>
    <x:row r="249" ht="21" customHeight="1">
      <x:c r="A249" s="3" t="n">
        <x:v>4</x:v>
      </x:c>
      <x:c r="B249" s="3" t="str">
        <x:v>00:40</x:v>
      </x:c>
      <x:c r="C249" s="3" t="n">
        <x:v>1</x:v>
      </x:c>
      <x:c r="D249" s="3" t="n">
        <x:v>8</x:v>
      </x:c>
      <x:c r="E249" s="3" t="n">
        <x:v>1</x:v>
      </x:c>
      <x:c r="F249" s="3" t="n">
        <x:v>3</x:v>
      </x:c>
      <x:c r="G249" s="9" t="n">
        <x:v>0.18</x:v>
      </x:c>
      <x:c r="H249" s="9" t="n">
        <x:v>1.122297</x:v>
      </x:c>
      <x:c r="I249" s="9" t="n">
        <x:f>'Physical_Arcs'!R9</x:f>
        <x:v>4.166666666666667</x:v>
      </x:c>
      <x:c r="J249" s="9" t="n">
        <x:f>I249*'Parameters'!$C$18</x:f>
        <x:v>0.8333333333333335</x:v>
      </x:c>
      <x:c r="K249" s="9" t="n">
        <x:f>J249*'Parameters'!$C$19</x:f>
        <x:v>1.041666666666667</x:v>
      </x:c>
      <x:c r="L249" s="9" t="n">
        <x:f>I249*(1-0.40)-J249</x:f>
        <x:v>1.6666666666666665</x:v>
      </x:c>
      <x:c r="M249" s="9" t="n">
        <x:f>'Physical_Arcs'!S9</x:f>
        <x:v>4.166666666666667</x:v>
      </x:c>
      <x:c r="N249" s="9" t="n">
        <x:f>M249*'Parameters'!$C$18</x:f>
        <x:v>0.8333333333333335</x:v>
      </x:c>
      <x:c r="O249" s="9" t="n">
        <x:f>N249*'Parameters'!$C$19</x:f>
        <x:v>1.041666666666667</x:v>
      </x:c>
      <x:c r="P249" s="9" t="n">
        <x:f>M249*(1-0.40)-N249</x:f>
        <x:v>1.6666666666666665</x:v>
      </x:c>
      <x:c r="Q249" s="9" t="n">
        <x:f>'Physical_Arcs'!T9</x:f>
        <x:v>2.0833333333333335</x:v>
      </x:c>
      <x:c r="R249" s="9" t="n">
        <x:f>Q249*'Parameters'!$C$18</x:f>
        <x:v>0.41666666666666674</x:v>
      </x:c>
      <x:c r="S249" s="9" t="n">
        <x:f>R249*'Parameters'!$C$19</x:f>
        <x:v>0.5208333333333335</x:v>
      </x:c>
      <x:c r="T249" s="9" t="n">
        <x:f>Q249*(1-0.40)-R249</x:f>
        <x:v>0.8333333333333333</x:v>
      </x:c>
    </x:row>
    <x:row r="250" ht="21" customHeight="1">
      <x:c r="A250" s="3" t="n">
        <x:v>4</x:v>
      </x:c>
      <x:c r="B250" s="3" t="str">
        <x:v>00:40</x:v>
      </x:c>
      <x:c r="C250" s="3" t="n">
        <x:v>1</x:v>
      </x:c>
      <x:c r="D250" s="3" t="n">
        <x:v>9</x:v>
      </x:c>
      <x:c r="E250" s="3" t="n">
        <x:v>1</x:v>
      </x:c>
      <x:c r="F250" s="3" t="n">
        <x:v>6</x:v>
      </x:c>
      <x:c r="G250" s="9" t="n">
        <x:v>0.18</x:v>
      </x:c>
      <x:c r="H250" s="9" t="n">
        <x:v>1.132682</x:v>
      </x:c>
      <x:c r="I250" s="9" t="n">
        <x:f>'Physical_Arcs'!R10</x:f>
        <x:v>2.138888888888889</x:v>
      </x:c>
      <x:c r="J250" s="9" t="n">
        <x:f>I250*'Parameters'!$C$18</x:f>
        <x:v>0.4277777777777778</x:v>
      </x:c>
      <x:c r="K250" s="9" t="n">
        <x:f>J250*'Parameters'!$C$19</x:f>
        <x:v>0.5347222222222223</x:v>
      </x:c>
      <x:c r="L250" s="9" t="n">
        <x:f>I250*(1-0.40)-J250</x:f>
        <x:v>0.8555555555555554</x:v>
      </x:c>
      <x:c r="M250" s="9" t="n">
        <x:f>'Physical_Arcs'!S10</x:f>
        <x:v>2.138888888888889</x:v>
      </x:c>
      <x:c r="N250" s="9" t="n">
        <x:f>M250*'Parameters'!$C$18</x:f>
        <x:v>0.4277777777777778</x:v>
      </x:c>
      <x:c r="O250" s="9" t="n">
        <x:f>N250*'Parameters'!$C$19</x:f>
        <x:v>0.5347222222222223</x:v>
      </x:c>
      <x:c r="P250" s="9" t="n">
        <x:f>M250*(1-0.40)-N250</x:f>
        <x:v>0.8555555555555554</x:v>
      </x:c>
      <x:c r="Q250" s="9" t="n">
        <x:f>'Physical_Arcs'!T10</x:f>
        <x:v>1.0833333333333333</x:v>
      </x:c>
      <x:c r="R250" s="9" t="n">
        <x:f>Q250*'Parameters'!$C$18</x:f>
        <x:v>0.21666666666666667</x:v>
      </x:c>
      <x:c r="S250" s="9" t="n">
        <x:f>R250*'Parameters'!$C$19</x:f>
        <x:v>0.27083333333333337</x:v>
      </x:c>
      <x:c r="T250" s="9" t="n">
        <x:f>Q250*(1-0.40)-R250</x:f>
        <x:v>0.43333333333333324</x:v>
      </x:c>
    </x:row>
    <x:row r="251" ht="21" customHeight="1">
      <x:c r="A251" s="3" t="n">
        <x:v>4</x:v>
      </x:c>
      <x:c r="B251" s="3" t="str">
        <x:v>00:40</x:v>
      </x:c>
      <x:c r="C251" s="3" t="n">
        <x:v>1</x:v>
      </x:c>
      <x:c r="D251" s="3" t="n">
        <x:v>10</x:v>
      </x:c>
      <x:c r="E251" s="3" t="n">
        <x:v>2</x:v>
      </x:c>
      <x:c r="F251" s="3" t="n">
        <x:v>3</x:v>
      </x:c>
      <x:c r="G251" s="9" t="n">
        <x:v>0.18</x:v>
      </x:c>
      <x:c r="H251" s="9" t="n">
        <x:v>0.871154</x:v>
      </x:c>
      <x:c r="I251" s="9" t="n">
        <x:f>'Physical_Arcs'!R11</x:f>
        <x:v>17.02777777777778</x:v>
      </x:c>
      <x:c r="J251" s="9" t="n">
        <x:f>I251*'Parameters'!$C$18</x:f>
        <x:v>3.405555555555556</x:v>
      </x:c>
      <x:c r="K251" s="9" t="n">
        <x:f>J251*'Parameters'!$C$19</x:f>
        <x:v>4.256944444444445</x:v>
      </x:c>
      <x:c r="L251" s="9" t="n">
        <x:f>I251*(1-0.40)-J251</x:f>
        <x:v>6.811111111111111</x:v>
      </x:c>
      <x:c r="M251" s="9" t="n">
        <x:f>'Physical_Arcs'!S11</x:f>
        <x:v>17.02777777777778</x:v>
      </x:c>
      <x:c r="N251" s="9" t="n">
        <x:f>M251*'Parameters'!$C$18</x:f>
        <x:v>3.405555555555556</x:v>
      </x:c>
      <x:c r="O251" s="9" t="n">
        <x:f>N251*'Parameters'!$C$19</x:f>
        <x:v>4.256944444444445</x:v>
      </x:c>
      <x:c r="P251" s="9" t="n">
        <x:f>M251*(1-0.40)-N251</x:f>
        <x:v>6.811111111111111</x:v>
      </x:c>
      <x:c r="Q251" s="9" t="n">
        <x:f>'Physical_Arcs'!T11</x:f>
        <x:v>17.02777777777778</x:v>
      </x:c>
      <x:c r="R251" s="9" t="n">
        <x:f>Q251*'Parameters'!$C$18</x:f>
        <x:v>3.405555555555556</x:v>
      </x:c>
      <x:c r="S251" s="9" t="n">
        <x:f>R251*'Parameters'!$C$19</x:f>
        <x:v>4.256944444444445</x:v>
      </x:c>
      <x:c r="T251" s="9" t="n">
        <x:f>Q251*(1-0.40)-R251</x:f>
        <x:v>6.811111111111111</x:v>
      </x:c>
    </x:row>
    <x:row r="252" ht="21" customHeight="1">
      <x:c r="A252" s="3" t="n">
        <x:v>4</x:v>
      </x:c>
      <x:c r="B252" s="3" t="str">
        <x:v>00:40</x:v>
      </x:c>
      <x:c r="C252" s="3" t="n">
        <x:v>1</x:v>
      </x:c>
      <x:c r="D252" s="3" t="n">
        <x:v>11</x:v>
      </x:c>
      <x:c r="E252" s="3" t="n">
        <x:v>2</x:v>
      </x:c>
      <x:c r="F252" s="3" t="n">
        <x:v>4</x:v>
      </x:c>
      <x:c r="G252" s="9" t="n">
        <x:v>0.18</x:v>
      </x:c>
      <x:c r="H252" s="9" t="n">
        <x:v>1.147412</x:v>
      </x:c>
      <x:c r="I252" s="9" t="n">
        <x:f>'Physical_Arcs'!R12</x:f>
        <x:v>7.972222222222222</x:v>
      </x:c>
      <x:c r="J252" s="9" t="n">
        <x:f>I252*'Parameters'!$C$18</x:f>
        <x:v>1.5944444444444446</x:v>
      </x:c>
      <x:c r="K252" s="9" t="n">
        <x:f>J252*'Parameters'!$C$19</x:f>
        <x:v>1.9930555555555558</x:v>
      </x:c>
      <x:c r="L252" s="9" t="n">
        <x:f>I252*(1-0.40)-J252</x:f>
        <x:v>3.1888888888888887</x:v>
      </x:c>
      <x:c r="M252" s="9" t="n">
        <x:f>'Physical_Arcs'!S12</x:f>
        <x:v>7.972222222222222</x:v>
      </x:c>
      <x:c r="N252" s="9" t="n">
        <x:f>M252*'Parameters'!$C$18</x:f>
        <x:v>1.5944444444444446</x:v>
      </x:c>
      <x:c r="O252" s="9" t="n">
        <x:f>N252*'Parameters'!$C$19</x:f>
        <x:v>1.9930555555555558</x:v>
      </x:c>
      <x:c r="P252" s="9" t="n">
        <x:f>M252*(1-0.40)-N252</x:f>
        <x:v>3.1888888888888887</x:v>
      </x:c>
      <x:c r="Q252" s="9" t="n">
        <x:f>'Physical_Arcs'!T12</x:f>
        <x:v>4</x:v>
      </x:c>
      <x:c r="R252" s="9" t="n">
        <x:f>Q252*'Parameters'!$C$18</x:f>
        <x:v>0.8</x:v>
      </x:c>
      <x:c r="S252" s="9" t="n">
        <x:f>R252*'Parameters'!$C$19</x:f>
        <x:v>1</x:v>
      </x:c>
      <x:c r="T252" s="9" t="n">
        <x:f>Q252*(1-0.40)-R252</x:f>
        <x:v>1.5999999999999999</x:v>
      </x:c>
    </x:row>
    <x:row r="253" ht="21" customHeight="1">
      <x:c r="A253" s="3" t="n">
        <x:v>4</x:v>
      </x:c>
      <x:c r="B253" s="3" t="str">
        <x:v>00:40</x:v>
      </x:c>
      <x:c r="C253" s="3" t="n">
        <x:v>1</x:v>
      </x:c>
      <x:c r="D253" s="3" t="n">
        <x:v>12</x:v>
      </x:c>
      <x:c r="E253" s="3" t="n">
        <x:v>2</x:v>
      </x:c>
      <x:c r="F253" s="3" t="n">
        <x:v>7</x:v>
      </x:c>
      <x:c r="G253" s="9" t="n">
        <x:v>0.18</x:v>
      </x:c>
      <x:c r="H253" s="9" t="n">
        <x:v>0.96729</x:v>
      </x:c>
      <x:c r="I253" s="9" t="n">
        <x:f>'Physical_Arcs'!R13</x:f>
        <x:v>4.611111111111111</x:v>
      </x:c>
      <x:c r="J253" s="9" t="n">
        <x:f>I253*'Parameters'!$C$18</x:f>
        <x:v>0.9222222222222222</x:v>
      </x:c>
      <x:c r="K253" s="9" t="n">
        <x:f>J253*'Parameters'!$C$19</x:f>
        <x:v>1.1527777777777777</x:v>
      </x:c>
      <x:c r="L253" s="9" t="n">
        <x:f>I253*(1-0.40)-J253</x:f>
        <x:v>1.844444444444444</x:v>
      </x:c>
      <x:c r="M253" s="9" t="n">
        <x:f>'Physical_Arcs'!S13</x:f>
        <x:v>4.611111111111111</x:v>
      </x:c>
      <x:c r="N253" s="9" t="n">
        <x:f>M253*'Parameters'!$C$18</x:f>
        <x:v>0.9222222222222222</x:v>
      </x:c>
      <x:c r="O253" s="9" t="n">
        <x:f>N253*'Parameters'!$C$19</x:f>
        <x:v>1.1527777777777777</x:v>
      </x:c>
      <x:c r="P253" s="9" t="n">
        <x:f>M253*(1-0.40)-N253</x:f>
        <x:v>1.844444444444444</x:v>
      </x:c>
      <x:c r="Q253" s="9" t="n">
        <x:f>'Physical_Arcs'!T13</x:f>
        <x:v>2.3055555555555554</x:v>
      </x:c>
      <x:c r="R253" s="9" t="n">
        <x:f>Q253*'Parameters'!$C$18</x:f>
        <x:v>0.4611111111111111</x:v>
      </x:c>
      <x:c r="S253" s="9" t="n">
        <x:f>R253*'Parameters'!$C$19</x:f>
        <x:v>0.5763888888888888</x:v>
      </x:c>
      <x:c r="T253" s="9" t="n">
        <x:f>Q253*(1-0.40)-R253</x:f>
        <x:v>0.922222222222222</x:v>
      </x:c>
    </x:row>
    <x:row r="254" ht="21" customHeight="1">
      <x:c r="A254" s="3" t="n">
        <x:v>4</x:v>
      </x:c>
      <x:c r="B254" s="3" t="str">
        <x:v>00:40</x:v>
      </x:c>
      <x:c r="C254" s="3" t="n">
        <x:v>1</x:v>
      </x:c>
      <x:c r="D254" s="3" t="n">
        <x:v>13</x:v>
      </x:c>
      <x:c r="E254" s="3" t="n">
        <x:v>2</x:v>
      </x:c>
      <x:c r="F254" s="3" t="n">
        <x:v>9</x:v>
      </x:c>
      <x:c r="G254" s="9" t="n">
        <x:v>0.18</x:v>
      </x:c>
      <x:c r="H254" s="9" t="n">
        <x:v>1.117625</x:v>
      </x:c>
      <x:c r="I254" s="9" t="n">
        <x:f>'Physical_Arcs'!R14</x:f>
        <x:v>8.666666666666666</x:v>
      </x:c>
      <x:c r="J254" s="9" t="n">
        <x:f>I254*'Parameters'!$C$18</x:f>
        <x:v>1.7333333333333334</x:v>
      </x:c>
      <x:c r="K254" s="9" t="n">
        <x:f>J254*'Parameters'!$C$19</x:f>
        <x:v>2.166666666666667</x:v>
      </x:c>
      <x:c r="L254" s="9" t="n">
        <x:f>I254*(1-0.40)-J254</x:f>
        <x:v>3.466666666666666</x:v>
      </x:c>
      <x:c r="M254" s="9" t="n">
        <x:f>'Physical_Arcs'!S14</x:f>
        <x:v>8.666666666666666</x:v>
      </x:c>
      <x:c r="N254" s="9" t="n">
        <x:f>M254*'Parameters'!$C$18</x:f>
        <x:v>1.7333333333333334</x:v>
      </x:c>
      <x:c r="O254" s="9" t="n">
        <x:f>N254*'Parameters'!$C$19</x:f>
        <x:v>2.166666666666667</x:v>
      </x:c>
      <x:c r="P254" s="9" t="n">
        <x:f>M254*(1-0.40)-N254</x:f>
        <x:v>3.466666666666666</x:v>
      </x:c>
      <x:c r="Q254" s="9" t="n">
        <x:f>'Physical_Arcs'!T14</x:f>
        <x:v>4.333333333333333</x:v>
      </x:c>
      <x:c r="R254" s="9" t="n">
        <x:f>Q254*'Parameters'!$C$18</x:f>
        <x:v>0.8666666666666667</x:v>
      </x:c>
      <x:c r="S254" s="9" t="n">
        <x:f>R254*'Parameters'!$C$19</x:f>
        <x:v>1.0833333333333335</x:v>
      </x:c>
      <x:c r="T254" s="9" t="n">
        <x:f>Q254*(1-0.40)-R254</x:f>
        <x:v>1.733333333333333</x:v>
      </x:c>
    </x:row>
    <x:row r="255" ht="21" customHeight="1">
      <x:c r="A255" s="3" t="n">
        <x:v>4</x:v>
      </x:c>
      <x:c r="B255" s="3" t="str">
        <x:v>00:40</x:v>
      </x:c>
      <x:c r="C255" s="3" t="n">
        <x:v>1</x:v>
      </x:c>
      <x:c r="D255" s="3" t="n">
        <x:v>14</x:v>
      </x:c>
      <x:c r="E255" s="3" t="n">
        <x:v>2</x:v>
      </x:c>
      <x:c r="F255" s="3" t="n">
        <x:v>8</x:v>
      </x:c>
      <x:c r="G255" s="9" t="n">
        <x:v>0.18</x:v>
      </x:c>
      <x:c r="H255" s="9" t="n">
        <x:v>1.144902</x:v>
      </x:c>
      <x:c r="I255" s="9" t="n">
        <x:f>'Physical_Arcs'!R15</x:f>
        <x:v>7.75</x:v>
      </x:c>
      <x:c r="J255" s="9" t="n">
        <x:f>I255*'Parameters'!$C$18</x:f>
        <x:v>1.55</x:v>
      </x:c>
      <x:c r="K255" s="9" t="n">
        <x:f>J255*'Parameters'!$C$19</x:f>
        <x:v>1.9375</x:v>
      </x:c>
      <x:c r="L255" s="9" t="n">
        <x:f>I255*(1-0.40)-J255</x:f>
        <x:v>3.0999999999999996</x:v>
      </x:c>
      <x:c r="M255" s="9" t="n">
        <x:f>'Physical_Arcs'!S15</x:f>
        <x:v>7.75</x:v>
      </x:c>
      <x:c r="N255" s="9" t="n">
        <x:f>M255*'Parameters'!$C$18</x:f>
        <x:v>1.55</x:v>
      </x:c>
      <x:c r="O255" s="9" t="n">
        <x:f>N255*'Parameters'!$C$19</x:f>
        <x:v>1.9375</x:v>
      </x:c>
      <x:c r="P255" s="9" t="n">
        <x:f>M255*(1-0.40)-N255</x:f>
        <x:v>3.0999999999999996</x:v>
      </x:c>
      <x:c r="Q255" s="9" t="n">
        <x:f>'Physical_Arcs'!T15</x:f>
        <x:v>3.888888888888889</x:v>
      </x:c>
      <x:c r="R255" s="9" t="n">
        <x:f>Q255*'Parameters'!$C$18</x:f>
        <x:v>0.7777777777777778</x:v>
      </x:c>
      <x:c r="S255" s="9" t="n">
        <x:f>R255*'Parameters'!$C$19</x:f>
        <x:v>0.9722222222222222</x:v>
      </x:c>
      <x:c r="T255" s="9" t="n">
        <x:f>Q255*(1-0.40)-R255</x:f>
        <x:v>1.5555555555555554</x:v>
      </x:c>
    </x:row>
    <x:row r="256" ht="21" customHeight="1">
      <x:c r="A256" s="3" t="n">
        <x:v>4</x:v>
      </x:c>
      <x:c r="B256" s="3" t="str">
        <x:v>00:40</x:v>
      </x:c>
      <x:c r="C256" s="3" t="n">
        <x:v>1</x:v>
      </x:c>
      <x:c r="D256" s="3" t="n">
        <x:v>15</x:v>
      </x:c>
      <x:c r="E256" s="3" t="n">
        <x:v>2</x:v>
      </x:c>
      <x:c r="F256" s="3" t="n">
        <x:v>10</x:v>
      </x:c>
      <x:c r="G256" s="9" t="n">
        <x:v>0.18</x:v>
      </x:c>
      <x:c r="H256" s="9" t="n">
        <x:v>1.146684</x:v>
      </x:c>
      <x:c r="I256" s="9" t="n">
        <x:f>'Physical_Arcs'!R16</x:f>
        <x:v>7.416666666666667</x:v>
      </x:c>
      <x:c r="J256" s="9" t="n">
        <x:f>I256*'Parameters'!$C$18</x:f>
        <x:v>1.4833333333333334</x:v>
      </x:c>
      <x:c r="K256" s="9" t="n">
        <x:f>J256*'Parameters'!$C$19</x:f>
        <x:v>1.8541666666666667</x:v>
      </x:c>
      <x:c r="L256" s="9" t="n">
        <x:f>I256*(1-0.40)-J256</x:f>
        <x:v>2.966666666666667</x:v>
      </x:c>
      <x:c r="M256" s="9" t="n">
        <x:f>'Physical_Arcs'!S16</x:f>
        <x:v>7.416666666666667</x:v>
      </x:c>
      <x:c r="N256" s="9" t="n">
        <x:f>M256*'Parameters'!$C$18</x:f>
        <x:v>1.4833333333333334</x:v>
      </x:c>
      <x:c r="O256" s="9" t="n">
        <x:f>N256*'Parameters'!$C$19</x:f>
        <x:v>1.8541666666666667</x:v>
      </x:c>
      <x:c r="P256" s="9" t="n">
        <x:f>M256*(1-0.40)-N256</x:f>
        <x:v>2.966666666666667</x:v>
      </x:c>
      <x:c r="Q256" s="9" t="n">
        <x:f>'Physical_Arcs'!T16</x:f>
        <x:v>3.7222222222222223</x:v>
      </x:c>
      <x:c r="R256" s="9" t="n">
        <x:f>Q256*'Parameters'!$C$18</x:f>
        <x:v>0.7444444444444445</x:v>
      </x:c>
      <x:c r="S256" s="9" t="n">
        <x:f>R256*'Parameters'!$C$19</x:f>
        <x:v>0.9305555555555556</x:v>
      </x:c>
      <x:c r="T256" s="9" t="n">
        <x:f>Q256*(1-0.40)-R256</x:f>
        <x:v>1.488888888888889</x:v>
      </x:c>
    </x:row>
    <x:row r="257" ht="21" customHeight="1">
      <x:c r="A257" s="3" t="n">
        <x:v>4</x:v>
      </x:c>
      <x:c r="B257" s="3" t="str">
        <x:v>00:40</x:v>
      </x:c>
      <x:c r="C257" s="3" t="n">
        <x:v>1</x:v>
      </x:c>
      <x:c r="D257" s="3" t="n">
        <x:v>16</x:v>
      </x:c>
      <x:c r="E257" s="3" t="n">
        <x:v>3</x:v>
      </x:c>
      <x:c r="F257" s="3" t="n">
        <x:v>4</x:v>
      </x:c>
      <x:c r="G257" s="9" t="n">
        <x:v>0.18</x:v>
      </x:c>
      <x:c r="H257" s="9" t="n">
        <x:v>1.017658</x:v>
      </x:c>
      <x:c r="I257" s="9" t="n">
        <x:f>'Physical_Arcs'!R17</x:f>
        <x:v>17.02777777777778</x:v>
      </x:c>
      <x:c r="J257" s="9" t="n">
        <x:f>I257*'Parameters'!$C$18</x:f>
        <x:v>3.405555555555556</x:v>
      </x:c>
      <x:c r="K257" s="9" t="n">
        <x:f>J257*'Parameters'!$C$19</x:f>
        <x:v>4.256944444444445</x:v>
      </x:c>
      <x:c r="L257" s="9" t="n">
        <x:f>I257*(1-0.40)-J257</x:f>
        <x:v>6.811111111111111</x:v>
      </x:c>
      <x:c r="M257" s="9" t="n">
        <x:f>'Physical_Arcs'!S17</x:f>
        <x:v>17.02777777777778</x:v>
      </x:c>
      <x:c r="N257" s="9" t="n">
        <x:f>M257*'Parameters'!$C$18</x:f>
        <x:v>3.405555555555556</x:v>
      </x:c>
      <x:c r="O257" s="9" t="n">
        <x:f>N257*'Parameters'!$C$19</x:f>
        <x:v>4.256944444444445</x:v>
      </x:c>
      <x:c r="P257" s="9" t="n">
        <x:f>M257*(1-0.40)-N257</x:f>
        <x:v>6.811111111111111</x:v>
      </x:c>
      <x:c r="Q257" s="9" t="n">
        <x:f>'Physical_Arcs'!T17</x:f>
        <x:v>17.02777777777778</x:v>
      </x:c>
      <x:c r="R257" s="9" t="n">
        <x:f>Q257*'Parameters'!$C$18</x:f>
        <x:v>3.405555555555556</x:v>
      </x:c>
      <x:c r="S257" s="9" t="n">
        <x:f>R257*'Parameters'!$C$19</x:f>
        <x:v>4.256944444444445</x:v>
      </x:c>
      <x:c r="T257" s="9" t="n">
        <x:f>Q257*(1-0.40)-R257</x:f>
        <x:v>6.811111111111111</x:v>
      </x:c>
    </x:row>
    <x:row r="258" ht="21" customHeight="1">
      <x:c r="A258" s="3" t="n">
        <x:v>4</x:v>
      </x:c>
      <x:c r="B258" s="3" t="str">
        <x:v>00:40</x:v>
      </x:c>
      <x:c r="C258" s="3" t="n">
        <x:v>1</x:v>
      </x:c>
      <x:c r="D258" s="3" t="n">
        <x:v>17</x:v>
      </x:c>
      <x:c r="E258" s="3" t="n">
        <x:v>3</x:v>
      </x:c>
      <x:c r="F258" s="3" t="n">
        <x:v>2</x:v>
      </x:c>
      <x:c r="G258" s="9" t="n">
        <x:v>0.18</x:v>
      </x:c>
      <x:c r="H258" s="9" t="n">
        <x:v>0.875995</x:v>
      </x:c>
      <x:c r="I258" s="9" t="n">
        <x:f>'Physical_Arcs'!R18</x:f>
        <x:v>10.666666666666666</x:v>
      </x:c>
      <x:c r="J258" s="9" t="n">
        <x:f>I258*'Parameters'!$C$18</x:f>
        <x:v>2.1333333333333333</x:v>
      </x:c>
      <x:c r="K258" s="9" t="n">
        <x:f>J258*'Parameters'!$C$19</x:f>
        <x:v>2.6666666666666665</x:v>
      </x:c>
      <x:c r="L258" s="9" t="n">
        <x:f>I258*(1-0.40)-J258</x:f>
        <x:v>4.266666666666666</x:v>
      </x:c>
      <x:c r="M258" s="9" t="n">
        <x:f>'Physical_Arcs'!S18</x:f>
        <x:v>10.666666666666666</x:v>
      </x:c>
      <x:c r="N258" s="9" t="n">
        <x:f>M258*'Parameters'!$C$18</x:f>
        <x:v>2.1333333333333333</x:v>
      </x:c>
      <x:c r="O258" s="9" t="n">
        <x:f>N258*'Parameters'!$C$19</x:f>
        <x:v>2.6666666666666665</x:v>
      </x:c>
      <x:c r="P258" s="9" t="n">
        <x:f>M258*(1-0.40)-N258</x:f>
        <x:v>4.266666666666666</x:v>
      </x:c>
      <x:c r="Q258" s="9" t="n">
        <x:f>'Physical_Arcs'!T18</x:f>
        <x:v>5.333333333333333</x:v>
      </x:c>
      <x:c r="R258" s="9" t="n">
        <x:f>Q258*'Parameters'!$C$18</x:f>
        <x:v>1.0666666666666667</x:v>
      </x:c>
      <x:c r="S258" s="9" t="n">
        <x:f>R258*'Parameters'!$C$19</x:f>
        <x:v>1.3333333333333333</x:v>
      </x:c>
      <x:c r="T258" s="9" t="n">
        <x:f>Q258*(1-0.40)-R258</x:f>
        <x:v>2.133333333333333</x:v>
      </x:c>
    </x:row>
    <x:row r="259" ht="21" customHeight="1">
      <x:c r="A259" s="3" t="n">
        <x:v>4</x:v>
      </x:c>
      <x:c r="B259" s="3" t="str">
        <x:v>00:40</x:v>
      </x:c>
      <x:c r="C259" s="3" t="n">
        <x:v>1</x:v>
      </x:c>
      <x:c r="D259" s="3" t="n">
        <x:v>18</x:v>
      </x:c>
      <x:c r="E259" s="3" t="n">
        <x:v>3</x:v>
      </x:c>
      <x:c r="F259" s="3" t="n">
        <x:v>1</x:v>
      </x:c>
      <x:c r="G259" s="9" t="n">
        <x:v>0.18</x:v>
      </x:c>
      <x:c r="H259" s="9" t="n">
        <x:v>1.015397</x:v>
      </x:c>
      <x:c r="I259" s="9" t="n">
        <x:f>'Physical_Arcs'!R19</x:f>
        <x:v>5.166666666666667</x:v>
      </x:c>
      <x:c r="J259" s="9" t="n">
        <x:f>I259*'Parameters'!$C$18</x:f>
        <x:v>1.0333333333333334</x:v>
      </x:c>
      <x:c r="K259" s="9" t="n">
        <x:f>J259*'Parameters'!$C$19</x:f>
        <x:v>1.2916666666666667</x:v>
      </x:c>
      <x:c r="L259" s="9" t="n">
        <x:f>I259*(1-0.40)-J259</x:f>
        <x:v>2.0666666666666664</x:v>
      </x:c>
      <x:c r="M259" s="9" t="n">
        <x:f>'Physical_Arcs'!S19</x:f>
        <x:v>5.166666666666667</x:v>
      </x:c>
      <x:c r="N259" s="9" t="n">
        <x:f>M259*'Parameters'!$C$18</x:f>
        <x:v>1.0333333333333334</x:v>
      </x:c>
      <x:c r="O259" s="9" t="n">
        <x:f>N259*'Parameters'!$C$19</x:f>
        <x:v>1.2916666666666667</x:v>
      </x:c>
      <x:c r="P259" s="9" t="n">
        <x:f>M259*(1-0.40)-N259</x:f>
        <x:v>2.0666666666666664</x:v>
      </x:c>
      <x:c r="Q259" s="9" t="n">
        <x:f>'Physical_Arcs'!T19</x:f>
        <x:v>2.5833333333333335</x:v>
      </x:c>
      <x:c r="R259" s="9" t="n">
        <x:f>Q259*'Parameters'!$C$18</x:f>
        <x:v>0.5166666666666667</x:v>
      </x:c>
      <x:c r="S259" s="9" t="n">
        <x:f>R259*'Parameters'!$C$19</x:f>
        <x:v>0.6458333333333334</x:v>
      </x:c>
      <x:c r="T259" s="9" t="n">
        <x:f>Q259*(1-0.40)-R259</x:f>
        <x:v>1.0333333333333332</x:v>
      </x:c>
    </x:row>
    <x:row r="260" ht="21" customHeight="1">
      <x:c r="A260" s="3" t="n">
        <x:v>4</x:v>
      </x:c>
      <x:c r="B260" s="3" t="str">
        <x:v>00:40</x:v>
      </x:c>
      <x:c r="C260" s="3" t="n">
        <x:v>1</x:v>
      </x:c>
      <x:c r="D260" s="3" t="n">
        <x:v>19</x:v>
      </x:c>
      <x:c r="E260" s="3" t="n">
        <x:v>3</x:v>
      </x:c>
      <x:c r="F260" s="3" t="n">
        <x:v>7</x:v>
      </x:c>
      <x:c r="G260" s="9" t="n">
        <x:v>0.18</x:v>
      </x:c>
      <x:c r="H260" s="9" t="n">
        <x:v>0.996008</x:v>
      </x:c>
      <x:c r="I260" s="9" t="n">
        <x:f>'Physical_Arcs'!R20</x:f>
        <x:v>5.75</x:v>
      </x:c>
      <x:c r="J260" s="9" t="n">
        <x:f>I260*'Parameters'!$C$18</x:f>
        <x:v>1.1500000000000001</x:v>
      </x:c>
      <x:c r="K260" s="9" t="n">
        <x:f>J260*'Parameters'!$C$19</x:f>
        <x:v>1.4375000000000002</x:v>
      </x:c>
      <x:c r="L260" s="9" t="n">
        <x:f>I260*(1-0.40)-J260</x:f>
        <x:v>2.3</x:v>
      </x:c>
      <x:c r="M260" s="9" t="n">
        <x:f>'Physical_Arcs'!S20</x:f>
        <x:v>5.75</x:v>
      </x:c>
      <x:c r="N260" s="9" t="n">
        <x:f>M260*'Parameters'!$C$18</x:f>
        <x:v>1.1500000000000001</x:v>
      </x:c>
      <x:c r="O260" s="9" t="n">
        <x:f>N260*'Parameters'!$C$19</x:f>
        <x:v>1.4375000000000002</x:v>
      </x:c>
      <x:c r="P260" s="9" t="n">
        <x:f>M260*(1-0.40)-N260</x:f>
        <x:v>2.3</x:v>
      </x:c>
      <x:c r="Q260" s="9" t="n">
        <x:f>'Physical_Arcs'!T20</x:f>
        <x:v>2.888888888888889</x:v>
      </x:c>
      <x:c r="R260" s="9" t="n">
        <x:f>Q260*'Parameters'!$C$18</x:f>
        <x:v>0.5777777777777778</x:v>
      </x:c>
      <x:c r="S260" s="9" t="n">
        <x:f>R260*'Parameters'!$C$19</x:f>
        <x:v>0.7222222222222223</x:v>
      </x:c>
      <x:c r="T260" s="9" t="n">
        <x:f>Q260*(1-0.40)-R260</x:f>
        <x:v>1.1555555555555554</x:v>
      </x:c>
    </x:row>
    <x:row r="261" ht="21" customHeight="1">
      <x:c r="A261" s="3" t="n">
        <x:v>4</x:v>
      </x:c>
      <x:c r="B261" s="3" t="str">
        <x:v>00:40</x:v>
      </x:c>
      <x:c r="C261" s="3" t="n">
        <x:v>1</x:v>
      </x:c>
      <x:c r="D261" s="3" t="n">
        <x:v>20</x:v>
      </x:c>
      <x:c r="E261" s="3" t="n">
        <x:v>3</x:v>
      </x:c>
      <x:c r="F261" s="3" t="n">
        <x:v>10</x:v>
      </x:c>
      <x:c r="G261" s="9" t="n">
        <x:v>0.18</x:v>
      </x:c>
      <x:c r="H261" s="9" t="n">
        <x:v>1.118855</x:v>
      </x:c>
      <x:c r="I261" s="9" t="n">
        <x:f>'Physical_Arcs'!R21</x:f>
        <x:v>5.166666666666667</x:v>
      </x:c>
      <x:c r="J261" s="9" t="n">
        <x:f>I261*'Parameters'!$C$18</x:f>
        <x:v>1.0333333333333334</x:v>
      </x:c>
      <x:c r="K261" s="9" t="n">
        <x:f>J261*'Parameters'!$C$19</x:f>
        <x:v>1.2916666666666667</x:v>
      </x:c>
      <x:c r="L261" s="9" t="n">
        <x:f>I261*(1-0.40)-J261</x:f>
        <x:v>2.0666666666666664</x:v>
      </x:c>
      <x:c r="M261" s="9" t="n">
        <x:f>'Physical_Arcs'!S21</x:f>
        <x:v>5.166666666666667</x:v>
      </x:c>
      <x:c r="N261" s="9" t="n">
        <x:f>M261*'Parameters'!$C$18</x:f>
        <x:v>1.0333333333333334</x:v>
      </x:c>
      <x:c r="O261" s="9" t="n">
        <x:f>N261*'Parameters'!$C$19</x:f>
        <x:v>1.2916666666666667</x:v>
      </x:c>
      <x:c r="P261" s="9" t="n">
        <x:f>M261*(1-0.40)-N261</x:f>
        <x:v>2.0666666666666664</x:v>
      </x:c>
      <x:c r="Q261" s="9" t="n">
        <x:f>'Physical_Arcs'!T21</x:f>
        <x:v>2.5833333333333335</x:v>
      </x:c>
      <x:c r="R261" s="9" t="n">
        <x:f>Q261*'Parameters'!$C$18</x:f>
        <x:v>0.5166666666666667</x:v>
      </x:c>
      <x:c r="S261" s="9" t="n">
        <x:f>R261*'Parameters'!$C$19</x:f>
        <x:v>0.6458333333333334</x:v>
      </x:c>
      <x:c r="T261" s="9" t="n">
        <x:f>Q261*(1-0.40)-R261</x:f>
        <x:v>1.0333333333333332</x:v>
      </x:c>
    </x:row>
    <x:row r="262" ht="21" customHeight="1">
      <x:c r="A262" s="3" t="n">
        <x:v>4</x:v>
      </x:c>
      <x:c r="B262" s="3" t="str">
        <x:v>00:40</x:v>
      </x:c>
      <x:c r="C262" s="3" t="n">
        <x:v>1</x:v>
      </x:c>
      <x:c r="D262" s="3" t="n">
        <x:v>21</x:v>
      </x:c>
      <x:c r="E262" s="3" t="n">
        <x:v>3</x:v>
      </x:c>
      <x:c r="F262" s="3" t="n">
        <x:v>9</x:v>
      </x:c>
      <x:c r="G262" s="9" t="n">
        <x:v>0.18</x:v>
      </x:c>
      <x:c r="H262" s="9" t="n">
        <x:v>0.947299</x:v>
      </x:c>
      <x:c r="I262" s="9" t="n">
        <x:f>'Physical_Arcs'!R22</x:f>
        <x:v>9.333333333333334</x:v>
      </x:c>
      <x:c r="J262" s="9" t="n">
        <x:f>I262*'Parameters'!$C$18</x:f>
        <x:v>1.866666666666667</x:v>
      </x:c>
      <x:c r="K262" s="9" t="n">
        <x:f>J262*'Parameters'!$C$19</x:f>
        <x:v>2.3333333333333335</x:v>
      </x:c>
      <x:c r="L262" s="9" t="n">
        <x:f>I262*(1-0.40)-J262</x:f>
        <x:v>3.7333333333333334</x:v>
      </x:c>
      <x:c r="M262" s="9" t="n">
        <x:f>'Physical_Arcs'!S22</x:f>
        <x:v>9.333333333333334</x:v>
      </x:c>
      <x:c r="N262" s="9" t="n">
        <x:f>M262*'Parameters'!$C$18</x:f>
        <x:v>1.866666666666667</x:v>
      </x:c>
      <x:c r="O262" s="9" t="n">
        <x:f>N262*'Parameters'!$C$19</x:f>
        <x:v>2.3333333333333335</x:v>
      </x:c>
      <x:c r="P262" s="9" t="n">
        <x:f>M262*(1-0.40)-N262</x:f>
        <x:v>3.7333333333333334</x:v>
      </x:c>
      <x:c r="Q262" s="9" t="n">
        <x:f>'Physical_Arcs'!T22</x:f>
        <x:v>4.666666666666667</x:v>
      </x:c>
      <x:c r="R262" s="9" t="n">
        <x:f>Q262*'Parameters'!$C$18</x:f>
        <x:v>0.9333333333333335</x:v>
      </x:c>
      <x:c r="S262" s="9" t="n">
        <x:f>R262*'Parameters'!$C$19</x:f>
        <x:v>1.1666666666666667</x:v>
      </x:c>
      <x:c r="T262" s="9" t="n">
        <x:f>Q262*(1-0.40)-R262</x:f>
        <x:v>1.8666666666666667</x:v>
      </x:c>
    </x:row>
    <x:row r="263" ht="21" customHeight="1">
      <x:c r="A263" s="3" t="n">
        <x:v>4</x:v>
      </x:c>
      <x:c r="B263" s="3" t="str">
        <x:v>00:40</x:v>
      </x:c>
      <x:c r="C263" s="3" t="n">
        <x:v>1</x:v>
      </x:c>
      <x:c r="D263" s="3" t="n">
        <x:v>22</x:v>
      </x:c>
      <x:c r="E263" s="3" t="n">
        <x:v>4</x:v>
      </x:c>
      <x:c r="F263" s="3" t="n">
        <x:v>5</x:v>
      </x:c>
      <x:c r="G263" s="9" t="n">
        <x:v>0.18</x:v>
      </x:c>
      <x:c r="H263" s="9" t="n">
        <x:v>0.958485</x:v>
      </x:c>
      <x:c r="I263" s="9" t="n">
        <x:f>'Physical_Arcs'!R23</x:f>
        <x:v>17.02777777777778</x:v>
      </x:c>
      <x:c r="J263" s="9" t="n">
        <x:f>I263*'Parameters'!$C$18</x:f>
        <x:v>3.405555555555556</x:v>
      </x:c>
      <x:c r="K263" s="9" t="n">
        <x:f>J263*'Parameters'!$C$19</x:f>
        <x:v>4.256944444444445</x:v>
      </x:c>
      <x:c r="L263" s="9" t="n">
        <x:f>I263*(1-0.40)-J263</x:f>
        <x:v>6.811111111111111</x:v>
      </x:c>
      <x:c r="M263" s="9" t="n">
        <x:f>'Physical_Arcs'!S23</x:f>
        <x:v>17.02777777777778</x:v>
      </x:c>
      <x:c r="N263" s="9" t="n">
        <x:f>M263*'Parameters'!$C$18</x:f>
        <x:v>3.405555555555556</x:v>
      </x:c>
      <x:c r="O263" s="9" t="n">
        <x:f>N263*'Parameters'!$C$19</x:f>
        <x:v>4.256944444444445</x:v>
      </x:c>
      <x:c r="P263" s="9" t="n">
        <x:f>M263*(1-0.40)-N263</x:f>
        <x:v>6.811111111111111</x:v>
      </x:c>
      <x:c r="Q263" s="9" t="n">
        <x:f>'Physical_Arcs'!T23</x:f>
        <x:v>17.02777777777778</x:v>
      </x:c>
      <x:c r="R263" s="9" t="n">
        <x:f>Q263*'Parameters'!$C$18</x:f>
        <x:v>3.405555555555556</x:v>
      </x:c>
      <x:c r="S263" s="9" t="n">
        <x:f>R263*'Parameters'!$C$19</x:f>
        <x:v>4.256944444444445</x:v>
      </x:c>
      <x:c r="T263" s="9" t="n">
        <x:f>Q263*(1-0.40)-R263</x:f>
        <x:v>6.811111111111111</x:v>
      </x:c>
    </x:row>
    <x:row r="264" ht="21" customHeight="1">
      <x:c r="A264" s="3" t="n">
        <x:v>4</x:v>
      </x:c>
      <x:c r="B264" s="3" t="str">
        <x:v>00:40</x:v>
      </x:c>
      <x:c r="C264" s="3" t="n">
        <x:v>1</x:v>
      </x:c>
      <x:c r="D264" s="3" t="n">
        <x:v>23</x:v>
      </x:c>
      <x:c r="E264" s="3" t="n">
        <x:v>4</x:v>
      </x:c>
      <x:c r="F264" s="3" t="n">
        <x:v>3</x:v>
      </x:c>
      <x:c r="G264" s="9" t="n">
        <x:v>0.18</x:v>
      </x:c>
      <x:c r="H264" s="9" t="n">
        <x:v>0.944916</x:v>
      </x:c>
      <x:c r="I264" s="9" t="n">
        <x:f>'Physical_Arcs'!R24</x:f>
        <x:v>9.333333333333334</x:v>
      </x:c>
      <x:c r="J264" s="9" t="n">
        <x:f>I264*'Parameters'!$C$18</x:f>
        <x:v>1.866666666666667</x:v>
      </x:c>
      <x:c r="K264" s="9" t="n">
        <x:f>J264*'Parameters'!$C$19</x:f>
        <x:v>2.3333333333333335</x:v>
      </x:c>
      <x:c r="L264" s="9" t="n">
        <x:f>I264*(1-0.40)-J264</x:f>
        <x:v>3.7333333333333334</x:v>
      </x:c>
      <x:c r="M264" s="9" t="n">
        <x:f>'Physical_Arcs'!S24</x:f>
        <x:v>9.333333333333334</x:v>
      </x:c>
      <x:c r="N264" s="9" t="n">
        <x:f>M264*'Parameters'!$C$18</x:f>
        <x:v>1.866666666666667</x:v>
      </x:c>
      <x:c r="O264" s="9" t="n">
        <x:f>N264*'Parameters'!$C$19</x:f>
        <x:v>2.3333333333333335</x:v>
      </x:c>
      <x:c r="P264" s="9" t="n">
        <x:f>M264*(1-0.40)-N264</x:f>
        <x:v>3.7333333333333334</x:v>
      </x:c>
      <x:c r="Q264" s="9" t="n">
        <x:f>'Physical_Arcs'!T24</x:f>
        <x:v>4.666666666666667</x:v>
      </x:c>
      <x:c r="R264" s="9" t="n">
        <x:f>Q264*'Parameters'!$C$18</x:f>
        <x:v>0.9333333333333335</x:v>
      </x:c>
      <x:c r="S264" s="9" t="n">
        <x:f>R264*'Parameters'!$C$19</x:f>
        <x:v>1.1666666666666667</x:v>
      </x:c>
      <x:c r="T264" s="9" t="n">
        <x:f>Q264*(1-0.40)-R264</x:f>
        <x:v>1.8666666666666667</x:v>
      </x:c>
    </x:row>
    <x:row r="265" ht="21" customHeight="1">
      <x:c r="A265" s="3" t="n">
        <x:v>4</x:v>
      </x:c>
      <x:c r="B265" s="3" t="str">
        <x:v>00:40</x:v>
      </x:c>
      <x:c r="C265" s="3" t="n">
        <x:v>1</x:v>
      </x:c>
      <x:c r="D265" s="3" t="n">
        <x:v>24</x:v>
      </x:c>
      <x:c r="E265" s="3" t="n">
        <x:v>4</x:v>
      </x:c>
      <x:c r="F265" s="3" t="n">
        <x:v>10</x:v>
      </x:c>
      <x:c r="G265" s="9" t="n">
        <x:v>0.18</x:v>
      </x:c>
      <x:c r="H265" s="9" t="n">
        <x:v>0.875461</x:v>
      </x:c>
      <x:c r="I265" s="9" t="n">
        <x:f>'Physical_Arcs'!R25</x:f>
        <x:v>7.194444444444445</x:v>
      </x:c>
      <x:c r="J265" s="9" t="n">
        <x:f>I265*'Parameters'!$C$18</x:f>
        <x:v>1.438888888888889</x:v>
      </x:c>
      <x:c r="K265" s="9" t="n">
        <x:f>J265*'Parameters'!$C$19</x:f>
        <x:v>1.7986111111111114</x:v>
      </x:c>
      <x:c r="L265" s="9" t="n">
        <x:f>I265*(1-0.40)-J265</x:f>
        <x:v>2.8777777777777773</x:v>
      </x:c>
      <x:c r="M265" s="9" t="n">
        <x:f>'Physical_Arcs'!S25</x:f>
        <x:v>7.194444444444445</x:v>
      </x:c>
      <x:c r="N265" s="9" t="n">
        <x:f>M265*'Parameters'!$C$18</x:f>
        <x:v>1.438888888888889</x:v>
      </x:c>
      <x:c r="O265" s="9" t="n">
        <x:f>N265*'Parameters'!$C$19</x:f>
        <x:v>1.7986111111111114</x:v>
      </x:c>
      <x:c r="P265" s="9" t="n">
        <x:f>M265*(1-0.40)-N265</x:f>
        <x:v>2.8777777777777773</x:v>
      </x:c>
      <x:c r="Q265" s="9" t="n">
        <x:f>'Physical_Arcs'!T25</x:f>
        <x:v>3.611111111111111</x:v>
      </x:c>
      <x:c r="R265" s="9" t="n">
        <x:f>Q265*'Parameters'!$C$18</x:f>
        <x:v>0.7222222222222223</x:v>
      </x:c>
      <x:c r="S265" s="9" t="n">
        <x:f>R265*'Parameters'!$C$19</x:f>
        <x:v>0.9027777777777779</x:v>
      </x:c>
      <x:c r="T265" s="9" t="n">
        <x:f>Q265*(1-0.40)-R265</x:f>
        <x:v>1.4444444444444442</x:v>
      </x:c>
    </x:row>
    <x:row r="266" ht="21" customHeight="1">
      <x:c r="A266" s="3" t="n">
        <x:v>4</x:v>
      </x:c>
      <x:c r="B266" s="3" t="str">
        <x:v>00:40</x:v>
      </x:c>
      <x:c r="C266" s="3" t="n">
        <x:v>1</x:v>
      </x:c>
      <x:c r="D266" s="3" t="n">
        <x:v>25</x:v>
      </x:c>
      <x:c r="E266" s="3" t="n">
        <x:v>4</x:v>
      </x:c>
      <x:c r="F266" s="3" t="n">
        <x:v>8</x:v>
      </x:c>
      <x:c r="G266" s="9" t="n">
        <x:v>0.18</x:v>
      </x:c>
      <x:c r="H266" s="9" t="n">
        <x:v>0.993326</x:v>
      </x:c>
      <x:c r="I266" s="9" t="n">
        <x:f>'Physical_Arcs'!R26</x:f>
        <x:v>5.277777777777778</x:v>
      </x:c>
      <x:c r="J266" s="9" t="n">
        <x:f>I266*'Parameters'!$C$18</x:f>
        <x:v>1.0555555555555556</x:v>
      </x:c>
      <x:c r="K266" s="9" t="n">
        <x:f>J266*'Parameters'!$C$19</x:f>
        <x:v>1.3194444444444444</x:v>
      </x:c>
      <x:c r="L266" s="9" t="n">
        <x:f>I266*(1-0.40)-J266</x:f>
        <x:v>2.1111111111111107</x:v>
      </x:c>
      <x:c r="M266" s="9" t="n">
        <x:f>'Physical_Arcs'!S26</x:f>
        <x:v>5.277777777777778</x:v>
      </x:c>
      <x:c r="N266" s="9" t="n">
        <x:f>M266*'Parameters'!$C$18</x:f>
        <x:v>1.0555555555555556</x:v>
      </x:c>
      <x:c r="O266" s="9" t="n">
        <x:f>N266*'Parameters'!$C$19</x:f>
        <x:v>1.3194444444444444</x:v>
      </x:c>
      <x:c r="P266" s="9" t="n">
        <x:f>M266*(1-0.40)-N266</x:f>
        <x:v>2.1111111111111107</x:v>
      </x:c>
      <x:c r="Q266" s="9" t="n">
        <x:f>'Physical_Arcs'!T26</x:f>
        <x:v>2.638888888888889</x:v>
      </x:c>
      <x:c r="R266" s="9" t="n">
        <x:f>Q266*'Parameters'!$C$18</x:f>
        <x:v>0.5277777777777778</x:v>
      </x:c>
      <x:c r="S266" s="9" t="n">
        <x:f>R266*'Parameters'!$C$19</x:f>
        <x:v>0.6597222222222222</x:v>
      </x:c>
      <x:c r="T266" s="9" t="n">
        <x:f>Q266*(1-0.40)-R266</x:f>
        <x:v>1.0555555555555554</x:v>
      </x:c>
    </x:row>
    <x:row r="267" ht="21" customHeight="1">
      <x:c r="A267" s="3" t="n">
        <x:v>4</x:v>
      </x:c>
      <x:c r="B267" s="3" t="str">
        <x:v>00:40</x:v>
      </x:c>
      <x:c r="C267" s="3" t="n">
        <x:v>1</x:v>
      </x:c>
      <x:c r="D267" s="3" t="n">
        <x:v>26</x:v>
      </x:c>
      <x:c r="E267" s="3" t="n">
        <x:v>4</x:v>
      </x:c>
      <x:c r="F267" s="3" t="n">
        <x:v>7</x:v>
      </x:c>
      <x:c r="G267" s="9" t="n">
        <x:v>0.18</x:v>
      </x:c>
      <x:c r="H267" s="9" t="n">
        <x:v>1.099203</x:v>
      </x:c>
      <x:c r="I267" s="9" t="n">
        <x:f>'Physical_Arcs'!R27</x:f>
        <x:v>6.527777777777778</x:v>
      </x:c>
      <x:c r="J267" s="9" t="n">
        <x:f>I267*'Parameters'!$C$18</x:f>
        <x:v>1.3055555555555556</x:v>
      </x:c>
      <x:c r="K267" s="9" t="n">
        <x:f>J267*'Parameters'!$C$19</x:f>
        <x:v>1.6319444444444444</x:v>
      </x:c>
      <x:c r="L267" s="9" t="n">
        <x:f>I267*(1-0.40)-J267</x:f>
        <x:v>2.6111111111111107</x:v>
      </x:c>
      <x:c r="M267" s="9" t="n">
        <x:f>'Physical_Arcs'!S27</x:f>
        <x:v>6.527777777777778</x:v>
      </x:c>
      <x:c r="N267" s="9" t="n">
        <x:f>M267*'Parameters'!$C$18</x:f>
        <x:v>1.3055555555555556</x:v>
      </x:c>
      <x:c r="O267" s="9" t="n">
        <x:f>N267*'Parameters'!$C$19</x:f>
        <x:v>1.6319444444444444</x:v>
      </x:c>
      <x:c r="P267" s="9" t="n">
        <x:f>M267*(1-0.40)-N267</x:f>
        <x:v>2.6111111111111107</x:v>
      </x:c>
      <x:c r="Q267" s="9" t="n">
        <x:f>'Physical_Arcs'!T27</x:f>
        <x:v>3.2777777777777777</x:v>
      </x:c>
      <x:c r="R267" s="9" t="n">
        <x:f>Q267*'Parameters'!$C$18</x:f>
        <x:v>0.6555555555555556</x:v>
      </x:c>
      <x:c r="S267" s="9" t="n">
        <x:f>R267*'Parameters'!$C$19</x:f>
        <x:v>0.8194444444444444</x:v>
      </x:c>
      <x:c r="T267" s="9" t="n">
        <x:f>Q267*(1-0.40)-R267</x:f>
        <x:v>1.311111111111111</x:v>
      </x:c>
    </x:row>
    <x:row r="268" ht="21" customHeight="1">
      <x:c r="A268" s="3" t="n">
        <x:v>4</x:v>
      </x:c>
      <x:c r="B268" s="3" t="str">
        <x:v>00:40</x:v>
      </x:c>
      <x:c r="C268" s="3" t="n">
        <x:v>1</x:v>
      </x:c>
      <x:c r="D268" s="3" t="n">
        <x:v>27</x:v>
      </x:c>
      <x:c r="E268" s="3" t="n">
        <x:v>4</x:v>
      </x:c>
      <x:c r="F268" s="3" t="n">
        <x:v>2</x:v>
      </x:c>
      <x:c r="G268" s="9" t="n">
        <x:v>0.18</x:v>
      </x:c>
      <x:c r="H268" s="9" t="n">
        <x:v>0.861111</x:v>
      </x:c>
      <x:c r="I268" s="9" t="n">
        <x:f>'Physical_Arcs'!R28</x:f>
        <x:v>4.944444444444445</x:v>
      </x:c>
      <x:c r="J268" s="9" t="n">
        <x:f>I268*'Parameters'!$C$18</x:f>
        <x:v>0.9888888888888889</x:v>
      </x:c>
      <x:c r="K268" s="9" t="n">
        <x:f>J268*'Parameters'!$C$19</x:f>
        <x:v>1.2361111111111112</x:v>
      </x:c>
      <x:c r="L268" s="9" t="n">
        <x:f>I268*(1-0.40)-J268</x:f>
        <x:v>1.9777777777777779</x:v>
      </x:c>
      <x:c r="M268" s="9" t="n">
        <x:f>'Physical_Arcs'!S28</x:f>
        <x:v>4.944444444444445</x:v>
      </x:c>
      <x:c r="N268" s="9" t="n">
        <x:f>M268*'Parameters'!$C$18</x:f>
        <x:v>0.9888888888888889</x:v>
      </x:c>
      <x:c r="O268" s="9" t="n">
        <x:f>N268*'Parameters'!$C$19</x:f>
        <x:v>1.2361111111111112</x:v>
      </x:c>
      <x:c r="P268" s="9" t="n">
        <x:f>M268*(1-0.40)-N268</x:f>
        <x:v>1.9777777777777779</x:v>
      </x:c>
      <x:c r="Q268" s="9" t="n">
        <x:f>'Physical_Arcs'!T28</x:f>
        <x:v>2.4722222222222223</x:v>
      </x:c>
      <x:c r="R268" s="9" t="n">
        <x:f>Q268*'Parameters'!$C$18</x:f>
        <x:v>0.49444444444444446</x:v>
      </x:c>
      <x:c r="S268" s="9" t="n">
        <x:f>R268*'Parameters'!$C$19</x:f>
        <x:v>0.6180555555555556</x:v>
      </x:c>
      <x:c r="T268" s="9" t="n">
        <x:f>Q268*(1-0.40)-R268</x:f>
        <x:v>0.9888888888888889</x:v>
      </x:c>
    </x:row>
    <x:row r="269" ht="21" customHeight="1">
      <x:c r="A269" s="3" t="n">
        <x:v>4</x:v>
      </x:c>
      <x:c r="B269" s="3" t="str">
        <x:v>00:40</x:v>
      </x:c>
      <x:c r="C269" s="3" t="n">
        <x:v>1</x:v>
      </x:c>
      <x:c r="D269" s="3" t="n">
        <x:v>28</x:v>
      </x:c>
      <x:c r="E269" s="3" t="n">
        <x:v>4</x:v>
      </x:c>
      <x:c r="F269" s="3" t="n">
        <x:v>6</x:v>
      </x:c>
      <x:c r="G269" s="9" t="n">
        <x:v>0.18</x:v>
      </x:c>
      <x:c r="H269" s="9" t="n">
        <x:v>1.137214</x:v>
      </x:c>
      <x:c r="I269" s="9" t="n">
        <x:f>'Physical_Arcs'!R29</x:f>
        <x:v>3.388888888888889</x:v>
      </x:c>
      <x:c r="J269" s="9" t="n">
        <x:f>I269*'Parameters'!$C$18</x:f>
        <x:v>0.6777777777777778</x:v>
      </x:c>
      <x:c r="K269" s="9" t="n">
        <x:f>J269*'Parameters'!$C$19</x:f>
        <x:v>0.8472222222222223</x:v>
      </x:c>
      <x:c r="L269" s="9" t="n">
        <x:f>I269*(1-0.40)-J269</x:f>
        <x:v>1.3555555555555554</x:v>
      </x:c>
      <x:c r="M269" s="9" t="n">
        <x:f>'Physical_Arcs'!S29</x:f>
        <x:v>3.388888888888889</x:v>
      </x:c>
      <x:c r="N269" s="9" t="n">
        <x:f>M269*'Parameters'!$C$18</x:f>
        <x:v>0.6777777777777778</x:v>
      </x:c>
      <x:c r="O269" s="9" t="n">
        <x:f>N269*'Parameters'!$C$19</x:f>
        <x:v>0.8472222222222223</x:v>
      </x:c>
      <x:c r="P269" s="9" t="n">
        <x:f>M269*(1-0.40)-N269</x:f>
        <x:v>1.3555555555555554</x:v>
      </x:c>
      <x:c r="Q269" s="9" t="n">
        <x:f>'Physical_Arcs'!T29</x:f>
        <x:v>1.6944444444444444</x:v>
      </x:c>
      <x:c r="R269" s="9" t="n">
        <x:f>Q269*'Parameters'!$C$18</x:f>
        <x:v>0.3388888888888889</x:v>
      </x:c>
      <x:c r="S269" s="9" t="n">
        <x:f>R269*'Parameters'!$C$19</x:f>
        <x:v>0.42361111111111116</x:v>
      </x:c>
      <x:c r="T269" s="9" t="n">
        <x:f>Q269*(1-0.40)-R269</x:f>
        <x:v>0.6777777777777777</x:v>
      </x:c>
    </x:row>
    <x:row r="270" ht="21" customHeight="1">
      <x:c r="A270" s="3" t="n">
        <x:v>4</x:v>
      </x:c>
      <x:c r="B270" s="3" t="str">
        <x:v>00:40</x:v>
      </x:c>
      <x:c r="C270" s="3" t="n">
        <x:v>1</x:v>
      </x:c>
      <x:c r="D270" s="3" t="n">
        <x:v>29</x:v>
      </x:c>
      <x:c r="E270" s="3" t="n">
        <x:v>5</x:v>
      </x:c>
      <x:c r="F270" s="3" t="n">
        <x:v>6</x:v>
      </x:c>
      <x:c r="G270" s="9" t="n">
        <x:v>0.18</x:v>
      </x:c>
      <x:c r="H270" s="9" t="n">
        <x:v>0.949994</x:v>
      </x:c>
      <x:c r="I270" s="9" t="n">
        <x:f>'Physical_Arcs'!R30</x:f>
        <x:v>17.02777777777778</x:v>
      </x:c>
      <x:c r="J270" s="9" t="n">
        <x:f>I270*'Parameters'!$C$18</x:f>
        <x:v>3.405555555555556</x:v>
      </x:c>
      <x:c r="K270" s="9" t="n">
        <x:f>J270*'Parameters'!$C$19</x:f>
        <x:v>4.256944444444445</x:v>
      </x:c>
      <x:c r="L270" s="9" t="n">
        <x:f>I270*(1-0.40)-J270</x:f>
        <x:v>6.811111111111111</x:v>
      </x:c>
      <x:c r="M270" s="9" t="n">
        <x:f>'Physical_Arcs'!S30</x:f>
        <x:v>17.02777777777778</x:v>
      </x:c>
      <x:c r="N270" s="9" t="n">
        <x:f>M270*'Parameters'!$C$18</x:f>
        <x:v>3.405555555555556</x:v>
      </x:c>
      <x:c r="O270" s="9" t="n">
        <x:f>N270*'Parameters'!$C$19</x:f>
        <x:v>4.256944444444445</x:v>
      </x:c>
      <x:c r="P270" s="9" t="n">
        <x:f>M270*(1-0.40)-N270</x:f>
        <x:v>6.811111111111111</x:v>
      </x:c>
      <x:c r="Q270" s="9" t="n">
        <x:f>'Physical_Arcs'!T30</x:f>
        <x:v>17.02777777777778</x:v>
      </x:c>
      <x:c r="R270" s="9" t="n">
        <x:f>Q270*'Parameters'!$C$18</x:f>
        <x:v>3.405555555555556</x:v>
      </x:c>
      <x:c r="S270" s="9" t="n">
        <x:f>R270*'Parameters'!$C$19</x:f>
        <x:v>4.256944444444445</x:v>
      </x:c>
      <x:c r="T270" s="9" t="n">
        <x:f>Q270*(1-0.40)-R270</x:f>
        <x:v>6.811111111111111</x:v>
      </x:c>
    </x:row>
    <x:row r="271" ht="21" customHeight="1">
      <x:c r="A271" s="3" t="n">
        <x:v>4</x:v>
      </x:c>
      <x:c r="B271" s="3" t="str">
        <x:v>00:40</x:v>
      </x:c>
      <x:c r="C271" s="3" t="n">
        <x:v>1</x:v>
      </x:c>
      <x:c r="D271" s="3" t="n">
        <x:v>30</x:v>
      </x:c>
      <x:c r="E271" s="3" t="n">
        <x:v>5</x:v>
      </x:c>
      <x:c r="F271" s="3" t="n">
        <x:v>2</x:v>
      </x:c>
      <x:c r="G271" s="9" t="n">
        <x:v>0.18</x:v>
      </x:c>
      <x:c r="H271" s="9" t="n">
        <x:v>0.882396</x:v>
      </x:c>
      <x:c r="I271" s="9" t="n">
        <x:f>'Physical_Arcs'!R31</x:f>
        <x:v>2.9444444444444446</x:v>
      </x:c>
      <x:c r="J271" s="9" t="n">
        <x:f>I271*'Parameters'!$C$18</x:f>
        <x:v>0.5888888888888889</x:v>
      </x:c>
      <x:c r="K271" s="9" t="n">
        <x:f>J271*'Parameters'!$C$19</x:f>
        <x:v>0.7361111111111112</x:v>
      </x:c>
      <x:c r="L271" s="9" t="n">
        <x:f>I271*(1-0.40)-J271</x:f>
        <x:v>1.177777777777778</x:v>
      </x:c>
      <x:c r="M271" s="9" t="n">
        <x:f>'Physical_Arcs'!S31</x:f>
        <x:v>2.9444444444444446</x:v>
      </x:c>
      <x:c r="N271" s="9" t="n">
        <x:f>M271*'Parameters'!$C$18</x:f>
        <x:v>0.5888888888888889</x:v>
      </x:c>
      <x:c r="O271" s="9" t="n">
        <x:f>N271*'Parameters'!$C$19</x:f>
        <x:v>0.7361111111111112</x:v>
      </x:c>
      <x:c r="P271" s="9" t="n">
        <x:f>M271*(1-0.40)-N271</x:f>
        <x:v>1.177777777777778</x:v>
      </x:c>
      <x:c r="Q271" s="9" t="n">
        <x:f>'Physical_Arcs'!T31</x:f>
        <x:v>1.4722222222222223</x:v>
      </x:c>
      <x:c r="R271" s="9" t="n">
        <x:f>Q271*'Parameters'!$C$18</x:f>
        <x:v>0.29444444444444445</x:v>
      </x:c>
      <x:c r="S271" s="9" t="n">
        <x:f>R271*'Parameters'!$C$19</x:f>
        <x:v>0.3680555555555556</x:v>
      </x:c>
      <x:c r="T271" s="9" t="n">
        <x:f>Q271*(1-0.40)-R271</x:f>
        <x:v>0.588888888888889</x:v>
      </x:c>
    </x:row>
    <x:row r="272" ht="21" customHeight="1">
      <x:c r="A272" s="3" t="n">
        <x:v>4</x:v>
      </x:c>
      <x:c r="B272" s="3" t="str">
        <x:v>00:40</x:v>
      </x:c>
      <x:c r="C272" s="3" t="n">
        <x:v>1</x:v>
      </x:c>
      <x:c r="D272" s="3" t="n">
        <x:v>31</x:v>
      </x:c>
      <x:c r="E272" s="3" t="n">
        <x:v>5</x:v>
      </x:c>
      <x:c r="F272" s="3" t="n">
        <x:v>8</x:v>
      </x:c>
      <x:c r="G272" s="9" t="n">
        <x:v>0.18</x:v>
      </x:c>
      <x:c r="H272" s="9" t="n">
        <x:v>0.986718</x:v>
      </x:c>
      <x:c r="I272" s="9" t="n">
        <x:f>'Physical_Arcs'!R32</x:f>
        <x:v>9.333333333333334</x:v>
      </x:c>
      <x:c r="J272" s="9" t="n">
        <x:f>I272*'Parameters'!$C$18</x:f>
        <x:v>1.866666666666667</x:v>
      </x:c>
      <x:c r="K272" s="9" t="n">
        <x:f>J272*'Parameters'!$C$19</x:f>
        <x:v>2.3333333333333335</x:v>
      </x:c>
      <x:c r="L272" s="9" t="n">
        <x:f>I272*(1-0.40)-J272</x:f>
        <x:v>3.7333333333333334</x:v>
      </x:c>
      <x:c r="M272" s="9" t="n">
        <x:f>'Physical_Arcs'!S32</x:f>
        <x:v>9.333333333333334</x:v>
      </x:c>
      <x:c r="N272" s="9" t="n">
        <x:f>M272*'Parameters'!$C$18</x:f>
        <x:v>1.866666666666667</x:v>
      </x:c>
      <x:c r="O272" s="9" t="n">
        <x:f>N272*'Parameters'!$C$19</x:f>
        <x:v>2.3333333333333335</x:v>
      </x:c>
      <x:c r="P272" s="9" t="n">
        <x:f>M272*(1-0.40)-N272</x:f>
        <x:v>3.7333333333333334</x:v>
      </x:c>
      <x:c r="Q272" s="9" t="n">
        <x:f>'Physical_Arcs'!T32</x:f>
        <x:v>4.666666666666667</x:v>
      </x:c>
      <x:c r="R272" s="9" t="n">
        <x:f>Q272*'Parameters'!$C$18</x:f>
        <x:v>0.9333333333333335</x:v>
      </x:c>
      <x:c r="S272" s="9" t="n">
        <x:f>R272*'Parameters'!$C$19</x:f>
        <x:v>1.1666666666666667</x:v>
      </x:c>
      <x:c r="T272" s="9" t="n">
        <x:f>Q272*(1-0.40)-R272</x:f>
        <x:v>1.8666666666666667</x:v>
      </x:c>
    </x:row>
    <x:row r="273" ht="21" customHeight="1">
      <x:c r="A273" s="3" t="n">
        <x:v>4</x:v>
      </x:c>
      <x:c r="B273" s="3" t="str">
        <x:v>00:40</x:v>
      </x:c>
      <x:c r="C273" s="3" t="n">
        <x:v>1</x:v>
      </x:c>
      <x:c r="D273" s="3" t="n">
        <x:v>32</x:v>
      </x:c>
      <x:c r="E273" s="3" t="n">
        <x:v>5</x:v>
      </x:c>
      <x:c r="F273" s="3" t="n">
        <x:v>3</x:v>
      </x:c>
      <x:c r="G273" s="9" t="n">
        <x:v>0.18</x:v>
      </x:c>
      <x:c r="H273" s="9" t="n">
        <x:v>1.089544</x:v>
      </x:c>
      <x:c r="I273" s="9" t="n">
        <x:f>'Physical_Arcs'!R33</x:f>
        <x:v>11.13888888888889</x:v>
      </x:c>
      <x:c r="J273" s="9" t="n">
        <x:f>I273*'Parameters'!$C$18</x:f>
        <x:v>2.227777777777778</x:v>
      </x:c>
      <x:c r="K273" s="9" t="n">
        <x:f>J273*'Parameters'!$C$19</x:f>
        <x:v>2.7847222222222223</x:v>
      </x:c>
      <x:c r="L273" s="9" t="n">
        <x:f>I273*(1-0.40)-J273</x:f>
        <x:v>4.455555555555556</x:v>
      </x:c>
      <x:c r="M273" s="9" t="n">
        <x:f>'Physical_Arcs'!S33</x:f>
        <x:v>11.13888888888889</x:v>
      </x:c>
      <x:c r="N273" s="9" t="n">
        <x:f>M273*'Parameters'!$C$18</x:f>
        <x:v>2.227777777777778</x:v>
      </x:c>
      <x:c r="O273" s="9" t="n">
        <x:f>N273*'Parameters'!$C$19</x:f>
        <x:v>2.7847222222222223</x:v>
      </x:c>
      <x:c r="P273" s="9" t="n">
        <x:f>M273*(1-0.40)-N273</x:f>
        <x:v>4.455555555555556</x:v>
      </x:c>
      <x:c r="Q273" s="9" t="n">
        <x:f>'Physical_Arcs'!T33</x:f>
        <x:v>5.583333333333333</x:v>
      </x:c>
      <x:c r="R273" s="9" t="n">
        <x:f>Q273*'Parameters'!$C$18</x:f>
        <x:v>1.1166666666666667</x:v>
      </x:c>
      <x:c r="S273" s="9" t="n">
        <x:f>R273*'Parameters'!$C$19</x:f>
        <x:v>1.3958333333333335</x:v>
      </x:c>
      <x:c r="T273" s="9" t="n">
        <x:f>Q273*(1-0.40)-R273</x:f>
        <x:v>2.233333333333333</x:v>
      </x:c>
    </x:row>
    <x:row r="274" ht="21" customHeight="1">
      <x:c r="A274" s="3" t="n">
        <x:v>4</x:v>
      </x:c>
      <x:c r="B274" s="3" t="str">
        <x:v>00:40</x:v>
      </x:c>
      <x:c r="C274" s="3" t="n">
        <x:v>1</x:v>
      </x:c>
      <x:c r="D274" s="3" t="n">
        <x:v>33</x:v>
      </x:c>
      <x:c r="E274" s="3" t="n">
        <x:v>5</x:v>
      </x:c>
      <x:c r="F274" s="3" t="n">
        <x:v>10</x:v>
      </x:c>
      <x:c r="G274" s="9" t="n">
        <x:v>0.18</x:v>
      </x:c>
      <x:c r="H274" s="9" t="n">
        <x:v>1.103596</x:v>
      </x:c>
      <x:c r="I274" s="9" t="n">
        <x:f>'Physical_Arcs'!R34</x:f>
        <x:v>4.611111111111111</x:v>
      </x:c>
      <x:c r="J274" s="9" t="n">
        <x:f>I274*'Parameters'!$C$18</x:f>
        <x:v>0.9222222222222222</x:v>
      </x:c>
      <x:c r="K274" s="9" t="n">
        <x:f>J274*'Parameters'!$C$19</x:f>
        <x:v>1.1527777777777777</x:v>
      </x:c>
      <x:c r="L274" s="9" t="n">
        <x:f>I274*(1-0.40)-J274</x:f>
        <x:v>1.844444444444444</x:v>
      </x:c>
      <x:c r="M274" s="9" t="n">
        <x:f>'Physical_Arcs'!S34</x:f>
        <x:v>4.611111111111111</x:v>
      </x:c>
      <x:c r="N274" s="9" t="n">
        <x:f>M274*'Parameters'!$C$18</x:f>
        <x:v>0.9222222222222222</x:v>
      </x:c>
      <x:c r="O274" s="9" t="n">
        <x:f>N274*'Parameters'!$C$19</x:f>
        <x:v>1.1527777777777777</x:v>
      </x:c>
      <x:c r="P274" s="9" t="n">
        <x:f>M274*(1-0.40)-N274</x:f>
        <x:v>1.844444444444444</x:v>
      </x:c>
      <x:c r="Q274" s="9" t="n">
        <x:f>'Physical_Arcs'!T34</x:f>
        <x:v>2.3055555555555554</x:v>
      </x:c>
      <x:c r="R274" s="9" t="n">
        <x:f>Q274*'Parameters'!$C$18</x:f>
        <x:v>0.4611111111111111</x:v>
      </x:c>
      <x:c r="S274" s="9" t="n">
        <x:f>R274*'Parameters'!$C$19</x:f>
        <x:v>0.5763888888888888</x:v>
      </x:c>
      <x:c r="T274" s="9" t="n">
        <x:f>Q274*(1-0.40)-R274</x:f>
        <x:v>0.922222222222222</x:v>
      </x:c>
    </x:row>
    <x:row r="275" ht="21" customHeight="1">
      <x:c r="A275" s="3" t="n">
        <x:v>4</x:v>
      </x:c>
      <x:c r="B275" s="3" t="str">
        <x:v>00:40</x:v>
      </x:c>
      <x:c r="C275" s="3" t="n">
        <x:v>1</x:v>
      </x:c>
      <x:c r="D275" s="3" t="n">
        <x:v>34</x:v>
      </x:c>
      <x:c r="E275" s="3" t="n">
        <x:v>6</x:v>
      </x:c>
      <x:c r="F275" s="3" t="n">
        <x:v>7</x:v>
      </x:c>
      <x:c r="G275" s="9" t="n">
        <x:v>0.18</x:v>
      </x:c>
      <x:c r="H275" s="9" t="n">
        <x:v>0.973887</x:v>
      </x:c>
      <x:c r="I275" s="9" t="n">
        <x:f>'Physical_Arcs'!R35</x:f>
        <x:v>17.02777777777778</x:v>
      </x:c>
      <x:c r="J275" s="9" t="n">
        <x:f>I275*'Parameters'!$C$18</x:f>
        <x:v>3.405555555555556</x:v>
      </x:c>
      <x:c r="K275" s="9" t="n">
        <x:f>J275*'Parameters'!$C$19</x:f>
        <x:v>4.256944444444445</x:v>
      </x:c>
      <x:c r="L275" s="9" t="n">
        <x:f>I275*(1-0.40)-J275</x:f>
        <x:v>6.811111111111111</x:v>
      </x:c>
      <x:c r="M275" s="9" t="n">
        <x:f>'Physical_Arcs'!S35</x:f>
        <x:v>17.02777777777778</x:v>
      </x:c>
      <x:c r="N275" s="9" t="n">
        <x:f>M275*'Parameters'!$C$18</x:f>
        <x:v>3.405555555555556</x:v>
      </x:c>
      <x:c r="O275" s="9" t="n">
        <x:f>N275*'Parameters'!$C$19</x:f>
        <x:v>4.256944444444445</x:v>
      </x:c>
      <x:c r="P275" s="9" t="n">
        <x:f>M275*(1-0.40)-N275</x:f>
        <x:v>6.811111111111111</x:v>
      </x:c>
      <x:c r="Q275" s="9" t="n">
        <x:f>'Physical_Arcs'!T35</x:f>
        <x:v>17.02777777777778</x:v>
      </x:c>
      <x:c r="R275" s="9" t="n">
        <x:f>Q275*'Parameters'!$C$18</x:f>
        <x:v>3.405555555555556</x:v>
      </x:c>
      <x:c r="S275" s="9" t="n">
        <x:f>R275*'Parameters'!$C$19</x:f>
        <x:v>4.256944444444445</x:v>
      </x:c>
      <x:c r="T275" s="9" t="n">
        <x:f>Q275*(1-0.40)-R275</x:f>
        <x:v>6.811111111111111</x:v>
      </x:c>
    </x:row>
    <x:row r="276" ht="21" customHeight="1">
      <x:c r="A276" s="3" t="n">
        <x:v>4</x:v>
      </x:c>
      <x:c r="B276" s="3" t="str">
        <x:v>00:40</x:v>
      </x:c>
      <x:c r="C276" s="3" t="n">
        <x:v>1</x:v>
      </x:c>
      <x:c r="D276" s="3" t="n">
        <x:v>35</x:v>
      </x:c>
      <x:c r="E276" s="3" t="n">
        <x:v>6</x:v>
      </x:c>
      <x:c r="F276" s="3" t="n">
        <x:v>10</x:v>
      </x:c>
      <x:c r="G276" s="9" t="n">
        <x:v>0.18</x:v>
      </x:c>
      <x:c r="H276" s="9" t="n">
        <x:v>1.009062</x:v>
      </x:c>
      <x:c r="I276" s="9" t="n">
        <x:f>'Physical_Arcs'!R36</x:f>
        <x:v>4.055555555555555</x:v>
      </x:c>
      <x:c r="J276" s="9" t="n">
        <x:f>I276*'Parameters'!$C$18</x:f>
        <x:v>0.8111111111111111</x:v>
      </x:c>
      <x:c r="K276" s="9" t="n">
        <x:f>J276*'Parameters'!$C$19</x:f>
        <x:v>1.0138888888888888</x:v>
      </x:c>
      <x:c r="L276" s="9" t="n">
        <x:f>I276*(1-0.40)-J276</x:f>
        <x:v>1.622222222222222</x:v>
      </x:c>
      <x:c r="M276" s="9" t="n">
        <x:f>'Physical_Arcs'!S36</x:f>
        <x:v>4.055555555555555</x:v>
      </x:c>
      <x:c r="N276" s="9" t="n">
        <x:f>M276*'Parameters'!$C$18</x:f>
        <x:v>0.8111111111111111</x:v>
      </x:c>
      <x:c r="O276" s="9" t="n">
        <x:f>N276*'Parameters'!$C$19</x:f>
        <x:v>1.0138888888888888</x:v>
      </x:c>
      <x:c r="P276" s="9" t="n">
        <x:f>M276*(1-0.40)-N276</x:f>
        <x:v>1.622222222222222</x:v>
      </x:c>
      <x:c r="Q276" s="9" t="n">
        <x:f>'Physical_Arcs'!T36</x:f>
        <x:v>2.0277777777777777</x:v>
      </x:c>
      <x:c r="R276" s="9" t="n">
        <x:f>Q276*'Parameters'!$C$18</x:f>
        <x:v>0.40555555555555556</x:v>
      </x:c>
      <x:c r="S276" s="9" t="n">
        <x:f>R276*'Parameters'!$C$19</x:f>
        <x:v>0.5069444444444444</x:v>
      </x:c>
      <x:c r="T276" s="9" t="n">
        <x:f>Q276*(1-0.40)-R276</x:f>
        <x:v>0.811111111111111</x:v>
      </x:c>
    </x:row>
    <x:row r="277" ht="21" customHeight="1">
      <x:c r="A277" s="3" t="n">
        <x:v>4</x:v>
      </x:c>
      <x:c r="B277" s="3" t="str">
        <x:v>00:40</x:v>
      </x:c>
      <x:c r="C277" s="3" t="n">
        <x:v>1</x:v>
      </x:c>
      <x:c r="D277" s="3" t="n">
        <x:v>36</x:v>
      </x:c>
      <x:c r="E277" s="3" t="n">
        <x:v>6</x:v>
      </x:c>
      <x:c r="F277" s="3" t="n">
        <x:v>8</x:v>
      </x:c>
      <x:c r="G277" s="9" t="n">
        <x:v>0.18</x:v>
      </x:c>
      <x:c r="H277" s="9" t="n">
        <x:v>1.132129</x:v>
      </x:c>
      <x:c r="I277" s="9" t="n">
        <x:f>'Physical_Arcs'!R37</x:f>
        <x:v>6.972222222222222</x:v>
      </x:c>
      <x:c r="J277" s="9" t="n">
        <x:f>I277*'Parameters'!$C$18</x:f>
        <x:v>1.3944444444444446</x:v>
      </x:c>
      <x:c r="K277" s="9" t="n">
        <x:f>J277*'Parameters'!$C$19</x:f>
        <x:v>1.7430555555555558</x:v>
      </x:c>
      <x:c r="L277" s="9" t="n">
        <x:f>I277*(1-0.40)-J277</x:f>
        <x:v>2.7888888888888888</x:v>
      </x:c>
      <x:c r="M277" s="9" t="n">
        <x:f>'Physical_Arcs'!S37</x:f>
        <x:v>6.972222222222222</x:v>
      </x:c>
      <x:c r="N277" s="9" t="n">
        <x:f>M277*'Parameters'!$C$18</x:f>
        <x:v>1.3944444444444446</x:v>
      </x:c>
      <x:c r="O277" s="9" t="n">
        <x:f>N277*'Parameters'!$C$19</x:f>
        <x:v>1.7430555555555558</x:v>
      </x:c>
      <x:c r="P277" s="9" t="n">
        <x:f>M277*(1-0.40)-N277</x:f>
        <x:v>2.7888888888888888</x:v>
      </x:c>
      <x:c r="Q277" s="9" t="n">
        <x:f>'Physical_Arcs'!T37</x:f>
        <x:v>3.5</x:v>
      </x:c>
      <x:c r="R277" s="9" t="n">
        <x:f>Q277*'Parameters'!$C$18</x:f>
        <x:v>0.7000000000000001</x:v>
      </x:c>
      <x:c r="S277" s="9" t="n">
        <x:f>R277*'Parameters'!$C$19</x:f>
        <x:v>0.8750000000000001</x:v>
      </x:c>
      <x:c r="T277" s="9" t="n">
        <x:f>Q277*(1-0.40)-R277</x:f>
        <x:v>1.4</x:v>
      </x:c>
    </x:row>
    <x:row r="278" ht="21" customHeight="1">
      <x:c r="A278" s="3" t="n">
        <x:v>4</x:v>
      </x:c>
      <x:c r="B278" s="3" t="str">
        <x:v>00:40</x:v>
      </x:c>
      <x:c r="C278" s="3" t="n">
        <x:v>1</x:v>
      </x:c>
      <x:c r="D278" s="3" t="n">
        <x:v>37</x:v>
      </x:c>
      <x:c r="E278" s="3" t="n">
        <x:v>6</x:v>
      </x:c>
      <x:c r="F278" s="3" t="n">
        <x:v>1</x:v>
      </x:c>
      <x:c r="G278" s="9" t="n">
        <x:v>0.18</x:v>
      </x:c>
      <x:c r="H278" s="9" t="n">
        <x:v>1.020746</x:v>
      </x:c>
      <x:c r="I278" s="9" t="n">
        <x:f>'Physical_Arcs'!R38</x:f>
        <x:v>6.305555555555555</x:v>
      </x:c>
      <x:c r="J278" s="9" t="n">
        <x:f>I278*'Parameters'!$C$18</x:f>
        <x:v>1.261111111111111</x:v>
      </x:c>
      <x:c r="K278" s="9" t="n">
        <x:f>J278*'Parameters'!$C$19</x:f>
        <x:v>1.5763888888888888</x:v>
      </x:c>
      <x:c r="L278" s="9" t="n">
        <x:f>I278*(1-0.40)-J278</x:f>
        <x:v>2.522222222222222</x:v>
      </x:c>
      <x:c r="M278" s="9" t="n">
        <x:f>'Physical_Arcs'!S38</x:f>
        <x:v>6.305555555555555</x:v>
      </x:c>
      <x:c r="N278" s="9" t="n">
        <x:f>M278*'Parameters'!$C$18</x:f>
        <x:v>1.261111111111111</x:v>
      </x:c>
      <x:c r="O278" s="9" t="n">
        <x:f>N278*'Parameters'!$C$19</x:f>
        <x:v>1.5763888888888888</x:v>
      </x:c>
      <x:c r="P278" s="9" t="n">
        <x:f>M278*(1-0.40)-N278</x:f>
        <x:v>2.522222222222222</x:v>
      </x:c>
      <x:c r="Q278" s="9" t="n">
        <x:f>'Physical_Arcs'!T38</x:f>
        <x:v>3.1666666666666665</x:v>
      </x:c>
      <x:c r="R278" s="9" t="n">
        <x:f>Q278*'Parameters'!$C$18</x:f>
        <x:v>0.6333333333333333</x:v>
      </x:c>
      <x:c r="S278" s="9" t="n">
        <x:f>R278*'Parameters'!$C$19</x:f>
        <x:v>0.7916666666666666</x:v>
      </x:c>
      <x:c r="T278" s="9" t="n">
        <x:f>Q278*(1-0.40)-R278</x:f>
        <x:v>1.2666666666666666</x:v>
      </x:c>
    </x:row>
    <x:row r="279" ht="21" customHeight="1">
      <x:c r="A279" s="3" t="n">
        <x:v>4</x:v>
      </x:c>
      <x:c r="B279" s="3" t="str">
        <x:v>00:40</x:v>
      </x:c>
      <x:c r="C279" s="3" t="n">
        <x:v>1</x:v>
      </x:c>
      <x:c r="D279" s="3" t="n">
        <x:v>38</x:v>
      </x:c>
      <x:c r="E279" s="3" t="n">
        <x:v>6</x:v>
      </x:c>
      <x:c r="F279" s="3" t="n">
        <x:v>3</x:v>
      </x:c>
      <x:c r="G279" s="9" t="n">
        <x:v>0.18</x:v>
      </x:c>
      <x:c r="H279" s="9" t="n">
        <x:v>1.149081</x:v>
      </x:c>
      <x:c r="I279" s="9" t="n">
        <x:f>'Physical_Arcs'!R39</x:f>
        <x:v>1.9166666666666667</x:v>
      </x:c>
      <x:c r="J279" s="9" t="n">
        <x:f>I279*'Parameters'!$C$18</x:f>
        <x:v>0.38333333333333336</x:v>
      </x:c>
      <x:c r="K279" s="9" t="n">
        <x:f>J279*'Parameters'!$C$19</x:f>
        <x:v>0.4791666666666667</x:v>
      </x:c>
      <x:c r="L279" s="9" t="n">
        <x:f>I279*(1-0.40)-J279</x:f>
        <x:v>0.7666666666666666</x:v>
      </x:c>
      <x:c r="M279" s="9" t="n">
        <x:f>'Physical_Arcs'!S39</x:f>
        <x:v>1.9166666666666667</x:v>
      </x:c>
      <x:c r="N279" s="9" t="n">
        <x:f>M279*'Parameters'!$C$18</x:f>
        <x:v>0.38333333333333336</x:v>
      </x:c>
      <x:c r="O279" s="9" t="n">
        <x:f>N279*'Parameters'!$C$19</x:f>
        <x:v>0.4791666666666667</x:v>
      </x:c>
      <x:c r="P279" s="9" t="n">
        <x:f>M279*(1-0.40)-N279</x:f>
        <x:v>0.7666666666666666</x:v>
      </x:c>
      <x:c r="Q279" s="9" t="n">
        <x:f>'Physical_Arcs'!T39</x:f>
        <x:v>0.9722222222222222</x:v>
      </x:c>
      <x:c r="R279" s="9" t="n">
        <x:f>Q279*'Parameters'!$C$18</x:f>
        <x:v>0.19444444444444445</x:v>
      </x:c>
      <x:c r="S279" s="9" t="n">
        <x:f>R279*'Parameters'!$C$19</x:f>
        <x:v>0.24305555555555555</x:v>
      </x:c>
      <x:c r="T279" s="9" t="n">
        <x:f>Q279*(1-0.40)-R279</x:f>
        <x:v>0.38888888888888884</x:v>
      </x:c>
    </x:row>
    <x:row r="280" ht="21" customHeight="1">
      <x:c r="A280" s="3" t="n">
        <x:v>4</x:v>
      </x:c>
      <x:c r="B280" s="3" t="str">
        <x:v>00:40</x:v>
      </x:c>
      <x:c r="C280" s="3" t="n">
        <x:v>1</x:v>
      </x:c>
      <x:c r="D280" s="3" t="n">
        <x:v>39</x:v>
      </x:c>
      <x:c r="E280" s="3" t="n">
        <x:v>7</x:v>
      </x:c>
      <x:c r="F280" s="3" t="n">
        <x:v>8</x:v>
      </x:c>
      <x:c r="G280" s="9" t="n">
        <x:v>0.18</x:v>
      </x:c>
      <x:c r="H280" s="9" t="n">
        <x:v>1.003268</x:v>
      </x:c>
      <x:c r="I280" s="9" t="n">
        <x:f>'Physical_Arcs'!R40</x:f>
        <x:v>17.02777777777778</x:v>
      </x:c>
      <x:c r="J280" s="9" t="n">
        <x:f>I280*'Parameters'!$C$18</x:f>
        <x:v>3.405555555555556</x:v>
      </x:c>
      <x:c r="K280" s="9" t="n">
        <x:f>J280*'Parameters'!$C$19</x:f>
        <x:v>4.256944444444445</x:v>
      </x:c>
      <x:c r="L280" s="9" t="n">
        <x:f>I280*(1-0.40)-J280</x:f>
        <x:v>6.811111111111111</x:v>
      </x:c>
      <x:c r="M280" s="9" t="n">
        <x:f>'Physical_Arcs'!S40</x:f>
        <x:v>17.02777777777778</x:v>
      </x:c>
      <x:c r="N280" s="9" t="n">
        <x:f>M280*'Parameters'!$C$18</x:f>
        <x:v>3.405555555555556</x:v>
      </x:c>
      <x:c r="O280" s="9" t="n">
        <x:f>N280*'Parameters'!$C$19</x:f>
        <x:v>4.256944444444445</x:v>
      </x:c>
      <x:c r="P280" s="9" t="n">
        <x:f>M280*(1-0.40)-N280</x:f>
        <x:v>6.811111111111111</x:v>
      </x:c>
      <x:c r="Q280" s="9" t="n">
        <x:f>'Physical_Arcs'!T40</x:f>
        <x:v>17.02777777777778</x:v>
      </x:c>
      <x:c r="R280" s="9" t="n">
        <x:f>Q280*'Parameters'!$C$18</x:f>
        <x:v>3.405555555555556</x:v>
      </x:c>
      <x:c r="S280" s="9" t="n">
        <x:f>R280*'Parameters'!$C$19</x:f>
        <x:v>4.256944444444445</x:v>
      </x:c>
      <x:c r="T280" s="9" t="n">
        <x:f>Q280*(1-0.40)-R280</x:f>
        <x:v>6.811111111111111</x:v>
      </x:c>
    </x:row>
    <x:row r="281" ht="21" customHeight="1">
      <x:c r="A281" s="3" t="n">
        <x:v>4</x:v>
      </x:c>
      <x:c r="B281" s="3" t="str">
        <x:v>00:40</x:v>
      </x:c>
      <x:c r="C281" s="3" t="n">
        <x:v>1</x:v>
      </x:c>
      <x:c r="D281" s="3" t="n">
        <x:v>40</x:v>
      </x:c>
      <x:c r="E281" s="3" t="n">
        <x:v>7</x:v>
      </x:c>
      <x:c r="F281" s="3" t="n">
        <x:v>1</x:v>
      </x:c>
      <x:c r="G281" s="9" t="n">
        <x:v>0.18</x:v>
      </x:c>
      <x:c r="H281" s="9" t="n">
        <x:v>1.057592</x:v>
      </x:c>
      <x:c r="I281" s="9" t="n">
        <x:f>'Physical_Arcs'!R41</x:f>
        <x:v>7.972222222222222</x:v>
      </x:c>
      <x:c r="J281" s="9" t="n">
        <x:f>I281*'Parameters'!$C$18</x:f>
        <x:v>1.5944444444444446</x:v>
      </x:c>
      <x:c r="K281" s="9" t="n">
        <x:f>J281*'Parameters'!$C$19</x:f>
        <x:v>1.9930555555555558</x:v>
      </x:c>
      <x:c r="L281" s="9" t="n">
        <x:f>I281*(1-0.40)-J281</x:f>
        <x:v>3.1888888888888887</x:v>
      </x:c>
      <x:c r="M281" s="9" t="n">
        <x:f>'Physical_Arcs'!S41</x:f>
        <x:v>7.972222222222222</x:v>
      </x:c>
      <x:c r="N281" s="9" t="n">
        <x:f>M281*'Parameters'!$C$18</x:f>
        <x:v>1.5944444444444446</x:v>
      </x:c>
      <x:c r="O281" s="9" t="n">
        <x:f>N281*'Parameters'!$C$19</x:f>
        <x:v>1.9930555555555558</x:v>
      </x:c>
      <x:c r="P281" s="9" t="n">
        <x:f>M281*(1-0.40)-N281</x:f>
        <x:v>3.1888888888888887</x:v>
      </x:c>
      <x:c r="Q281" s="9" t="n">
        <x:f>'Physical_Arcs'!T41</x:f>
        <x:v>4</x:v>
      </x:c>
      <x:c r="R281" s="9" t="n">
        <x:f>Q281*'Parameters'!$C$18</x:f>
        <x:v>0.8</x:v>
      </x:c>
      <x:c r="S281" s="9" t="n">
        <x:f>R281*'Parameters'!$C$19</x:f>
        <x:v>1</x:v>
      </x:c>
      <x:c r="T281" s="9" t="n">
        <x:f>Q281*(1-0.40)-R281</x:f>
        <x:v>1.5999999999999999</x:v>
      </x:c>
    </x:row>
    <x:row r="282" ht="21" customHeight="1">
      <x:c r="A282" s="3" t="n">
        <x:v>4</x:v>
      </x:c>
      <x:c r="B282" s="3" t="str">
        <x:v>00:40</x:v>
      </x:c>
      <x:c r="C282" s="3" t="n">
        <x:v>1</x:v>
      </x:c>
      <x:c r="D282" s="3" t="n">
        <x:v>41</x:v>
      </x:c>
      <x:c r="E282" s="3" t="n">
        <x:v>7</x:v>
      </x:c>
      <x:c r="F282" s="3" t="n">
        <x:v>9</x:v>
      </x:c>
      <x:c r="G282" s="9" t="n">
        <x:v>0.18</x:v>
      </x:c>
      <x:c r="H282" s="9" t="n">
        <x:v>1.14801</x:v>
      </x:c>
      <x:c r="I282" s="9" t="n">
        <x:f>'Physical_Arcs'!R42</x:f>
        <x:v>8.88888888888889</x:v>
      </x:c>
      <x:c r="J282" s="9" t="n">
        <x:f>I282*'Parameters'!$C$18</x:f>
        <x:v>1.777777777777778</x:v>
      </x:c>
      <x:c r="K282" s="9" t="n">
        <x:f>J282*'Parameters'!$C$19</x:f>
        <x:v>2.2222222222222223</x:v>
      </x:c>
      <x:c r="L282" s="9" t="n">
        <x:f>I282*(1-0.40)-J282</x:f>
        <x:v>3.5555555555555554</x:v>
      </x:c>
      <x:c r="M282" s="9" t="n">
        <x:f>'Physical_Arcs'!S42</x:f>
        <x:v>8.88888888888889</x:v>
      </x:c>
      <x:c r="N282" s="9" t="n">
        <x:f>M282*'Parameters'!$C$18</x:f>
        <x:v>1.777777777777778</x:v>
      </x:c>
      <x:c r="O282" s="9" t="n">
        <x:f>N282*'Parameters'!$C$19</x:f>
        <x:v>2.2222222222222223</x:v>
      </x:c>
      <x:c r="P282" s="9" t="n">
        <x:f>M282*(1-0.40)-N282</x:f>
        <x:v>3.5555555555555554</x:v>
      </x:c>
      <x:c r="Q282" s="9" t="n">
        <x:f>'Physical_Arcs'!T42</x:f>
        <x:v>4.444444444444445</x:v>
      </x:c>
      <x:c r="R282" s="9" t="n">
        <x:f>Q282*'Parameters'!$C$18</x:f>
        <x:v>0.888888888888889</x:v>
      </x:c>
      <x:c r="S282" s="9" t="n">
        <x:f>R282*'Parameters'!$C$19</x:f>
        <x:v>1.1111111111111112</x:v>
      </x:c>
      <x:c r="T282" s="9" t="n">
        <x:f>Q282*(1-0.40)-R282</x:f>
        <x:v>1.7777777777777777</x:v>
      </x:c>
    </x:row>
    <x:row r="283" ht="21" customHeight="1">
      <x:c r="A283" s="3" t="n">
        <x:v>4</x:v>
      </x:c>
      <x:c r="B283" s="3" t="str">
        <x:v>00:40</x:v>
      </x:c>
      <x:c r="C283" s="3" t="n">
        <x:v>1</x:v>
      </x:c>
      <x:c r="D283" s="3" t="n">
        <x:v>42</x:v>
      </x:c>
      <x:c r="E283" s="3" t="n">
        <x:v>7</x:v>
      </x:c>
      <x:c r="F283" s="3" t="n">
        <x:v>2</x:v>
      </x:c>
      <x:c r="G283" s="9" t="n">
        <x:v>0.18</x:v>
      </x:c>
      <x:c r="H283" s="9" t="n">
        <x:v>0.989237</x:v>
      </x:c>
      <x:c r="I283" s="9" t="n">
        <x:f>'Physical_Arcs'!R43</x:f>
        <x:v>9</x:v>
      </x:c>
      <x:c r="J283" s="9" t="n">
        <x:f>I283*'Parameters'!$C$18</x:f>
        <x:v>1.8</x:v>
      </x:c>
      <x:c r="K283" s="9" t="n">
        <x:f>J283*'Parameters'!$C$19</x:f>
        <x:v>2.25</x:v>
      </x:c>
      <x:c r="L283" s="9" t="n">
        <x:f>I283*(1-0.40)-J283</x:f>
        <x:v>3.5999999999999996</x:v>
      </x:c>
      <x:c r="M283" s="9" t="n">
        <x:f>'Physical_Arcs'!S43</x:f>
        <x:v>9</x:v>
      </x:c>
      <x:c r="N283" s="9" t="n">
        <x:f>M283*'Parameters'!$C$18</x:f>
        <x:v>1.8</x:v>
      </x:c>
      <x:c r="O283" s="9" t="n">
        <x:f>N283*'Parameters'!$C$19</x:f>
        <x:v>2.25</x:v>
      </x:c>
      <x:c r="P283" s="9" t="n">
        <x:f>M283*(1-0.40)-N283</x:f>
        <x:v>3.5999999999999996</x:v>
      </x:c>
      <x:c r="Q283" s="9" t="n">
        <x:f>'Physical_Arcs'!T43</x:f>
        <x:v>4.5</x:v>
      </x:c>
      <x:c r="R283" s="9" t="n">
        <x:f>Q283*'Parameters'!$C$18</x:f>
        <x:v>0.9</x:v>
      </x:c>
      <x:c r="S283" s="9" t="n">
        <x:f>R283*'Parameters'!$C$19</x:f>
        <x:v>1.125</x:v>
      </x:c>
      <x:c r="T283" s="9" t="n">
        <x:f>Q283*(1-0.40)-R283</x:f>
        <x:v>1.7999999999999998</x:v>
      </x:c>
    </x:row>
    <x:row r="284" ht="21" customHeight="1">
      <x:c r="A284" s="3" t="n">
        <x:v>4</x:v>
      </x:c>
      <x:c r="B284" s="3" t="str">
        <x:v>00:40</x:v>
      </x:c>
      <x:c r="C284" s="3" t="n">
        <x:v>1</x:v>
      </x:c>
      <x:c r="D284" s="3" t="n">
        <x:v>43</x:v>
      </x:c>
      <x:c r="E284" s="3" t="n">
        <x:v>7</x:v>
      </x:c>
      <x:c r="F284" s="3" t="n">
        <x:v>3</x:v>
      </x:c>
      <x:c r="G284" s="9" t="n">
        <x:v>0.18</x:v>
      </x:c>
      <x:c r="H284" s="9" t="n">
        <x:v>1.050432</x:v>
      </x:c>
      <x:c r="I284" s="9" t="n">
        <x:f>'Physical_Arcs'!R44</x:f>
        <x:v>7.638888888888889</x:v>
      </x:c>
      <x:c r="J284" s="9" t="n">
        <x:f>I284*'Parameters'!$C$18</x:f>
        <x:v>1.527777777777778</x:v>
      </x:c>
      <x:c r="K284" s="9" t="n">
        <x:f>J284*'Parameters'!$C$19</x:f>
        <x:v>1.9097222222222223</x:v>
      </x:c>
      <x:c r="L284" s="9" t="n">
        <x:f>I284*(1-0.40)-J284</x:f>
        <x:v>3.0555555555555554</x:v>
      </x:c>
      <x:c r="M284" s="9" t="n">
        <x:f>'Physical_Arcs'!S44</x:f>
        <x:v>7.638888888888889</x:v>
      </x:c>
      <x:c r="N284" s="9" t="n">
        <x:f>M284*'Parameters'!$C$18</x:f>
        <x:v>1.527777777777778</x:v>
      </x:c>
      <x:c r="O284" s="9" t="n">
        <x:f>N284*'Parameters'!$C$19</x:f>
        <x:v>1.9097222222222223</x:v>
      </x:c>
      <x:c r="P284" s="9" t="n">
        <x:f>M284*(1-0.40)-N284</x:f>
        <x:v>3.0555555555555554</x:v>
      </x:c>
      <x:c r="Q284" s="9" t="n">
        <x:f>'Physical_Arcs'!T44</x:f>
        <x:v>3.8333333333333335</x:v>
      </x:c>
      <x:c r="R284" s="9" t="n">
        <x:f>Q284*'Parameters'!$C$18</x:f>
        <x:v>0.7666666666666667</x:v>
      </x:c>
      <x:c r="S284" s="9" t="n">
        <x:f>R284*'Parameters'!$C$19</x:f>
        <x:v>0.9583333333333334</x:v>
      </x:c>
      <x:c r="T284" s="9" t="n">
        <x:f>Q284*(1-0.40)-R284</x:f>
        <x:v>1.5333333333333332</x:v>
      </x:c>
    </x:row>
    <x:row r="285" ht="21" customHeight="1">
      <x:c r="A285" s="3" t="n">
        <x:v>4</x:v>
      </x:c>
      <x:c r="B285" s="3" t="str">
        <x:v>00:40</x:v>
      </x:c>
      <x:c r="C285" s="3" t="n">
        <x:v>1</x:v>
      </x:c>
      <x:c r="D285" s="3" t="n">
        <x:v>44</x:v>
      </x:c>
      <x:c r="E285" s="3" t="n">
        <x:v>8</x:v>
      </x:c>
      <x:c r="F285" s="3" t="n">
        <x:v>9</x:v>
      </x:c>
      <x:c r="G285" s="9" t="n">
        <x:v>0.18</x:v>
      </x:c>
      <x:c r="H285" s="9" t="n">
        <x:v>0.868101</x:v>
      </x:c>
      <x:c r="I285" s="9" t="n">
        <x:f>'Physical_Arcs'!R45</x:f>
        <x:v>17.02777777777778</x:v>
      </x:c>
      <x:c r="J285" s="9" t="n">
        <x:f>I285*'Parameters'!$C$18</x:f>
        <x:v>3.405555555555556</x:v>
      </x:c>
      <x:c r="K285" s="9" t="n">
        <x:f>J285*'Parameters'!$C$19</x:f>
        <x:v>4.256944444444445</x:v>
      </x:c>
      <x:c r="L285" s="9" t="n">
        <x:f>I285*(1-0.40)-J285</x:f>
        <x:v>6.811111111111111</x:v>
      </x:c>
      <x:c r="M285" s="9" t="n">
        <x:f>'Physical_Arcs'!S45</x:f>
        <x:v>17.02777777777778</x:v>
      </x:c>
      <x:c r="N285" s="9" t="n">
        <x:f>M285*'Parameters'!$C$18</x:f>
        <x:v>3.405555555555556</x:v>
      </x:c>
      <x:c r="O285" s="9" t="n">
        <x:f>N285*'Parameters'!$C$19</x:f>
        <x:v>4.256944444444445</x:v>
      </x:c>
      <x:c r="P285" s="9" t="n">
        <x:f>M285*(1-0.40)-N285</x:f>
        <x:v>6.811111111111111</x:v>
      </x:c>
      <x:c r="Q285" s="9" t="n">
        <x:f>'Physical_Arcs'!T45</x:f>
        <x:v>17.02777777777778</x:v>
      </x:c>
      <x:c r="R285" s="9" t="n">
        <x:f>Q285*'Parameters'!$C$18</x:f>
        <x:v>3.405555555555556</x:v>
      </x:c>
      <x:c r="S285" s="9" t="n">
        <x:f>R285*'Parameters'!$C$19</x:f>
        <x:v>4.256944444444445</x:v>
      </x:c>
      <x:c r="T285" s="9" t="n">
        <x:f>Q285*(1-0.40)-R285</x:f>
        <x:v>6.811111111111111</x:v>
      </x:c>
    </x:row>
    <x:row r="286" ht="21" customHeight="1">
      <x:c r="A286" s="3" t="n">
        <x:v>4</x:v>
      </x:c>
      <x:c r="B286" s="3" t="str">
        <x:v>00:40</x:v>
      </x:c>
      <x:c r="C286" s="3" t="n">
        <x:v>1</x:v>
      </x:c>
      <x:c r="D286" s="3" t="n">
        <x:v>45</x:v>
      </x:c>
      <x:c r="E286" s="3" t="n">
        <x:v>8</x:v>
      </x:c>
      <x:c r="F286" s="3" t="n">
        <x:v>3</x:v>
      </x:c>
      <x:c r="G286" s="9" t="n">
        <x:v>0.18</x:v>
      </x:c>
      <x:c r="H286" s="9" t="n">
        <x:v>0.944958</x:v>
      </x:c>
      <x:c r="I286" s="9" t="n">
        <x:f>'Physical_Arcs'!R46</x:f>
        <x:v>5.388888888888889</x:v>
      </x:c>
      <x:c r="J286" s="9" t="n">
        <x:f>I286*'Parameters'!$C$18</x:f>
        <x:v>1.077777777777778</x:v>
      </x:c>
      <x:c r="K286" s="9" t="n">
        <x:f>J286*'Parameters'!$C$19</x:f>
        <x:v>1.3472222222222223</x:v>
      </x:c>
      <x:c r="L286" s="9" t="n">
        <x:f>I286*(1-0.40)-J286</x:f>
        <x:v>2.1555555555555554</x:v>
      </x:c>
      <x:c r="M286" s="9" t="n">
        <x:f>'Physical_Arcs'!S46</x:f>
        <x:v>5.388888888888889</x:v>
      </x:c>
      <x:c r="N286" s="9" t="n">
        <x:f>M286*'Parameters'!$C$18</x:f>
        <x:v>1.077777777777778</x:v>
      </x:c>
      <x:c r="O286" s="9" t="n">
        <x:f>N286*'Parameters'!$C$19</x:f>
        <x:v>1.3472222222222223</x:v>
      </x:c>
      <x:c r="P286" s="9" t="n">
        <x:f>M286*(1-0.40)-N286</x:f>
        <x:v>2.1555555555555554</x:v>
      </x:c>
      <x:c r="Q286" s="9" t="n">
        <x:f>'Physical_Arcs'!T46</x:f>
        <x:v>2.6944444444444446</x:v>
      </x:c>
      <x:c r="R286" s="9" t="n">
        <x:f>Q286*'Parameters'!$C$18</x:f>
        <x:v>0.538888888888889</x:v>
      </x:c>
      <x:c r="S286" s="9" t="n">
        <x:f>R286*'Parameters'!$C$19</x:f>
        <x:v>0.6736111111111112</x:v>
      </x:c>
      <x:c r="T286" s="9" t="n">
        <x:f>Q286*(1-0.40)-R286</x:f>
        <x:v>1.0777777777777777</x:v>
      </x:c>
    </x:row>
    <x:row r="287" ht="21" customHeight="1">
      <x:c r="A287" s="3" t="n">
        <x:v>4</x:v>
      </x:c>
      <x:c r="B287" s="3" t="str">
        <x:v>00:40</x:v>
      </x:c>
      <x:c r="C287" s="3" t="n">
        <x:v>1</x:v>
      </x:c>
      <x:c r="D287" s="3" t="n">
        <x:v>46</x:v>
      </x:c>
      <x:c r="E287" s="3" t="n">
        <x:v>8</x:v>
      </x:c>
      <x:c r="F287" s="3" t="n">
        <x:v>7</x:v>
      </x:c>
      <x:c r="G287" s="9" t="n">
        <x:v>0.18</x:v>
      </x:c>
      <x:c r="H287" s="9" t="n">
        <x:v>0.866232</x:v>
      </x:c>
      <x:c r="I287" s="9" t="n">
        <x:f>'Physical_Arcs'!R47</x:f>
        <x:v>5.388888888888889</x:v>
      </x:c>
      <x:c r="J287" s="9" t="n">
        <x:f>I287*'Parameters'!$C$18</x:f>
        <x:v>1.077777777777778</x:v>
      </x:c>
      <x:c r="K287" s="9" t="n">
        <x:f>J287*'Parameters'!$C$19</x:f>
        <x:v>1.3472222222222223</x:v>
      </x:c>
      <x:c r="L287" s="9" t="n">
        <x:f>I287*(1-0.40)-J287</x:f>
        <x:v>2.1555555555555554</x:v>
      </x:c>
      <x:c r="M287" s="9" t="n">
        <x:f>'Physical_Arcs'!S47</x:f>
        <x:v>5.388888888888889</x:v>
      </x:c>
      <x:c r="N287" s="9" t="n">
        <x:f>M287*'Parameters'!$C$18</x:f>
        <x:v>1.077777777777778</x:v>
      </x:c>
      <x:c r="O287" s="9" t="n">
        <x:f>N287*'Parameters'!$C$19</x:f>
        <x:v>1.3472222222222223</x:v>
      </x:c>
      <x:c r="P287" s="9" t="n">
        <x:f>M287*(1-0.40)-N287</x:f>
        <x:v>2.1555555555555554</x:v>
      </x:c>
      <x:c r="Q287" s="9" t="n">
        <x:f>'Physical_Arcs'!T47</x:f>
        <x:v>2.6944444444444446</x:v>
      </x:c>
      <x:c r="R287" s="9" t="n">
        <x:f>Q287*'Parameters'!$C$18</x:f>
        <x:v>0.538888888888889</x:v>
      </x:c>
      <x:c r="S287" s="9" t="n">
        <x:f>R287*'Parameters'!$C$19</x:f>
        <x:v>0.6736111111111112</x:v>
      </x:c>
      <x:c r="T287" s="9" t="n">
        <x:f>Q287*(1-0.40)-R287</x:f>
        <x:v>1.0777777777777777</x:v>
      </x:c>
    </x:row>
    <x:row r="288" ht="21" customHeight="1">
      <x:c r="A288" s="3" t="n">
        <x:v>4</x:v>
      </x:c>
      <x:c r="B288" s="3" t="str">
        <x:v>00:40</x:v>
      </x:c>
      <x:c r="C288" s="3" t="n">
        <x:v>1</x:v>
      </x:c>
      <x:c r="D288" s="3" t="n">
        <x:v>47</x:v>
      </x:c>
      <x:c r="E288" s="3" t="n">
        <x:v>8</x:v>
      </x:c>
      <x:c r="F288" s="3" t="n">
        <x:v>2</x:v>
      </x:c>
      <x:c r="G288" s="9" t="n">
        <x:v>0.18</x:v>
      </x:c>
      <x:c r="H288" s="9" t="n">
        <x:v>1.135644</x:v>
      </x:c>
      <x:c r="I288" s="9" t="n">
        <x:f>'Physical_Arcs'!R48</x:f>
        <x:v>8.083333333333334</x:v>
      </x:c>
      <x:c r="J288" s="9" t="n">
        <x:f>I288*'Parameters'!$C$18</x:f>
        <x:v>1.616666666666667</x:v>
      </x:c>
      <x:c r="K288" s="9" t="n">
        <x:f>J288*'Parameters'!$C$19</x:f>
        <x:v>2.0208333333333335</x:v>
      </x:c>
      <x:c r="L288" s="9" t="n">
        <x:f>I288*(1-0.40)-J288</x:f>
        <x:v>3.2333333333333334</x:v>
      </x:c>
      <x:c r="M288" s="9" t="n">
        <x:f>'Physical_Arcs'!S48</x:f>
        <x:v>8.083333333333334</x:v>
      </x:c>
      <x:c r="N288" s="9" t="n">
        <x:f>M288*'Parameters'!$C$18</x:f>
        <x:v>1.616666666666667</x:v>
      </x:c>
      <x:c r="O288" s="9" t="n">
        <x:f>N288*'Parameters'!$C$19</x:f>
        <x:v>2.0208333333333335</x:v>
      </x:c>
      <x:c r="P288" s="9" t="n">
        <x:f>M288*(1-0.40)-N288</x:f>
        <x:v>3.2333333333333334</x:v>
      </x:c>
      <x:c r="Q288" s="9" t="n">
        <x:f>'Physical_Arcs'!T48</x:f>
        <x:v>4.055555555555555</x:v>
      </x:c>
      <x:c r="R288" s="9" t="n">
        <x:f>Q288*'Parameters'!$C$18</x:f>
        <x:v>0.8111111111111111</x:v>
      </x:c>
      <x:c r="S288" s="9" t="n">
        <x:f>R288*'Parameters'!$C$19</x:f>
        <x:v>1.0138888888888888</x:v>
      </x:c>
      <x:c r="T288" s="9" t="n">
        <x:f>Q288*(1-0.40)-R288</x:f>
        <x:v>1.622222222222222</x:v>
      </x:c>
    </x:row>
    <x:row r="289" ht="21" customHeight="1">
      <x:c r="A289" s="3" t="n">
        <x:v>4</x:v>
      </x:c>
      <x:c r="B289" s="3" t="str">
        <x:v>00:40</x:v>
      </x:c>
      <x:c r="C289" s="3" t="n">
        <x:v>1</x:v>
      </x:c>
      <x:c r="D289" s="3" t="n">
        <x:v>48</x:v>
      </x:c>
      <x:c r="E289" s="3" t="n">
        <x:v>8</x:v>
      </x:c>
      <x:c r="F289" s="3" t="n">
        <x:v>6</x:v>
      </x:c>
      <x:c r="G289" s="9" t="n">
        <x:v>0.18</x:v>
      </x:c>
      <x:c r="H289" s="9" t="n">
        <x:v>0.850778</x:v>
      </x:c>
      <x:c r="I289" s="9" t="n">
        <x:f>'Physical_Arcs'!R49</x:f>
        <x:v>10.555555555555555</x:v>
      </x:c>
      <x:c r="J289" s="9" t="n">
        <x:f>I289*'Parameters'!$C$18</x:f>
        <x:v>2.111111111111111</x:v>
      </x:c>
      <x:c r="K289" s="9" t="n">
        <x:f>J289*'Parameters'!$C$19</x:f>
        <x:v>2.638888888888889</x:v>
      </x:c>
      <x:c r="L289" s="9" t="n">
        <x:f>I289*(1-0.40)-J289</x:f>
        <x:v>4.222222222222221</x:v>
      </x:c>
      <x:c r="M289" s="9" t="n">
        <x:f>'Physical_Arcs'!S49</x:f>
        <x:v>10.555555555555555</x:v>
      </x:c>
      <x:c r="N289" s="9" t="n">
        <x:f>M289*'Parameters'!$C$18</x:f>
        <x:v>2.111111111111111</x:v>
      </x:c>
      <x:c r="O289" s="9" t="n">
        <x:f>N289*'Parameters'!$C$19</x:f>
        <x:v>2.638888888888889</x:v>
      </x:c>
      <x:c r="P289" s="9" t="n">
        <x:f>M289*(1-0.40)-N289</x:f>
        <x:v>4.222222222222221</x:v>
      </x:c>
      <x:c r="Q289" s="9" t="n">
        <x:f>'Physical_Arcs'!T49</x:f>
        <x:v>5.277777777777778</x:v>
      </x:c>
      <x:c r="R289" s="9" t="n">
        <x:f>Q289*'Parameters'!$C$18</x:f>
        <x:v>1.0555555555555556</x:v>
      </x:c>
      <x:c r="S289" s="9" t="n">
        <x:f>R289*'Parameters'!$C$19</x:f>
        <x:v>1.3194444444444444</x:v>
      </x:c>
      <x:c r="T289" s="9" t="n">
        <x:f>Q289*(1-0.40)-R289</x:f>
        <x:v>2.1111111111111107</x:v>
      </x:c>
    </x:row>
    <x:row r="290" ht="21" customHeight="1">
      <x:c r="A290" s="3" t="n">
        <x:v>4</x:v>
      </x:c>
      <x:c r="B290" s="3" t="str">
        <x:v>00:40</x:v>
      </x:c>
      <x:c r="C290" s="3" t="n">
        <x:v>1</x:v>
      </x:c>
      <x:c r="D290" s="3" t="n">
        <x:v>49</x:v>
      </x:c>
      <x:c r="E290" s="3" t="n">
        <x:v>8</x:v>
      </x:c>
      <x:c r="F290" s="3" t="n">
        <x:v>4</x:v>
      </x:c>
      <x:c r="G290" s="9" t="n">
        <x:v>0.18</x:v>
      </x:c>
      <x:c r="H290" s="9" t="n">
        <x:v>0.904949</x:v>
      </x:c>
      <x:c r="I290" s="9" t="n">
        <x:f>'Physical_Arcs'!R50</x:f>
        <x:v>1.5833333333333333</x:v>
      </x:c>
      <x:c r="J290" s="9" t="n">
        <x:f>I290*'Parameters'!$C$18</x:f>
        <x:v>0.31666666666666665</x:v>
      </x:c>
      <x:c r="K290" s="9" t="n">
        <x:f>J290*'Parameters'!$C$19</x:f>
        <x:v>0.3958333333333333</x:v>
      </x:c>
      <x:c r="L290" s="9" t="n">
        <x:f>I290*(1-0.40)-J290</x:f>
        <x:v>0.6333333333333333</x:v>
      </x:c>
      <x:c r="M290" s="9" t="n">
        <x:f>'Physical_Arcs'!S50</x:f>
        <x:v>1.5833333333333333</x:v>
      </x:c>
      <x:c r="N290" s="9" t="n">
        <x:f>M290*'Parameters'!$C$18</x:f>
        <x:v>0.31666666666666665</x:v>
      </x:c>
      <x:c r="O290" s="9" t="n">
        <x:f>N290*'Parameters'!$C$19</x:f>
        <x:v>0.3958333333333333</x:v>
      </x:c>
      <x:c r="P290" s="9" t="n">
        <x:f>M290*(1-0.40)-N290</x:f>
        <x:v>0.6333333333333333</x:v>
      </x:c>
      <x:c r="Q290" s="9" t="n">
        <x:f>'Physical_Arcs'!T50</x:f>
        <x:v>0.8055555555555556</x:v>
      </x:c>
      <x:c r="R290" s="9" t="n">
        <x:f>Q290*'Parameters'!$C$18</x:f>
        <x:v>0.16111111111111112</x:v>
      </x:c>
      <x:c r="S290" s="9" t="n">
        <x:f>R290*'Parameters'!$C$19</x:f>
        <x:v>0.2013888888888889</x:v>
      </x:c>
      <x:c r="T290" s="9" t="n">
        <x:f>Q290*(1-0.40)-R290</x:f>
        <x:v>0.3222222222222222</x:v>
      </x:c>
    </x:row>
    <x:row r="291" ht="21" customHeight="1">
      <x:c r="A291" s="3" t="n">
        <x:v>4</x:v>
      </x:c>
      <x:c r="B291" s="3" t="str">
        <x:v>00:40</x:v>
      </x:c>
      <x:c r="C291" s="3" t="n">
        <x:v>1</x:v>
      </x:c>
      <x:c r="D291" s="3" t="n">
        <x:v>50</x:v>
      </x:c>
      <x:c r="E291" s="3" t="n">
        <x:v>8</x:v>
      </x:c>
      <x:c r="F291" s="3" t="n">
        <x:v>5</x:v>
      </x:c>
      <x:c r="G291" s="9" t="n">
        <x:v>0.18</x:v>
      </x:c>
      <x:c r="H291" s="9" t="n">
        <x:v>0.990416</x:v>
      </x:c>
      <x:c r="I291" s="9" t="n">
        <x:f>'Physical_Arcs'!R51</x:f>
        <x:v>10.777777777777779</x:v>
      </x:c>
      <x:c r="J291" s="9" t="n">
        <x:f>I291*'Parameters'!$C$18</x:f>
        <x:v>2.155555555555556</x:v>
      </x:c>
      <x:c r="K291" s="9" t="n">
        <x:f>J291*'Parameters'!$C$19</x:f>
        <x:v>2.6944444444444446</x:v>
      </x:c>
      <x:c r="L291" s="9" t="n">
        <x:f>I291*(1-0.40)-J291</x:f>
        <x:v>4.311111111111111</x:v>
      </x:c>
      <x:c r="M291" s="9" t="n">
        <x:f>'Physical_Arcs'!S51</x:f>
        <x:v>10.777777777777779</x:v>
      </x:c>
      <x:c r="N291" s="9" t="n">
        <x:f>M291*'Parameters'!$C$18</x:f>
        <x:v>2.155555555555556</x:v>
      </x:c>
      <x:c r="O291" s="9" t="n">
        <x:f>N291*'Parameters'!$C$19</x:f>
        <x:v>2.6944444444444446</x:v>
      </x:c>
      <x:c r="P291" s="9" t="n">
        <x:f>M291*(1-0.40)-N291</x:f>
        <x:v>4.311111111111111</x:v>
      </x:c>
      <x:c r="Q291" s="9" t="n">
        <x:f>'Physical_Arcs'!T51</x:f>
        <x:v>5.388888888888889</x:v>
      </x:c>
      <x:c r="R291" s="9" t="n">
        <x:f>Q291*'Parameters'!$C$18</x:f>
        <x:v>1.077777777777778</x:v>
      </x:c>
      <x:c r="S291" s="9" t="n">
        <x:f>R291*'Parameters'!$C$19</x:f>
        <x:v>1.3472222222222223</x:v>
      </x:c>
      <x:c r="T291" s="9" t="n">
        <x:f>Q291*(1-0.40)-R291</x:f>
        <x:v>2.1555555555555554</x:v>
      </x:c>
    </x:row>
    <x:row r="292" ht="21" customHeight="1">
      <x:c r="A292" s="3" t="n">
        <x:v>4</x:v>
      </x:c>
      <x:c r="B292" s="3" t="str">
        <x:v>00:40</x:v>
      </x:c>
      <x:c r="C292" s="3" t="n">
        <x:v>1</x:v>
      </x:c>
      <x:c r="D292" s="3" t="n">
        <x:v>51</x:v>
      </x:c>
      <x:c r="E292" s="3" t="n">
        <x:v>8</x:v>
      </x:c>
      <x:c r="F292" s="3" t="n">
        <x:v>1</x:v>
      </x:c>
      <x:c r="G292" s="9" t="n">
        <x:v>0.18</x:v>
      </x:c>
      <x:c r="H292" s="9" t="n">
        <x:v>1.039066</x:v>
      </x:c>
      <x:c r="I292" s="9" t="n">
        <x:f>'Physical_Arcs'!R52</x:f>
        <x:v>8.88888888888889</x:v>
      </x:c>
      <x:c r="J292" s="9" t="n">
        <x:f>I292*'Parameters'!$C$18</x:f>
        <x:v>1.777777777777778</x:v>
      </x:c>
      <x:c r="K292" s="9" t="n">
        <x:f>J292*'Parameters'!$C$19</x:f>
        <x:v>2.2222222222222223</x:v>
      </x:c>
      <x:c r="L292" s="9" t="n">
        <x:f>I292*(1-0.40)-J292</x:f>
        <x:v>3.5555555555555554</x:v>
      </x:c>
      <x:c r="M292" s="9" t="n">
        <x:f>'Physical_Arcs'!S52</x:f>
        <x:v>8.88888888888889</x:v>
      </x:c>
      <x:c r="N292" s="9" t="n">
        <x:f>M292*'Parameters'!$C$18</x:f>
        <x:v>1.777777777777778</x:v>
      </x:c>
      <x:c r="O292" s="9" t="n">
        <x:f>N292*'Parameters'!$C$19</x:f>
        <x:v>2.2222222222222223</x:v>
      </x:c>
      <x:c r="P292" s="9" t="n">
        <x:f>M292*(1-0.40)-N292</x:f>
        <x:v>3.5555555555555554</x:v>
      </x:c>
      <x:c r="Q292" s="9" t="n">
        <x:f>'Physical_Arcs'!T52</x:f>
        <x:v>4.444444444444445</x:v>
      </x:c>
      <x:c r="R292" s="9" t="n">
        <x:f>Q292*'Parameters'!$C$18</x:f>
        <x:v>0.888888888888889</x:v>
      </x:c>
      <x:c r="S292" s="9" t="n">
        <x:f>R292*'Parameters'!$C$19</x:f>
        <x:v>1.1111111111111112</x:v>
      </x:c>
      <x:c r="T292" s="9" t="n">
        <x:f>Q292*(1-0.40)-R292</x:f>
        <x:v>1.7777777777777777</x:v>
      </x:c>
    </x:row>
    <x:row r="293" ht="21" customHeight="1">
      <x:c r="A293" s="3" t="n">
        <x:v>4</x:v>
      </x:c>
      <x:c r="B293" s="3" t="str">
        <x:v>00:40</x:v>
      </x:c>
      <x:c r="C293" s="3" t="n">
        <x:v>1</x:v>
      </x:c>
      <x:c r="D293" s="3" t="n">
        <x:v>52</x:v>
      </x:c>
      <x:c r="E293" s="3" t="n">
        <x:v>9</x:v>
      </x:c>
      <x:c r="F293" s="3" t="n">
        <x:v>10</x:v>
      </x:c>
      <x:c r="G293" s="9" t="n">
        <x:v>0.18</x:v>
      </x:c>
      <x:c r="H293" s="9" t="n">
        <x:v>0.954096</x:v>
      </x:c>
      <x:c r="I293" s="9" t="n">
        <x:f>'Physical_Arcs'!R53</x:f>
        <x:v>17.02777777777778</x:v>
      </x:c>
      <x:c r="J293" s="9" t="n">
        <x:f>I293*'Parameters'!$C$18</x:f>
        <x:v>3.405555555555556</x:v>
      </x:c>
      <x:c r="K293" s="9" t="n">
        <x:f>J293*'Parameters'!$C$19</x:f>
        <x:v>4.256944444444445</x:v>
      </x:c>
      <x:c r="L293" s="9" t="n">
        <x:f>I293*(1-0.40)-J293</x:f>
        <x:v>6.811111111111111</x:v>
      </x:c>
      <x:c r="M293" s="9" t="n">
        <x:f>'Physical_Arcs'!S53</x:f>
        <x:v>17.02777777777778</x:v>
      </x:c>
      <x:c r="N293" s="9" t="n">
        <x:f>M293*'Parameters'!$C$18</x:f>
        <x:v>3.405555555555556</x:v>
      </x:c>
      <x:c r="O293" s="9" t="n">
        <x:f>N293*'Parameters'!$C$19</x:f>
        <x:v>4.256944444444445</x:v>
      </x:c>
      <x:c r="P293" s="9" t="n">
        <x:f>M293*(1-0.40)-N293</x:f>
        <x:v>6.811111111111111</x:v>
      </x:c>
      <x:c r="Q293" s="9" t="n">
        <x:f>'Physical_Arcs'!T53</x:f>
        <x:v>17.02777777777778</x:v>
      </x:c>
      <x:c r="R293" s="9" t="n">
        <x:f>Q293*'Parameters'!$C$18</x:f>
        <x:v>3.405555555555556</x:v>
      </x:c>
      <x:c r="S293" s="9" t="n">
        <x:f>R293*'Parameters'!$C$19</x:f>
        <x:v>4.256944444444445</x:v>
      </x:c>
      <x:c r="T293" s="9" t="n">
        <x:f>Q293*(1-0.40)-R293</x:f>
        <x:v>6.811111111111111</x:v>
      </x:c>
    </x:row>
    <x:row r="294" ht="21" customHeight="1">
      <x:c r="A294" s="3" t="n">
        <x:v>4</x:v>
      </x:c>
      <x:c r="B294" s="3" t="str">
        <x:v>00:40</x:v>
      </x:c>
      <x:c r="C294" s="3" t="n">
        <x:v>1</x:v>
      </x:c>
      <x:c r="D294" s="3" t="n">
        <x:v>53</x:v>
      </x:c>
      <x:c r="E294" s="3" t="n">
        <x:v>9</x:v>
      </x:c>
      <x:c r="F294" s="3" t="n">
        <x:v>6</x:v>
      </x:c>
      <x:c r="G294" s="9" t="n">
        <x:v>0.18</x:v>
      </x:c>
      <x:c r="H294" s="9" t="n">
        <x:v>1.125574</x:v>
      </x:c>
      <x:c r="I294" s="9" t="n">
        <x:f>'Physical_Arcs'!R54</x:f>
        <x:v>9.666666666666666</x:v>
      </x:c>
      <x:c r="J294" s="9" t="n">
        <x:f>I294*'Parameters'!$C$18</x:f>
        <x:v>1.9333333333333333</x:v>
      </x:c>
      <x:c r="K294" s="9" t="n">
        <x:f>J294*'Parameters'!$C$19</x:f>
        <x:v>2.4166666666666665</x:v>
      </x:c>
      <x:c r="L294" s="9" t="n">
        <x:f>I294*(1-0.40)-J294</x:f>
        <x:v>3.8666666666666663</x:v>
      </x:c>
      <x:c r="M294" s="9" t="n">
        <x:f>'Physical_Arcs'!S54</x:f>
        <x:v>9.666666666666666</x:v>
      </x:c>
      <x:c r="N294" s="9" t="n">
        <x:f>M294*'Parameters'!$C$18</x:f>
        <x:v>1.9333333333333333</x:v>
      </x:c>
      <x:c r="O294" s="9" t="n">
        <x:f>N294*'Parameters'!$C$19</x:f>
        <x:v>2.4166666666666665</x:v>
      </x:c>
      <x:c r="P294" s="9" t="n">
        <x:f>M294*(1-0.40)-N294</x:f>
        <x:v>3.8666666666666663</x:v>
      </x:c>
      <x:c r="Q294" s="9" t="n">
        <x:f>'Physical_Arcs'!T54</x:f>
        <x:v>4.833333333333333</x:v>
      </x:c>
      <x:c r="R294" s="9" t="n">
        <x:f>Q294*'Parameters'!$C$18</x:f>
        <x:v>0.9666666666666667</x:v>
      </x:c>
      <x:c r="S294" s="9" t="n">
        <x:f>R294*'Parameters'!$C$19</x:f>
        <x:v>1.2083333333333333</x:v>
      </x:c>
      <x:c r="T294" s="9" t="n">
        <x:f>Q294*(1-0.40)-R294</x:f>
        <x:v>1.9333333333333331</x:v>
      </x:c>
    </x:row>
    <x:row r="295" ht="21" customHeight="1">
      <x:c r="A295" s="3" t="n">
        <x:v>4</x:v>
      </x:c>
      <x:c r="B295" s="3" t="str">
        <x:v>00:40</x:v>
      </x:c>
      <x:c r="C295" s="3" t="n">
        <x:v>1</x:v>
      </x:c>
      <x:c r="D295" s="3" t="n">
        <x:v>54</x:v>
      </x:c>
      <x:c r="E295" s="3" t="n">
        <x:v>9</x:v>
      </x:c>
      <x:c r="F295" s="3" t="n">
        <x:v>2</x:v>
      </x:c>
      <x:c r="G295" s="9" t="n">
        <x:v>0.18</x:v>
      </x:c>
      <x:c r="H295" s="9" t="n">
        <x:v>0.854534</x:v>
      </x:c>
      <x:c r="I295" s="9" t="n">
        <x:f>'Physical_Arcs'!R55</x:f>
        <x:v>9.88888888888889</x:v>
      </x:c>
      <x:c r="J295" s="9" t="n">
        <x:f>I295*'Parameters'!$C$18</x:f>
        <x:v>1.9777777777777779</x:v>
      </x:c>
      <x:c r="K295" s="9" t="n">
        <x:f>J295*'Parameters'!$C$19</x:f>
        <x:v>2.4722222222222223</x:v>
      </x:c>
      <x:c r="L295" s="9" t="n">
        <x:f>I295*(1-0.40)-J295</x:f>
        <x:v>3.9555555555555557</x:v>
      </x:c>
      <x:c r="M295" s="9" t="n">
        <x:f>'Physical_Arcs'!S55</x:f>
        <x:v>9.88888888888889</x:v>
      </x:c>
      <x:c r="N295" s="9" t="n">
        <x:f>M295*'Parameters'!$C$18</x:f>
        <x:v>1.9777777777777779</x:v>
      </x:c>
      <x:c r="O295" s="9" t="n">
        <x:f>N295*'Parameters'!$C$19</x:f>
        <x:v>2.4722222222222223</x:v>
      </x:c>
      <x:c r="P295" s="9" t="n">
        <x:f>M295*(1-0.40)-N295</x:f>
        <x:v>3.9555555555555557</x:v>
      </x:c>
      <x:c r="Q295" s="9" t="n">
        <x:f>'Physical_Arcs'!T55</x:f>
        <x:v>4.944444444444445</x:v>
      </x:c>
      <x:c r="R295" s="9" t="n">
        <x:f>Q295*'Parameters'!$C$18</x:f>
        <x:v>0.9888888888888889</x:v>
      </x:c>
      <x:c r="S295" s="9" t="n">
        <x:f>R295*'Parameters'!$C$19</x:f>
        <x:v>1.2361111111111112</x:v>
      </x:c>
      <x:c r="T295" s="9" t="n">
        <x:f>Q295*(1-0.40)-R295</x:f>
        <x:v>1.9777777777777779</x:v>
      </x:c>
    </x:row>
    <x:row r="296" ht="21" customHeight="1">
      <x:c r="A296" s="3" t="n">
        <x:v>4</x:v>
      </x:c>
      <x:c r="B296" s="3" t="str">
        <x:v>00:40</x:v>
      </x:c>
      <x:c r="C296" s="3" t="n">
        <x:v>1</x:v>
      </x:c>
      <x:c r="D296" s="3" t="n">
        <x:v>55</x:v>
      </x:c>
      <x:c r="E296" s="3" t="n">
        <x:v>9</x:v>
      </x:c>
      <x:c r="F296" s="3" t="n">
        <x:v>7</x:v>
      </x:c>
      <x:c r="G296" s="9" t="n">
        <x:v>0.18</x:v>
      </x:c>
      <x:c r="H296" s="9" t="n">
        <x:v>0.900033</x:v>
      </x:c>
      <x:c r="I296" s="9" t="n">
        <x:f>'Physical_Arcs'!R56</x:f>
        <x:v>4.166666666666667</x:v>
      </x:c>
      <x:c r="J296" s="9" t="n">
        <x:f>I296*'Parameters'!$C$18</x:f>
        <x:v>0.8333333333333335</x:v>
      </x:c>
      <x:c r="K296" s="9" t="n">
        <x:f>J296*'Parameters'!$C$19</x:f>
        <x:v>1.041666666666667</x:v>
      </x:c>
      <x:c r="L296" s="9" t="n">
        <x:f>I296*(1-0.40)-J296</x:f>
        <x:v>1.6666666666666665</x:v>
      </x:c>
      <x:c r="M296" s="9" t="n">
        <x:f>'Physical_Arcs'!S56</x:f>
        <x:v>4.166666666666667</x:v>
      </x:c>
      <x:c r="N296" s="9" t="n">
        <x:f>M296*'Parameters'!$C$18</x:f>
        <x:v>0.8333333333333335</x:v>
      </x:c>
      <x:c r="O296" s="9" t="n">
        <x:f>N296*'Parameters'!$C$19</x:f>
        <x:v>1.041666666666667</x:v>
      </x:c>
      <x:c r="P296" s="9" t="n">
        <x:f>M296*(1-0.40)-N296</x:f>
        <x:v>1.6666666666666665</x:v>
      </x:c>
      <x:c r="Q296" s="9" t="n">
        <x:f>'Physical_Arcs'!T56</x:f>
        <x:v>2.0833333333333335</x:v>
      </x:c>
      <x:c r="R296" s="9" t="n">
        <x:f>Q296*'Parameters'!$C$18</x:f>
        <x:v>0.41666666666666674</x:v>
      </x:c>
      <x:c r="S296" s="9" t="n">
        <x:f>R296*'Parameters'!$C$19</x:f>
        <x:v>0.5208333333333335</x:v>
      </x:c>
      <x:c r="T296" s="9" t="n">
        <x:f>Q296*(1-0.40)-R296</x:f>
        <x:v>0.8333333333333333</x:v>
      </x:c>
    </x:row>
    <x:row r="297" ht="21" customHeight="1">
      <x:c r="A297" s="3" t="n">
        <x:v>4</x:v>
      </x:c>
      <x:c r="B297" s="3" t="str">
        <x:v>00:40</x:v>
      </x:c>
      <x:c r="C297" s="3" t="n">
        <x:v>1</x:v>
      </x:c>
      <x:c r="D297" s="3" t="n">
        <x:v>56</x:v>
      </x:c>
      <x:c r="E297" s="3" t="n">
        <x:v>9</x:v>
      </x:c>
      <x:c r="F297" s="3" t="n">
        <x:v>3</x:v>
      </x:c>
      <x:c r="G297" s="9" t="n">
        <x:v>0.18</x:v>
      </x:c>
      <x:c r="H297" s="9" t="n">
        <x:v>0.893428</x:v>
      </x:c>
      <x:c r="I297" s="9" t="n">
        <x:f>'Physical_Arcs'!R57</x:f>
        <x:v>3.7222222222222223</x:v>
      </x:c>
      <x:c r="J297" s="9" t="n">
        <x:f>I297*'Parameters'!$C$18</x:f>
        <x:v>0.7444444444444445</x:v>
      </x:c>
      <x:c r="K297" s="9" t="n">
        <x:f>J297*'Parameters'!$C$19</x:f>
        <x:v>0.9305555555555556</x:v>
      </x:c>
      <x:c r="L297" s="9" t="n">
        <x:f>I297*(1-0.40)-J297</x:f>
        <x:v>1.488888888888889</x:v>
      </x:c>
      <x:c r="M297" s="9" t="n">
        <x:f>'Physical_Arcs'!S57</x:f>
        <x:v>3.7222222222222223</x:v>
      </x:c>
      <x:c r="N297" s="9" t="n">
        <x:f>M297*'Parameters'!$C$18</x:f>
        <x:v>0.7444444444444445</x:v>
      </x:c>
      <x:c r="O297" s="9" t="n">
        <x:f>N297*'Parameters'!$C$19</x:f>
        <x:v>0.9305555555555556</x:v>
      </x:c>
      <x:c r="P297" s="9" t="n">
        <x:f>M297*(1-0.40)-N297</x:f>
        <x:v>1.488888888888889</x:v>
      </x:c>
      <x:c r="Q297" s="9" t="n">
        <x:f>'Physical_Arcs'!T57</x:f>
        <x:v>1.8611111111111112</x:v>
      </x:c>
      <x:c r="R297" s="9" t="n">
        <x:f>Q297*'Parameters'!$C$18</x:f>
        <x:v>0.37222222222222223</x:v>
      </x:c>
      <x:c r="S297" s="9" t="n">
        <x:f>R297*'Parameters'!$C$19</x:f>
        <x:v>0.4652777777777778</x:v>
      </x:c>
      <x:c r="T297" s="9" t="n">
        <x:f>Q297*(1-0.40)-R297</x:f>
        <x:v>0.7444444444444445</x:v>
      </x:c>
    </x:row>
    <x:row r="298" ht="21" customHeight="1">
      <x:c r="A298" s="3" t="n">
        <x:v>4</x:v>
      </x:c>
      <x:c r="B298" s="3" t="str">
        <x:v>00:40</x:v>
      </x:c>
      <x:c r="C298" s="3" t="n">
        <x:v>1</x:v>
      </x:c>
      <x:c r="D298" s="3" t="n">
        <x:v>57</x:v>
      </x:c>
      <x:c r="E298" s="3" t="n">
        <x:v>10</x:v>
      </x:c>
      <x:c r="F298" s="3" t="n">
        <x:v>1</x:v>
      </x:c>
      <x:c r="G298" s="9" t="n">
        <x:v>0.18</x:v>
      </x:c>
      <x:c r="H298" s="9" t="n">
        <x:v>1.027979</x:v>
      </x:c>
      <x:c r="I298" s="9" t="n">
        <x:f>'Physical_Arcs'!R58</x:f>
        <x:v>17.02777777777778</x:v>
      </x:c>
      <x:c r="J298" s="9" t="n">
        <x:f>I298*'Parameters'!$C$18</x:f>
        <x:v>3.405555555555556</x:v>
      </x:c>
      <x:c r="K298" s="9" t="n">
        <x:f>J298*'Parameters'!$C$19</x:f>
        <x:v>4.256944444444445</x:v>
      </x:c>
      <x:c r="L298" s="9" t="n">
        <x:f>I298*(1-0.40)-J298</x:f>
        <x:v>6.811111111111111</x:v>
      </x:c>
      <x:c r="M298" s="9" t="n">
        <x:f>'Physical_Arcs'!S58</x:f>
        <x:v>17.02777777777778</x:v>
      </x:c>
      <x:c r="N298" s="9" t="n">
        <x:f>M298*'Parameters'!$C$18</x:f>
        <x:v>3.405555555555556</x:v>
      </x:c>
      <x:c r="O298" s="9" t="n">
        <x:f>N298*'Parameters'!$C$19</x:f>
        <x:v>4.256944444444445</x:v>
      </x:c>
      <x:c r="P298" s="9" t="n">
        <x:f>M298*(1-0.40)-N298</x:f>
        <x:v>6.811111111111111</x:v>
      </x:c>
      <x:c r="Q298" s="9" t="n">
        <x:f>'Physical_Arcs'!T58</x:f>
        <x:v>17.02777777777778</x:v>
      </x:c>
      <x:c r="R298" s="9" t="n">
        <x:f>Q298*'Parameters'!$C$18</x:f>
        <x:v>3.405555555555556</x:v>
      </x:c>
      <x:c r="S298" s="9" t="n">
        <x:f>R298*'Parameters'!$C$19</x:f>
        <x:v>4.256944444444445</x:v>
      </x:c>
      <x:c r="T298" s="9" t="n">
        <x:f>Q298*(1-0.40)-R298</x:f>
        <x:v>6.811111111111111</x:v>
      </x:c>
    </x:row>
    <x:row r="299" ht="21" customHeight="1">
      <x:c r="A299" s="3" t="n">
        <x:v>4</x:v>
      </x:c>
      <x:c r="B299" s="3" t="str">
        <x:v>00:40</x:v>
      </x:c>
      <x:c r="C299" s="3" t="n">
        <x:v>1</x:v>
      </x:c>
      <x:c r="D299" s="3" t="n">
        <x:v>58</x:v>
      </x:c>
      <x:c r="E299" s="3" t="n">
        <x:v>10</x:v>
      </x:c>
      <x:c r="F299" s="3" t="n">
        <x:v>6</x:v>
      </x:c>
      <x:c r="G299" s="9" t="n">
        <x:v>0.18</x:v>
      </x:c>
      <x:c r="H299" s="9" t="n">
        <x:v>0.952676</x:v>
      </x:c>
      <x:c r="I299" s="9" t="n">
        <x:f>'Physical_Arcs'!R59</x:f>
        <x:v>6.305555555555555</x:v>
      </x:c>
      <x:c r="J299" s="9" t="n">
        <x:f>I299*'Parameters'!$C$18</x:f>
        <x:v>1.261111111111111</x:v>
      </x:c>
      <x:c r="K299" s="9" t="n">
        <x:f>J299*'Parameters'!$C$19</x:f>
        <x:v>1.5763888888888888</x:v>
      </x:c>
      <x:c r="L299" s="9" t="n">
        <x:f>I299*(1-0.40)-J299</x:f>
        <x:v>2.522222222222222</x:v>
      </x:c>
      <x:c r="M299" s="9" t="n">
        <x:f>'Physical_Arcs'!S59</x:f>
        <x:v>6.305555555555555</x:v>
      </x:c>
      <x:c r="N299" s="9" t="n">
        <x:f>M299*'Parameters'!$C$18</x:f>
        <x:v>1.261111111111111</x:v>
      </x:c>
      <x:c r="O299" s="9" t="n">
        <x:f>N299*'Parameters'!$C$19</x:f>
        <x:v>1.5763888888888888</x:v>
      </x:c>
      <x:c r="P299" s="9" t="n">
        <x:f>M299*(1-0.40)-N299</x:f>
        <x:v>2.522222222222222</x:v>
      </x:c>
      <x:c r="Q299" s="9" t="n">
        <x:f>'Physical_Arcs'!T59</x:f>
        <x:v>3.1666666666666665</x:v>
      </x:c>
      <x:c r="R299" s="9" t="n">
        <x:f>Q299*'Parameters'!$C$18</x:f>
        <x:v>0.6333333333333333</x:v>
      </x:c>
      <x:c r="S299" s="9" t="n">
        <x:f>R299*'Parameters'!$C$19</x:f>
        <x:v>0.7916666666666666</x:v>
      </x:c>
      <x:c r="T299" s="9" t="n">
        <x:f>Q299*(1-0.40)-R299</x:f>
        <x:v>1.2666666666666666</x:v>
      </x:c>
    </x:row>
    <x:row r="300" ht="21" customHeight="1">
      <x:c r="A300" s="3" t="n">
        <x:v>4</x:v>
      </x:c>
      <x:c r="B300" s="3" t="str">
        <x:v>00:40</x:v>
      </x:c>
      <x:c r="C300" s="3" t="n">
        <x:v>1</x:v>
      </x:c>
      <x:c r="D300" s="3" t="n">
        <x:v>59</x:v>
      </x:c>
      <x:c r="E300" s="3" t="n">
        <x:v>10</x:v>
      </x:c>
      <x:c r="F300" s="3" t="n">
        <x:v>4</x:v>
      </x:c>
      <x:c r="G300" s="9" t="n">
        <x:v>0.18</x:v>
      </x:c>
      <x:c r="H300" s="9" t="n">
        <x:v>1.114542</x:v>
      </x:c>
      <x:c r="I300" s="9" t="n">
        <x:f>'Physical_Arcs'!R60</x:f>
        <x:v>1.5833333333333333</x:v>
      </x:c>
      <x:c r="J300" s="9" t="n">
        <x:f>I300*'Parameters'!$C$18</x:f>
        <x:v>0.31666666666666665</x:v>
      </x:c>
      <x:c r="K300" s="9" t="n">
        <x:f>J300*'Parameters'!$C$19</x:f>
        <x:v>0.3958333333333333</x:v>
      </x:c>
      <x:c r="L300" s="9" t="n">
        <x:f>I300*(1-0.40)-J300</x:f>
        <x:v>0.6333333333333333</x:v>
      </x:c>
      <x:c r="M300" s="9" t="n">
        <x:f>'Physical_Arcs'!S60</x:f>
        <x:v>1.5833333333333333</x:v>
      </x:c>
      <x:c r="N300" s="9" t="n">
        <x:f>M300*'Parameters'!$C$18</x:f>
        <x:v>0.31666666666666665</x:v>
      </x:c>
      <x:c r="O300" s="9" t="n">
        <x:f>N300*'Parameters'!$C$19</x:f>
        <x:v>0.3958333333333333</x:v>
      </x:c>
      <x:c r="P300" s="9" t="n">
        <x:f>M300*(1-0.40)-N300</x:f>
        <x:v>0.6333333333333333</x:v>
      </x:c>
      <x:c r="Q300" s="9" t="n">
        <x:f>'Physical_Arcs'!T60</x:f>
        <x:v>0.8055555555555556</x:v>
      </x:c>
      <x:c r="R300" s="9" t="n">
        <x:f>Q300*'Parameters'!$C$18</x:f>
        <x:v>0.16111111111111112</x:v>
      </x:c>
      <x:c r="S300" s="9" t="n">
        <x:f>R300*'Parameters'!$C$19</x:f>
        <x:v>0.2013888888888889</x:v>
      </x:c>
      <x:c r="T300" s="9" t="n">
        <x:f>Q300*(1-0.40)-R300</x:f>
        <x:v>0.3222222222222222</x:v>
      </x:c>
    </x:row>
    <x:row r="301" ht="21" customHeight="1">
      <x:c r="A301" s="3" t="n">
        <x:v>4</x:v>
      </x:c>
      <x:c r="B301" s="3" t="str">
        <x:v>00:40</x:v>
      </x:c>
      <x:c r="C301" s="3" t="n">
        <x:v>1</x:v>
      </x:c>
      <x:c r="D301" s="3" t="n">
        <x:v>60</x:v>
      </x:c>
      <x:c r="E301" s="3" t="n">
        <x:v>10</x:v>
      </x:c>
      <x:c r="F301" s="3" t="n">
        <x:v>9</x:v>
      </x:c>
      <x:c r="G301" s="9" t="n">
        <x:v>0.18</x:v>
      </x:c>
      <x:c r="H301" s="9" t="n">
        <x:v>1.092245</x:v>
      </x:c>
      <x:c r="I301" s="9" t="n">
        <x:f>'Physical_Arcs'!R61</x:f>
        <x:v>10.333333333333334</x:v>
      </x:c>
      <x:c r="J301" s="9" t="n">
        <x:f>I301*'Parameters'!$C$18</x:f>
        <x:v>2.066666666666667</x:v>
      </x:c>
      <x:c r="K301" s="9" t="n">
        <x:f>J301*'Parameters'!$C$19</x:f>
        <x:v>2.5833333333333335</x:v>
      </x:c>
      <x:c r="L301" s="9" t="n">
        <x:f>I301*(1-0.40)-J301</x:f>
        <x:v>4.133333333333333</x:v>
      </x:c>
      <x:c r="M301" s="9" t="n">
        <x:f>'Physical_Arcs'!S61</x:f>
        <x:v>10.333333333333334</x:v>
      </x:c>
      <x:c r="N301" s="9" t="n">
        <x:f>M301*'Parameters'!$C$18</x:f>
        <x:v>2.066666666666667</x:v>
      </x:c>
      <x:c r="O301" s="9" t="n">
        <x:f>N301*'Parameters'!$C$19</x:f>
        <x:v>2.5833333333333335</x:v>
      </x:c>
      <x:c r="P301" s="9" t="n">
        <x:f>M301*(1-0.40)-N301</x:f>
        <x:v>4.133333333333333</x:v>
      </x:c>
      <x:c r="Q301" s="9" t="n">
        <x:f>'Physical_Arcs'!T61</x:f>
        <x:v>5.166666666666667</x:v>
      </x:c>
      <x:c r="R301" s="9" t="n">
        <x:f>Q301*'Parameters'!$C$18</x:f>
        <x:v>1.0333333333333334</x:v>
      </x:c>
      <x:c r="S301" s="9" t="n">
        <x:f>R301*'Parameters'!$C$19</x:f>
        <x:v>1.2916666666666667</x:v>
      </x:c>
      <x:c r="T301" s="9" t="n">
        <x:f>Q301*(1-0.40)-R301</x:f>
        <x:v>2.0666666666666664</x:v>
      </x:c>
    </x:row>
    <x:row r="302" ht="21" customHeight="1">
      <x:c r="A302" s="3" t="n">
        <x:v>5</x:v>
      </x:c>
      <x:c r="B302" s="3" t="str">
        <x:v>00:50</x:v>
      </x:c>
      <x:c r="C302" s="3" t="n">
        <x:v>1</x:v>
      </x:c>
      <x:c r="D302" s="3" t="n">
        <x:v>1</x:v>
      </x:c>
      <x:c r="E302" s="3" t="n">
        <x:v>1</x:v>
      </x:c>
      <x:c r="F302" s="3" t="n">
        <x:v>2</x:v>
      </x:c>
      <x:c r="G302" s="9" t="n">
        <x:v>0.18</x:v>
      </x:c>
      <x:c r="H302" s="9" t="n">
        <x:v>0.914787</x:v>
      </x:c>
      <x:c r="I302" s="9" t="n">
        <x:f>'Physical_Arcs'!R2</x:f>
        <x:v>17.02777777777778</x:v>
      </x:c>
      <x:c r="J302" s="9" t="n">
        <x:f>I302*'Parameters'!$C$18</x:f>
        <x:v>3.405555555555556</x:v>
      </x:c>
      <x:c r="K302" s="9" t="n">
        <x:f>J302*'Parameters'!$C$19</x:f>
        <x:v>4.256944444444445</x:v>
      </x:c>
      <x:c r="L302" s="9" t="n">
        <x:f>I302*(1-0.40)-J302</x:f>
        <x:v>6.811111111111111</x:v>
      </x:c>
      <x:c r="M302" s="9" t="n">
        <x:f>'Physical_Arcs'!S2</x:f>
        <x:v>17.02777777777778</x:v>
      </x:c>
      <x:c r="N302" s="9" t="n">
        <x:f>M302*'Parameters'!$C$18</x:f>
        <x:v>3.405555555555556</x:v>
      </x:c>
      <x:c r="O302" s="9" t="n">
        <x:f>N302*'Parameters'!$C$19</x:f>
        <x:v>4.256944444444445</x:v>
      </x:c>
      <x:c r="P302" s="9" t="n">
        <x:f>M302*(1-0.40)-N302</x:f>
        <x:v>6.811111111111111</x:v>
      </x:c>
      <x:c r="Q302" s="9" t="n">
        <x:f>'Physical_Arcs'!T2</x:f>
        <x:v>17.02777777777778</x:v>
      </x:c>
      <x:c r="R302" s="9" t="n">
        <x:f>Q302*'Parameters'!$C$18</x:f>
        <x:v>3.405555555555556</x:v>
      </x:c>
      <x:c r="S302" s="9" t="n">
        <x:f>R302*'Parameters'!$C$19</x:f>
        <x:v>4.256944444444445</x:v>
      </x:c>
      <x:c r="T302" s="9" t="n">
        <x:f>Q302*(1-0.40)-R302</x:f>
        <x:v>6.811111111111111</x:v>
      </x:c>
    </x:row>
    <x:row r="303" ht="21" customHeight="1">
      <x:c r="A303" s="3" t="n">
        <x:v>5</x:v>
      </x:c>
      <x:c r="B303" s="3" t="str">
        <x:v>00:50</x:v>
      </x:c>
      <x:c r="C303" s="3" t="n">
        <x:v>1</x:v>
      </x:c>
      <x:c r="D303" s="3" t="n">
        <x:v>2</x:v>
      </x:c>
      <x:c r="E303" s="3" t="n">
        <x:v>1</x:v>
      </x:c>
      <x:c r="F303" s="3" t="n">
        <x:v>10</x:v>
      </x:c>
      <x:c r="G303" s="9" t="n">
        <x:v>0.18</x:v>
      </x:c>
      <x:c r="H303" s="9" t="n">
        <x:v>1.003995</x:v>
      </x:c>
      <x:c r="I303" s="9" t="n">
        <x:f>'Physical_Arcs'!R3</x:f>
        <x:v>3.2777777777777777</x:v>
      </x:c>
      <x:c r="J303" s="9" t="n">
        <x:f>I303*'Parameters'!$C$18</x:f>
        <x:v>0.6555555555555556</x:v>
      </x:c>
      <x:c r="K303" s="9" t="n">
        <x:f>J303*'Parameters'!$C$19</x:f>
        <x:v>0.8194444444444444</x:v>
      </x:c>
      <x:c r="L303" s="9" t="n">
        <x:f>I303*(1-0.40)-J303</x:f>
        <x:v>1.311111111111111</x:v>
      </x:c>
      <x:c r="M303" s="9" t="n">
        <x:f>'Physical_Arcs'!S3</x:f>
        <x:v>3.2777777777777777</x:v>
      </x:c>
      <x:c r="N303" s="9" t="n">
        <x:f>M303*'Parameters'!$C$18</x:f>
        <x:v>0.6555555555555556</x:v>
      </x:c>
      <x:c r="O303" s="9" t="n">
        <x:f>N303*'Parameters'!$C$19</x:f>
        <x:v>0.8194444444444444</x:v>
      </x:c>
      <x:c r="P303" s="9" t="n">
        <x:f>M303*(1-0.40)-N303</x:f>
        <x:v>1.311111111111111</x:v>
      </x:c>
      <x:c r="Q303" s="9" t="n">
        <x:f>'Physical_Arcs'!T3</x:f>
        <x:v>1.6388888888888888</x:v>
      </x:c>
      <x:c r="R303" s="9" t="n">
        <x:f>Q303*'Parameters'!$C$18</x:f>
        <x:v>0.3277777777777778</x:v>
      </x:c>
      <x:c r="S303" s="9" t="n">
        <x:f>R303*'Parameters'!$C$19</x:f>
        <x:v>0.4097222222222222</x:v>
      </x:c>
      <x:c r="T303" s="9" t="n">
        <x:f>Q303*(1-0.40)-R303</x:f>
        <x:v>0.6555555555555554</x:v>
      </x:c>
    </x:row>
    <x:row r="304" ht="21" customHeight="1">
      <x:c r="A304" s="3" t="n">
        <x:v>5</x:v>
      </x:c>
      <x:c r="B304" s="3" t="str">
        <x:v>00:50</x:v>
      </x:c>
      <x:c r="C304" s="3" t="n">
        <x:v>1</x:v>
      </x:c>
      <x:c r="D304" s="3" t="n">
        <x:v>3</x:v>
      </x:c>
      <x:c r="E304" s="3" t="n">
        <x:v>1</x:v>
      </x:c>
      <x:c r="F304" s="3" t="n">
        <x:v>8</x:v>
      </x:c>
      <x:c r="G304" s="9" t="n">
        <x:v>0.18</x:v>
      </x:c>
      <x:c r="H304" s="9" t="n">
        <x:v>0.923863</x:v>
      </x:c>
      <x:c r="I304" s="9" t="n">
        <x:f>'Physical_Arcs'!R4</x:f>
        <x:v>6.083333333333333</x:v>
      </x:c>
      <x:c r="J304" s="9" t="n">
        <x:f>I304*'Parameters'!$C$18</x:f>
        <x:v>1.2166666666666668</x:v>
      </x:c>
      <x:c r="K304" s="9" t="n">
        <x:f>J304*'Parameters'!$C$19</x:f>
        <x:v>1.5208333333333335</x:v>
      </x:c>
      <x:c r="L304" s="9" t="n">
        <x:f>I304*(1-0.40)-J304</x:f>
        <x:v>2.4333333333333327</x:v>
      </x:c>
      <x:c r="M304" s="9" t="n">
        <x:f>'Physical_Arcs'!S4</x:f>
        <x:v>6.083333333333333</x:v>
      </x:c>
      <x:c r="N304" s="9" t="n">
        <x:f>M304*'Parameters'!$C$18</x:f>
        <x:v>1.2166666666666668</x:v>
      </x:c>
      <x:c r="O304" s="9" t="n">
        <x:f>N304*'Parameters'!$C$19</x:f>
        <x:v>1.5208333333333335</x:v>
      </x:c>
      <x:c r="P304" s="9" t="n">
        <x:f>M304*(1-0.40)-N304</x:f>
        <x:v>2.4333333333333327</x:v>
      </x:c>
      <x:c r="Q304" s="9" t="n">
        <x:f>'Physical_Arcs'!T4</x:f>
        <x:v>3.0555555555555554</x:v>
      </x:c>
      <x:c r="R304" s="9" t="n">
        <x:f>Q304*'Parameters'!$C$18</x:f>
        <x:v>0.6111111111111112</x:v>
      </x:c>
      <x:c r="S304" s="9" t="n">
        <x:f>R304*'Parameters'!$C$19</x:f>
        <x:v>0.763888888888889</x:v>
      </x:c>
      <x:c r="T304" s="9" t="n">
        <x:f>Q304*(1-0.40)-R304</x:f>
        <x:v>1.2222222222222219</x:v>
      </x:c>
    </x:row>
    <x:row r="305" ht="21" customHeight="1">
      <x:c r="A305" s="3" t="n">
        <x:v>5</x:v>
      </x:c>
      <x:c r="B305" s="3" t="str">
        <x:v>00:50</x:v>
      </x:c>
      <x:c r="C305" s="3" t="n">
        <x:v>1</x:v>
      </x:c>
      <x:c r="D305" s="3" t="n">
        <x:v>4</x:v>
      </x:c>
      <x:c r="E305" s="3" t="n">
        <x:v>1</x:v>
      </x:c>
      <x:c r="F305" s="3" t="n">
        <x:v>7</x:v>
      </x:c>
      <x:c r="G305" s="9" t="n">
        <x:v>0.18</x:v>
      </x:c>
      <x:c r="H305" s="9" t="n">
        <x:v>1.111072</x:v>
      </x:c>
      <x:c r="I305" s="9" t="n">
        <x:f>'Physical_Arcs'!R5</x:f>
        <x:v>9</x:v>
      </x:c>
      <x:c r="J305" s="9" t="n">
        <x:f>I305*'Parameters'!$C$18</x:f>
        <x:v>1.8</x:v>
      </x:c>
      <x:c r="K305" s="9" t="n">
        <x:f>J305*'Parameters'!$C$19</x:f>
        <x:v>2.25</x:v>
      </x:c>
      <x:c r="L305" s="9" t="n">
        <x:f>I305*(1-0.40)-J305</x:f>
        <x:v>3.5999999999999996</x:v>
      </x:c>
      <x:c r="M305" s="9" t="n">
        <x:f>'Physical_Arcs'!S5</x:f>
        <x:v>9</x:v>
      </x:c>
      <x:c r="N305" s="9" t="n">
        <x:f>M305*'Parameters'!$C$18</x:f>
        <x:v>1.8</x:v>
      </x:c>
      <x:c r="O305" s="9" t="n">
        <x:f>N305*'Parameters'!$C$19</x:f>
        <x:v>2.25</x:v>
      </x:c>
      <x:c r="P305" s="9" t="n">
        <x:f>M305*(1-0.40)-N305</x:f>
        <x:v>3.5999999999999996</x:v>
      </x:c>
      <x:c r="Q305" s="9" t="n">
        <x:f>'Physical_Arcs'!T5</x:f>
        <x:v>4.5</x:v>
      </x:c>
      <x:c r="R305" s="9" t="n">
        <x:f>Q305*'Parameters'!$C$18</x:f>
        <x:v>0.9</x:v>
      </x:c>
      <x:c r="S305" s="9" t="n">
        <x:f>R305*'Parameters'!$C$19</x:f>
        <x:v>1.125</x:v>
      </x:c>
      <x:c r="T305" s="9" t="n">
        <x:f>Q305*(1-0.40)-R305</x:f>
        <x:v>1.7999999999999998</x:v>
      </x:c>
    </x:row>
    <x:row r="306" ht="21" customHeight="1">
      <x:c r="A306" s="3" t="n">
        <x:v>5</x:v>
      </x:c>
      <x:c r="B306" s="3" t="str">
        <x:v>00:50</x:v>
      </x:c>
      <x:c r="C306" s="3" t="n">
        <x:v>1</x:v>
      </x:c>
      <x:c r="D306" s="3" t="n">
        <x:v>5</x:v>
      </x:c>
      <x:c r="E306" s="3" t="n">
        <x:v>1</x:v>
      </x:c>
      <x:c r="F306" s="3" t="n">
        <x:v>4</x:v>
      </x:c>
      <x:c r="G306" s="9" t="n">
        <x:v>0.18</x:v>
      </x:c>
      <x:c r="H306" s="9" t="n">
        <x:v>1.001665</x:v>
      </x:c>
      <x:c r="I306" s="9" t="n">
        <x:f>'Physical_Arcs'!R6</x:f>
        <x:v>4.166666666666667</x:v>
      </x:c>
      <x:c r="J306" s="9" t="n">
        <x:f>I306*'Parameters'!$C$18</x:f>
        <x:v>0.8333333333333335</x:v>
      </x:c>
      <x:c r="K306" s="9" t="n">
        <x:f>J306*'Parameters'!$C$19</x:f>
        <x:v>1.041666666666667</x:v>
      </x:c>
      <x:c r="L306" s="9" t="n">
        <x:f>I306*(1-0.40)-J306</x:f>
        <x:v>1.6666666666666665</x:v>
      </x:c>
      <x:c r="M306" s="9" t="n">
        <x:f>'Physical_Arcs'!S6</x:f>
        <x:v>4.166666666666667</x:v>
      </x:c>
      <x:c r="N306" s="9" t="n">
        <x:f>M306*'Parameters'!$C$18</x:f>
        <x:v>0.8333333333333335</x:v>
      </x:c>
      <x:c r="O306" s="9" t="n">
        <x:f>N306*'Parameters'!$C$19</x:f>
        <x:v>1.041666666666667</x:v>
      </x:c>
      <x:c r="P306" s="9" t="n">
        <x:f>M306*(1-0.40)-N306</x:f>
        <x:v>1.6666666666666665</x:v>
      </x:c>
      <x:c r="Q306" s="9" t="n">
        <x:f>'Physical_Arcs'!T6</x:f>
        <x:v>2.0833333333333335</x:v>
      </x:c>
      <x:c r="R306" s="9" t="n">
        <x:f>Q306*'Parameters'!$C$18</x:f>
        <x:v>0.41666666666666674</x:v>
      </x:c>
      <x:c r="S306" s="9" t="n">
        <x:f>R306*'Parameters'!$C$19</x:f>
        <x:v>0.5208333333333335</x:v>
      </x:c>
      <x:c r="T306" s="9" t="n">
        <x:f>Q306*(1-0.40)-R306</x:f>
        <x:v>0.8333333333333333</x:v>
      </x:c>
    </x:row>
    <x:row r="307" ht="21" customHeight="1">
      <x:c r="A307" s="3" t="n">
        <x:v>5</x:v>
      </x:c>
      <x:c r="B307" s="3" t="str">
        <x:v>00:50</x:v>
      </x:c>
      <x:c r="C307" s="3" t="n">
        <x:v>1</x:v>
      </x:c>
      <x:c r="D307" s="3" t="n">
        <x:v>6</x:v>
      </x:c>
      <x:c r="E307" s="3" t="n">
        <x:v>1</x:v>
      </x:c>
      <x:c r="F307" s="3" t="n">
        <x:v>9</x:v>
      </x:c>
      <x:c r="G307" s="9" t="n">
        <x:v>0.18</x:v>
      </x:c>
      <x:c r="H307" s="9" t="n">
        <x:v>0.942884</x:v>
      </x:c>
      <x:c r="I307" s="9" t="n">
        <x:f>'Physical_Arcs'!R7</x:f>
        <x:v>11.027777777777779</x:v>
      </x:c>
      <x:c r="J307" s="9" t="n">
        <x:f>I307*'Parameters'!$C$18</x:f>
        <x:v>2.2055555555555557</x:v>
      </x:c>
      <x:c r="K307" s="9" t="n">
        <x:f>J307*'Parameters'!$C$19</x:f>
        <x:v>2.7569444444444446</x:v>
      </x:c>
      <x:c r="L307" s="9" t="n">
        <x:f>I307*(1-0.40)-J307</x:f>
        <x:v>4.411111111111111</x:v>
      </x:c>
      <x:c r="M307" s="9" t="n">
        <x:f>'Physical_Arcs'!S7</x:f>
        <x:v>11.027777777777779</x:v>
      </x:c>
      <x:c r="N307" s="9" t="n">
        <x:f>M307*'Parameters'!$C$18</x:f>
        <x:v>2.2055555555555557</x:v>
      </x:c>
      <x:c r="O307" s="9" t="n">
        <x:f>N307*'Parameters'!$C$19</x:f>
        <x:v>2.7569444444444446</x:v>
      </x:c>
      <x:c r="P307" s="9" t="n">
        <x:f>M307*(1-0.40)-N307</x:f>
        <x:v>4.411111111111111</x:v>
      </x:c>
      <x:c r="Q307" s="9" t="n">
        <x:f>'Physical_Arcs'!T7</x:f>
        <x:v>5.527777777777778</x:v>
      </x:c>
      <x:c r="R307" s="9" t="n">
        <x:f>Q307*'Parameters'!$C$18</x:f>
        <x:v>1.1055555555555556</x:v>
      </x:c>
      <x:c r="S307" s="9" t="n">
        <x:f>R307*'Parameters'!$C$19</x:f>
        <x:v>1.3819444444444446</x:v>
      </x:c>
      <x:c r="T307" s="9" t="n">
        <x:f>Q307*(1-0.40)-R307</x:f>
        <x:v>2.211111111111111</x:v>
      </x:c>
    </x:row>
    <x:row r="308" ht="21" customHeight="1">
      <x:c r="A308" s="3" t="n">
        <x:v>5</x:v>
      </x:c>
      <x:c r="B308" s="3" t="str">
        <x:v>00:50</x:v>
      </x:c>
      <x:c r="C308" s="3" t="n">
        <x:v>1</x:v>
      </x:c>
      <x:c r="D308" s="3" t="n">
        <x:v>7</x:v>
      </x:c>
      <x:c r="E308" s="3" t="n">
        <x:v>1</x:v>
      </x:c>
      <x:c r="F308" s="3" t="n">
        <x:v>5</x:v>
      </x:c>
      <x:c r="G308" s="9" t="n">
        <x:v>0.18</x:v>
      </x:c>
      <x:c r="H308" s="9" t="n">
        <x:v>1.038222</x:v>
      </x:c>
      <x:c r="I308" s="9" t="n">
        <x:f>'Physical_Arcs'!R8</x:f>
        <x:v>7.972222222222222</x:v>
      </x:c>
      <x:c r="J308" s="9" t="n">
        <x:f>I308*'Parameters'!$C$18</x:f>
        <x:v>1.5944444444444446</x:v>
      </x:c>
      <x:c r="K308" s="9" t="n">
        <x:f>J308*'Parameters'!$C$19</x:f>
        <x:v>1.9930555555555558</x:v>
      </x:c>
      <x:c r="L308" s="9" t="n">
        <x:f>I308*(1-0.40)-J308</x:f>
        <x:v>3.1888888888888887</x:v>
      </x:c>
      <x:c r="M308" s="9" t="n">
        <x:f>'Physical_Arcs'!S8</x:f>
        <x:v>7.972222222222222</x:v>
      </x:c>
      <x:c r="N308" s="9" t="n">
        <x:f>M308*'Parameters'!$C$18</x:f>
        <x:v>1.5944444444444446</x:v>
      </x:c>
      <x:c r="O308" s="9" t="n">
        <x:f>N308*'Parameters'!$C$19</x:f>
        <x:v>1.9930555555555558</x:v>
      </x:c>
      <x:c r="P308" s="9" t="n">
        <x:f>M308*(1-0.40)-N308</x:f>
        <x:v>3.1888888888888887</x:v>
      </x:c>
      <x:c r="Q308" s="9" t="n">
        <x:f>'Physical_Arcs'!T8</x:f>
        <x:v>4</x:v>
      </x:c>
      <x:c r="R308" s="9" t="n">
        <x:f>Q308*'Parameters'!$C$18</x:f>
        <x:v>0.8</x:v>
      </x:c>
      <x:c r="S308" s="9" t="n">
        <x:f>R308*'Parameters'!$C$19</x:f>
        <x:v>1</x:v>
      </x:c>
      <x:c r="T308" s="9" t="n">
        <x:f>Q308*(1-0.40)-R308</x:f>
        <x:v>1.5999999999999999</x:v>
      </x:c>
    </x:row>
    <x:row r="309" ht="21" customHeight="1">
      <x:c r="A309" s="3" t="n">
        <x:v>5</x:v>
      </x:c>
      <x:c r="B309" s="3" t="str">
        <x:v>00:50</x:v>
      </x:c>
      <x:c r="C309" s="3" t="n">
        <x:v>1</x:v>
      </x:c>
      <x:c r="D309" s="3" t="n">
        <x:v>8</x:v>
      </x:c>
      <x:c r="E309" s="3" t="n">
        <x:v>1</x:v>
      </x:c>
      <x:c r="F309" s="3" t="n">
        <x:v>3</x:v>
      </x:c>
      <x:c r="G309" s="9" t="n">
        <x:v>0.18</x:v>
      </x:c>
      <x:c r="H309" s="9" t="n">
        <x:v>1.122297</x:v>
      </x:c>
      <x:c r="I309" s="9" t="n">
        <x:f>'Physical_Arcs'!R9</x:f>
        <x:v>4.166666666666667</x:v>
      </x:c>
      <x:c r="J309" s="9" t="n">
        <x:f>I309*'Parameters'!$C$18</x:f>
        <x:v>0.8333333333333335</x:v>
      </x:c>
      <x:c r="K309" s="9" t="n">
        <x:f>J309*'Parameters'!$C$19</x:f>
        <x:v>1.041666666666667</x:v>
      </x:c>
      <x:c r="L309" s="9" t="n">
        <x:f>I309*(1-0.40)-J309</x:f>
        <x:v>1.6666666666666665</x:v>
      </x:c>
      <x:c r="M309" s="9" t="n">
        <x:f>'Physical_Arcs'!S9</x:f>
        <x:v>4.166666666666667</x:v>
      </x:c>
      <x:c r="N309" s="9" t="n">
        <x:f>M309*'Parameters'!$C$18</x:f>
        <x:v>0.8333333333333335</x:v>
      </x:c>
      <x:c r="O309" s="9" t="n">
        <x:f>N309*'Parameters'!$C$19</x:f>
        <x:v>1.041666666666667</x:v>
      </x:c>
      <x:c r="P309" s="9" t="n">
        <x:f>M309*(1-0.40)-N309</x:f>
        <x:v>1.6666666666666665</x:v>
      </x:c>
      <x:c r="Q309" s="9" t="n">
        <x:f>'Physical_Arcs'!T9</x:f>
        <x:v>2.0833333333333335</x:v>
      </x:c>
      <x:c r="R309" s="9" t="n">
        <x:f>Q309*'Parameters'!$C$18</x:f>
        <x:v>0.41666666666666674</x:v>
      </x:c>
      <x:c r="S309" s="9" t="n">
        <x:f>R309*'Parameters'!$C$19</x:f>
        <x:v>0.5208333333333335</x:v>
      </x:c>
      <x:c r="T309" s="9" t="n">
        <x:f>Q309*(1-0.40)-R309</x:f>
        <x:v>0.8333333333333333</x:v>
      </x:c>
    </x:row>
    <x:row r="310" ht="21" customHeight="1">
      <x:c r="A310" s="3" t="n">
        <x:v>5</x:v>
      </x:c>
      <x:c r="B310" s="3" t="str">
        <x:v>00:50</x:v>
      </x:c>
      <x:c r="C310" s="3" t="n">
        <x:v>1</x:v>
      </x:c>
      <x:c r="D310" s="3" t="n">
        <x:v>9</x:v>
      </x:c>
      <x:c r="E310" s="3" t="n">
        <x:v>1</x:v>
      </x:c>
      <x:c r="F310" s="3" t="n">
        <x:v>6</x:v>
      </x:c>
      <x:c r="G310" s="9" t="n">
        <x:v>0.18</x:v>
      </x:c>
      <x:c r="H310" s="9" t="n">
        <x:v>1.132682</x:v>
      </x:c>
      <x:c r="I310" s="9" t="n">
        <x:f>'Physical_Arcs'!R10</x:f>
        <x:v>2.138888888888889</x:v>
      </x:c>
      <x:c r="J310" s="9" t="n">
        <x:f>I310*'Parameters'!$C$18</x:f>
        <x:v>0.4277777777777778</x:v>
      </x:c>
      <x:c r="K310" s="9" t="n">
        <x:f>J310*'Parameters'!$C$19</x:f>
        <x:v>0.5347222222222223</x:v>
      </x:c>
      <x:c r="L310" s="9" t="n">
        <x:f>I310*(1-0.40)-J310</x:f>
        <x:v>0.8555555555555554</x:v>
      </x:c>
      <x:c r="M310" s="9" t="n">
        <x:f>'Physical_Arcs'!S10</x:f>
        <x:v>2.138888888888889</x:v>
      </x:c>
      <x:c r="N310" s="9" t="n">
        <x:f>M310*'Parameters'!$C$18</x:f>
        <x:v>0.4277777777777778</x:v>
      </x:c>
      <x:c r="O310" s="9" t="n">
        <x:f>N310*'Parameters'!$C$19</x:f>
        <x:v>0.5347222222222223</x:v>
      </x:c>
      <x:c r="P310" s="9" t="n">
        <x:f>M310*(1-0.40)-N310</x:f>
        <x:v>0.8555555555555554</x:v>
      </x:c>
      <x:c r="Q310" s="9" t="n">
        <x:f>'Physical_Arcs'!T10</x:f>
        <x:v>1.0833333333333333</x:v>
      </x:c>
      <x:c r="R310" s="9" t="n">
        <x:f>Q310*'Parameters'!$C$18</x:f>
        <x:v>0.21666666666666667</x:v>
      </x:c>
      <x:c r="S310" s="9" t="n">
        <x:f>R310*'Parameters'!$C$19</x:f>
        <x:v>0.27083333333333337</x:v>
      </x:c>
      <x:c r="T310" s="9" t="n">
        <x:f>Q310*(1-0.40)-R310</x:f>
        <x:v>0.43333333333333324</x:v>
      </x:c>
    </x:row>
    <x:row r="311" ht="21" customHeight="1">
      <x:c r="A311" s="3" t="n">
        <x:v>5</x:v>
      </x:c>
      <x:c r="B311" s="3" t="str">
        <x:v>00:50</x:v>
      </x:c>
      <x:c r="C311" s="3" t="n">
        <x:v>1</x:v>
      </x:c>
      <x:c r="D311" s="3" t="n">
        <x:v>10</x:v>
      </x:c>
      <x:c r="E311" s="3" t="n">
        <x:v>2</x:v>
      </x:c>
      <x:c r="F311" s="3" t="n">
        <x:v>3</x:v>
      </x:c>
      <x:c r="G311" s="9" t="n">
        <x:v>0.18</x:v>
      </x:c>
      <x:c r="H311" s="9" t="n">
        <x:v>0.871154</x:v>
      </x:c>
      <x:c r="I311" s="9" t="n">
        <x:f>'Physical_Arcs'!R11</x:f>
        <x:v>17.02777777777778</x:v>
      </x:c>
      <x:c r="J311" s="9" t="n">
        <x:f>I311*'Parameters'!$C$18</x:f>
        <x:v>3.405555555555556</x:v>
      </x:c>
      <x:c r="K311" s="9" t="n">
        <x:f>J311*'Parameters'!$C$19</x:f>
        <x:v>4.256944444444445</x:v>
      </x:c>
      <x:c r="L311" s="9" t="n">
        <x:f>I311*(1-0.40)-J311</x:f>
        <x:v>6.811111111111111</x:v>
      </x:c>
      <x:c r="M311" s="9" t="n">
        <x:f>'Physical_Arcs'!S11</x:f>
        <x:v>17.02777777777778</x:v>
      </x:c>
      <x:c r="N311" s="9" t="n">
        <x:f>M311*'Parameters'!$C$18</x:f>
        <x:v>3.405555555555556</x:v>
      </x:c>
      <x:c r="O311" s="9" t="n">
        <x:f>N311*'Parameters'!$C$19</x:f>
        <x:v>4.256944444444445</x:v>
      </x:c>
      <x:c r="P311" s="9" t="n">
        <x:f>M311*(1-0.40)-N311</x:f>
        <x:v>6.811111111111111</x:v>
      </x:c>
      <x:c r="Q311" s="9" t="n">
        <x:f>'Physical_Arcs'!T11</x:f>
        <x:v>17.02777777777778</x:v>
      </x:c>
      <x:c r="R311" s="9" t="n">
        <x:f>Q311*'Parameters'!$C$18</x:f>
        <x:v>3.405555555555556</x:v>
      </x:c>
      <x:c r="S311" s="9" t="n">
        <x:f>R311*'Parameters'!$C$19</x:f>
        <x:v>4.256944444444445</x:v>
      </x:c>
      <x:c r="T311" s="9" t="n">
        <x:f>Q311*(1-0.40)-R311</x:f>
        <x:v>6.811111111111111</x:v>
      </x:c>
    </x:row>
    <x:row r="312" ht="21" customHeight="1">
      <x:c r="A312" s="3" t="n">
        <x:v>5</x:v>
      </x:c>
      <x:c r="B312" s="3" t="str">
        <x:v>00:50</x:v>
      </x:c>
      <x:c r="C312" s="3" t="n">
        <x:v>1</x:v>
      </x:c>
      <x:c r="D312" s="3" t="n">
        <x:v>11</x:v>
      </x:c>
      <x:c r="E312" s="3" t="n">
        <x:v>2</x:v>
      </x:c>
      <x:c r="F312" s="3" t="n">
        <x:v>4</x:v>
      </x:c>
      <x:c r="G312" s="9" t="n">
        <x:v>0.18</x:v>
      </x:c>
      <x:c r="H312" s="9" t="n">
        <x:v>1.147412</x:v>
      </x:c>
      <x:c r="I312" s="9" t="n">
        <x:f>'Physical_Arcs'!R12</x:f>
        <x:v>7.972222222222222</x:v>
      </x:c>
      <x:c r="J312" s="9" t="n">
        <x:f>I312*'Parameters'!$C$18</x:f>
        <x:v>1.5944444444444446</x:v>
      </x:c>
      <x:c r="K312" s="9" t="n">
        <x:f>J312*'Parameters'!$C$19</x:f>
        <x:v>1.9930555555555558</x:v>
      </x:c>
      <x:c r="L312" s="9" t="n">
        <x:f>I312*(1-0.40)-J312</x:f>
        <x:v>3.1888888888888887</x:v>
      </x:c>
      <x:c r="M312" s="9" t="n">
        <x:f>'Physical_Arcs'!S12</x:f>
        <x:v>7.972222222222222</x:v>
      </x:c>
      <x:c r="N312" s="9" t="n">
        <x:f>M312*'Parameters'!$C$18</x:f>
        <x:v>1.5944444444444446</x:v>
      </x:c>
      <x:c r="O312" s="9" t="n">
        <x:f>N312*'Parameters'!$C$19</x:f>
        <x:v>1.9930555555555558</x:v>
      </x:c>
      <x:c r="P312" s="9" t="n">
        <x:f>M312*(1-0.40)-N312</x:f>
        <x:v>3.1888888888888887</x:v>
      </x:c>
      <x:c r="Q312" s="9" t="n">
        <x:f>'Physical_Arcs'!T12</x:f>
        <x:v>4</x:v>
      </x:c>
      <x:c r="R312" s="9" t="n">
        <x:f>Q312*'Parameters'!$C$18</x:f>
        <x:v>0.8</x:v>
      </x:c>
      <x:c r="S312" s="9" t="n">
        <x:f>R312*'Parameters'!$C$19</x:f>
        <x:v>1</x:v>
      </x:c>
      <x:c r="T312" s="9" t="n">
        <x:f>Q312*(1-0.40)-R312</x:f>
        <x:v>1.5999999999999999</x:v>
      </x:c>
    </x:row>
    <x:row r="313" ht="21" customHeight="1">
      <x:c r="A313" s="3" t="n">
        <x:v>5</x:v>
      </x:c>
      <x:c r="B313" s="3" t="str">
        <x:v>00:50</x:v>
      </x:c>
      <x:c r="C313" s="3" t="n">
        <x:v>1</x:v>
      </x:c>
      <x:c r="D313" s="3" t="n">
        <x:v>12</x:v>
      </x:c>
      <x:c r="E313" s="3" t="n">
        <x:v>2</x:v>
      </x:c>
      <x:c r="F313" s="3" t="n">
        <x:v>7</x:v>
      </x:c>
      <x:c r="G313" s="9" t="n">
        <x:v>0.18</x:v>
      </x:c>
      <x:c r="H313" s="9" t="n">
        <x:v>0.96729</x:v>
      </x:c>
      <x:c r="I313" s="9" t="n">
        <x:f>'Physical_Arcs'!R13</x:f>
        <x:v>4.611111111111111</x:v>
      </x:c>
      <x:c r="J313" s="9" t="n">
        <x:f>I313*'Parameters'!$C$18</x:f>
        <x:v>0.9222222222222222</x:v>
      </x:c>
      <x:c r="K313" s="9" t="n">
        <x:f>J313*'Parameters'!$C$19</x:f>
        <x:v>1.1527777777777777</x:v>
      </x:c>
      <x:c r="L313" s="9" t="n">
        <x:f>I313*(1-0.40)-J313</x:f>
        <x:v>1.844444444444444</x:v>
      </x:c>
      <x:c r="M313" s="9" t="n">
        <x:f>'Physical_Arcs'!S13</x:f>
        <x:v>4.611111111111111</x:v>
      </x:c>
      <x:c r="N313" s="9" t="n">
        <x:f>M313*'Parameters'!$C$18</x:f>
        <x:v>0.9222222222222222</x:v>
      </x:c>
      <x:c r="O313" s="9" t="n">
        <x:f>N313*'Parameters'!$C$19</x:f>
        <x:v>1.1527777777777777</x:v>
      </x:c>
      <x:c r="P313" s="9" t="n">
        <x:f>M313*(1-0.40)-N313</x:f>
        <x:v>1.844444444444444</x:v>
      </x:c>
      <x:c r="Q313" s="9" t="n">
        <x:f>'Physical_Arcs'!T13</x:f>
        <x:v>2.3055555555555554</x:v>
      </x:c>
      <x:c r="R313" s="9" t="n">
        <x:f>Q313*'Parameters'!$C$18</x:f>
        <x:v>0.4611111111111111</x:v>
      </x:c>
      <x:c r="S313" s="9" t="n">
        <x:f>R313*'Parameters'!$C$19</x:f>
        <x:v>0.5763888888888888</x:v>
      </x:c>
      <x:c r="T313" s="9" t="n">
        <x:f>Q313*(1-0.40)-R313</x:f>
        <x:v>0.922222222222222</x:v>
      </x:c>
    </x:row>
    <x:row r="314" ht="21" customHeight="1">
      <x:c r="A314" s="3" t="n">
        <x:v>5</x:v>
      </x:c>
      <x:c r="B314" s="3" t="str">
        <x:v>00:50</x:v>
      </x:c>
      <x:c r="C314" s="3" t="n">
        <x:v>1</x:v>
      </x:c>
      <x:c r="D314" s="3" t="n">
        <x:v>13</x:v>
      </x:c>
      <x:c r="E314" s="3" t="n">
        <x:v>2</x:v>
      </x:c>
      <x:c r="F314" s="3" t="n">
        <x:v>9</x:v>
      </x:c>
      <x:c r="G314" s="9" t="n">
        <x:v>0.18</x:v>
      </x:c>
      <x:c r="H314" s="9" t="n">
        <x:v>1.117625</x:v>
      </x:c>
      <x:c r="I314" s="9" t="n">
        <x:f>'Physical_Arcs'!R14</x:f>
        <x:v>8.666666666666666</x:v>
      </x:c>
      <x:c r="J314" s="9" t="n">
        <x:f>I314*'Parameters'!$C$18</x:f>
        <x:v>1.7333333333333334</x:v>
      </x:c>
      <x:c r="K314" s="9" t="n">
        <x:f>J314*'Parameters'!$C$19</x:f>
        <x:v>2.166666666666667</x:v>
      </x:c>
      <x:c r="L314" s="9" t="n">
        <x:f>I314*(1-0.40)-J314</x:f>
        <x:v>3.466666666666666</x:v>
      </x:c>
      <x:c r="M314" s="9" t="n">
        <x:f>'Physical_Arcs'!S14</x:f>
        <x:v>8.666666666666666</x:v>
      </x:c>
      <x:c r="N314" s="9" t="n">
        <x:f>M314*'Parameters'!$C$18</x:f>
        <x:v>1.7333333333333334</x:v>
      </x:c>
      <x:c r="O314" s="9" t="n">
        <x:f>N314*'Parameters'!$C$19</x:f>
        <x:v>2.166666666666667</x:v>
      </x:c>
      <x:c r="P314" s="9" t="n">
        <x:f>M314*(1-0.40)-N314</x:f>
        <x:v>3.466666666666666</x:v>
      </x:c>
      <x:c r="Q314" s="9" t="n">
        <x:f>'Physical_Arcs'!T14</x:f>
        <x:v>4.333333333333333</x:v>
      </x:c>
      <x:c r="R314" s="9" t="n">
        <x:f>Q314*'Parameters'!$C$18</x:f>
        <x:v>0.8666666666666667</x:v>
      </x:c>
      <x:c r="S314" s="9" t="n">
        <x:f>R314*'Parameters'!$C$19</x:f>
        <x:v>1.0833333333333335</x:v>
      </x:c>
      <x:c r="T314" s="9" t="n">
        <x:f>Q314*(1-0.40)-R314</x:f>
        <x:v>1.733333333333333</x:v>
      </x:c>
    </x:row>
    <x:row r="315" ht="21" customHeight="1">
      <x:c r="A315" s="3" t="n">
        <x:v>5</x:v>
      </x:c>
      <x:c r="B315" s="3" t="str">
        <x:v>00:50</x:v>
      </x:c>
      <x:c r="C315" s="3" t="n">
        <x:v>1</x:v>
      </x:c>
      <x:c r="D315" s="3" t="n">
        <x:v>14</x:v>
      </x:c>
      <x:c r="E315" s="3" t="n">
        <x:v>2</x:v>
      </x:c>
      <x:c r="F315" s="3" t="n">
        <x:v>8</x:v>
      </x:c>
      <x:c r="G315" s="9" t="n">
        <x:v>0.18</x:v>
      </x:c>
      <x:c r="H315" s="9" t="n">
        <x:v>1.144902</x:v>
      </x:c>
      <x:c r="I315" s="9" t="n">
        <x:f>'Physical_Arcs'!R15</x:f>
        <x:v>7.75</x:v>
      </x:c>
      <x:c r="J315" s="9" t="n">
        <x:f>I315*'Parameters'!$C$18</x:f>
        <x:v>1.55</x:v>
      </x:c>
      <x:c r="K315" s="9" t="n">
        <x:f>J315*'Parameters'!$C$19</x:f>
        <x:v>1.9375</x:v>
      </x:c>
      <x:c r="L315" s="9" t="n">
        <x:f>I315*(1-0.40)-J315</x:f>
        <x:v>3.0999999999999996</x:v>
      </x:c>
      <x:c r="M315" s="9" t="n">
        <x:f>'Physical_Arcs'!S15</x:f>
        <x:v>7.75</x:v>
      </x:c>
      <x:c r="N315" s="9" t="n">
        <x:f>M315*'Parameters'!$C$18</x:f>
        <x:v>1.55</x:v>
      </x:c>
      <x:c r="O315" s="9" t="n">
        <x:f>N315*'Parameters'!$C$19</x:f>
        <x:v>1.9375</x:v>
      </x:c>
      <x:c r="P315" s="9" t="n">
        <x:f>M315*(1-0.40)-N315</x:f>
        <x:v>3.0999999999999996</x:v>
      </x:c>
      <x:c r="Q315" s="9" t="n">
        <x:f>'Physical_Arcs'!T15</x:f>
        <x:v>3.888888888888889</x:v>
      </x:c>
      <x:c r="R315" s="9" t="n">
        <x:f>Q315*'Parameters'!$C$18</x:f>
        <x:v>0.7777777777777778</x:v>
      </x:c>
      <x:c r="S315" s="9" t="n">
        <x:f>R315*'Parameters'!$C$19</x:f>
        <x:v>0.9722222222222222</x:v>
      </x:c>
      <x:c r="T315" s="9" t="n">
        <x:f>Q315*(1-0.40)-R315</x:f>
        <x:v>1.5555555555555554</x:v>
      </x:c>
    </x:row>
    <x:row r="316" ht="21" customHeight="1">
      <x:c r="A316" s="3" t="n">
        <x:v>5</x:v>
      </x:c>
      <x:c r="B316" s="3" t="str">
        <x:v>00:50</x:v>
      </x:c>
      <x:c r="C316" s="3" t="n">
        <x:v>1</x:v>
      </x:c>
      <x:c r="D316" s="3" t="n">
        <x:v>15</x:v>
      </x:c>
      <x:c r="E316" s="3" t="n">
        <x:v>2</x:v>
      </x:c>
      <x:c r="F316" s="3" t="n">
        <x:v>10</x:v>
      </x:c>
      <x:c r="G316" s="9" t="n">
        <x:v>0.18</x:v>
      </x:c>
      <x:c r="H316" s="9" t="n">
        <x:v>1.146684</x:v>
      </x:c>
      <x:c r="I316" s="9" t="n">
        <x:f>'Physical_Arcs'!R16</x:f>
        <x:v>7.416666666666667</x:v>
      </x:c>
      <x:c r="J316" s="9" t="n">
        <x:f>I316*'Parameters'!$C$18</x:f>
        <x:v>1.4833333333333334</x:v>
      </x:c>
      <x:c r="K316" s="9" t="n">
        <x:f>J316*'Parameters'!$C$19</x:f>
        <x:v>1.8541666666666667</x:v>
      </x:c>
      <x:c r="L316" s="9" t="n">
        <x:f>I316*(1-0.40)-J316</x:f>
        <x:v>2.966666666666667</x:v>
      </x:c>
      <x:c r="M316" s="9" t="n">
        <x:f>'Physical_Arcs'!S16</x:f>
        <x:v>7.416666666666667</x:v>
      </x:c>
      <x:c r="N316" s="9" t="n">
        <x:f>M316*'Parameters'!$C$18</x:f>
        <x:v>1.4833333333333334</x:v>
      </x:c>
      <x:c r="O316" s="9" t="n">
        <x:f>N316*'Parameters'!$C$19</x:f>
        <x:v>1.8541666666666667</x:v>
      </x:c>
      <x:c r="P316" s="9" t="n">
        <x:f>M316*(1-0.40)-N316</x:f>
        <x:v>2.966666666666667</x:v>
      </x:c>
      <x:c r="Q316" s="9" t="n">
        <x:f>'Physical_Arcs'!T16</x:f>
        <x:v>3.7222222222222223</x:v>
      </x:c>
      <x:c r="R316" s="9" t="n">
        <x:f>Q316*'Parameters'!$C$18</x:f>
        <x:v>0.7444444444444445</x:v>
      </x:c>
      <x:c r="S316" s="9" t="n">
        <x:f>R316*'Parameters'!$C$19</x:f>
        <x:v>0.9305555555555556</x:v>
      </x:c>
      <x:c r="T316" s="9" t="n">
        <x:f>Q316*(1-0.40)-R316</x:f>
        <x:v>1.488888888888889</x:v>
      </x:c>
    </x:row>
    <x:row r="317" ht="21" customHeight="1">
      <x:c r="A317" s="3" t="n">
        <x:v>5</x:v>
      </x:c>
      <x:c r="B317" s="3" t="str">
        <x:v>00:50</x:v>
      </x:c>
      <x:c r="C317" s="3" t="n">
        <x:v>1</x:v>
      </x:c>
      <x:c r="D317" s="3" t="n">
        <x:v>16</x:v>
      </x:c>
      <x:c r="E317" s="3" t="n">
        <x:v>3</x:v>
      </x:c>
      <x:c r="F317" s="3" t="n">
        <x:v>4</x:v>
      </x:c>
      <x:c r="G317" s="9" t="n">
        <x:v>0.18</x:v>
      </x:c>
      <x:c r="H317" s="9" t="n">
        <x:v>1.017658</x:v>
      </x:c>
      <x:c r="I317" s="9" t="n">
        <x:f>'Physical_Arcs'!R17</x:f>
        <x:v>17.02777777777778</x:v>
      </x:c>
      <x:c r="J317" s="9" t="n">
        <x:f>I317*'Parameters'!$C$18</x:f>
        <x:v>3.405555555555556</x:v>
      </x:c>
      <x:c r="K317" s="9" t="n">
        <x:f>J317*'Parameters'!$C$19</x:f>
        <x:v>4.256944444444445</x:v>
      </x:c>
      <x:c r="L317" s="9" t="n">
        <x:f>I317*(1-0.40)-J317</x:f>
        <x:v>6.811111111111111</x:v>
      </x:c>
      <x:c r="M317" s="9" t="n">
        <x:f>'Physical_Arcs'!S17</x:f>
        <x:v>17.02777777777778</x:v>
      </x:c>
      <x:c r="N317" s="9" t="n">
        <x:f>M317*'Parameters'!$C$18</x:f>
        <x:v>3.405555555555556</x:v>
      </x:c>
      <x:c r="O317" s="9" t="n">
        <x:f>N317*'Parameters'!$C$19</x:f>
        <x:v>4.256944444444445</x:v>
      </x:c>
      <x:c r="P317" s="9" t="n">
        <x:f>M317*(1-0.40)-N317</x:f>
        <x:v>6.811111111111111</x:v>
      </x:c>
      <x:c r="Q317" s="9" t="n">
        <x:f>'Physical_Arcs'!T17</x:f>
        <x:v>17.02777777777778</x:v>
      </x:c>
      <x:c r="R317" s="9" t="n">
        <x:f>Q317*'Parameters'!$C$18</x:f>
        <x:v>3.405555555555556</x:v>
      </x:c>
      <x:c r="S317" s="9" t="n">
        <x:f>R317*'Parameters'!$C$19</x:f>
        <x:v>4.256944444444445</x:v>
      </x:c>
      <x:c r="T317" s="9" t="n">
        <x:f>Q317*(1-0.40)-R317</x:f>
        <x:v>6.811111111111111</x:v>
      </x:c>
    </x:row>
    <x:row r="318" ht="21" customHeight="1">
      <x:c r="A318" s="3" t="n">
        <x:v>5</x:v>
      </x:c>
      <x:c r="B318" s="3" t="str">
        <x:v>00:50</x:v>
      </x:c>
      <x:c r="C318" s="3" t="n">
        <x:v>1</x:v>
      </x:c>
      <x:c r="D318" s="3" t="n">
        <x:v>17</x:v>
      </x:c>
      <x:c r="E318" s="3" t="n">
        <x:v>3</x:v>
      </x:c>
      <x:c r="F318" s="3" t="n">
        <x:v>2</x:v>
      </x:c>
      <x:c r="G318" s="9" t="n">
        <x:v>0.18</x:v>
      </x:c>
      <x:c r="H318" s="9" t="n">
        <x:v>0.875995</x:v>
      </x:c>
      <x:c r="I318" s="9" t="n">
        <x:f>'Physical_Arcs'!R18</x:f>
        <x:v>10.666666666666666</x:v>
      </x:c>
      <x:c r="J318" s="9" t="n">
        <x:f>I318*'Parameters'!$C$18</x:f>
        <x:v>2.1333333333333333</x:v>
      </x:c>
      <x:c r="K318" s="9" t="n">
        <x:f>J318*'Parameters'!$C$19</x:f>
        <x:v>2.6666666666666665</x:v>
      </x:c>
      <x:c r="L318" s="9" t="n">
        <x:f>I318*(1-0.40)-J318</x:f>
        <x:v>4.266666666666666</x:v>
      </x:c>
      <x:c r="M318" s="9" t="n">
        <x:f>'Physical_Arcs'!S18</x:f>
        <x:v>10.666666666666666</x:v>
      </x:c>
      <x:c r="N318" s="9" t="n">
        <x:f>M318*'Parameters'!$C$18</x:f>
        <x:v>2.1333333333333333</x:v>
      </x:c>
      <x:c r="O318" s="9" t="n">
        <x:f>N318*'Parameters'!$C$19</x:f>
        <x:v>2.6666666666666665</x:v>
      </x:c>
      <x:c r="P318" s="9" t="n">
        <x:f>M318*(1-0.40)-N318</x:f>
        <x:v>4.266666666666666</x:v>
      </x:c>
      <x:c r="Q318" s="9" t="n">
        <x:f>'Physical_Arcs'!T18</x:f>
        <x:v>5.333333333333333</x:v>
      </x:c>
      <x:c r="R318" s="9" t="n">
        <x:f>Q318*'Parameters'!$C$18</x:f>
        <x:v>1.0666666666666667</x:v>
      </x:c>
      <x:c r="S318" s="9" t="n">
        <x:f>R318*'Parameters'!$C$19</x:f>
        <x:v>1.3333333333333333</x:v>
      </x:c>
      <x:c r="T318" s="9" t="n">
        <x:f>Q318*(1-0.40)-R318</x:f>
        <x:v>2.133333333333333</x:v>
      </x:c>
    </x:row>
    <x:row r="319" ht="21" customHeight="1">
      <x:c r="A319" s="3" t="n">
        <x:v>5</x:v>
      </x:c>
      <x:c r="B319" s="3" t="str">
        <x:v>00:50</x:v>
      </x:c>
      <x:c r="C319" s="3" t="n">
        <x:v>1</x:v>
      </x:c>
      <x:c r="D319" s="3" t="n">
        <x:v>18</x:v>
      </x:c>
      <x:c r="E319" s="3" t="n">
        <x:v>3</x:v>
      </x:c>
      <x:c r="F319" s="3" t="n">
        <x:v>1</x:v>
      </x:c>
      <x:c r="G319" s="9" t="n">
        <x:v>0.18</x:v>
      </x:c>
      <x:c r="H319" s="9" t="n">
        <x:v>1.015397</x:v>
      </x:c>
      <x:c r="I319" s="9" t="n">
        <x:f>'Physical_Arcs'!R19</x:f>
        <x:v>5.166666666666667</x:v>
      </x:c>
      <x:c r="J319" s="9" t="n">
        <x:f>I319*'Parameters'!$C$18</x:f>
        <x:v>1.0333333333333334</x:v>
      </x:c>
      <x:c r="K319" s="9" t="n">
        <x:f>J319*'Parameters'!$C$19</x:f>
        <x:v>1.2916666666666667</x:v>
      </x:c>
      <x:c r="L319" s="9" t="n">
        <x:f>I319*(1-0.40)-J319</x:f>
        <x:v>2.0666666666666664</x:v>
      </x:c>
      <x:c r="M319" s="9" t="n">
        <x:f>'Physical_Arcs'!S19</x:f>
        <x:v>5.166666666666667</x:v>
      </x:c>
      <x:c r="N319" s="9" t="n">
        <x:f>M319*'Parameters'!$C$18</x:f>
        <x:v>1.0333333333333334</x:v>
      </x:c>
      <x:c r="O319" s="9" t="n">
        <x:f>N319*'Parameters'!$C$19</x:f>
        <x:v>1.2916666666666667</x:v>
      </x:c>
      <x:c r="P319" s="9" t="n">
        <x:f>M319*(1-0.40)-N319</x:f>
        <x:v>2.0666666666666664</x:v>
      </x:c>
      <x:c r="Q319" s="9" t="n">
        <x:f>'Physical_Arcs'!T19</x:f>
        <x:v>2.5833333333333335</x:v>
      </x:c>
      <x:c r="R319" s="9" t="n">
        <x:f>Q319*'Parameters'!$C$18</x:f>
        <x:v>0.5166666666666667</x:v>
      </x:c>
      <x:c r="S319" s="9" t="n">
        <x:f>R319*'Parameters'!$C$19</x:f>
        <x:v>0.6458333333333334</x:v>
      </x:c>
      <x:c r="T319" s="9" t="n">
        <x:f>Q319*(1-0.40)-R319</x:f>
        <x:v>1.0333333333333332</x:v>
      </x:c>
    </x:row>
    <x:row r="320" ht="21" customHeight="1">
      <x:c r="A320" s="3" t="n">
        <x:v>5</x:v>
      </x:c>
      <x:c r="B320" s="3" t="str">
        <x:v>00:50</x:v>
      </x:c>
      <x:c r="C320" s="3" t="n">
        <x:v>1</x:v>
      </x:c>
      <x:c r="D320" s="3" t="n">
        <x:v>19</x:v>
      </x:c>
      <x:c r="E320" s="3" t="n">
        <x:v>3</x:v>
      </x:c>
      <x:c r="F320" s="3" t="n">
        <x:v>7</x:v>
      </x:c>
      <x:c r="G320" s="9" t="n">
        <x:v>0.18</x:v>
      </x:c>
      <x:c r="H320" s="9" t="n">
        <x:v>0.996008</x:v>
      </x:c>
      <x:c r="I320" s="9" t="n">
        <x:f>'Physical_Arcs'!R20</x:f>
        <x:v>5.75</x:v>
      </x:c>
      <x:c r="J320" s="9" t="n">
        <x:f>I320*'Parameters'!$C$18</x:f>
        <x:v>1.1500000000000001</x:v>
      </x:c>
      <x:c r="K320" s="9" t="n">
        <x:f>J320*'Parameters'!$C$19</x:f>
        <x:v>1.4375000000000002</x:v>
      </x:c>
      <x:c r="L320" s="9" t="n">
        <x:f>I320*(1-0.40)-J320</x:f>
        <x:v>2.3</x:v>
      </x:c>
      <x:c r="M320" s="9" t="n">
        <x:f>'Physical_Arcs'!S20</x:f>
        <x:v>5.75</x:v>
      </x:c>
      <x:c r="N320" s="9" t="n">
        <x:f>M320*'Parameters'!$C$18</x:f>
        <x:v>1.1500000000000001</x:v>
      </x:c>
      <x:c r="O320" s="9" t="n">
        <x:f>N320*'Parameters'!$C$19</x:f>
        <x:v>1.4375000000000002</x:v>
      </x:c>
      <x:c r="P320" s="9" t="n">
        <x:f>M320*(1-0.40)-N320</x:f>
        <x:v>2.3</x:v>
      </x:c>
      <x:c r="Q320" s="9" t="n">
        <x:f>'Physical_Arcs'!T20</x:f>
        <x:v>2.888888888888889</x:v>
      </x:c>
      <x:c r="R320" s="9" t="n">
        <x:f>Q320*'Parameters'!$C$18</x:f>
        <x:v>0.5777777777777778</x:v>
      </x:c>
      <x:c r="S320" s="9" t="n">
        <x:f>R320*'Parameters'!$C$19</x:f>
        <x:v>0.7222222222222223</x:v>
      </x:c>
      <x:c r="T320" s="9" t="n">
        <x:f>Q320*(1-0.40)-R320</x:f>
        <x:v>1.1555555555555554</x:v>
      </x:c>
    </x:row>
    <x:row r="321" ht="21" customHeight="1">
      <x:c r="A321" s="3" t="n">
        <x:v>5</x:v>
      </x:c>
      <x:c r="B321" s="3" t="str">
        <x:v>00:50</x:v>
      </x:c>
      <x:c r="C321" s="3" t="n">
        <x:v>1</x:v>
      </x:c>
      <x:c r="D321" s="3" t="n">
        <x:v>20</x:v>
      </x:c>
      <x:c r="E321" s="3" t="n">
        <x:v>3</x:v>
      </x:c>
      <x:c r="F321" s="3" t="n">
        <x:v>10</x:v>
      </x:c>
      <x:c r="G321" s="9" t="n">
        <x:v>0.18</x:v>
      </x:c>
      <x:c r="H321" s="9" t="n">
        <x:v>1.118855</x:v>
      </x:c>
      <x:c r="I321" s="9" t="n">
        <x:f>'Physical_Arcs'!R21</x:f>
        <x:v>5.166666666666667</x:v>
      </x:c>
      <x:c r="J321" s="9" t="n">
        <x:f>I321*'Parameters'!$C$18</x:f>
        <x:v>1.0333333333333334</x:v>
      </x:c>
      <x:c r="K321" s="9" t="n">
        <x:f>J321*'Parameters'!$C$19</x:f>
        <x:v>1.2916666666666667</x:v>
      </x:c>
      <x:c r="L321" s="9" t="n">
        <x:f>I321*(1-0.40)-J321</x:f>
        <x:v>2.0666666666666664</x:v>
      </x:c>
      <x:c r="M321" s="9" t="n">
        <x:f>'Physical_Arcs'!S21</x:f>
        <x:v>5.166666666666667</x:v>
      </x:c>
      <x:c r="N321" s="9" t="n">
        <x:f>M321*'Parameters'!$C$18</x:f>
        <x:v>1.0333333333333334</x:v>
      </x:c>
      <x:c r="O321" s="9" t="n">
        <x:f>N321*'Parameters'!$C$19</x:f>
        <x:v>1.2916666666666667</x:v>
      </x:c>
      <x:c r="P321" s="9" t="n">
        <x:f>M321*(1-0.40)-N321</x:f>
        <x:v>2.0666666666666664</x:v>
      </x:c>
      <x:c r="Q321" s="9" t="n">
        <x:f>'Physical_Arcs'!T21</x:f>
        <x:v>2.5833333333333335</x:v>
      </x:c>
      <x:c r="R321" s="9" t="n">
        <x:f>Q321*'Parameters'!$C$18</x:f>
        <x:v>0.5166666666666667</x:v>
      </x:c>
      <x:c r="S321" s="9" t="n">
        <x:f>R321*'Parameters'!$C$19</x:f>
        <x:v>0.6458333333333334</x:v>
      </x:c>
      <x:c r="T321" s="9" t="n">
        <x:f>Q321*(1-0.40)-R321</x:f>
        <x:v>1.0333333333333332</x:v>
      </x:c>
    </x:row>
    <x:row r="322" ht="21" customHeight="1">
      <x:c r="A322" s="3" t="n">
        <x:v>5</x:v>
      </x:c>
      <x:c r="B322" s="3" t="str">
        <x:v>00:50</x:v>
      </x:c>
      <x:c r="C322" s="3" t="n">
        <x:v>1</x:v>
      </x:c>
      <x:c r="D322" s="3" t="n">
        <x:v>21</x:v>
      </x:c>
      <x:c r="E322" s="3" t="n">
        <x:v>3</x:v>
      </x:c>
      <x:c r="F322" s="3" t="n">
        <x:v>9</x:v>
      </x:c>
      <x:c r="G322" s="9" t="n">
        <x:v>0.18</x:v>
      </x:c>
      <x:c r="H322" s="9" t="n">
        <x:v>0.947299</x:v>
      </x:c>
      <x:c r="I322" s="9" t="n">
        <x:f>'Physical_Arcs'!R22</x:f>
        <x:v>9.333333333333334</x:v>
      </x:c>
      <x:c r="J322" s="9" t="n">
        <x:f>I322*'Parameters'!$C$18</x:f>
        <x:v>1.866666666666667</x:v>
      </x:c>
      <x:c r="K322" s="9" t="n">
        <x:f>J322*'Parameters'!$C$19</x:f>
        <x:v>2.3333333333333335</x:v>
      </x:c>
      <x:c r="L322" s="9" t="n">
        <x:f>I322*(1-0.40)-J322</x:f>
        <x:v>3.7333333333333334</x:v>
      </x:c>
      <x:c r="M322" s="9" t="n">
        <x:f>'Physical_Arcs'!S22</x:f>
        <x:v>9.333333333333334</x:v>
      </x:c>
      <x:c r="N322" s="9" t="n">
        <x:f>M322*'Parameters'!$C$18</x:f>
        <x:v>1.866666666666667</x:v>
      </x:c>
      <x:c r="O322" s="9" t="n">
        <x:f>N322*'Parameters'!$C$19</x:f>
        <x:v>2.3333333333333335</x:v>
      </x:c>
      <x:c r="P322" s="9" t="n">
        <x:f>M322*(1-0.40)-N322</x:f>
        <x:v>3.7333333333333334</x:v>
      </x:c>
      <x:c r="Q322" s="9" t="n">
        <x:f>'Physical_Arcs'!T22</x:f>
        <x:v>4.666666666666667</x:v>
      </x:c>
      <x:c r="R322" s="9" t="n">
        <x:f>Q322*'Parameters'!$C$18</x:f>
        <x:v>0.9333333333333335</x:v>
      </x:c>
      <x:c r="S322" s="9" t="n">
        <x:f>R322*'Parameters'!$C$19</x:f>
        <x:v>1.1666666666666667</x:v>
      </x:c>
      <x:c r="T322" s="9" t="n">
        <x:f>Q322*(1-0.40)-R322</x:f>
        <x:v>1.8666666666666667</x:v>
      </x:c>
    </x:row>
    <x:row r="323" ht="21" customHeight="1">
      <x:c r="A323" s="3" t="n">
        <x:v>5</x:v>
      </x:c>
      <x:c r="B323" s="3" t="str">
        <x:v>00:50</x:v>
      </x:c>
      <x:c r="C323" s="3" t="n">
        <x:v>1</x:v>
      </x:c>
      <x:c r="D323" s="3" t="n">
        <x:v>22</x:v>
      </x:c>
      <x:c r="E323" s="3" t="n">
        <x:v>4</x:v>
      </x:c>
      <x:c r="F323" s="3" t="n">
        <x:v>5</x:v>
      </x:c>
      <x:c r="G323" s="9" t="n">
        <x:v>0.18</x:v>
      </x:c>
      <x:c r="H323" s="9" t="n">
        <x:v>0.958485</x:v>
      </x:c>
      <x:c r="I323" s="9" t="n">
        <x:f>'Physical_Arcs'!R23</x:f>
        <x:v>17.02777777777778</x:v>
      </x:c>
      <x:c r="J323" s="9" t="n">
        <x:f>I323*'Parameters'!$C$18</x:f>
        <x:v>3.405555555555556</x:v>
      </x:c>
      <x:c r="K323" s="9" t="n">
        <x:f>J323*'Parameters'!$C$19</x:f>
        <x:v>4.256944444444445</x:v>
      </x:c>
      <x:c r="L323" s="9" t="n">
        <x:f>I323*(1-0.40)-J323</x:f>
        <x:v>6.811111111111111</x:v>
      </x:c>
      <x:c r="M323" s="9" t="n">
        <x:f>'Physical_Arcs'!S23</x:f>
        <x:v>17.02777777777778</x:v>
      </x:c>
      <x:c r="N323" s="9" t="n">
        <x:f>M323*'Parameters'!$C$18</x:f>
        <x:v>3.405555555555556</x:v>
      </x:c>
      <x:c r="O323" s="9" t="n">
        <x:f>N323*'Parameters'!$C$19</x:f>
        <x:v>4.256944444444445</x:v>
      </x:c>
      <x:c r="P323" s="9" t="n">
        <x:f>M323*(1-0.40)-N323</x:f>
        <x:v>6.811111111111111</x:v>
      </x:c>
      <x:c r="Q323" s="9" t="n">
        <x:f>'Physical_Arcs'!T23</x:f>
        <x:v>17.02777777777778</x:v>
      </x:c>
      <x:c r="R323" s="9" t="n">
        <x:f>Q323*'Parameters'!$C$18</x:f>
        <x:v>3.405555555555556</x:v>
      </x:c>
      <x:c r="S323" s="9" t="n">
        <x:f>R323*'Parameters'!$C$19</x:f>
        <x:v>4.256944444444445</x:v>
      </x:c>
      <x:c r="T323" s="9" t="n">
        <x:f>Q323*(1-0.40)-R323</x:f>
        <x:v>6.811111111111111</x:v>
      </x:c>
    </x:row>
    <x:row r="324" ht="21" customHeight="1">
      <x:c r="A324" s="3" t="n">
        <x:v>5</x:v>
      </x:c>
      <x:c r="B324" s="3" t="str">
        <x:v>00:50</x:v>
      </x:c>
      <x:c r="C324" s="3" t="n">
        <x:v>1</x:v>
      </x:c>
      <x:c r="D324" s="3" t="n">
        <x:v>23</x:v>
      </x:c>
      <x:c r="E324" s="3" t="n">
        <x:v>4</x:v>
      </x:c>
      <x:c r="F324" s="3" t="n">
        <x:v>3</x:v>
      </x:c>
      <x:c r="G324" s="9" t="n">
        <x:v>0.18</x:v>
      </x:c>
      <x:c r="H324" s="9" t="n">
        <x:v>0.944916</x:v>
      </x:c>
      <x:c r="I324" s="9" t="n">
        <x:f>'Physical_Arcs'!R24</x:f>
        <x:v>9.333333333333334</x:v>
      </x:c>
      <x:c r="J324" s="9" t="n">
        <x:f>I324*'Parameters'!$C$18</x:f>
        <x:v>1.866666666666667</x:v>
      </x:c>
      <x:c r="K324" s="9" t="n">
        <x:f>J324*'Parameters'!$C$19</x:f>
        <x:v>2.3333333333333335</x:v>
      </x:c>
      <x:c r="L324" s="9" t="n">
        <x:f>I324*(1-0.40)-J324</x:f>
        <x:v>3.7333333333333334</x:v>
      </x:c>
      <x:c r="M324" s="9" t="n">
        <x:f>'Physical_Arcs'!S24</x:f>
        <x:v>9.333333333333334</x:v>
      </x:c>
      <x:c r="N324" s="9" t="n">
        <x:f>M324*'Parameters'!$C$18</x:f>
        <x:v>1.866666666666667</x:v>
      </x:c>
      <x:c r="O324" s="9" t="n">
        <x:f>N324*'Parameters'!$C$19</x:f>
        <x:v>2.3333333333333335</x:v>
      </x:c>
      <x:c r="P324" s="9" t="n">
        <x:f>M324*(1-0.40)-N324</x:f>
        <x:v>3.7333333333333334</x:v>
      </x:c>
      <x:c r="Q324" s="9" t="n">
        <x:f>'Physical_Arcs'!T24</x:f>
        <x:v>4.666666666666667</x:v>
      </x:c>
      <x:c r="R324" s="9" t="n">
        <x:f>Q324*'Parameters'!$C$18</x:f>
        <x:v>0.9333333333333335</x:v>
      </x:c>
      <x:c r="S324" s="9" t="n">
        <x:f>R324*'Parameters'!$C$19</x:f>
        <x:v>1.1666666666666667</x:v>
      </x:c>
      <x:c r="T324" s="9" t="n">
        <x:f>Q324*(1-0.40)-R324</x:f>
        <x:v>1.8666666666666667</x:v>
      </x:c>
    </x:row>
    <x:row r="325" ht="21" customHeight="1">
      <x:c r="A325" s="3" t="n">
        <x:v>5</x:v>
      </x:c>
      <x:c r="B325" s="3" t="str">
        <x:v>00:50</x:v>
      </x:c>
      <x:c r="C325" s="3" t="n">
        <x:v>1</x:v>
      </x:c>
      <x:c r="D325" s="3" t="n">
        <x:v>24</x:v>
      </x:c>
      <x:c r="E325" s="3" t="n">
        <x:v>4</x:v>
      </x:c>
      <x:c r="F325" s="3" t="n">
        <x:v>10</x:v>
      </x:c>
      <x:c r="G325" s="9" t="n">
        <x:v>0.18</x:v>
      </x:c>
      <x:c r="H325" s="9" t="n">
        <x:v>0.875461</x:v>
      </x:c>
      <x:c r="I325" s="9" t="n">
        <x:f>'Physical_Arcs'!R25</x:f>
        <x:v>7.194444444444445</x:v>
      </x:c>
      <x:c r="J325" s="9" t="n">
        <x:f>I325*'Parameters'!$C$18</x:f>
        <x:v>1.438888888888889</x:v>
      </x:c>
      <x:c r="K325" s="9" t="n">
        <x:f>J325*'Parameters'!$C$19</x:f>
        <x:v>1.7986111111111114</x:v>
      </x:c>
      <x:c r="L325" s="9" t="n">
        <x:f>I325*(1-0.40)-J325</x:f>
        <x:v>2.8777777777777773</x:v>
      </x:c>
      <x:c r="M325" s="9" t="n">
        <x:f>'Physical_Arcs'!S25</x:f>
        <x:v>7.194444444444445</x:v>
      </x:c>
      <x:c r="N325" s="9" t="n">
        <x:f>M325*'Parameters'!$C$18</x:f>
        <x:v>1.438888888888889</x:v>
      </x:c>
      <x:c r="O325" s="9" t="n">
        <x:f>N325*'Parameters'!$C$19</x:f>
        <x:v>1.7986111111111114</x:v>
      </x:c>
      <x:c r="P325" s="9" t="n">
        <x:f>M325*(1-0.40)-N325</x:f>
        <x:v>2.8777777777777773</x:v>
      </x:c>
      <x:c r="Q325" s="9" t="n">
        <x:f>'Physical_Arcs'!T25</x:f>
        <x:v>3.611111111111111</x:v>
      </x:c>
      <x:c r="R325" s="9" t="n">
        <x:f>Q325*'Parameters'!$C$18</x:f>
        <x:v>0.7222222222222223</x:v>
      </x:c>
      <x:c r="S325" s="9" t="n">
        <x:f>R325*'Parameters'!$C$19</x:f>
        <x:v>0.9027777777777779</x:v>
      </x:c>
      <x:c r="T325" s="9" t="n">
        <x:f>Q325*(1-0.40)-R325</x:f>
        <x:v>1.4444444444444442</x:v>
      </x:c>
    </x:row>
    <x:row r="326" ht="21" customHeight="1">
      <x:c r="A326" s="3" t="n">
        <x:v>5</x:v>
      </x:c>
      <x:c r="B326" s="3" t="str">
        <x:v>00:50</x:v>
      </x:c>
      <x:c r="C326" s="3" t="n">
        <x:v>1</x:v>
      </x:c>
      <x:c r="D326" s="3" t="n">
        <x:v>25</x:v>
      </x:c>
      <x:c r="E326" s="3" t="n">
        <x:v>4</x:v>
      </x:c>
      <x:c r="F326" s="3" t="n">
        <x:v>8</x:v>
      </x:c>
      <x:c r="G326" s="9" t="n">
        <x:v>0.18</x:v>
      </x:c>
      <x:c r="H326" s="9" t="n">
        <x:v>0.993326</x:v>
      </x:c>
      <x:c r="I326" s="9" t="n">
        <x:f>'Physical_Arcs'!R26</x:f>
        <x:v>5.277777777777778</x:v>
      </x:c>
      <x:c r="J326" s="9" t="n">
        <x:f>I326*'Parameters'!$C$18</x:f>
        <x:v>1.0555555555555556</x:v>
      </x:c>
      <x:c r="K326" s="9" t="n">
        <x:f>J326*'Parameters'!$C$19</x:f>
        <x:v>1.3194444444444444</x:v>
      </x:c>
      <x:c r="L326" s="9" t="n">
        <x:f>I326*(1-0.40)-J326</x:f>
        <x:v>2.1111111111111107</x:v>
      </x:c>
      <x:c r="M326" s="9" t="n">
        <x:f>'Physical_Arcs'!S26</x:f>
        <x:v>5.277777777777778</x:v>
      </x:c>
      <x:c r="N326" s="9" t="n">
        <x:f>M326*'Parameters'!$C$18</x:f>
        <x:v>1.0555555555555556</x:v>
      </x:c>
      <x:c r="O326" s="9" t="n">
        <x:f>N326*'Parameters'!$C$19</x:f>
        <x:v>1.3194444444444444</x:v>
      </x:c>
      <x:c r="P326" s="9" t="n">
        <x:f>M326*(1-0.40)-N326</x:f>
        <x:v>2.1111111111111107</x:v>
      </x:c>
      <x:c r="Q326" s="9" t="n">
        <x:f>'Physical_Arcs'!T26</x:f>
        <x:v>2.638888888888889</x:v>
      </x:c>
      <x:c r="R326" s="9" t="n">
        <x:f>Q326*'Parameters'!$C$18</x:f>
        <x:v>0.5277777777777778</x:v>
      </x:c>
      <x:c r="S326" s="9" t="n">
        <x:f>R326*'Parameters'!$C$19</x:f>
        <x:v>0.6597222222222222</x:v>
      </x:c>
      <x:c r="T326" s="9" t="n">
        <x:f>Q326*(1-0.40)-R326</x:f>
        <x:v>1.0555555555555554</x:v>
      </x:c>
    </x:row>
    <x:row r="327" ht="21" customHeight="1">
      <x:c r="A327" s="3" t="n">
        <x:v>5</x:v>
      </x:c>
      <x:c r="B327" s="3" t="str">
        <x:v>00:50</x:v>
      </x:c>
      <x:c r="C327" s="3" t="n">
        <x:v>1</x:v>
      </x:c>
      <x:c r="D327" s="3" t="n">
        <x:v>26</x:v>
      </x:c>
      <x:c r="E327" s="3" t="n">
        <x:v>4</x:v>
      </x:c>
      <x:c r="F327" s="3" t="n">
        <x:v>7</x:v>
      </x:c>
      <x:c r="G327" s="9" t="n">
        <x:v>0.18</x:v>
      </x:c>
      <x:c r="H327" s="9" t="n">
        <x:v>1.099203</x:v>
      </x:c>
      <x:c r="I327" s="9" t="n">
        <x:f>'Physical_Arcs'!R27</x:f>
        <x:v>6.527777777777778</x:v>
      </x:c>
      <x:c r="J327" s="9" t="n">
        <x:f>I327*'Parameters'!$C$18</x:f>
        <x:v>1.3055555555555556</x:v>
      </x:c>
      <x:c r="K327" s="9" t="n">
        <x:f>J327*'Parameters'!$C$19</x:f>
        <x:v>1.6319444444444444</x:v>
      </x:c>
      <x:c r="L327" s="9" t="n">
        <x:f>I327*(1-0.40)-J327</x:f>
        <x:v>2.6111111111111107</x:v>
      </x:c>
      <x:c r="M327" s="9" t="n">
        <x:f>'Physical_Arcs'!S27</x:f>
        <x:v>6.527777777777778</x:v>
      </x:c>
      <x:c r="N327" s="9" t="n">
        <x:f>M327*'Parameters'!$C$18</x:f>
        <x:v>1.3055555555555556</x:v>
      </x:c>
      <x:c r="O327" s="9" t="n">
        <x:f>N327*'Parameters'!$C$19</x:f>
        <x:v>1.6319444444444444</x:v>
      </x:c>
      <x:c r="P327" s="9" t="n">
        <x:f>M327*(1-0.40)-N327</x:f>
        <x:v>2.6111111111111107</x:v>
      </x:c>
      <x:c r="Q327" s="9" t="n">
        <x:f>'Physical_Arcs'!T27</x:f>
        <x:v>3.2777777777777777</x:v>
      </x:c>
      <x:c r="R327" s="9" t="n">
        <x:f>Q327*'Parameters'!$C$18</x:f>
        <x:v>0.6555555555555556</x:v>
      </x:c>
      <x:c r="S327" s="9" t="n">
        <x:f>R327*'Parameters'!$C$19</x:f>
        <x:v>0.8194444444444444</x:v>
      </x:c>
      <x:c r="T327" s="9" t="n">
        <x:f>Q327*(1-0.40)-R327</x:f>
        <x:v>1.311111111111111</x:v>
      </x:c>
    </x:row>
    <x:row r="328" ht="21" customHeight="1">
      <x:c r="A328" s="3" t="n">
        <x:v>5</x:v>
      </x:c>
      <x:c r="B328" s="3" t="str">
        <x:v>00:50</x:v>
      </x:c>
      <x:c r="C328" s="3" t="n">
        <x:v>1</x:v>
      </x:c>
      <x:c r="D328" s="3" t="n">
        <x:v>27</x:v>
      </x:c>
      <x:c r="E328" s="3" t="n">
        <x:v>4</x:v>
      </x:c>
      <x:c r="F328" s="3" t="n">
        <x:v>2</x:v>
      </x:c>
      <x:c r="G328" s="9" t="n">
        <x:v>0.18</x:v>
      </x:c>
      <x:c r="H328" s="9" t="n">
        <x:v>0.861111</x:v>
      </x:c>
      <x:c r="I328" s="9" t="n">
        <x:f>'Physical_Arcs'!R28</x:f>
        <x:v>4.944444444444445</x:v>
      </x:c>
      <x:c r="J328" s="9" t="n">
        <x:f>I328*'Parameters'!$C$18</x:f>
        <x:v>0.9888888888888889</x:v>
      </x:c>
      <x:c r="K328" s="9" t="n">
        <x:f>J328*'Parameters'!$C$19</x:f>
        <x:v>1.2361111111111112</x:v>
      </x:c>
      <x:c r="L328" s="9" t="n">
        <x:f>I328*(1-0.40)-J328</x:f>
        <x:v>1.9777777777777779</x:v>
      </x:c>
      <x:c r="M328" s="9" t="n">
        <x:f>'Physical_Arcs'!S28</x:f>
        <x:v>4.944444444444445</x:v>
      </x:c>
      <x:c r="N328" s="9" t="n">
        <x:f>M328*'Parameters'!$C$18</x:f>
        <x:v>0.9888888888888889</x:v>
      </x:c>
      <x:c r="O328" s="9" t="n">
        <x:f>N328*'Parameters'!$C$19</x:f>
        <x:v>1.2361111111111112</x:v>
      </x:c>
      <x:c r="P328" s="9" t="n">
        <x:f>M328*(1-0.40)-N328</x:f>
        <x:v>1.9777777777777779</x:v>
      </x:c>
      <x:c r="Q328" s="9" t="n">
        <x:f>'Physical_Arcs'!T28</x:f>
        <x:v>2.4722222222222223</x:v>
      </x:c>
      <x:c r="R328" s="9" t="n">
        <x:f>Q328*'Parameters'!$C$18</x:f>
        <x:v>0.49444444444444446</x:v>
      </x:c>
      <x:c r="S328" s="9" t="n">
        <x:f>R328*'Parameters'!$C$19</x:f>
        <x:v>0.6180555555555556</x:v>
      </x:c>
      <x:c r="T328" s="9" t="n">
        <x:f>Q328*(1-0.40)-R328</x:f>
        <x:v>0.9888888888888889</x:v>
      </x:c>
    </x:row>
    <x:row r="329" ht="21" customHeight="1">
      <x:c r="A329" s="3" t="n">
        <x:v>5</x:v>
      </x:c>
      <x:c r="B329" s="3" t="str">
        <x:v>00:50</x:v>
      </x:c>
      <x:c r="C329" s="3" t="n">
        <x:v>1</x:v>
      </x:c>
      <x:c r="D329" s="3" t="n">
        <x:v>28</x:v>
      </x:c>
      <x:c r="E329" s="3" t="n">
        <x:v>4</x:v>
      </x:c>
      <x:c r="F329" s="3" t="n">
        <x:v>6</x:v>
      </x:c>
      <x:c r="G329" s="9" t="n">
        <x:v>0.18</x:v>
      </x:c>
      <x:c r="H329" s="9" t="n">
        <x:v>1.137214</x:v>
      </x:c>
      <x:c r="I329" s="9" t="n">
        <x:f>'Physical_Arcs'!R29</x:f>
        <x:v>3.388888888888889</x:v>
      </x:c>
      <x:c r="J329" s="9" t="n">
        <x:f>I329*'Parameters'!$C$18</x:f>
        <x:v>0.6777777777777778</x:v>
      </x:c>
      <x:c r="K329" s="9" t="n">
        <x:f>J329*'Parameters'!$C$19</x:f>
        <x:v>0.8472222222222223</x:v>
      </x:c>
      <x:c r="L329" s="9" t="n">
        <x:f>I329*(1-0.40)-J329</x:f>
        <x:v>1.3555555555555554</x:v>
      </x:c>
      <x:c r="M329" s="9" t="n">
        <x:f>'Physical_Arcs'!S29</x:f>
        <x:v>3.388888888888889</x:v>
      </x:c>
      <x:c r="N329" s="9" t="n">
        <x:f>M329*'Parameters'!$C$18</x:f>
        <x:v>0.6777777777777778</x:v>
      </x:c>
      <x:c r="O329" s="9" t="n">
        <x:f>N329*'Parameters'!$C$19</x:f>
        <x:v>0.8472222222222223</x:v>
      </x:c>
      <x:c r="P329" s="9" t="n">
        <x:f>M329*(1-0.40)-N329</x:f>
        <x:v>1.3555555555555554</x:v>
      </x:c>
      <x:c r="Q329" s="9" t="n">
        <x:f>'Physical_Arcs'!T29</x:f>
        <x:v>1.6944444444444444</x:v>
      </x:c>
      <x:c r="R329" s="9" t="n">
        <x:f>Q329*'Parameters'!$C$18</x:f>
        <x:v>0.3388888888888889</x:v>
      </x:c>
      <x:c r="S329" s="9" t="n">
        <x:f>R329*'Parameters'!$C$19</x:f>
        <x:v>0.42361111111111116</x:v>
      </x:c>
      <x:c r="T329" s="9" t="n">
        <x:f>Q329*(1-0.40)-R329</x:f>
        <x:v>0.6777777777777777</x:v>
      </x:c>
    </x:row>
    <x:row r="330" ht="21" customHeight="1">
      <x:c r="A330" s="3" t="n">
        <x:v>5</x:v>
      </x:c>
      <x:c r="B330" s="3" t="str">
        <x:v>00:50</x:v>
      </x:c>
      <x:c r="C330" s="3" t="n">
        <x:v>1</x:v>
      </x:c>
      <x:c r="D330" s="3" t="n">
        <x:v>29</x:v>
      </x:c>
      <x:c r="E330" s="3" t="n">
        <x:v>5</x:v>
      </x:c>
      <x:c r="F330" s="3" t="n">
        <x:v>6</x:v>
      </x:c>
      <x:c r="G330" s="9" t="n">
        <x:v>0.18</x:v>
      </x:c>
      <x:c r="H330" s="9" t="n">
        <x:v>0.949994</x:v>
      </x:c>
      <x:c r="I330" s="9" t="n">
        <x:f>'Physical_Arcs'!R30</x:f>
        <x:v>17.02777777777778</x:v>
      </x:c>
      <x:c r="J330" s="9" t="n">
        <x:f>I330*'Parameters'!$C$18</x:f>
        <x:v>3.405555555555556</x:v>
      </x:c>
      <x:c r="K330" s="9" t="n">
        <x:f>J330*'Parameters'!$C$19</x:f>
        <x:v>4.256944444444445</x:v>
      </x:c>
      <x:c r="L330" s="9" t="n">
        <x:f>I330*(1-0.40)-J330</x:f>
        <x:v>6.811111111111111</x:v>
      </x:c>
      <x:c r="M330" s="9" t="n">
        <x:f>'Physical_Arcs'!S30</x:f>
        <x:v>17.02777777777778</x:v>
      </x:c>
      <x:c r="N330" s="9" t="n">
        <x:f>M330*'Parameters'!$C$18</x:f>
        <x:v>3.405555555555556</x:v>
      </x:c>
      <x:c r="O330" s="9" t="n">
        <x:f>N330*'Parameters'!$C$19</x:f>
        <x:v>4.256944444444445</x:v>
      </x:c>
      <x:c r="P330" s="9" t="n">
        <x:f>M330*(1-0.40)-N330</x:f>
        <x:v>6.811111111111111</x:v>
      </x:c>
      <x:c r="Q330" s="9" t="n">
        <x:f>'Physical_Arcs'!T30</x:f>
        <x:v>17.02777777777778</x:v>
      </x:c>
      <x:c r="R330" s="9" t="n">
        <x:f>Q330*'Parameters'!$C$18</x:f>
        <x:v>3.405555555555556</x:v>
      </x:c>
      <x:c r="S330" s="9" t="n">
        <x:f>R330*'Parameters'!$C$19</x:f>
        <x:v>4.256944444444445</x:v>
      </x:c>
      <x:c r="T330" s="9" t="n">
        <x:f>Q330*(1-0.40)-R330</x:f>
        <x:v>6.811111111111111</x:v>
      </x:c>
    </x:row>
    <x:row r="331" ht="21" customHeight="1">
      <x:c r="A331" s="3" t="n">
        <x:v>5</x:v>
      </x:c>
      <x:c r="B331" s="3" t="str">
        <x:v>00:50</x:v>
      </x:c>
      <x:c r="C331" s="3" t="n">
        <x:v>1</x:v>
      </x:c>
      <x:c r="D331" s="3" t="n">
        <x:v>30</x:v>
      </x:c>
      <x:c r="E331" s="3" t="n">
        <x:v>5</x:v>
      </x:c>
      <x:c r="F331" s="3" t="n">
        <x:v>2</x:v>
      </x:c>
      <x:c r="G331" s="9" t="n">
        <x:v>0.18</x:v>
      </x:c>
      <x:c r="H331" s="9" t="n">
        <x:v>0.882396</x:v>
      </x:c>
      <x:c r="I331" s="9" t="n">
        <x:f>'Physical_Arcs'!R31</x:f>
        <x:v>2.9444444444444446</x:v>
      </x:c>
      <x:c r="J331" s="9" t="n">
        <x:f>I331*'Parameters'!$C$18</x:f>
        <x:v>0.5888888888888889</x:v>
      </x:c>
      <x:c r="K331" s="9" t="n">
        <x:f>J331*'Parameters'!$C$19</x:f>
        <x:v>0.7361111111111112</x:v>
      </x:c>
      <x:c r="L331" s="9" t="n">
        <x:f>I331*(1-0.40)-J331</x:f>
        <x:v>1.177777777777778</x:v>
      </x:c>
      <x:c r="M331" s="9" t="n">
        <x:f>'Physical_Arcs'!S31</x:f>
        <x:v>2.9444444444444446</x:v>
      </x:c>
      <x:c r="N331" s="9" t="n">
        <x:f>M331*'Parameters'!$C$18</x:f>
        <x:v>0.5888888888888889</x:v>
      </x:c>
      <x:c r="O331" s="9" t="n">
        <x:f>N331*'Parameters'!$C$19</x:f>
        <x:v>0.7361111111111112</x:v>
      </x:c>
      <x:c r="P331" s="9" t="n">
        <x:f>M331*(1-0.40)-N331</x:f>
        <x:v>1.177777777777778</x:v>
      </x:c>
      <x:c r="Q331" s="9" t="n">
        <x:f>'Physical_Arcs'!T31</x:f>
        <x:v>1.4722222222222223</x:v>
      </x:c>
      <x:c r="R331" s="9" t="n">
        <x:f>Q331*'Parameters'!$C$18</x:f>
        <x:v>0.29444444444444445</x:v>
      </x:c>
      <x:c r="S331" s="9" t="n">
        <x:f>R331*'Parameters'!$C$19</x:f>
        <x:v>0.3680555555555556</x:v>
      </x:c>
      <x:c r="T331" s="9" t="n">
        <x:f>Q331*(1-0.40)-R331</x:f>
        <x:v>0.588888888888889</x:v>
      </x:c>
    </x:row>
    <x:row r="332" ht="21" customHeight="1">
      <x:c r="A332" s="3" t="n">
        <x:v>5</x:v>
      </x:c>
      <x:c r="B332" s="3" t="str">
        <x:v>00:50</x:v>
      </x:c>
      <x:c r="C332" s="3" t="n">
        <x:v>1</x:v>
      </x:c>
      <x:c r="D332" s="3" t="n">
        <x:v>31</x:v>
      </x:c>
      <x:c r="E332" s="3" t="n">
        <x:v>5</x:v>
      </x:c>
      <x:c r="F332" s="3" t="n">
        <x:v>8</x:v>
      </x:c>
      <x:c r="G332" s="9" t="n">
        <x:v>0.18</x:v>
      </x:c>
      <x:c r="H332" s="9" t="n">
        <x:v>0.986718</x:v>
      </x:c>
      <x:c r="I332" s="9" t="n">
        <x:f>'Physical_Arcs'!R32</x:f>
        <x:v>9.333333333333334</x:v>
      </x:c>
      <x:c r="J332" s="9" t="n">
        <x:f>I332*'Parameters'!$C$18</x:f>
        <x:v>1.866666666666667</x:v>
      </x:c>
      <x:c r="K332" s="9" t="n">
        <x:f>J332*'Parameters'!$C$19</x:f>
        <x:v>2.3333333333333335</x:v>
      </x:c>
      <x:c r="L332" s="9" t="n">
        <x:f>I332*(1-0.40)-J332</x:f>
        <x:v>3.7333333333333334</x:v>
      </x:c>
      <x:c r="M332" s="9" t="n">
        <x:f>'Physical_Arcs'!S32</x:f>
        <x:v>9.333333333333334</x:v>
      </x:c>
      <x:c r="N332" s="9" t="n">
        <x:f>M332*'Parameters'!$C$18</x:f>
        <x:v>1.866666666666667</x:v>
      </x:c>
      <x:c r="O332" s="9" t="n">
        <x:f>N332*'Parameters'!$C$19</x:f>
        <x:v>2.3333333333333335</x:v>
      </x:c>
      <x:c r="P332" s="9" t="n">
        <x:f>M332*(1-0.40)-N332</x:f>
        <x:v>3.7333333333333334</x:v>
      </x:c>
      <x:c r="Q332" s="9" t="n">
        <x:f>'Physical_Arcs'!T32</x:f>
        <x:v>4.666666666666667</x:v>
      </x:c>
      <x:c r="R332" s="9" t="n">
        <x:f>Q332*'Parameters'!$C$18</x:f>
        <x:v>0.9333333333333335</x:v>
      </x:c>
      <x:c r="S332" s="9" t="n">
        <x:f>R332*'Parameters'!$C$19</x:f>
        <x:v>1.1666666666666667</x:v>
      </x:c>
      <x:c r="T332" s="9" t="n">
        <x:f>Q332*(1-0.40)-R332</x:f>
        <x:v>1.8666666666666667</x:v>
      </x:c>
    </x:row>
    <x:row r="333" ht="21" customHeight="1">
      <x:c r="A333" s="3" t="n">
        <x:v>5</x:v>
      </x:c>
      <x:c r="B333" s="3" t="str">
        <x:v>00:50</x:v>
      </x:c>
      <x:c r="C333" s="3" t="n">
        <x:v>1</x:v>
      </x:c>
      <x:c r="D333" s="3" t="n">
        <x:v>32</x:v>
      </x:c>
      <x:c r="E333" s="3" t="n">
        <x:v>5</x:v>
      </x:c>
      <x:c r="F333" s="3" t="n">
        <x:v>3</x:v>
      </x:c>
      <x:c r="G333" s="9" t="n">
        <x:v>0.18</x:v>
      </x:c>
      <x:c r="H333" s="9" t="n">
        <x:v>1.089544</x:v>
      </x:c>
      <x:c r="I333" s="9" t="n">
        <x:f>'Physical_Arcs'!R33</x:f>
        <x:v>11.13888888888889</x:v>
      </x:c>
      <x:c r="J333" s="9" t="n">
        <x:f>I333*'Parameters'!$C$18</x:f>
        <x:v>2.227777777777778</x:v>
      </x:c>
      <x:c r="K333" s="9" t="n">
        <x:f>J333*'Parameters'!$C$19</x:f>
        <x:v>2.7847222222222223</x:v>
      </x:c>
      <x:c r="L333" s="9" t="n">
        <x:f>I333*(1-0.40)-J333</x:f>
        <x:v>4.455555555555556</x:v>
      </x:c>
      <x:c r="M333" s="9" t="n">
        <x:f>'Physical_Arcs'!S33</x:f>
        <x:v>11.13888888888889</x:v>
      </x:c>
      <x:c r="N333" s="9" t="n">
        <x:f>M333*'Parameters'!$C$18</x:f>
        <x:v>2.227777777777778</x:v>
      </x:c>
      <x:c r="O333" s="9" t="n">
        <x:f>N333*'Parameters'!$C$19</x:f>
        <x:v>2.7847222222222223</x:v>
      </x:c>
      <x:c r="P333" s="9" t="n">
        <x:f>M333*(1-0.40)-N333</x:f>
        <x:v>4.455555555555556</x:v>
      </x:c>
      <x:c r="Q333" s="9" t="n">
        <x:f>'Physical_Arcs'!T33</x:f>
        <x:v>5.583333333333333</x:v>
      </x:c>
      <x:c r="R333" s="9" t="n">
        <x:f>Q333*'Parameters'!$C$18</x:f>
        <x:v>1.1166666666666667</x:v>
      </x:c>
      <x:c r="S333" s="9" t="n">
        <x:f>R333*'Parameters'!$C$19</x:f>
        <x:v>1.3958333333333335</x:v>
      </x:c>
      <x:c r="T333" s="9" t="n">
        <x:f>Q333*(1-0.40)-R333</x:f>
        <x:v>2.233333333333333</x:v>
      </x:c>
    </x:row>
    <x:row r="334" ht="21" customHeight="1">
      <x:c r="A334" s="3" t="n">
        <x:v>5</x:v>
      </x:c>
      <x:c r="B334" s="3" t="str">
        <x:v>00:50</x:v>
      </x:c>
      <x:c r="C334" s="3" t="n">
        <x:v>1</x:v>
      </x:c>
      <x:c r="D334" s="3" t="n">
        <x:v>33</x:v>
      </x:c>
      <x:c r="E334" s="3" t="n">
        <x:v>5</x:v>
      </x:c>
      <x:c r="F334" s="3" t="n">
        <x:v>10</x:v>
      </x:c>
      <x:c r="G334" s="9" t="n">
        <x:v>0.18</x:v>
      </x:c>
      <x:c r="H334" s="9" t="n">
        <x:v>1.103596</x:v>
      </x:c>
      <x:c r="I334" s="9" t="n">
        <x:f>'Physical_Arcs'!R34</x:f>
        <x:v>4.611111111111111</x:v>
      </x:c>
      <x:c r="J334" s="9" t="n">
        <x:f>I334*'Parameters'!$C$18</x:f>
        <x:v>0.9222222222222222</x:v>
      </x:c>
      <x:c r="K334" s="9" t="n">
        <x:f>J334*'Parameters'!$C$19</x:f>
        <x:v>1.1527777777777777</x:v>
      </x:c>
      <x:c r="L334" s="9" t="n">
        <x:f>I334*(1-0.40)-J334</x:f>
        <x:v>1.844444444444444</x:v>
      </x:c>
      <x:c r="M334" s="9" t="n">
        <x:f>'Physical_Arcs'!S34</x:f>
        <x:v>4.611111111111111</x:v>
      </x:c>
      <x:c r="N334" s="9" t="n">
        <x:f>M334*'Parameters'!$C$18</x:f>
        <x:v>0.9222222222222222</x:v>
      </x:c>
      <x:c r="O334" s="9" t="n">
        <x:f>N334*'Parameters'!$C$19</x:f>
        <x:v>1.1527777777777777</x:v>
      </x:c>
      <x:c r="P334" s="9" t="n">
        <x:f>M334*(1-0.40)-N334</x:f>
        <x:v>1.844444444444444</x:v>
      </x:c>
      <x:c r="Q334" s="9" t="n">
        <x:f>'Physical_Arcs'!T34</x:f>
        <x:v>2.3055555555555554</x:v>
      </x:c>
      <x:c r="R334" s="9" t="n">
        <x:f>Q334*'Parameters'!$C$18</x:f>
        <x:v>0.4611111111111111</x:v>
      </x:c>
      <x:c r="S334" s="9" t="n">
        <x:f>R334*'Parameters'!$C$19</x:f>
        <x:v>0.5763888888888888</x:v>
      </x:c>
      <x:c r="T334" s="9" t="n">
        <x:f>Q334*(1-0.40)-R334</x:f>
        <x:v>0.922222222222222</x:v>
      </x:c>
    </x:row>
    <x:row r="335" ht="21" customHeight="1">
      <x:c r="A335" s="3" t="n">
        <x:v>5</x:v>
      </x:c>
      <x:c r="B335" s="3" t="str">
        <x:v>00:50</x:v>
      </x:c>
      <x:c r="C335" s="3" t="n">
        <x:v>1</x:v>
      </x:c>
      <x:c r="D335" s="3" t="n">
        <x:v>34</x:v>
      </x:c>
      <x:c r="E335" s="3" t="n">
        <x:v>6</x:v>
      </x:c>
      <x:c r="F335" s="3" t="n">
        <x:v>7</x:v>
      </x:c>
      <x:c r="G335" s="9" t="n">
        <x:v>0.18</x:v>
      </x:c>
      <x:c r="H335" s="9" t="n">
        <x:v>0.973887</x:v>
      </x:c>
      <x:c r="I335" s="9" t="n">
        <x:f>'Physical_Arcs'!R35</x:f>
        <x:v>17.02777777777778</x:v>
      </x:c>
      <x:c r="J335" s="9" t="n">
        <x:f>I335*'Parameters'!$C$18</x:f>
        <x:v>3.405555555555556</x:v>
      </x:c>
      <x:c r="K335" s="9" t="n">
        <x:f>J335*'Parameters'!$C$19</x:f>
        <x:v>4.256944444444445</x:v>
      </x:c>
      <x:c r="L335" s="9" t="n">
        <x:f>I335*(1-0.40)-J335</x:f>
        <x:v>6.811111111111111</x:v>
      </x:c>
      <x:c r="M335" s="9" t="n">
        <x:f>'Physical_Arcs'!S35</x:f>
        <x:v>17.02777777777778</x:v>
      </x:c>
      <x:c r="N335" s="9" t="n">
        <x:f>M335*'Parameters'!$C$18</x:f>
        <x:v>3.405555555555556</x:v>
      </x:c>
      <x:c r="O335" s="9" t="n">
        <x:f>N335*'Parameters'!$C$19</x:f>
        <x:v>4.256944444444445</x:v>
      </x:c>
      <x:c r="P335" s="9" t="n">
        <x:f>M335*(1-0.40)-N335</x:f>
        <x:v>6.811111111111111</x:v>
      </x:c>
      <x:c r="Q335" s="9" t="n">
        <x:f>'Physical_Arcs'!T35</x:f>
        <x:v>17.02777777777778</x:v>
      </x:c>
      <x:c r="R335" s="9" t="n">
        <x:f>Q335*'Parameters'!$C$18</x:f>
        <x:v>3.405555555555556</x:v>
      </x:c>
      <x:c r="S335" s="9" t="n">
        <x:f>R335*'Parameters'!$C$19</x:f>
        <x:v>4.256944444444445</x:v>
      </x:c>
      <x:c r="T335" s="9" t="n">
        <x:f>Q335*(1-0.40)-R335</x:f>
        <x:v>6.811111111111111</x:v>
      </x:c>
    </x:row>
    <x:row r="336" ht="21" customHeight="1">
      <x:c r="A336" s="3" t="n">
        <x:v>5</x:v>
      </x:c>
      <x:c r="B336" s="3" t="str">
        <x:v>00:50</x:v>
      </x:c>
      <x:c r="C336" s="3" t="n">
        <x:v>1</x:v>
      </x:c>
      <x:c r="D336" s="3" t="n">
        <x:v>35</x:v>
      </x:c>
      <x:c r="E336" s="3" t="n">
        <x:v>6</x:v>
      </x:c>
      <x:c r="F336" s="3" t="n">
        <x:v>10</x:v>
      </x:c>
      <x:c r="G336" s="9" t="n">
        <x:v>0.18</x:v>
      </x:c>
      <x:c r="H336" s="9" t="n">
        <x:v>1.009062</x:v>
      </x:c>
      <x:c r="I336" s="9" t="n">
        <x:f>'Physical_Arcs'!R36</x:f>
        <x:v>4.055555555555555</x:v>
      </x:c>
      <x:c r="J336" s="9" t="n">
        <x:f>I336*'Parameters'!$C$18</x:f>
        <x:v>0.8111111111111111</x:v>
      </x:c>
      <x:c r="K336" s="9" t="n">
        <x:f>J336*'Parameters'!$C$19</x:f>
        <x:v>1.0138888888888888</x:v>
      </x:c>
      <x:c r="L336" s="9" t="n">
        <x:f>I336*(1-0.40)-J336</x:f>
        <x:v>1.622222222222222</x:v>
      </x:c>
      <x:c r="M336" s="9" t="n">
        <x:f>'Physical_Arcs'!S36</x:f>
        <x:v>4.055555555555555</x:v>
      </x:c>
      <x:c r="N336" s="9" t="n">
        <x:f>M336*'Parameters'!$C$18</x:f>
        <x:v>0.8111111111111111</x:v>
      </x:c>
      <x:c r="O336" s="9" t="n">
        <x:f>N336*'Parameters'!$C$19</x:f>
        <x:v>1.0138888888888888</x:v>
      </x:c>
      <x:c r="P336" s="9" t="n">
        <x:f>M336*(1-0.40)-N336</x:f>
        <x:v>1.622222222222222</x:v>
      </x:c>
      <x:c r="Q336" s="9" t="n">
        <x:f>'Physical_Arcs'!T36</x:f>
        <x:v>2.0277777777777777</x:v>
      </x:c>
      <x:c r="R336" s="9" t="n">
        <x:f>Q336*'Parameters'!$C$18</x:f>
        <x:v>0.40555555555555556</x:v>
      </x:c>
      <x:c r="S336" s="9" t="n">
        <x:f>R336*'Parameters'!$C$19</x:f>
        <x:v>0.5069444444444444</x:v>
      </x:c>
      <x:c r="T336" s="9" t="n">
        <x:f>Q336*(1-0.40)-R336</x:f>
        <x:v>0.811111111111111</x:v>
      </x:c>
    </x:row>
    <x:row r="337" ht="21" customHeight="1">
      <x:c r="A337" s="3" t="n">
        <x:v>5</x:v>
      </x:c>
      <x:c r="B337" s="3" t="str">
        <x:v>00:50</x:v>
      </x:c>
      <x:c r="C337" s="3" t="n">
        <x:v>1</x:v>
      </x:c>
      <x:c r="D337" s="3" t="n">
        <x:v>36</x:v>
      </x:c>
      <x:c r="E337" s="3" t="n">
        <x:v>6</x:v>
      </x:c>
      <x:c r="F337" s="3" t="n">
        <x:v>8</x:v>
      </x:c>
      <x:c r="G337" s="9" t="n">
        <x:v>0.18</x:v>
      </x:c>
      <x:c r="H337" s="9" t="n">
        <x:v>1.132129</x:v>
      </x:c>
      <x:c r="I337" s="9" t="n">
        <x:f>'Physical_Arcs'!R37</x:f>
        <x:v>6.972222222222222</x:v>
      </x:c>
      <x:c r="J337" s="9" t="n">
        <x:f>I337*'Parameters'!$C$18</x:f>
        <x:v>1.3944444444444446</x:v>
      </x:c>
      <x:c r="K337" s="9" t="n">
        <x:f>J337*'Parameters'!$C$19</x:f>
        <x:v>1.7430555555555558</x:v>
      </x:c>
      <x:c r="L337" s="9" t="n">
        <x:f>I337*(1-0.40)-J337</x:f>
        <x:v>2.7888888888888888</x:v>
      </x:c>
      <x:c r="M337" s="9" t="n">
        <x:f>'Physical_Arcs'!S37</x:f>
        <x:v>6.972222222222222</x:v>
      </x:c>
      <x:c r="N337" s="9" t="n">
        <x:f>M337*'Parameters'!$C$18</x:f>
        <x:v>1.3944444444444446</x:v>
      </x:c>
      <x:c r="O337" s="9" t="n">
        <x:f>N337*'Parameters'!$C$19</x:f>
        <x:v>1.7430555555555558</x:v>
      </x:c>
      <x:c r="P337" s="9" t="n">
        <x:f>M337*(1-0.40)-N337</x:f>
        <x:v>2.7888888888888888</x:v>
      </x:c>
      <x:c r="Q337" s="9" t="n">
        <x:f>'Physical_Arcs'!T37</x:f>
        <x:v>3.5</x:v>
      </x:c>
      <x:c r="R337" s="9" t="n">
        <x:f>Q337*'Parameters'!$C$18</x:f>
        <x:v>0.7000000000000001</x:v>
      </x:c>
      <x:c r="S337" s="9" t="n">
        <x:f>R337*'Parameters'!$C$19</x:f>
        <x:v>0.8750000000000001</x:v>
      </x:c>
      <x:c r="T337" s="9" t="n">
        <x:f>Q337*(1-0.40)-R337</x:f>
        <x:v>1.4</x:v>
      </x:c>
    </x:row>
    <x:row r="338" ht="21" customHeight="1">
      <x:c r="A338" s="3" t="n">
        <x:v>5</x:v>
      </x:c>
      <x:c r="B338" s="3" t="str">
        <x:v>00:50</x:v>
      </x:c>
      <x:c r="C338" s="3" t="n">
        <x:v>1</x:v>
      </x:c>
      <x:c r="D338" s="3" t="n">
        <x:v>37</x:v>
      </x:c>
      <x:c r="E338" s="3" t="n">
        <x:v>6</x:v>
      </x:c>
      <x:c r="F338" s="3" t="n">
        <x:v>1</x:v>
      </x:c>
      <x:c r="G338" s="9" t="n">
        <x:v>0.18</x:v>
      </x:c>
      <x:c r="H338" s="9" t="n">
        <x:v>1.020746</x:v>
      </x:c>
      <x:c r="I338" s="9" t="n">
        <x:f>'Physical_Arcs'!R38</x:f>
        <x:v>6.305555555555555</x:v>
      </x:c>
      <x:c r="J338" s="9" t="n">
        <x:f>I338*'Parameters'!$C$18</x:f>
        <x:v>1.261111111111111</x:v>
      </x:c>
      <x:c r="K338" s="9" t="n">
        <x:f>J338*'Parameters'!$C$19</x:f>
        <x:v>1.5763888888888888</x:v>
      </x:c>
      <x:c r="L338" s="9" t="n">
        <x:f>I338*(1-0.40)-J338</x:f>
        <x:v>2.522222222222222</x:v>
      </x:c>
      <x:c r="M338" s="9" t="n">
        <x:f>'Physical_Arcs'!S38</x:f>
        <x:v>6.305555555555555</x:v>
      </x:c>
      <x:c r="N338" s="9" t="n">
        <x:f>M338*'Parameters'!$C$18</x:f>
        <x:v>1.261111111111111</x:v>
      </x:c>
      <x:c r="O338" s="9" t="n">
        <x:f>N338*'Parameters'!$C$19</x:f>
        <x:v>1.5763888888888888</x:v>
      </x:c>
      <x:c r="P338" s="9" t="n">
        <x:f>M338*(1-0.40)-N338</x:f>
        <x:v>2.522222222222222</x:v>
      </x:c>
      <x:c r="Q338" s="9" t="n">
        <x:f>'Physical_Arcs'!T38</x:f>
        <x:v>3.1666666666666665</x:v>
      </x:c>
      <x:c r="R338" s="9" t="n">
        <x:f>Q338*'Parameters'!$C$18</x:f>
        <x:v>0.6333333333333333</x:v>
      </x:c>
      <x:c r="S338" s="9" t="n">
        <x:f>R338*'Parameters'!$C$19</x:f>
        <x:v>0.7916666666666666</x:v>
      </x:c>
      <x:c r="T338" s="9" t="n">
        <x:f>Q338*(1-0.40)-R338</x:f>
        <x:v>1.2666666666666666</x:v>
      </x:c>
    </x:row>
    <x:row r="339" ht="21" customHeight="1">
      <x:c r="A339" s="3" t="n">
        <x:v>5</x:v>
      </x:c>
      <x:c r="B339" s="3" t="str">
        <x:v>00:50</x:v>
      </x:c>
      <x:c r="C339" s="3" t="n">
        <x:v>1</x:v>
      </x:c>
      <x:c r="D339" s="3" t="n">
        <x:v>38</x:v>
      </x:c>
      <x:c r="E339" s="3" t="n">
        <x:v>6</x:v>
      </x:c>
      <x:c r="F339" s="3" t="n">
        <x:v>3</x:v>
      </x:c>
      <x:c r="G339" s="9" t="n">
        <x:v>0.18</x:v>
      </x:c>
      <x:c r="H339" s="9" t="n">
        <x:v>1.149081</x:v>
      </x:c>
      <x:c r="I339" s="9" t="n">
        <x:f>'Physical_Arcs'!R39</x:f>
        <x:v>1.9166666666666667</x:v>
      </x:c>
      <x:c r="J339" s="9" t="n">
        <x:f>I339*'Parameters'!$C$18</x:f>
        <x:v>0.38333333333333336</x:v>
      </x:c>
      <x:c r="K339" s="9" t="n">
        <x:f>J339*'Parameters'!$C$19</x:f>
        <x:v>0.4791666666666667</x:v>
      </x:c>
      <x:c r="L339" s="9" t="n">
        <x:f>I339*(1-0.40)-J339</x:f>
        <x:v>0.7666666666666666</x:v>
      </x:c>
      <x:c r="M339" s="9" t="n">
        <x:f>'Physical_Arcs'!S39</x:f>
        <x:v>1.9166666666666667</x:v>
      </x:c>
      <x:c r="N339" s="9" t="n">
        <x:f>M339*'Parameters'!$C$18</x:f>
        <x:v>0.38333333333333336</x:v>
      </x:c>
      <x:c r="O339" s="9" t="n">
        <x:f>N339*'Parameters'!$C$19</x:f>
        <x:v>0.4791666666666667</x:v>
      </x:c>
      <x:c r="P339" s="9" t="n">
        <x:f>M339*(1-0.40)-N339</x:f>
        <x:v>0.7666666666666666</x:v>
      </x:c>
      <x:c r="Q339" s="9" t="n">
        <x:f>'Physical_Arcs'!T39</x:f>
        <x:v>0.9722222222222222</x:v>
      </x:c>
      <x:c r="R339" s="9" t="n">
        <x:f>Q339*'Parameters'!$C$18</x:f>
        <x:v>0.19444444444444445</x:v>
      </x:c>
      <x:c r="S339" s="9" t="n">
        <x:f>R339*'Parameters'!$C$19</x:f>
        <x:v>0.24305555555555555</x:v>
      </x:c>
      <x:c r="T339" s="9" t="n">
        <x:f>Q339*(1-0.40)-R339</x:f>
        <x:v>0.38888888888888884</x:v>
      </x:c>
    </x:row>
    <x:row r="340" ht="21" customHeight="1">
      <x:c r="A340" s="3" t="n">
        <x:v>5</x:v>
      </x:c>
      <x:c r="B340" s="3" t="str">
        <x:v>00:50</x:v>
      </x:c>
      <x:c r="C340" s="3" t="n">
        <x:v>1</x:v>
      </x:c>
      <x:c r="D340" s="3" t="n">
        <x:v>39</x:v>
      </x:c>
      <x:c r="E340" s="3" t="n">
        <x:v>7</x:v>
      </x:c>
      <x:c r="F340" s="3" t="n">
        <x:v>8</x:v>
      </x:c>
      <x:c r="G340" s="9" t="n">
        <x:v>0.18</x:v>
      </x:c>
      <x:c r="H340" s="9" t="n">
        <x:v>1.003268</x:v>
      </x:c>
      <x:c r="I340" s="9" t="n">
        <x:f>'Physical_Arcs'!R40</x:f>
        <x:v>17.02777777777778</x:v>
      </x:c>
      <x:c r="J340" s="9" t="n">
        <x:f>I340*'Parameters'!$C$18</x:f>
        <x:v>3.405555555555556</x:v>
      </x:c>
      <x:c r="K340" s="9" t="n">
        <x:f>J340*'Parameters'!$C$19</x:f>
        <x:v>4.256944444444445</x:v>
      </x:c>
      <x:c r="L340" s="9" t="n">
        <x:f>I340*(1-0.40)-J340</x:f>
        <x:v>6.811111111111111</x:v>
      </x:c>
      <x:c r="M340" s="9" t="n">
        <x:f>'Physical_Arcs'!S40</x:f>
        <x:v>17.02777777777778</x:v>
      </x:c>
      <x:c r="N340" s="9" t="n">
        <x:f>M340*'Parameters'!$C$18</x:f>
        <x:v>3.405555555555556</x:v>
      </x:c>
      <x:c r="O340" s="9" t="n">
        <x:f>N340*'Parameters'!$C$19</x:f>
        <x:v>4.256944444444445</x:v>
      </x:c>
      <x:c r="P340" s="9" t="n">
        <x:f>M340*(1-0.40)-N340</x:f>
        <x:v>6.811111111111111</x:v>
      </x:c>
      <x:c r="Q340" s="9" t="n">
        <x:f>'Physical_Arcs'!T40</x:f>
        <x:v>17.02777777777778</x:v>
      </x:c>
      <x:c r="R340" s="9" t="n">
        <x:f>Q340*'Parameters'!$C$18</x:f>
        <x:v>3.405555555555556</x:v>
      </x:c>
      <x:c r="S340" s="9" t="n">
        <x:f>R340*'Parameters'!$C$19</x:f>
        <x:v>4.256944444444445</x:v>
      </x:c>
      <x:c r="T340" s="9" t="n">
        <x:f>Q340*(1-0.40)-R340</x:f>
        <x:v>6.811111111111111</x:v>
      </x:c>
    </x:row>
    <x:row r="341" ht="21" customHeight="1">
      <x:c r="A341" s="3" t="n">
        <x:v>5</x:v>
      </x:c>
      <x:c r="B341" s="3" t="str">
        <x:v>00:50</x:v>
      </x:c>
      <x:c r="C341" s="3" t="n">
        <x:v>1</x:v>
      </x:c>
      <x:c r="D341" s="3" t="n">
        <x:v>40</x:v>
      </x:c>
      <x:c r="E341" s="3" t="n">
        <x:v>7</x:v>
      </x:c>
      <x:c r="F341" s="3" t="n">
        <x:v>1</x:v>
      </x:c>
      <x:c r="G341" s="9" t="n">
        <x:v>0.18</x:v>
      </x:c>
      <x:c r="H341" s="9" t="n">
        <x:v>1.057592</x:v>
      </x:c>
      <x:c r="I341" s="9" t="n">
        <x:f>'Physical_Arcs'!R41</x:f>
        <x:v>7.972222222222222</x:v>
      </x:c>
      <x:c r="J341" s="9" t="n">
        <x:f>I341*'Parameters'!$C$18</x:f>
        <x:v>1.5944444444444446</x:v>
      </x:c>
      <x:c r="K341" s="9" t="n">
        <x:f>J341*'Parameters'!$C$19</x:f>
        <x:v>1.9930555555555558</x:v>
      </x:c>
      <x:c r="L341" s="9" t="n">
        <x:f>I341*(1-0.40)-J341</x:f>
        <x:v>3.1888888888888887</x:v>
      </x:c>
      <x:c r="M341" s="9" t="n">
        <x:f>'Physical_Arcs'!S41</x:f>
        <x:v>7.972222222222222</x:v>
      </x:c>
      <x:c r="N341" s="9" t="n">
        <x:f>M341*'Parameters'!$C$18</x:f>
        <x:v>1.5944444444444446</x:v>
      </x:c>
      <x:c r="O341" s="9" t="n">
        <x:f>N341*'Parameters'!$C$19</x:f>
        <x:v>1.9930555555555558</x:v>
      </x:c>
      <x:c r="P341" s="9" t="n">
        <x:f>M341*(1-0.40)-N341</x:f>
        <x:v>3.1888888888888887</x:v>
      </x:c>
      <x:c r="Q341" s="9" t="n">
        <x:f>'Physical_Arcs'!T41</x:f>
        <x:v>4</x:v>
      </x:c>
      <x:c r="R341" s="9" t="n">
        <x:f>Q341*'Parameters'!$C$18</x:f>
        <x:v>0.8</x:v>
      </x:c>
      <x:c r="S341" s="9" t="n">
        <x:f>R341*'Parameters'!$C$19</x:f>
        <x:v>1</x:v>
      </x:c>
      <x:c r="T341" s="9" t="n">
        <x:f>Q341*(1-0.40)-R341</x:f>
        <x:v>1.5999999999999999</x:v>
      </x:c>
    </x:row>
    <x:row r="342" ht="21" customHeight="1">
      <x:c r="A342" s="3" t="n">
        <x:v>5</x:v>
      </x:c>
      <x:c r="B342" s="3" t="str">
        <x:v>00:50</x:v>
      </x:c>
      <x:c r="C342" s="3" t="n">
        <x:v>1</x:v>
      </x:c>
      <x:c r="D342" s="3" t="n">
        <x:v>41</x:v>
      </x:c>
      <x:c r="E342" s="3" t="n">
        <x:v>7</x:v>
      </x:c>
      <x:c r="F342" s="3" t="n">
        <x:v>9</x:v>
      </x:c>
      <x:c r="G342" s="9" t="n">
        <x:v>0.18</x:v>
      </x:c>
      <x:c r="H342" s="9" t="n">
        <x:v>1.14801</x:v>
      </x:c>
      <x:c r="I342" s="9" t="n">
        <x:f>'Physical_Arcs'!R42</x:f>
        <x:v>8.88888888888889</x:v>
      </x:c>
      <x:c r="J342" s="9" t="n">
        <x:f>I342*'Parameters'!$C$18</x:f>
        <x:v>1.777777777777778</x:v>
      </x:c>
      <x:c r="K342" s="9" t="n">
        <x:f>J342*'Parameters'!$C$19</x:f>
        <x:v>2.2222222222222223</x:v>
      </x:c>
      <x:c r="L342" s="9" t="n">
        <x:f>I342*(1-0.40)-J342</x:f>
        <x:v>3.5555555555555554</x:v>
      </x:c>
      <x:c r="M342" s="9" t="n">
        <x:f>'Physical_Arcs'!S42</x:f>
        <x:v>8.88888888888889</x:v>
      </x:c>
      <x:c r="N342" s="9" t="n">
        <x:f>M342*'Parameters'!$C$18</x:f>
        <x:v>1.777777777777778</x:v>
      </x:c>
      <x:c r="O342" s="9" t="n">
        <x:f>N342*'Parameters'!$C$19</x:f>
        <x:v>2.2222222222222223</x:v>
      </x:c>
      <x:c r="P342" s="9" t="n">
        <x:f>M342*(1-0.40)-N342</x:f>
        <x:v>3.5555555555555554</x:v>
      </x:c>
      <x:c r="Q342" s="9" t="n">
        <x:f>'Physical_Arcs'!T42</x:f>
        <x:v>4.444444444444445</x:v>
      </x:c>
      <x:c r="R342" s="9" t="n">
        <x:f>Q342*'Parameters'!$C$18</x:f>
        <x:v>0.888888888888889</x:v>
      </x:c>
      <x:c r="S342" s="9" t="n">
        <x:f>R342*'Parameters'!$C$19</x:f>
        <x:v>1.1111111111111112</x:v>
      </x:c>
      <x:c r="T342" s="9" t="n">
        <x:f>Q342*(1-0.40)-R342</x:f>
        <x:v>1.7777777777777777</x:v>
      </x:c>
    </x:row>
    <x:row r="343" ht="21" customHeight="1">
      <x:c r="A343" s="3" t="n">
        <x:v>5</x:v>
      </x:c>
      <x:c r="B343" s="3" t="str">
        <x:v>00:50</x:v>
      </x:c>
      <x:c r="C343" s="3" t="n">
        <x:v>1</x:v>
      </x:c>
      <x:c r="D343" s="3" t="n">
        <x:v>42</x:v>
      </x:c>
      <x:c r="E343" s="3" t="n">
        <x:v>7</x:v>
      </x:c>
      <x:c r="F343" s="3" t="n">
        <x:v>2</x:v>
      </x:c>
      <x:c r="G343" s="9" t="n">
        <x:v>0.18</x:v>
      </x:c>
      <x:c r="H343" s="9" t="n">
        <x:v>0.989237</x:v>
      </x:c>
      <x:c r="I343" s="9" t="n">
        <x:f>'Physical_Arcs'!R43</x:f>
        <x:v>9</x:v>
      </x:c>
      <x:c r="J343" s="9" t="n">
        <x:f>I343*'Parameters'!$C$18</x:f>
        <x:v>1.8</x:v>
      </x:c>
      <x:c r="K343" s="9" t="n">
        <x:f>J343*'Parameters'!$C$19</x:f>
        <x:v>2.25</x:v>
      </x:c>
      <x:c r="L343" s="9" t="n">
        <x:f>I343*(1-0.40)-J343</x:f>
        <x:v>3.5999999999999996</x:v>
      </x:c>
      <x:c r="M343" s="9" t="n">
        <x:f>'Physical_Arcs'!S43</x:f>
        <x:v>9</x:v>
      </x:c>
      <x:c r="N343" s="9" t="n">
        <x:f>M343*'Parameters'!$C$18</x:f>
        <x:v>1.8</x:v>
      </x:c>
      <x:c r="O343" s="9" t="n">
        <x:f>N343*'Parameters'!$C$19</x:f>
        <x:v>2.25</x:v>
      </x:c>
      <x:c r="P343" s="9" t="n">
        <x:f>M343*(1-0.40)-N343</x:f>
        <x:v>3.5999999999999996</x:v>
      </x:c>
      <x:c r="Q343" s="9" t="n">
        <x:f>'Physical_Arcs'!T43</x:f>
        <x:v>4.5</x:v>
      </x:c>
      <x:c r="R343" s="9" t="n">
        <x:f>Q343*'Parameters'!$C$18</x:f>
        <x:v>0.9</x:v>
      </x:c>
      <x:c r="S343" s="9" t="n">
        <x:f>R343*'Parameters'!$C$19</x:f>
        <x:v>1.125</x:v>
      </x:c>
      <x:c r="T343" s="9" t="n">
        <x:f>Q343*(1-0.40)-R343</x:f>
        <x:v>1.7999999999999998</x:v>
      </x:c>
    </x:row>
    <x:row r="344" ht="21" customHeight="1">
      <x:c r="A344" s="3" t="n">
        <x:v>5</x:v>
      </x:c>
      <x:c r="B344" s="3" t="str">
        <x:v>00:50</x:v>
      </x:c>
      <x:c r="C344" s="3" t="n">
        <x:v>1</x:v>
      </x:c>
      <x:c r="D344" s="3" t="n">
        <x:v>43</x:v>
      </x:c>
      <x:c r="E344" s="3" t="n">
        <x:v>7</x:v>
      </x:c>
      <x:c r="F344" s="3" t="n">
        <x:v>3</x:v>
      </x:c>
      <x:c r="G344" s="9" t="n">
        <x:v>0.18</x:v>
      </x:c>
      <x:c r="H344" s="9" t="n">
        <x:v>1.050432</x:v>
      </x:c>
      <x:c r="I344" s="9" t="n">
        <x:f>'Physical_Arcs'!R44</x:f>
        <x:v>7.638888888888889</x:v>
      </x:c>
      <x:c r="J344" s="9" t="n">
        <x:f>I344*'Parameters'!$C$18</x:f>
        <x:v>1.527777777777778</x:v>
      </x:c>
      <x:c r="K344" s="9" t="n">
        <x:f>J344*'Parameters'!$C$19</x:f>
        <x:v>1.9097222222222223</x:v>
      </x:c>
      <x:c r="L344" s="9" t="n">
        <x:f>I344*(1-0.40)-J344</x:f>
        <x:v>3.0555555555555554</x:v>
      </x:c>
      <x:c r="M344" s="9" t="n">
        <x:f>'Physical_Arcs'!S44</x:f>
        <x:v>7.638888888888889</x:v>
      </x:c>
      <x:c r="N344" s="9" t="n">
        <x:f>M344*'Parameters'!$C$18</x:f>
        <x:v>1.527777777777778</x:v>
      </x:c>
      <x:c r="O344" s="9" t="n">
        <x:f>N344*'Parameters'!$C$19</x:f>
        <x:v>1.9097222222222223</x:v>
      </x:c>
      <x:c r="P344" s="9" t="n">
        <x:f>M344*(1-0.40)-N344</x:f>
        <x:v>3.0555555555555554</x:v>
      </x:c>
      <x:c r="Q344" s="9" t="n">
        <x:f>'Physical_Arcs'!T44</x:f>
        <x:v>3.8333333333333335</x:v>
      </x:c>
      <x:c r="R344" s="9" t="n">
        <x:f>Q344*'Parameters'!$C$18</x:f>
        <x:v>0.7666666666666667</x:v>
      </x:c>
      <x:c r="S344" s="9" t="n">
        <x:f>R344*'Parameters'!$C$19</x:f>
        <x:v>0.9583333333333334</x:v>
      </x:c>
      <x:c r="T344" s="9" t="n">
        <x:f>Q344*(1-0.40)-R344</x:f>
        <x:v>1.5333333333333332</x:v>
      </x:c>
    </x:row>
    <x:row r="345" ht="21" customHeight="1">
      <x:c r="A345" s="3" t="n">
        <x:v>5</x:v>
      </x:c>
      <x:c r="B345" s="3" t="str">
        <x:v>00:50</x:v>
      </x:c>
      <x:c r="C345" s="3" t="n">
        <x:v>1</x:v>
      </x:c>
      <x:c r="D345" s="3" t="n">
        <x:v>44</x:v>
      </x:c>
      <x:c r="E345" s="3" t="n">
        <x:v>8</x:v>
      </x:c>
      <x:c r="F345" s="3" t="n">
        <x:v>9</x:v>
      </x:c>
      <x:c r="G345" s="9" t="n">
        <x:v>0.18</x:v>
      </x:c>
      <x:c r="H345" s="9" t="n">
        <x:v>0.868101</x:v>
      </x:c>
      <x:c r="I345" s="9" t="n">
        <x:f>'Physical_Arcs'!R45</x:f>
        <x:v>17.02777777777778</x:v>
      </x:c>
      <x:c r="J345" s="9" t="n">
        <x:f>I345*'Parameters'!$C$18</x:f>
        <x:v>3.405555555555556</x:v>
      </x:c>
      <x:c r="K345" s="9" t="n">
        <x:f>J345*'Parameters'!$C$19</x:f>
        <x:v>4.256944444444445</x:v>
      </x:c>
      <x:c r="L345" s="9" t="n">
        <x:f>I345*(1-0.40)-J345</x:f>
        <x:v>6.811111111111111</x:v>
      </x:c>
      <x:c r="M345" s="9" t="n">
        <x:f>'Physical_Arcs'!S45</x:f>
        <x:v>17.02777777777778</x:v>
      </x:c>
      <x:c r="N345" s="9" t="n">
        <x:f>M345*'Parameters'!$C$18</x:f>
        <x:v>3.405555555555556</x:v>
      </x:c>
      <x:c r="O345" s="9" t="n">
        <x:f>N345*'Parameters'!$C$19</x:f>
        <x:v>4.256944444444445</x:v>
      </x:c>
      <x:c r="P345" s="9" t="n">
        <x:f>M345*(1-0.40)-N345</x:f>
        <x:v>6.811111111111111</x:v>
      </x:c>
      <x:c r="Q345" s="9" t="n">
        <x:f>'Physical_Arcs'!T45</x:f>
        <x:v>17.02777777777778</x:v>
      </x:c>
      <x:c r="R345" s="9" t="n">
        <x:f>Q345*'Parameters'!$C$18</x:f>
        <x:v>3.405555555555556</x:v>
      </x:c>
      <x:c r="S345" s="9" t="n">
        <x:f>R345*'Parameters'!$C$19</x:f>
        <x:v>4.256944444444445</x:v>
      </x:c>
      <x:c r="T345" s="9" t="n">
        <x:f>Q345*(1-0.40)-R345</x:f>
        <x:v>6.811111111111111</x:v>
      </x:c>
    </x:row>
    <x:row r="346" ht="21" customHeight="1">
      <x:c r="A346" s="3" t="n">
        <x:v>5</x:v>
      </x:c>
      <x:c r="B346" s="3" t="str">
        <x:v>00:50</x:v>
      </x:c>
      <x:c r="C346" s="3" t="n">
        <x:v>1</x:v>
      </x:c>
      <x:c r="D346" s="3" t="n">
        <x:v>45</x:v>
      </x:c>
      <x:c r="E346" s="3" t="n">
        <x:v>8</x:v>
      </x:c>
      <x:c r="F346" s="3" t="n">
        <x:v>3</x:v>
      </x:c>
      <x:c r="G346" s="9" t="n">
        <x:v>0.18</x:v>
      </x:c>
      <x:c r="H346" s="9" t="n">
        <x:v>0.944958</x:v>
      </x:c>
      <x:c r="I346" s="9" t="n">
        <x:f>'Physical_Arcs'!R46</x:f>
        <x:v>5.388888888888889</x:v>
      </x:c>
      <x:c r="J346" s="9" t="n">
        <x:f>I346*'Parameters'!$C$18</x:f>
        <x:v>1.077777777777778</x:v>
      </x:c>
      <x:c r="K346" s="9" t="n">
        <x:f>J346*'Parameters'!$C$19</x:f>
        <x:v>1.3472222222222223</x:v>
      </x:c>
      <x:c r="L346" s="9" t="n">
        <x:f>I346*(1-0.40)-J346</x:f>
        <x:v>2.1555555555555554</x:v>
      </x:c>
      <x:c r="M346" s="9" t="n">
        <x:f>'Physical_Arcs'!S46</x:f>
        <x:v>5.388888888888889</x:v>
      </x:c>
      <x:c r="N346" s="9" t="n">
        <x:f>M346*'Parameters'!$C$18</x:f>
        <x:v>1.077777777777778</x:v>
      </x:c>
      <x:c r="O346" s="9" t="n">
        <x:f>N346*'Parameters'!$C$19</x:f>
        <x:v>1.3472222222222223</x:v>
      </x:c>
      <x:c r="P346" s="9" t="n">
        <x:f>M346*(1-0.40)-N346</x:f>
        <x:v>2.1555555555555554</x:v>
      </x:c>
      <x:c r="Q346" s="9" t="n">
        <x:f>'Physical_Arcs'!T46</x:f>
        <x:v>2.6944444444444446</x:v>
      </x:c>
      <x:c r="R346" s="9" t="n">
        <x:f>Q346*'Parameters'!$C$18</x:f>
        <x:v>0.538888888888889</x:v>
      </x:c>
      <x:c r="S346" s="9" t="n">
        <x:f>R346*'Parameters'!$C$19</x:f>
        <x:v>0.6736111111111112</x:v>
      </x:c>
      <x:c r="T346" s="9" t="n">
        <x:f>Q346*(1-0.40)-R346</x:f>
        <x:v>1.0777777777777777</x:v>
      </x:c>
    </x:row>
    <x:row r="347" ht="21" customHeight="1">
      <x:c r="A347" s="3" t="n">
        <x:v>5</x:v>
      </x:c>
      <x:c r="B347" s="3" t="str">
        <x:v>00:50</x:v>
      </x:c>
      <x:c r="C347" s="3" t="n">
        <x:v>1</x:v>
      </x:c>
      <x:c r="D347" s="3" t="n">
        <x:v>46</x:v>
      </x:c>
      <x:c r="E347" s="3" t="n">
        <x:v>8</x:v>
      </x:c>
      <x:c r="F347" s="3" t="n">
        <x:v>7</x:v>
      </x:c>
      <x:c r="G347" s="9" t="n">
        <x:v>0.18</x:v>
      </x:c>
      <x:c r="H347" s="9" t="n">
        <x:v>0.866232</x:v>
      </x:c>
      <x:c r="I347" s="9" t="n">
        <x:f>'Physical_Arcs'!R47</x:f>
        <x:v>5.388888888888889</x:v>
      </x:c>
      <x:c r="J347" s="9" t="n">
        <x:f>I347*'Parameters'!$C$18</x:f>
        <x:v>1.077777777777778</x:v>
      </x:c>
      <x:c r="K347" s="9" t="n">
        <x:f>J347*'Parameters'!$C$19</x:f>
        <x:v>1.3472222222222223</x:v>
      </x:c>
      <x:c r="L347" s="9" t="n">
        <x:f>I347*(1-0.40)-J347</x:f>
        <x:v>2.1555555555555554</x:v>
      </x:c>
      <x:c r="M347" s="9" t="n">
        <x:f>'Physical_Arcs'!S47</x:f>
        <x:v>5.388888888888889</x:v>
      </x:c>
      <x:c r="N347" s="9" t="n">
        <x:f>M347*'Parameters'!$C$18</x:f>
        <x:v>1.077777777777778</x:v>
      </x:c>
      <x:c r="O347" s="9" t="n">
        <x:f>N347*'Parameters'!$C$19</x:f>
        <x:v>1.3472222222222223</x:v>
      </x:c>
      <x:c r="P347" s="9" t="n">
        <x:f>M347*(1-0.40)-N347</x:f>
        <x:v>2.1555555555555554</x:v>
      </x:c>
      <x:c r="Q347" s="9" t="n">
        <x:f>'Physical_Arcs'!T47</x:f>
        <x:v>2.6944444444444446</x:v>
      </x:c>
      <x:c r="R347" s="9" t="n">
        <x:f>Q347*'Parameters'!$C$18</x:f>
        <x:v>0.538888888888889</x:v>
      </x:c>
      <x:c r="S347" s="9" t="n">
        <x:f>R347*'Parameters'!$C$19</x:f>
        <x:v>0.6736111111111112</x:v>
      </x:c>
      <x:c r="T347" s="9" t="n">
        <x:f>Q347*(1-0.40)-R347</x:f>
        <x:v>1.0777777777777777</x:v>
      </x:c>
    </x:row>
    <x:row r="348" ht="21" customHeight="1">
      <x:c r="A348" s="3" t="n">
        <x:v>5</x:v>
      </x:c>
      <x:c r="B348" s="3" t="str">
        <x:v>00:50</x:v>
      </x:c>
      <x:c r="C348" s="3" t="n">
        <x:v>1</x:v>
      </x:c>
      <x:c r="D348" s="3" t="n">
        <x:v>47</x:v>
      </x:c>
      <x:c r="E348" s="3" t="n">
        <x:v>8</x:v>
      </x:c>
      <x:c r="F348" s="3" t="n">
        <x:v>2</x:v>
      </x:c>
      <x:c r="G348" s="9" t="n">
        <x:v>0.18</x:v>
      </x:c>
      <x:c r="H348" s="9" t="n">
        <x:v>1.135644</x:v>
      </x:c>
      <x:c r="I348" s="9" t="n">
        <x:f>'Physical_Arcs'!R48</x:f>
        <x:v>8.083333333333334</x:v>
      </x:c>
      <x:c r="J348" s="9" t="n">
        <x:f>I348*'Parameters'!$C$18</x:f>
        <x:v>1.616666666666667</x:v>
      </x:c>
      <x:c r="K348" s="9" t="n">
        <x:f>J348*'Parameters'!$C$19</x:f>
        <x:v>2.0208333333333335</x:v>
      </x:c>
      <x:c r="L348" s="9" t="n">
        <x:f>I348*(1-0.40)-J348</x:f>
        <x:v>3.2333333333333334</x:v>
      </x:c>
      <x:c r="M348" s="9" t="n">
        <x:f>'Physical_Arcs'!S48</x:f>
        <x:v>8.083333333333334</x:v>
      </x:c>
      <x:c r="N348" s="9" t="n">
        <x:f>M348*'Parameters'!$C$18</x:f>
        <x:v>1.616666666666667</x:v>
      </x:c>
      <x:c r="O348" s="9" t="n">
        <x:f>N348*'Parameters'!$C$19</x:f>
        <x:v>2.0208333333333335</x:v>
      </x:c>
      <x:c r="P348" s="9" t="n">
        <x:f>M348*(1-0.40)-N348</x:f>
        <x:v>3.2333333333333334</x:v>
      </x:c>
      <x:c r="Q348" s="9" t="n">
        <x:f>'Physical_Arcs'!T48</x:f>
        <x:v>4.055555555555555</x:v>
      </x:c>
      <x:c r="R348" s="9" t="n">
        <x:f>Q348*'Parameters'!$C$18</x:f>
        <x:v>0.8111111111111111</x:v>
      </x:c>
      <x:c r="S348" s="9" t="n">
        <x:f>R348*'Parameters'!$C$19</x:f>
        <x:v>1.0138888888888888</x:v>
      </x:c>
      <x:c r="T348" s="9" t="n">
        <x:f>Q348*(1-0.40)-R348</x:f>
        <x:v>1.622222222222222</x:v>
      </x:c>
    </x:row>
    <x:row r="349" ht="21" customHeight="1">
      <x:c r="A349" s="3" t="n">
        <x:v>5</x:v>
      </x:c>
      <x:c r="B349" s="3" t="str">
        <x:v>00:50</x:v>
      </x:c>
      <x:c r="C349" s="3" t="n">
        <x:v>1</x:v>
      </x:c>
      <x:c r="D349" s="3" t="n">
        <x:v>48</x:v>
      </x:c>
      <x:c r="E349" s="3" t="n">
        <x:v>8</x:v>
      </x:c>
      <x:c r="F349" s="3" t="n">
        <x:v>6</x:v>
      </x:c>
      <x:c r="G349" s="9" t="n">
        <x:v>0.18</x:v>
      </x:c>
      <x:c r="H349" s="9" t="n">
        <x:v>0.850778</x:v>
      </x:c>
      <x:c r="I349" s="9" t="n">
        <x:f>'Physical_Arcs'!R49</x:f>
        <x:v>10.555555555555555</x:v>
      </x:c>
      <x:c r="J349" s="9" t="n">
        <x:f>I349*'Parameters'!$C$18</x:f>
        <x:v>2.111111111111111</x:v>
      </x:c>
      <x:c r="K349" s="9" t="n">
        <x:f>J349*'Parameters'!$C$19</x:f>
        <x:v>2.638888888888889</x:v>
      </x:c>
      <x:c r="L349" s="9" t="n">
        <x:f>I349*(1-0.40)-J349</x:f>
        <x:v>4.222222222222221</x:v>
      </x:c>
      <x:c r="M349" s="9" t="n">
        <x:f>'Physical_Arcs'!S49</x:f>
        <x:v>10.555555555555555</x:v>
      </x:c>
      <x:c r="N349" s="9" t="n">
        <x:f>M349*'Parameters'!$C$18</x:f>
        <x:v>2.111111111111111</x:v>
      </x:c>
      <x:c r="O349" s="9" t="n">
        <x:f>N349*'Parameters'!$C$19</x:f>
        <x:v>2.638888888888889</x:v>
      </x:c>
      <x:c r="P349" s="9" t="n">
        <x:f>M349*(1-0.40)-N349</x:f>
        <x:v>4.222222222222221</x:v>
      </x:c>
      <x:c r="Q349" s="9" t="n">
        <x:f>'Physical_Arcs'!T49</x:f>
        <x:v>5.277777777777778</x:v>
      </x:c>
      <x:c r="R349" s="9" t="n">
        <x:f>Q349*'Parameters'!$C$18</x:f>
        <x:v>1.0555555555555556</x:v>
      </x:c>
      <x:c r="S349" s="9" t="n">
        <x:f>R349*'Parameters'!$C$19</x:f>
        <x:v>1.3194444444444444</x:v>
      </x:c>
      <x:c r="T349" s="9" t="n">
        <x:f>Q349*(1-0.40)-R349</x:f>
        <x:v>2.1111111111111107</x:v>
      </x:c>
    </x:row>
    <x:row r="350" ht="21" customHeight="1">
      <x:c r="A350" s="3" t="n">
        <x:v>5</x:v>
      </x:c>
      <x:c r="B350" s="3" t="str">
        <x:v>00:50</x:v>
      </x:c>
      <x:c r="C350" s="3" t="n">
        <x:v>1</x:v>
      </x:c>
      <x:c r="D350" s="3" t="n">
        <x:v>49</x:v>
      </x:c>
      <x:c r="E350" s="3" t="n">
        <x:v>8</x:v>
      </x:c>
      <x:c r="F350" s="3" t="n">
        <x:v>4</x:v>
      </x:c>
      <x:c r="G350" s="9" t="n">
        <x:v>0.18</x:v>
      </x:c>
      <x:c r="H350" s="9" t="n">
        <x:v>0.904949</x:v>
      </x:c>
      <x:c r="I350" s="9" t="n">
        <x:f>'Physical_Arcs'!R50</x:f>
        <x:v>1.5833333333333333</x:v>
      </x:c>
      <x:c r="J350" s="9" t="n">
        <x:f>I350*'Parameters'!$C$18</x:f>
        <x:v>0.31666666666666665</x:v>
      </x:c>
      <x:c r="K350" s="9" t="n">
        <x:f>J350*'Parameters'!$C$19</x:f>
        <x:v>0.3958333333333333</x:v>
      </x:c>
      <x:c r="L350" s="9" t="n">
        <x:f>I350*(1-0.40)-J350</x:f>
        <x:v>0.6333333333333333</x:v>
      </x:c>
      <x:c r="M350" s="9" t="n">
        <x:f>'Physical_Arcs'!S50</x:f>
        <x:v>1.5833333333333333</x:v>
      </x:c>
      <x:c r="N350" s="9" t="n">
        <x:f>M350*'Parameters'!$C$18</x:f>
        <x:v>0.31666666666666665</x:v>
      </x:c>
      <x:c r="O350" s="9" t="n">
        <x:f>N350*'Parameters'!$C$19</x:f>
        <x:v>0.3958333333333333</x:v>
      </x:c>
      <x:c r="P350" s="9" t="n">
        <x:f>M350*(1-0.40)-N350</x:f>
        <x:v>0.6333333333333333</x:v>
      </x:c>
      <x:c r="Q350" s="9" t="n">
        <x:f>'Physical_Arcs'!T50</x:f>
        <x:v>0.8055555555555556</x:v>
      </x:c>
      <x:c r="R350" s="9" t="n">
        <x:f>Q350*'Parameters'!$C$18</x:f>
        <x:v>0.16111111111111112</x:v>
      </x:c>
      <x:c r="S350" s="9" t="n">
        <x:f>R350*'Parameters'!$C$19</x:f>
        <x:v>0.2013888888888889</x:v>
      </x:c>
      <x:c r="T350" s="9" t="n">
        <x:f>Q350*(1-0.40)-R350</x:f>
        <x:v>0.3222222222222222</x:v>
      </x:c>
    </x:row>
    <x:row r="351" ht="21" customHeight="1">
      <x:c r="A351" s="3" t="n">
        <x:v>5</x:v>
      </x:c>
      <x:c r="B351" s="3" t="str">
        <x:v>00:50</x:v>
      </x:c>
      <x:c r="C351" s="3" t="n">
        <x:v>1</x:v>
      </x:c>
      <x:c r="D351" s="3" t="n">
        <x:v>50</x:v>
      </x:c>
      <x:c r="E351" s="3" t="n">
        <x:v>8</x:v>
      </x:c>
      <x:c r="F351" s="3" t="n">
        <x:v>5</x:v>
      </x:c>
      <x:c r="G351" s="9" t="n">
        <x:v>0.18</x:v>
      </x:c>
      <x:c r="H351" s="9" t="n">
        <x:v>0.990416</x:v>
      </x:c>
      <x:c r="I351" s="9" t="n">
        <x:f>'Physical_Arcs'!R51</x:f>
        <x:v>10.777777777777779</x:v>
      </x:c>
      <x:c r="J351" s="9" t="n">
        <x:f>I351*'Parameters'!$C$18</x:f>
        <x:v>2.155555555555556</x:v>
      </x:c>
      <x:c r="K351" s="9" t="n">
        <x:f>J351*'Parameters'!$C$19</x:f>
        <x:v>2.6944444444444446</x:v>
      </x:c>
      <x:c r="L351" s="9" t="n">
        <x:f>I351*(1-0.40)-J351</x:f>
        <x:v>4.311111111111111</x:v>
      </x:c>
      <x:c r="M351" s="9" t="n">
        <x:f>'Physical_Arcs'!S51</x:f>
        <x:v>10.777777777777779</x:v>
      </x:c>
      <x:c r="N351" s="9" t="n">
        <x:f>M351*'Parameters'!$C$18</x:f>
        <x:v>2.155555555555556</x:v>
      </x:c>
      <x:c r="O351" s="9" t="n">
        <x:f>N351*'Parameters'!$C$19</x:f>
        <x:v>2.6944444444444446</x:v>
      </x:c>
      <x:c r="P351" s="9" t="n">
        <x:f>M351*(1-0.40)-N351</x:f>
        <x:v>4.311111111111111</x:v>
      </x:c>
      <x:c r="Q351" s="9" t="n">
        <x:f>'Physical_Arcs'!T51</x:f>
        <x:v>5.388888888888889</x:v>
      </x:c>
      <x:c r="R351" s="9" t="n">
        <x:f>Q351*'Parameters'!$C$18</x:f>
        <x:v>1.077777777777778</x:v>
      </x:c>
      <x:c r="S351" s="9" t="n">
        <x:f>R351*'Parameters'!$C$19</x:f>
        <x:v>1.3472222222222223</x:v>
      </x:c>
      <x:c r="T351" s="9" t="n">
        <x:f>Q351*(1-0.40)-R351</x:f>
        <x:v>2.1555555555555554</x:v>
      </x:c>
    </x:row>
    <x:row r="352" ht="21" customHeight="1">
      <x:c r="A352" s="3" t="n">
        <x:v>5</x:v>
      </x:c>
      <x:c r="B352" s="3" t="str">
        <x:v>00:50</x:v>
      </x:c>
      <x:c r="C352" s="3" t="n">
        <x:v>1</x:v>
      </x:c>
      <x:c r="D352" s="3" t="n">
        <x:v>51</x:v>
      </x:c>
      <x:c r="E352" s="3" t="n">
        <x:v>8</x:v>
      </x:c>
      <x:c r="F352" s="3" t="n">
        <x:v>1</x:v>
      </x:c>
      <x:c r="G352" s="9" t="n">
        <x:v>0.18</x:v>
      </x:c>
      <x:c r="H352" s="9" t="n">
        <x:v>1.039066</x:v>
      </x:c>
      <x:c r="I352" s="9" t="n">
        <x:f>'Physical_Arcs'!R52</x:f>
        <x:v>8.88888888888889</x:v>
      </x:c>
      <x:c r="J352" s="9" t="n">
        <x:f>I352*'Parameters'!$C$18</x:f>
        <x:v>1.777777777777778</x:v>
      </x:c>
      <x:c r="K352" s="9" t="n">
        <x:f>J352*'Parameters'!$C$19</x:f>
        <x:v>2.2222222222222223</x:v>
      </x:c>
      <x:c r="L352" s="9" t="n">
        <x:f>I352*(1-0.40)-J352</x:f>
        <x:v>3.5555555555555554</x:v>
      </x:c>
      <x:c r="M352" s="9" t="n">
        <x:f>'Physical_Arcs'!S52</x:f>
        <x:v>8.88888888888889</x:v>
      </x:c>
      <x:c r="N352" s="9" t="n">
        <x:f>M352*'Parameters'!$C$18</x:f>
        <x:v>1.777777777777778</x:v>
      </x:c>
      <x:c r="O352" s="9" t="n">
        <x:f>N352*'Parameters'!$C$19</x:f>
        <x:v>2.2222222222222223</x:v>
      </x:c>
      <x:c r="P352" s="9" t="n">
        <x:f>M352*(1-0.40)-N352</x:f>
        <x:v>3.5555555555555554</x:v>
      </x:c>
      <x:c r="Q352" s="9" t="n">
        <x:f>'Physical_Arcs'!T52</x:f>
        <x:v>4.444444444444445</x:v>
      </x:c>
      <x:c r="R352" s="9" t="n">
        <x:f>Q352*'Parameters'!$C$18</x:f>
        <x:v>0.888888888888889</x:v>
      </x:c>
      <x:c r="S352" s="9" t="n">
        <x:f>R352*'Parameters'!$C$19</x:f>
        <x:v>1.1111111111111112</x:v>
      </x:c>
      <x:c r="T352" s="9" t="n">
        <x:f>Q352*(1-0.40)-R352</x:f>
        <x:v>1.7777777777777777</x:v>
      </x:c>
    </x:row>
    <x:row r="353" ht="21" customHeight="1">
      <x:c r="A353" s="3" t="n">
        <x:v>5</x:v>
      </x:c>
      <x:c r="B353" s="3" t="str">
        <x:v>00:50</x:v>
      </x:c>
      <x:c r="C353" s="3" t="n">
        <x:v>1</x:v>
      </x:c>
      <x:c r="D353" s="3" t="n">
        <x:v>52</x:v>
      </x:c>
      <x:c r="E353" s="3" t="n">
        <x:v>9</x:v>
      </x:c>
      <x:c r="F353" s="3" t="n">
        <x:v>10</x:v>
      </x:c>
      <x:c r="G353" s="9" t="n">
        <x:v>0.18</x:v>
      </x:c>
      <x:c r="H353" s="9" t="n">
        <x:v>0.954096</x:v>
      </x:c>
      <x:c r="I353" s="9" t="n">
        <x:f>'Physical_Arcs'!R53</x:f>
        <x:v>17.02777777777778</x:v>
      </x:c>
      <x:c r="J353" s="9" t="n">
        <x:f>I353*'Parameters'!$C$18</x:f>
        <x:v>3.405555555555556</x:v>
      </x:c>
      <x:c r="K353" s="9" t="n">
        <x:f>J353*'Parameters'!$C$19</x:f>
        <x:v>4.256944444444445</x:v>
      </x:c>
      <x:c r="L353" s="9" t="n">
        <x:f>I353*(1-0.40)-J353</x:f>
        <x:v>6.811111111111111</x:v>
      </x:c>
      <x:c r="M353" s="9" t="n">
        <x:f>'Physical_Arcs'!S53</x:f>
        <x:v>17.02777777777778</x:v>
      </x:c>
      <x:c r="N353" s="9" t="n">
        <x:f>M353*'Parameters'!$C$18</x:f>
        <x:v>3.405555555555556</x:v>
      </x:c>
      <x:c r="O353" s="9" t="n">
        <x:f>N353*'Parameters'!$C$19</x:f>
        <x:v>4.256944444444445</x:v>
      </x:c>
      <x:c r="P353" s="9" t="n">
        <x:f>M353*(1-0.40)-N353</x:f>
        <x:v>6.811111111111111</x:v>
      </x:c>
      <x:c r="Q353" s="9" t="n">
        <x:f>'Physical_Arcs'!T53</x:f>
        <x:v>17.02777777777778</x:v>
      </x:c>
      <x:c r="R353" s="9" t="n">
        <x:f>Q353*'Parameters'!$C$18</x:f>
        <x:v>3.405555555555556</x:v>
      </x:c>
      <x:c r="S353" s="9" t="n">
        <x:f>R353*'Parameters'!$C$19</x:f>
        <x:v>4.256944444444445</x:v>
      </x:c>
      <x:c r="T353" s="9" t="n">
        <x:f>Q353*(1-0.40)-R353</x:f>
        <x:v>6.811111111111111</x:v>
      </x:c>
    </x:row>
    <x:row r="354" ht="21" customHeight="1">
      <x:c r="A354" s="3" t="n">
        <x:v>5</x:v>
      </x:c>
      <x:c r="B354" s="3" t="str">
        <x:v>00:50</x:v>
      </x:c>
      <x:c r="C354" s="3" t="n">
        <x:v>1</x:v>
      </x:c>
      <x:c r="D354" s="3" t="n">
        <x:v>53</x:v>
      </x:c>
      <x:c r="E354" s="3" t="n">
        <x:v>9</x:v>
      </x:c>
      <x:c r="F354" s="3" t="n">
        <x:v>6</x:v>
      </x:c>
      <x:c r="G354" s="9" t="n">
        <x:v>0.18</x:v>
      </x:c>
      <x:c r="H354" s="9" t="n">
        <x:v>1.125574</x:v>
      </x:c>
      <x:c r="I354" s="9" t="n">
        <x:f>'Physical_Arcs'!R54</x:f>
        <x:v>9.666666666666666</x:v>
      </x:c>
      <x:c r="J354" s="9" t="n">
        <x:f>I354*'Parameters'!$C$18</x:f>
        <x:v>1.9333333333333333</x:v>
      </x:c>
      <x:c r="K354" s="9" t="n">
        <x:f>J354*'Parameters'!$C$19</x:f>
        <x:v>2.4166666666666665</x:v>
      </x:c>
      <x:c r="L354" s="9" t="n">
        <x:f>I354*(1-0.40)-J354</x:f>
        <x:v>3.8666666666666663</x:v>
      </x:c>
      <x:c r="M354" s="9" t="n">
        <x:f>'Physical_Arcs'!S54</x:f>
        <x:v>9.666666666666666</x:v>
      </x:c>
      <x:c r="N354" s="9" t="n">
        <x:f>M354*'Parameters'!$C$18</x:f>
        <x:v>1.9333333333333333</x:v>
      </x:c>
      <x:c r="O354" s="9" t="n">
        <x:f>N354*'Parameters'!$C$19</x:f>
        <x:v>2.4166666666666665</x:v>
      </x:c>
      <x:c r="P354" s="9" t="n">
        <x:f>M354*(1-0.40)-N354</x:f>
        <x:v>3.8666666666666663</x:v>
      </x:c>
      <x:c r="Q354" s="9" t="n">
        <x:f>'Physical_Arcs'!T54</x:f>
        <x:v>4.833333333333333</x:v>
      </x:c>
      <x:c r="R354" s="9" t="n">
        <x:f>Q354*'Parameters'!$C$18</x:f>
        <x:v>0.9666666666666667</x:v>
      </x:c>
      <x:c r="S354" s="9" t="n">
        <x:f>R354*'Parameters'!$C$19</x:f>
        <x:v>1.2083333333333333</x:v>
      </x:c>
      <x:c r="T354" s="9" t="n">
        <x:f>Q354*(1-0.40)-R354</x:f>
        <x:v>1.9333333333333331</x:v>
      </x:c>
    </x:row>
    <x:row r="355" ht="21" customHeight="1">
      <x:c r="A355" s="3" t="n">
        <x:v>5</x:v>
      </x:c>
      <x:c r="B355" s="3" t="str">
        <x:v>00:50</x:v>
      </x:c>
      <x:c r="C355" s="3" t="n">
        <x:v>1</x:v>
      </x:c>
      <x:c r="D355" s="3" t="n">
        <x:v>54</x:v>
      </x:c>
      <x:c r="E355" s="3" t="n">
        <x:v>9</x:v>
      </x:c>
      <x:c r="F355" s="3" t="n">
        <x:v>2</x:v>
      </x:c>
      <x:c r="G355" s="9" t="n">
        <x:v>0.18</x:v>
      </x:c>
      <x:c r="H355" s="9" t="n">
        <x:v>0.854534</x:v>
      </x:c>
      <x:c r="I355" s="9" t="n">
        <x:f>'Physical_Arcs'!R55</x:f>
        <x:v>9.88888888888889</x:v>
      </x:c>
      <x:c r="J355" s="9" t="n">
        <x:f>I355*'Parameters'!$C$18</x:f>
        <x:v>1.9777777777777779</x:v>
      </x:c>
      <x:c r="K355" s="9" t="n">
        <x:f>J355*'Parameters'!$C$19</x:f>
        <x:v>2.4722222222222223</x:v>
      </x:c>
      <x:c r="L355" s="9" t="n">
        <x:f>I355*(1-0.40)-J355</x:f>
        <x:v>3.9555555555555557</x:v>
      </x:c>
      <x:c r="M355" s="9" t="n">
        <x:f>'Physical_Arcs'!S55</x:f>
        <x:v>9.88888888888889</x:v>
      </x:c>
      <x:c r="N355" s="9" t="n">
        <x:f>M355*'Parameters'!$C$18</x:f>
        <x:v>1.9777777777777779</x:v>
      </x:c>
      <x:c r="O355" s="9" t="n">
        <x:f>N355*'Parameters'!$C$19</x:f>
        <x:v>2.4722222222222223</x:v>
      </x:c>
      <x:c r="P355" s="9" t="n">
        <x:f>M355*(1-0.40)-N355</x:f>
        <x:v>3.9555555555555557</x:v>
      </x:c>
      <x:c r="Q355" s="9" t="n">
        <x:f>'Physical_Arcs'!T55</x:f>
        <x:v>4.944444444444445</x:v>
      </x:c>
      <x:c r="R355" s="9" t="n">
        <x:f>Q355*'Parameters'!$C$18</x:f>
        <x:v>0.9888888888888889</x:v>
      </x:c>
      <x:c r="S355" s="9" t="n">
        <x:f>R355*'Parameters'!$C$19</x:f>
        <x:v>1.2361111111111112</x:v>
      </x:c>
      <x:c r="T355" s="9" t="n">
        <x:f>Q355*(1-0.40)-R355</x:f>
        <x:v>1.9777777777777779</x:v>
      </x:c>
    </x:row>
    <x:row r="356" ht="21" customHeight="1">
      <x:c r="A356" s="3" t="n">
        <x:v>5</x:v>
      </x:c>
      <x:c r="B356" s="3" t="str">
        <x:v>00:50</x:v>
      </x:c>
      <x:c r="C356" s="3" t="n">
        <x:v>1</x:v>
      </x:c>
      <x:c r="D356" s="3" t="n">
        <x:v>55</x:v>
      </x:c>
      <x:c r="E356" s="3" t="n">
        <x:v>9</x:v>
      </x:c>
      <x:c r="F356" s="3" t="n">
        <x:v>7</x:v>
      </x:c>
      <x:c r="G356" s="9" t="n">
        <x:v>0.18</x:v>
      </x:c>
      <x:c r="H356" s="9" t="n">
        <x:v>0.900033</x:v>
      </x:c>
      <x:c r="I356" s="9" t="n">
        <x:f>'Physical_Arcs'!R56</x:f>
        <x:v>4.166666666666667</x:v>
      </x:c>
      <x:c r="J356" s="9" t="n">
        <x:f>I356*'Parameters'!$C$18</x:f>
        <x:v>0.8333333333333335</x:v>
      </x:c>
      <x:c r="K356" s="9" t="n">
        <x:f>J356*'Parameters'!$C$19</x:f>
        <x:v>1.041666666666667</x:v>
      </x:c>
      <x:c r="L356" s="9" t="n">
        <x:f>I356*(1-0.40)-J356</x:f>
        <x:v>1.6666666666666665</x:v>
      </x:c>
      <x:c r="M356" s="9" t="n">
        <x:f>'Physical_Arcs'!S56</x:f>
        <x:v>4.166666666666667</x:v>
      </x:c>
      <x:c r="N356" s="9" t="n">
        <x:f>M356*'Parameters'!$C$18</x:f>
        <x:v>0.8333333333333335</x:v>
      </x:c>
      <x:c r="O356" s="9" t="n">
        <x:f>N356*'Parameters'!$C$19</x:f>
        <x:v>1.041666666666667</x:v>
      </x:c>
      <x:c r="P356" s="9" t="n">
        <x:f>M356*(1-0.40)-N356</x:f>
        <x:v>1.6666666666666665</x:v>
      </x:c>
      <x:c r="Q356" s="9" t="n">
        <x:f>'Physical_Arcs'!T56</x:f>
        <x:v>2.0833333333333335</x:v>
      </x:c>
      <x:c r="R356" s="9" t="n">
        <x:f>Q356*'Parameters'!$C$18</x:f>
        <x:v>0.41666666666666674</x:v>
      </x:c>
      <x:c r="S356" s="9" t="n">
        <x:f>R356*'Parameters'!$C$19</x:f>
        <x:v>0.5208333333333335</x:v>
      </x:c>
      <x:c r="T356" s="9" t="n">
        <x:f>Q356*(1-0.40)-R356</x:f>
        <x:v>0.8333333333333333</x:v>
      </x:c>
    </x:row>
    <x:row r="357" ht="21" customHeight="1">
      <x:c r="A357" s="3" t="n">
        <x:v>5</x:v>
      </x:c>
      <x:c r="B357" s="3" t="str">
        <x:v>00:50</x:v>
      </x:c>
      <x:c r="C357" s="3" t="n">
        <x:v>1</x:v>
      </x:c>
      <x:c r="D357" s="3" t="n">
        <x:v>56</x:v>
      </x:c>
      <x:c r="E357" s="3" t="n">
        <x:v>9</x:v>
      </x:c>
      <x:c r="F357" s="3" t="n">
        <x:v>3</x:v>
      </x:c>
      <x:c r="G357" s="9" t="n">
        <x:v>0.18</x:v>
      </x:c>
      <x:c r="H357" s="9" t="n">
        <x:v>0.893428</x:v>
      </x:c>
      <x:c r="I357" s="9" t="n">
        <x:f>'Physical_Arcs'!R57</x:f>
        <x:v>3.7222222222222223</x:v>
      </x:c>
      <x:c r="J357" s="9" t="n">
        <x:f>I357*'Parameters'!$C$18</x:f>
        <x:v>0.7444444444444445</x:v>
      </x:c>
      <x:c r="K357" s="9" t="n">
        <x:f>J357*'Parameters'!$C$19</x:f>
        <x:v>0.9305555555555556</x:v>
      </x:c>
      <x:c r="L357" s="9" t="n">
        <x:f>I357*(1-0.40)-J357</x:f>
        <x:v>1.488888888888889</x:v>
      </x:c>
      <x:c r="M357" s="9" t="n">
        <x:f>'Physical_Arcs'!S57</x:f>
        <x:v>3.7222222222222223</x:v>
      </x:c>
      <x:c r="N357" s="9" t="n">
        <x:f>M357*'Parameters'!$C$18</x:f>
        <x:v>0.7444444444444445</x:v>
      </x:c>
      <x:c r="O357" s="9" t="n">
        <x:f>N357*'Parameters'!$C$19</x:f>
        <x:v>0.9305555555555556</x:v>
      </x:c>
      <x:c r="P357" s="9" t="n">
        <x:f>M357*(1-0.40)-N357</x:f>
        <x:v>1.488888888888889</x:v>
      </x:c>
      <x:c r="Q357" s="9" t="n">
        <x:f>'Physical_Arcs'!T57</x:f>
        <x:v>1.8611111111111112</x:v>
      </x:c>
      <x:c r="R357" s="9" t="n">
        <x:f>Q357*'Parameters'!$C$18</x:f>
        <x:v>0.37222222222222223</x:v>
      </x:c>
      <x:c r="S357" s="9" t="n">
        <x:f>R357*'Parameters'!$C$19</x:f>
        <x:v>0.4652777777777778</x:v>
      </x:c>
      <x:c r="T357" s="9" t="n">
        <x:f>Q357*(1-0.40)-R357</x:f>
        <x:v>0.7444444444444445</x:v>
      </x:c>
    </x:row>
    <x:row r="358" ht="21" customHeight="1">
      <x:c r="A358" s="3" t="n">
        <x:v>5</x:v>
      </x:c>
      <x:c r="B358" s="3" t="str">
        <x:v>00:50</x:v>
      </x:c>
      <x:c r="C358" s="3" t="n">
        <x:v>1</x:v>
      </x:c>
      <x:c r="D358" s="3" t="n">
        <x:v>57</x:v>
      </x:c>
      <x:c r="E358" s="3" t="n">
        <x:v>10</x:v>
      </x:c>
      <x:c r="F358" s="3" t="n">
        <x:v>1</x:v>
      </x:c>
      <x:c r="G358" s="9" t="n">
        <x:v>0.18</x:v>
      </x:c>
      <x:c r="H358" s="9" t="n">
        <x:v>1.027979</x:v>
      </x:c>
      <x:c r="I358" s="9" t="n">
        <x:f>'Physical_Arcs'!R58</x:f>
        <x:v>17.02777777777778</x:v>
      </x:c>
      <x:c r="J358" s="9" t="n">
        <x:f>I358*'Parameters'!$C$18</x:f>
        <x:v>3.405555555555556</x:v>
      </x:c>
      <x:c r="K358" s="9" t="n">
        <x:f>J358*'Parameters'!$C$19</x:f>
        <x:v>4.256944444444445</x:v>
      </x:c>
      <x:c r="L358" s="9" t="n">
        <x:f>I358*(1-0.40)-J358</x:f>
        <x:v>6.811111111111111</x:v>
      </x:c>
      <x:c r="M358" s="9" t="n">
        <x:f>'Physical_Arcs'!S58</x:f>
        <x:v>17.02777777777778</x:v>
      </x:c>
      <x:c r="N358" s="9" t="n">
        <x:f>M358*'Parameters'!$C$18</x:f>
        <x:v>3.405555555555556</x:v>
      </x:c>
      <x:c r="O358" s="9" t="n">
        <x:f>N358*'Parameters'!$C$19</x:f>
        <x:v>4.256944444444445</x:v>
      </x:c>
      <x:c r="P358" s="9" t="n">
        <x:f>M358*(1-0.40)-N358</x:f>
        <x:v>6.811111111111111</x:v>
      </x:c>
      <x:c r="Q358" s="9" t="n">
        <x:f>'Physical_Arcs'!T58</x:f>
        <x:v>17.02777777777778</x:v>
      </x:c>
      <x:c r="R358" s="9" t="n">
        <x:f>Q358*'Parameters'!$C$18</x:f>
        <x:v>3.405555555555556</x:v>
      </x:c>
      <x:c r="S358" s="9" t="n">
        <x:f>R358*'Parameters'!$C$19</x:f>
        <x:v>4.256944444444445</x:v>
      </x:c>
      <x:c r="T358" s="9" t="n">
        <x:f>Q358*(1-0.40)-R358</x:f>
        <x:v>6.811111111111111</x:v>
      </x:c>
    </x:row>
    <x:row r="359" ht="21" customHeight="1">
      <x:c r="A359" s="3" t="n">
        <x:v>5</x:v>
      </x:c>
      <x:c r="B359" s="3" t="str">
        <x:v>00:50</x:v>
      </x:c>
      <x:c r="C359" s="3" t="n">
        <x:v>1</x:v>
      </x:c>
      <x:c r="D359" s="3" t="n">
        <x:v>58</x:v>
      </x:c>
      <x:c r="E359" s="3" t="n">
        <x:v>10</x:v>
      </x:c>
      <x:c r="F359" s="3" t="n">
        <x:v>6</x:v>
      </x:c>
      <x:c r="G359" s="9" t="n">
        <x:v>0.18</x:v>
      </x:c>
      <x:c r="H359" s="9" t="n">
        <x:v>0.952676</x:v>
      </x:c>
      <x:c r="I359" s="9" t="n">
        <x:f>'Physical_Arcs'!R59</x:f>
        <x:v>6.305555555555555</x:v>
      </x:c>
      <x:c r="J359" s="9" t="n">
        <x:f>I359*'Parameters'!$C$18</x:f>
        <x:v>1.261111111111111</x:v>
      </x:c>
      <x:c r="K359" s="9" t="n">
        <x:f>J359*'Parameters'!$C$19</x:f>
        <x:v>1.5763888888888888</x:v>
      </x:c>
      <x:c r="L359" s="9" t="n">
        <x:f>I359*(1-0.40)-J359</x:f>
        <x:v>2.522222222222222</x:v>
      </x:c>
      <x:c r="M359" s="9" t="n">
        <x:f>'Physical_Arcs'!S59</x:f>
        <x:v>6.305555555555555</x:v>
      </x:c>
      <x:c r="N359" s="9" t="n">
        <x:f>M359*'Parameters'!$C$18</x:f>
        <x:v>1.261111111111111</x:v>
      </x:c>
      <x:c r="O359" s="9" t="n">
        <x:f>N359*'Parameters'!$C$19</x:f>
        <x:v>1.5763888888888888</x:v>
      </x:c>
      <x:c r="P359" s="9" t="n">
        <x:f>M359*(1-0.40)-N359</x:f>
        <x:v>2.522222222222222</x:v>
      </x:c>
      <x:c r="Q359" s="9" t="n">
        <x:f>'Physical_Arcs'!T59</x:f>
        <x:v>3.1666666666666665</x:v>
      </x:c>
      <x:c r="R359" s="9" t="n">
        <x:f>Q359*'Parameters'!$C$18</x:f>
        <x:v>0.6333333333333333</x:v>
      </x:c>
      <x:c r="S359" s="9" t="n">
        <x:f>R359*'Parameters'!$C$19</x:f>
        <x:v>0.7916666666666666</x:v>
      </x:c>
      <x:c r="T359" s="9" t="n">
        <x:f>Q359*(1-0.40)-R359</x:f>
        <x:v>1.2666666666666666</x:v>
      </x:c>
    </x:row>
    <x:row r="360" ht="21" customHeight="1">
      <x:c r="A360" s="3" t="n">
        <x:v>5</x:v>
      </x:c>
      <x:c r="B360" s="3" t="str">
        <x:v>00:50</x:v>
      </x:c>
      <x:c r="C360" s="3" t="n">
        <x:v>1</x:v>
      </x:c>
      <x:c r="D360" s="3" t="n">
        <x:v>59</x:v>
      </x:c>
      <x:c r="E360" s="3" t="n">
        <x:v>10</x:v>
      </x:c>
      <x:c r="F360" s="3" t="n">
        <x:v>4</x:v>
      </x:c>
      <x:c r="G360" s="9" t="n">
        <x:v>0.18</x:v>
      </x:c>
      <x:c r="H360" s="9" t="n">
        <x:v>1.114542</x:v>
      </x:c>
      <x:c r="I360" s="9" t="n">
        <x:f>'Physical_Arcs'!R60</x:f>
        <x:v>1.5833333333333333</x:v>
      </x:c>
      <x:c r="J360" s="9" t="n">
        <x:f>I360*'Parameters'!$C$18</x:f>
        <x:v>0.31666666666666665</x:v>
      </x:c>
      <x:c r="K360" s="9" t="n">
        <x:f>J360*'Parameters'!$C$19</x:f>
        <x:v>0.3958333333333333</x:v>
      </x:c>
      <x:c r="L360" s="9" t="n">
        <x:f>I360*(1-0.40)-J360</x:f>
        <x:v>0.6333333333333333</x:v>
      </x:c>
      <x:c r="M360" s="9" t="n">
        <x:f>'Physical_Arcs'!S60</x:f>
        <x:v>1.5833333333333333</x:v>
      </x:c>
      <x:c r="N360" s="9" t="n">
        <x:f>M360*'Parameters'!$C$18</x:f>
        <x:v>0.31666666666666665</x:v>
      </x:c>
      <x:c r="O360" s="9" t="n">
        <x:f>N360*'Parameters'!$C$19</x:f>
        <x:v>0.3958333333333333</x:v>
      </x:c>
      <x:c r="P360" s="9" t="n">
        <x:f>M360*(1-0.40)-N360</x:f>
        <x:v>0.6333333333333333</x:v>
      </x:c>
      <x:c r="Q360" s="9" t="n">
        <x:f>'Physical_Arcs'!T60</x:f>
        <x:v>0.8055555555555556</x:v>
      </x:c>
      <x:c r="R360" s="9" t="n">
        <x:f>Q360*'Parameters'!$C$18</x:f>
        <x:v>0.16111111111111112</x:v>
      </x:c>
      <x:c r="S360" s="9" t="n">
        <x:f>R360*'Parameters'!$C$19</x:f>
        <x:v>0.2013888888888889</x:v>
      </x:c>
      <x:c r="T360" s="9" t="n">
        <x:f>Q360*(1-0.40)-R360</x:f>
        <x:v>0.3222222222222222</x:v>
      </x:c>
    </x:row>
    <x:row r="361" ht="21" customHeight="1">
      <x:c r="A361" s="3" t="n">
        <x:v>5</x:v>
      </x:c>
      <x:c r="B361" s="3" t="str">
        <x:v>00:50</x:v>
      </x:c>
      <x:c r="C361" s="3" t="n">
        <x:v>1</x:v>
      </x:c>
      <x:c r="D361" s="3" t="n">
        <x:v>60</x:v>
      </x:c>
      <x:c r="E361" s="3" t="n">
        <x:v>10</x:v>
      </x:c>
      <x:c r="F361" s="3" t="n">
        <x:v>9</x:v>
      </x:c>
      <x:c r="G361" s="9" t="n">
        <x:v>0.18</x:v>
      </x:c>
      <x:c r="H361" s="9" t="n">
        <x:v>1.092245</x:v>
      </x:c>
      <x:c r="I361" s="9" t="n">
        <x:f>'Physical_Arcs'!R61</x:f>
        <x:v>10.333333333333334</x:v>
      </x:c>
      <x:c r="J361" s="9" t="n">
        <x:f>I361*'Parameters'!$C$18</x:f>
        <x:v>2.066666666666667</x:v>
      </x:c>
      <x:c r="K361" s="9" t="n">
        <x:f>J361*'Parameters'!$C$19</x:f>
        <x:v>2.5833333333333335</x:v>
      </x:c>
      <x:c r="L361" s="9" t="n">
        <x:f>I361*(1-0.40)-J361</x:f>
        <x:v>4.133333333333333</x:v>
      </x:c>
      <x:c r="M361" s="9" t="n">
        <x:f>'Physical_Arcs'!S61</x:f>
        <x:v>10.333333333333334</x:v>
      </x:c>
      <x:c r="N361" s="9" t="n">
        <x:f>M361*'Parameters'!$C$18</x:f>
        <x:v>2.066666666666667</x:v>
      </x:c>
      <x:c r="O361" s="9" t="n">
        <x:f>N361*'Parameters'!$C$19</x:f>
        <x:v>2.5833333333333335</x:v>
      </x:c>
      <x:c r="P361" s="9" t="n">
        <x:f>M361*(1-0.40)-N361</x:f>
        <x:v>4.133333333333333</x:v>
      </x:c>
      <x:c r="Q361" s="9" t="n">
        <x:f>'Physical_Arcs'!T61</x:f>
        <x:v>5.166666666666667</x:v>
      </x:c>
      <x:c r="R361" s="9" t="n">
        <x:f>Q361*'Parameters'!$C$18</x:f>
        <x:v>1.0333333333333334</x:v>
      </x:c>
      <x:c r="S361" s="9" t="n">
        <x:f>R361*'Parameters'!$C$19</x:f>
        <x:v>1.2916666666666667</x:v>
      </x:c>
      <x:c r="T361" s="9" t="n">
        <x:f>Q361*(1-0.40)-R361</x:f>
        <x:v>2.0666666666666664</x:v>
      </x:c>
    </x:row>
    <x:row r="362" ht="21" customHeight="1">
      <x:c r="A362" s="3" t="n">
        <x:v>6</x:v>
      </x:c>
      <x:c r="B362" s="3" t="str">
        <x:v>01:00</x:v>
      </x:c>
      <x:c r="C362" s="3" t="n">
        <x:v>2</x:v>
      </x:c>
      <x:c r="D362" s="3" t="n">
        <x:v>1</x:v>
      </x:c>
      <x:c r="E362" s="3" t="n">
        <x:v>1</x:v>
      </x:c>
      <x:c r="F362" s="3" t="n">
        <x:v>2</x:v>
      </x:c>
      <x:c r="G362" s="9" t="n">
        <x:v>0.14</x:v>
      </x:c>
      <x:c r="H362" s="9" t="n">
        <x:v>0.914787</x:v>
      </x:c>
      <x:c r="I362" s="9" t="n">
        <x:f>'Physical_Arcs'!R2</x:f>
        <x:v>17.02777777777778</x:v>
      </x:c>
      <x:c r="J362" s="9" t="n">
        <x:f>I362*'Parameters'!$C$18</x:f>
        <x:v>3.405555555555556</x:v>
      </x:c>
      <x:c r="K362" s="9" t="n">
        <x:f>J362*'Parameters'!$C$19</x:f>
        <x:v>4.256944444444445</x:v>
      </x:c>
      <x:c r="L362" s="9" t="n">
        <x:f>I362*(1-0.40)-J362</x:f>
        <x:v>6.811111111111111</x:v>
      </x:c>
      <x:c r="M362" s="9" t="n">
        <x:f>'Physical_Arcs'!S2</x:f>
        <x:v>17.02777777777778</x:v>
      </x:c>
      <x:c r="N362" s="9" t="n">
        <x:f>M362*'Parameters'!$C$18</x:f>
        <x:v>3.405555555555556</x:v>
      </x:c>
      <x:c r="O362" s="9" t="n">
        <x:f>N362*'Parameters'!$C$19</x:f>
        <x:v>4.256944444444445</x:v>
      </x:c>
      <x:c r="P362" s="9" t="n">
        <x:f>M362*(1-0.40)-N362</x:f>
        <x:v>6.811111111111111</x:v>
      </x:c>
      <x:c r="Q362" s="9" t="n">
        <x:f>'Physical_Arcs'!T2</x:f>
        <x:v>17.02777777777778</x:v>
      </x:c>
      <x:c r="R362" s="9" t="n">
        <x:f>Q362*'Parameters'!$C$18</x:f>
        <x:v>3.405555555555556</x:v>
      </x:c>
      <x:c r="S362" s="9" t="n">
        <x:f>R362*'Parameters'!$C$19</x:f>
        <x:v>4.256944444444445</x:v>
      </x:c>
      <x:c r="T362" s="9" t="n">
        <x:f>Q362*(1-0.40)-R362</x:f>
        <x:v>6.811111111111111</x:v>
      </x:c>
    </x:row>
    <x:row r="363" ht="21" customHeight="1">
      <x:c r="A363" s="3" t="n">
        <x:v>6</x:v>
      </x:c>
      <x:c r="B363" s="3" t="str">
        <x:v>01:00</x:v>
      </x:c>
      <x:c r="C363" s="3" t="n">
        <x:v>2</x:v>
      </x:c>
      <x:c r="D363" s="3" t="n">
        <x:v>2</x:v>
      </x:c>
      <x:c r="E363" s="3" t="n">
        <x:v>1</x:v>
      </x:c>
      <x:c r="F363" s="3" t="n">
        <x:v>10</x:v>
      </x:c>
      <x:c r="G363" s="9" t="n">
        <x:v>0.14</x:v>
      </x:c>
      <x:c r="H363" s="9" t="n">
        <x:v>1.003995</x:v>
      </x:c>
      <x:c r="I363" s="9" t="n">
        <x:f>'Physical_Arcs'!R3</x:f>
        <x:v>3.2777777777777777</x:v>
      </x:c>
      <x:c r="J363" s="9" t="n">
        <x:f>I363*'Parameters'!$C$18</x:f>
        <x:v>0.6555555555555556</x:v>
      </x:c>
      <x:c r="K363" s="9" t="n">
        <x:f>J363*'Parameters'!$C$19</x:f>
        <x:v>0.8194444444444444</x:v>
      </x:c>
      <x:c r="L363" s="9" t="n">
        <x:f>I363*(1-0.40)-J363</x:f>
        <x:v>1.311111111111111</x:v>
      </x:c>
      <x:c r="M363" s="9" t="n">
        <x:f>'Physical_Arcs'!S3</x:f>
        <x:v>3.2777777777777777</x:v>
      </x:c>
      <x:c r="N363" s="9" t="n">
        <x:f>M363*'Parameters'!$C$18</x:f>
        <x:v>0.6555555555555556</x:v>
      </x:c>
      <x:c r="O363" s="9" t="n">
        <x:f>N363*'Parameters'!$C$19</x:f>
        <x:v>0.8194444444444444</x:v>
      </x:c>
      <x:c r="P363" s="9" t="n">
        <x:f>M363*(1-0.40)-N363</x:f>
        <x:v>1.311111111111111</x:v>
      </x:c>
      <x:c r="Q363" s="9" t="n">
        <x:f>'Physical_Arcs'!T3</x:f>
        <x:v>1.6388888888888888</x:v>
      </x:c>
      <x:c r="R363" s="9" t="n">
        <x:f>Q363*'Parameters'!$C$18</x:f>
        <x:v>0.3277777777777778</x:v>
      </x:c>
      <x:c r="S363" s="9" t="n">
        <x:f>R363*'Parameters'!$C$19</x:f>
        <x:v>0.4097222222222222</x:v>
      </x:c>
      <x:c r="T363" s="9" t="n">
        <x:f>Q363*(1-0.40)-R363</x:f>
        <x:v>0.6555555555555554</x:v>
      </x:c>
    </x:row>
    <x:row r="364" ht="21" customHeight="1">
      <x:c r="A364" s="3" t="n">
        <x:v>6</x:v>
      </x:c>
      <x:c r="B364" s="3" t="str">
        <x:v>01:00</x:v>
      </x:c>
      <x:c r="C364" s="3" t="n">
        <x:v>2</x:v>
      </x:c>
      <x:c r="D364" s="3" t="n">
        <x:v>3</x:v>
      </x:c>
      <x:c r="E364" s="3" t="n">
        <x:v>1</x:v>
      </x:c>
      <x:c r="F364" s="3" t="n">
        <x:v>8</x:v>
      </x:c>
      <x:c r="G364" s="9" t="n">
        <x:v>0.14</x:v>
      </x:c>
      <x:c r="H364" s="9" t="n">
        <x:v>0.923863</x:v>
      </x:c>
      <x:c r="I364" s="9" t="n">
        <x:f>'Physical_Arcs'!R4</x:f>
        <x:v>6.083333333333333</x:v>
      </x:c>
      <x:c r="J364" s="9" t="n">
        <x:f>I364*'Parameters'!$C$18</x:f>
        <x:v>1.2166666666666668</x:v>
      </x:c>
      <x:c r="K364" s="9" t="n">
        <x:f>J364*'Parameters'!$C$19</x:f>
        <x:v>1.5208333333333335</x:v>
      </x:c>
      <x:c r="L364" s="9" t="n">
        <x:f>I364*(1-0.40)-J364</x:f>
        <x:v>2.4333333333333327</x:v>
      </x:c>
      <x:c r="M364" s="9" t="n">
        <x:f>'Physical_Arcs'!S4</x:f>
        <x:v>6.083333333333333</x:v>
      </x:c>
      <x:c r="N364" s="9" t="n">
        <x:f>M364*'Parameters'!$C$18</x:f>
        <x:v>1.2166666666666668</x:v>
      </x:c>
      <x:c r="O364" s="9" t="n">
        <x:f>N364*'Parameters'!$C$19</x:f>
        <x:v>1.5208333333333335</x:v>
      </x:c>
      <x:c r="P364" s="9" t="n">
        <x:f>M364*(1-0.40)-N364</x:f>
        <x:v>2.4333333333333327</x:v>
      </x:c>
      <x:c r="Q364" s="9" t="n">
        <x:f>'Physical_Arcs'!T4</x:f>
        <x:v>3.0555555555555554</x:v>
      </x:c>
      <x:c r="R364" s="9" t="n">
        <x:f>Q364*'Parameters'!$C$18</x:f>
        <x:v>0.6111111111111112</x:v>
      </x:c>
      <x:c r="S364" s="9" t="n">
        <x:f>R364*'Parameters'!$C$19</x:f>
        <x:v>0.763888888888889</x:v>
      </x:c>
      <x:c r="T364" s="9" t="n">
        <x:f>Q364*(1-0.40)-R364</x:f>
        <x:v>1.2222222222222219</x:v>
      </x:c>
    </x:row>
    <x:row r="365" ht="21" customHeight="1">
      <x:c r="A365" s="3" t="n">
        <x:v>6</x:v>
      </x:c>
      <x:c r="B365" s="3" t="str">
        <x:v>01:00</x:v>
      </x:c>
      <x:c r="C365" s="3" t="n">
        <x:v>2</x:v>
      </x:c>
      <x:c r="D365" s="3" t="n">
        <x:v>4</x:v>
      </x:c>
      <x:c r="E365" s="3" t="n">
        <x:v>1</x:v>
      </x:c>
      <x:c r="F365" s="3" t="n">
        <x:v>7</x:v>
      </x:c>
      <x:c r="G365" s="9" t="n">
        <x:v>0.14</x:v>
      </x:c>
      <x:c r="H365" s="9" t="n">
        <x:v>1.111072</x:v>
      </x:c>
      <x:c r="I365" s="9" t="n">
        <x:f>'Physical_Arcs'!R5</x:f>
        <x:v>9</x:v>
      </x:c>
      <x:c r="J365" s="9" t="n">
        <x:f>I365*'Parameters'!$C$18</x:f>
        <x:v>1.8</x:v>
      </x:c>
      <x:c r="K365" s="9" t="n">
        <x:f>J365*'Parameters'!$C$19</x:f>
        <x:v>2.25</x:v>
      </x:c>
      <x:c r="L365" s="9" t="n">
        <x:f>I365*(1-0.40)-J365</x:f>
        <x:v>3.5999999999999996</x:v>
      </x:c>
      <x:c r="M365" s="9" t="n">
        <x:f>'Physical_Arcs'!S5</x:f>
        <x:v>9</x:v>
      </x:c>
      <x:c r="N365" s="9" t="n">
        <x:f>M365*'Parameters'!$C$18</x:f>
        <x:v>1.8</x:v>
      </x:c>
      <x:c r="O365" s="9" t="n">
        <x:f>N365*'Parameters'!$C$19</x:f>
        <x:v>2.25</x:v>
      </x:c>
      <x:c r="P365" s="9" t="n">
        <x:f>M365*(1-0.40)-N365</x:f>
        <x:v>3.5999999999999996</x:v>
      </x:c>
      <x:c r="Q365" s="9" t="n">
        <x:f>'Physical_Arcs'!T5</x:f>
        <x:v>4.5</x:v>
      </x:c>
      <x:c r="R365" s="9" t="n">
        <x:f>Q365*'Parameters'!$C$18</x:f>
        <x:v>0.9</x:v>
      </x:c>
      <x:c r="S365" s="9" t="n">
        <x:f>R365*'Parameters'!$C$19</x:f>
        <x:v>1.125</x:v>
      </x:c>
      <x:c r="T365" s="9" t="n">
        <x:f>Q365*(1-0.40)-R365</x:f>
        <x:v>1.7999999999999998</x:v>
      </x:c>
    </x:row>
    <x:row r="366" ht="21" customHeight="1">
      <x:c r="A366" s="3" t="n">
        <x:v>6</x:v>
      </x:c>
      <x:c r="B366" s="3" t="str">
        <x:v>01:00</x:v>
      </x:c>
      <x:c r="C366" s="3" t="n">
        <x:v>2</x:v>
      </x:c>
      <x:c r="D366" s="3" t="n">
        <x:v>5</x:v>
      </x:c>
      <x:c r="E366" s="3" t="n">
        <x:v>1</x:v>
      </x:c>
      <x:c r="F366" s="3" t="n">
        <x:v>4</x:v>
      </x:c>
      <x:c r="G366" s="9" t="n">
        <x:v>0.14</x:v>
      </x:c>
      <x:c r="H366" s="9" t="n">
        <x:v>1.001665</x:v>
      </x:c>
      <x:c r="I366" s="9" t="n">
        <x:f>'Physical_Arcs'!R6</x:f>
        <x:v>4.166666666666667</x:v>
      </x:c>
      <x:c r="J366" s="9" t="n">
        <x:f>I366*'Parameters'!$C$18</x:f>
        <x:v>0.8333333333333335</x:v>
      </x:c>
      <x:c r="K366" s="9" t="n">
        <x:f>J366*'Parameters'!$C$19</x:f>
        <x:v>1.041666666666667</x:v>
      </x:c>
      <x:c r="L366" s="9" t="n">
        <x:f>I366*(1-0.40)-J366</x:f>
        <x:v>1.6666666666666665</x:v>
      </x:c>
      <x:c r="M366" s="9" t="n">
        <x:f>'Physical_Arcs'!S6</x:f>
        <x:v>4.166666666666667</x:v>
      </x:c>
      <x:c r="N366" s="9" t="n">
        <x:f>M366*'Parameters'!$C$18</x:f>
        <x:v>0.8333333333333335</x:v>
      </x:c>
      <x:c r="O366" s="9" t="n">
        <x:f>N366*'Parameters'!$C$19</x:f>
        <x:v>1.041666666666667</x:v>
      </x:c>
      <x:c r="P366" s="9" t="n">
        <x:f>M366*(1-0.40)-N366</x:f>
        <x:v>1.6666666666666665</x:v>
      </x:c>
      <x:c r="Q366" s="9" t="n">
        <x:f>'Physical_Arcs'!T6</x:f>
        <x:v>2.0833333333333335</x:v>
      </x:c>
      <x:c r="R366" s="9" t="n">
        <x:f>Q366*'Parameters'!$C$18</x:f>
        <x:v>0.41666666666666674</x:v>
      </x:c>
      <x:c r="S366" s="9" t="n">
        <x:f>R366*'Parameters'!$C$19</x:f>
        <x:v>0.5208333333333335</x:v>
      </x:c>
      <x:c r="T366" s="9" t="n">
        <x:f>Q366*(1-0.40)-R366</x:f>
        <x:v>0.8333333333333333</x:v>
      </x:c>
    </x:row>
    <x:row r="367" ht="21" customHeight="1">
      <x:c r="A367" s="3" t="n">
        <x:v>6</x:v>
      </x:c>
      <x:c r="B367" s="3" t="str">
        <x:v>01:00</x:v>
      </x:c>
      <x:c r="C367" s="3" t="n">
        <x:v>2</x:v>
      </x:c>
      <x:c r="D367" s="3" t="n">
        <x:v>6</x:v>
      </x:c>
      <x:c r="E367" s="3" t="n">
        <x:v>1</x:v>
      </x:c>
      <x:c r="F367" s="3" t="n">
        <x:v>9</x:v>
      </x:c>
      <x:c r="G367" s="9" t="n">
        <x:v>0.14</x:v>
      </x:c>
      <x:c r="H367" s="9" t="n">
        <x:v>0.942884</x:v>
      </x:c>
      <x:c r="I367" s="9" t="n">
        <x:f>'Physical_Arcs'!R7</x:f>
        <x:v>11.027777777777779</x:v>
      </x:c>
      <x:c r="J367" s="9" t="n">
        <x:f>I367*'Parameters'!$C$18</x:f>
        <x:v>2.2055555555555557</x:v>
      </x:c>
      <x:c r="K367" s="9" t="n">
        <x:f>J367*'Parameters'!$C$19</x:f>
        <x:v>2.7569444444444446</x:v>
      </x:c>
      <x:c r="L367" s="9" t="n">
        <x:f>I367*(1-0.40)-J367</x:f>
        <x:v>4.411111111111111</x:v>
      </x:c>
      <x:c r="M367" s="9" t="n">
        <x:f>'Physical_Arcs'!S7</x:f>
        <x:v>11.027777777777779</x:v>
      </x:c>
      <x:c r="N367" s="9" t="n">
        <x:f>M367*'Parameters'!$C$18</x:f>
        <x:v>2.2055555555555557</x:v>
      </x:c>
      <x:c r="O367" s="9" t="n">
        <x:f>N367*'Parameters'!$C$19</x:f>
        <x:v>2.7569444444444446</x:v>
      </x:c>
      <x:c r="P367" s="9" t="n">
        <x:f>M367*(1-0.40)-N367</x:f>
        <x:v>4.411111111111111</x:v>
      </x:c>
      <x:c r="Q367" s="9" t="n">
        <x:f>'Physical_Arcs'!T7</x:f>
        <x:v>5.527777777777778</x:v>
      </x:c>
      <x:c r="R367" s="9" t="n">
        <x:f>Q367*'Parameters'!$C$18</x:f>
        <x:v>1.1055555555555556</x:v>
      </x:c>
      <x:c r="S367" s="9" t="n">
        <x:f>R367*'Parameters'!$C$19</x:f>
        <x:v>1.3819444444444446</x:v>
      </x:c>
      <x:c r="T367" s="9" t="n">
        <x:f>Q367*(1-0.40)-R367</x:f>
        <x:v>2.211111111111111</x:v>
      </x:c>
    </x:row>
    <x:row r="368" ht="21" customHeight="1">
      <x:c r="A368" s="3" t="n">
        <x:v>6</x:v>
      </x:c>
      <x:c r="B368" s="3" t="str">
        <x:v>01:00</x:v>
      </x:c>
      <x:c r="C368" s="3" t="n">
        <x:v>2</x:v>
      </x:c>
      <x:c r="D368" s="3" t="n">
        <x:v>7</x:v>
      </x:c>
      <x:c r="E368" s="3" t="n">
        <x:v>1</x:v>
      </x:c>
      <x:c r="F368" s="3" t="n">
        <x:v>5</x:v>
      </x:c>
      <x:c r="G368" s="9" t="n">
        <x:v>0.14</x:v>
      </x:c>
      <x:c r="H368" s="9" t="n">
        <x:v>1.038222</x:v>
      </x:c>
      <x:c r="I368" s="9" t="n">
        <x:f>'Physical_Arcs'!R8</x:f>
        <x:v>7.972222222222222</x:v>
      </x:c>
      <x:c r="J368" s="9" t="n">
        <x:f>I368*'Parameters'!$C$18</x:f>
        <x:v>1.5944444444444446</x:v>
      </x:c>
      <x:c r="K368" s="9" t="n">
        <x:f>J368*'Parameters'!$C$19</x:f>
        <x:v>1.9930555555555558</x:v>
      </x:c>
      <x:c r="L368" s="9" t="n">
        <x:f>I368*(1-0.40)-J368</x:f>
        <x:v>3.1888888888888887</x:v>
      </x:c>
      <x:c r="M368" s="9" t="n">
        <x:f>'Physical_Arcs'!S8</x:f>
        <x:v>7.972222222222222</x:v>
      </x:c>
      <x:c r="N368" s="9" t="n">
        <x:f>M368*'Parameters'!$C$18</x:f>
        <x:v>1.5944444444444446</x:v>
      </x:c>
      <x:c r="O368" s="9" t="n">
        <x:f>N368*'Parameters'!$C$19</x:f>
        <x:v>1.9930555555555558</x:v>
      </x:c>
      <x:c r="P368" s="9" t="n">
        <x:f>M368*(1-0.40)-N368</x:f>
        <x:v>3.1888888888888887</x:v>
      </x:c>
      <x:c r="Q368" s="9" t="n">
        <x:f>'Physical_Arcs'!T8</x:f>
        <x:v>4</x:v>
      </x:c>
      <x:c r="R368" s="9" t="n">
        <x:f>Q368*'Parameters'!$C$18</x:f>
        <x:v>0.8</x:v>
      </x:c>
      <x:c r="S368" s="9" t="n">
        <x:f>R368*'Parameters'!$C$19</x:f>
        <x:v>1</x:v>
      </x:c>
      <x:c r="T368" s="9" t="n">
        <x:f>Q368*(1-0.40)-R368</x:f>
        <x:v>1.5999999999999999</x:v>
      </x:c>
    </x:row>
    <x:row r="369" ht="21" customHeight="1">
      <x:c r="A369" s="3" t="n">
        <x:v>6</x:v>
      </x:c>
      <x:c r="B369" s="3" t="str">
        <x:v>01:00</x:v>
      </x:c>
      <x:c r="C369" s="3" t="n">
        <x:v>2</x:v>
      </x:c>
      <x:c r="D369" s="3" t="n">
        <x:v>8</x:v>
      </x:c>
      <x:c r="E369" s="3" t="n">
        <x:v>1</x:v>
      </x:c>
      <x:c r="F369" s="3" t="n">
        <x:v>3</x:v>
      </x:c>
      <x:c r="G369" s="9" t="n">
        <x:v>0.14</x:v>
      </x:c>
      <x:c r="H369" s="9" t="n">
        <x:v>1.122297</x:v>
      </x:c>
      <x:c r="I369" s="9" t="n">
        <x:f>'Physical_Arcs'!R9</x:f>
        <x:v>4.166666666666667</x:v>
      </x:c>
      <x:c r="J369" s="9" t="n">
        <x:f>I369*'Parameters'!$C$18</x:f>
        <x:v>0.8333333333333335</x:v>
      </x:c>
      <x:c r="K369" s="9" t="n">
        <x:f>J369*'Parameters'!$C$19</x:f>
        <x:v>1.041666666666667</x:v>
      </x:c>
      <x:c r="L369" s="9" t="n">
        <x:f>I369*(1-0.40)-J369</x:f>
        <x:v>1.6666666666666665</x:v>
      </x:c>
      <x:c r="M369" s="9" t="n">
        <x:f>'Physical_Arcs'!S9</x:f>
        <x:v>4.166666666666667</x:v>
      </x:c>
      <x:c r="N369" s="9" t="n">
        <x:f>M369*'Parameters'!$C$18</x:f>
        <x:v>0.8333333333333335</x:v>
      </x:c>
      <x:c r="O369" s="9" t="n">
        <x:f>N369*'Parameters'!$C$19</x:f>
        <x:v>1.041666666666667</x:v>
      </x:c>
      <x:c r="P369" s="9" t="n">
        <x:f>M369*(1-0.40)-N369</x:f>
        <x:v>1.6666666666666665</x:v>
      </x:c>
      <x:c r="Q369" s="9" t="n">
        <x:f>'Physical_Arcs'!T9</x:f>
        <x:v>2.0833333333333335</x:v>
      </x:c>
      <x:c r="R369" s="9" t="n">
        <x:f>Q369*'Parameters'!$C$18</x:f>
        <x:v>0.41666666666666674</x:v>
      </x:c>
      <x:c r="S369" s="9" t="n">
        <x:f>R369*'Parameters'!$C$19</x:f>
        <x:v>0.5208333333333335</x:v>
      </x:c>
      <x:c r="T369" s="9" t="n">
        <x:f>Q369*(1-0.40)-R369</x:f>
        <x:v>0.8333333333333333</x:v>
      </x:c>
    </x:row>
    <x:row r="370" ht="21" customHeight="1">
      <x:c r="A370" s="3" t="n">
        <x:v>6</x:v>
      </x:c>
      <x:c r="B370" s="3" t="str">
        <x:v>01:00</x:v>
      </x:c>
      <x:c r="C370" s="3" t="n">
        <x:v>2</x:v>
      </x:c>
      <x:c r="D370" s="3" t="n">
        <x:v>9</x:v>
      </x:c>
      <x:c r="E370" s="3" t="n">
        <x:v>1</x:v>
      </x:c>
      <x:c r="F370" s="3" t="n">
        <x:v>6</x:v>
      </x:c>
      <x:c r="G370" s="9" t="n">
        <x:v>0.14</x:v>
      </x:c>
      <x:c r="H370" s="9" t="n">
        <x:v>1.132682</x:v>
      </x:c>
      <x:c r="I370" s="9" t="n">
        <x:f>'Physical_Arcs'!R10</x:f>
        <x:v>2.138888888888889</x:v>
      </x:c>
      <x:c r="J370" s="9" t="n">
        <x:f>I370*'Parameters'!$C$18</x:f>
        <x:v>0.4277777777777778</x:v>
      </x:c>
      <x:c r="K370" s="9" t="n">
        <x:f>J370*'Parameters'!$C$19</x:f>
        <x:v>0.5347222222222223</x:v>
      </x:c>
      <x:c r="L370" s="9" t="n">
        <x:f>I370*(1-0.40)-J370</x:f>
        <x:v>0.8555555555555554</x:v>
      </x:c>
      <x:c r="M370" s="9" t="n">
        <x:f>'Physical_Arcs'!S10</x:f>
        <x:v>2.138888888888889</x:v>
      </x:c>
      <x:c r="N370" s="9" t="n">
        <x:f>M370*'Parameters'!$C$18</x:f>
        <x:v>0.4277777777777778</x:v>
      </x:c>
      <x:c r="O370" s="9" t="n">
        <x:f>N370*'Parameters'!$C$19</x:f>
        <x:v>0.5347222222222223</x:v>
      </x:c>
      <x:c r="P370" s="9" t="n">
        <x:f>M370*(1-0.40)-N370</x:f>
        <x:v>0.8555555555555554</x:v>
      </x:c>
      <x:c r="Q370" s="9" t="n">
        <x:f>'Physical_Arcs'!T10</x:f>
        <x:v>1.0833333333333333</x:v>
      </x:c>
      <x:c r="R370" s="9" t="n">
        <x:f>Q370*'Parameters'!$C$18</x:f>
        <x:v>0.21666666666666667</x:v>
      </x:c>
      <x:c r="S370" s="9" t="n">
        <x:f>R370*'Parameters'!$C$19</x:f>
        <x:v>0.27083333333333337</x:v>
      </x:c>
      <x:c r="T370" s="9" t="n">
        <x:f>Q370*(1-0.40)-R370</x:f>
        <x:v>0.43333333333333324</x:v>
      </x:c>
    </x:row>
    <x:row r="371" ht="21" customHeight="1">
      <x:c r="A371" s="3" t="n">
        <x:v>6</x:v>
      </x:c>
      <x:c r="B371" s="3" t="str">
        <x:v>01:00</x:v>
      </x:c>
      <x:c r="C371" s="3" t="n">
        <x:v>2</x:v>
      </x:c>
      <x:c r="D371" s="3" t="n">
        <x:v>10</x:v>
      </x:c>
      <x:c r="E371" s="3" t="n">
        <x:v>2</x:v>
      </x:c>
      <x:c r="F371" s="3" t="n">
        <x:v>3</x:v>
      </x:c>
      <x:c r="G371" s="9" t="n">
        <x:v>0.14</x:v>
      </x:c>
      <x:c r="H371" s="9" t="n">
        <x:v>0.871154</x:v>
      </x:c>
      <x:c r="I371" s="9" t="n">
        <x:f>'Physical_Arcs'!R11</x:f>
        <x:v>17.02777777777778</x:v>
      </x:c>
      <x:c r="J371" s="9" t="n">
        <x:f>I371*'Parameters'!$C$18</x:f>
        <x:v>3.405555555555556</x:v>
      </x:c>
      <x:c r="K371" s="9" t="n">
        <x:f>J371*'Parameters'!$C$19</x:f>
        <x:v>4.256944444444445</x:v>
      </x:c>
      <x:c r="L371" s="9" t="n">
        <x:f>I371*(1-0.40)-J371</x:f>
        <x:v>6.811111111111111</x:v>
      </x:c>
      <x:c r="M371" s="9" t="n">
        <x:f>'Physical_Arcs'!S11</x:f>
        <x:v>17.02777777777778</x:v>
      </x:c>
      <x:c r="N371" s="9" t="n">
        <x:f>M371*'Parameters'!$C$18</x:f>
        <x:v>3.405555555555556</x:v>
      </x:c>
      <x:c r="O371" s="9" t="n">
        <x:f>N371*'Parameters'!$C$19</x:f>
        <x:v>4.256944444444445</x:v>
      </x:c>
      <x:c r="P371" s="9" t="n">
        <x:f>M371*(1-0.40)-N371</x:f>
        <x:v>6.811111111111111</x:v>
      </x:c>
      <x:c r="Q371" s="9" t="n">
        <x:f>'Physical_Arcs'!T11</x:f>
        <x:v>17.02777777777778</x:v>
      </x:c>
      <x:c r="R371" s="9" t="n">
        <x:f>Q371*'Parameters'!$C$18</x:f>
        <x:v>3.405555555555556</x:v>
      </x:c>
      <x:c r="S371" s="9" t="n">
        <x:f>R371*'Parameters'!$C$19</x:f>
        <x:v>4.256944444444445</x:v>
      </x:c>
      <x:c r="T371" s="9" t="n">
        <x:f>Q371*(1-0.40)-R371</x:f>
        <x:v>6.811111111111111</x:v>
      </x:c>
    </x:row>
    <x:row r="372" ht="21" customHeight="1">
      <x:c r="A372" s="3" t="n">
        <x:v>6</x:v>
      </x:c>
      <x:c r="B372" s="3" t="str">
        <x:v>01:00</x:v>
      </x:c>
      <x:c r="C372" s="3" t="n">
        <x:v>2</x:v>
      </x:c>
      <x:c r="D372" s="3" t="n">
        <x:v>11</x:v>
      </x:c>
      <x:c r="E372" s="3" t="n">
        <x:v>2</x:v>
      </x:c>
      <x:c r="F372" s="3" t="n">
        <x:v>4</x:v>
      </x:c>
      <x:c r="G372" s="9" t="n">
        <x:v>0.14</x:v>
      </x:c>
      <x:c r="H372" s="9" t="n">
        <x:v>1.147412</x:v>
      </x:c>
      <x:c r="I372" s="9" t="n">
        <x:f>'Physical_Arcs'!R12</x:f>
        <x:v>7.972222222222222</x:v>
      </x:c>
      <x:c r="J372" s="9" t="n">
        <x:f>I372*'Parameters'!$C$18</x:f>
        <x:v>1.5944444444444446</x:v>
      </x:c>
      <x:c r="K372" s="9" t="n">
        <x:f>J372*'Parameters'!$C$19</x:f>
        <x:v>1.9930555555555558</x:v>
      </x:c>
      <x:c r="L372" s="9" t="n">
        <x:f>I372*(1-0.40)-J372</x:f>
        <x:v>3.1888888888888887</x:v>
      </x:c>
      <x:c r="M372" s="9" t="n">
        <x:f>'Physical_Arcs'!S12</x:f>
        <x:v>7.972222222222222</x:v>
      </x:c>
      <x:c r="N372" s="9" t="n">
        <x:f>M372*'Parameters'!$C$18</x:f>
        <x:v>1.5944444444444446</x:v>
      </x:c>
      <x:c r="O372" s="9" t="n">
        <x:f>N372*'Parameters'!$C$19</x:f>
        <x:v>1.9930555555555558</x:v>
      </x:c>
      <x:c r="P372" s="9" t="n">
        <x:f>M372*(1-0.40)-N372</x:f>
        <x:v>3.1888888888888887</x:v>
      </x:c>
      <x:c r="Q372" s="9" t="n">
        <x:f>'Physical_Arcs'!T12</x:f>
        <x:v>4</x:v>
      </x:c>
      <x:c r="R372" s="9" t="n">
        <x:f>Q372*'Parameters'!$C$18</x:f>
        <x:v>0.8</x:v>
      </x:c>
      <x:c r="S372" s="9" t="n">
        <x:f>R372*'Parameters'!$C$19</x:f>
        <x:v>1</x:v>
      </x:c>
      <x:c r="T372" s="9" t="n">
        <x:f>Q372*(1-0.40)-R372</x:f>
        <x:v>1.5999999999999999</x:v>
      </x:c>
    </x:row>
    <x:row r="373" ht="21" customHeight="1">
      <x:c r="A373" s="3" t="n">
        <x:v>6</x:v>
      </x:c>
      <x:c r="B373" s="3" t="str">
        <x:v>01:00</x:v>
      </x:c>
      <x:c r="C373" s="3" t="n">
        <x:v>2</x:v>
      </x:c>
      <x:c r="D373" s="3" t="n">
        <x:v>12</x:v>
      </x:c>
      <x:c r="E373" s="3" t="n">
        <x:v>2</x:v>
      </x:c>
      <x:c r="F373" s="3" t="n">
        <x:v>7</x:v>
      </x:c>
      <x:c r="G373" s="9" t="n">
        <x:v>0.14</x:v>
      </x:c>
      <x:c r="H373" s="9" t="n">
        <x:v>0.96729</x:v>
      </x:c>
      <x:c r="I373" s="9" t="n">
        <x:f>'Physical_Arcs'!R13</x:f>
        <x:v>4.611111111111111</x:v>
      </x:c>
      <x:c r="J373" s="9" t="n">
        <x:f>I373*'Parameters'!$C$18</x:f>
        <x:v>0.9222222222222222</x:v>
      </x:c>
      <x:c r="K373" s="9" t="n">
        <x:f>J373*'Parameters'!$C$19</x:f>
        <x:v>1.1527777777777777</x:v>
      </x:c>
      <x:c r="L373" s="9" t="n">
        <x:f>I373*(1-0.40)-J373</x:f>
        <x:v>1.844444444444444</x:v>
      </x:c>
      <x:c r="M373" s="9" t="n">
        <x:f>'Physical_Arcs'!S13</x:f>
        <x:v>4.611111111111111</x:v>
      </x:c>
      <x:c r="N373" s="9" t="n">
        <x:f>M373*'Parameters'!$C$18</x:f>
        <x:v>0.9222222222222222</x:v>
      </x:c>
      <x:c r="O373" s="9" t="n">
        <x:f>N373*'Parameters'!$C$19</x:f>
        <x:v>1.1527777777777777</x:v>
      </x:c>
      <x:c r="P373" s="9" t="n">
        <x:f>M373*(1-0.40)-N373</x:f>
        <x:v>1.844444444444444</x:v>
      </x:c>
      <x:c r="Q373" s="9" t="n">
        <x:f>'Physical_Arcs'!T13</x:f>
        <x:v>2.3055555555555554</x:v>
      </x:c>
      <x:c r="R373" s="9" t="n">
        <x:f>Q373*'Parameters'!$C$18</x:f>
        <x:v>0.4611111111111111</x:v>
      </x:c>
      <x:c r="S373" s="9" t="n">
        <x:f>R373*'Parameters'!$C$19</x:f>
        <x:v>0.5763888888888888</x:v>
      </x:c>
      <x:c r="T373" s="9" t="n">
        <x:f>Q373*(1-0.40)-R373</x:f>
        <x:v>0.922222222222222</x:v>
      </x:c>
    </x:row>
    <x:row r="374" ht="21" customHeight="1">
      <x:c r="A374" s="3" t="n">
        <x:v>6</x:v>
      </x:c>
      <x:c r="B374" s="3" t="str">
        <x:v>01:00</x:v>
      </x:c>
      <x:c r="C374" s="3" t="n">
        <x:v>2</x:v>
      </x:c>
      <x:c r="D374" s="3" t="n">
        <x:v>13</x:v>
      </x:c>
      <x:c r="E374" s="3" t="n">
        <x:v>2</x:v>
      </x:c>
      <x:c r="F374" s="3" t="n">
        <x:v>9</x:v>
      </x:c>
      <x:c r="G374" s="9" t="n">
        <x:v>0.14</x:v>
      </x:c>
      <x:c r="H374" s="9" t="n">
        <x:v>1.117625</x:v>
      </x:c>
      <x:c r="I374" s="9" t="n">
        <x:f>'Physical_Arcs'!R14</x:f>
        <x:v>8.666666666666666</x:v>
      </x:c>
      <x:c r="J374" s="9" t="n">
        <x:f>I374*'Parameters'!$C$18</x:f>
        <x:v>1.7333333333333334</x:v>
      </x:c>
      <x:c r="K374" s="9" t="n">
        <x:f>J374*'Parameters'!$C$19</x:f>
        <x:v>2.166666666666667</x:v>
      </x:c>
      <x:c r="L374" s="9" t="n">
        <x:f>I374*(1-0.40)-J374</x:f>
        <x:v>3.466666666666666</x:v>
      </x:c>
      <x:c r="M374" s="9" t="n">
        <x:f>'Physical_Arcs'!S14</x:f>
        <x:v>8.666666666666666</x:v>
      </x:c>
      <x:c r="N374" s="9" t="n">
        <x:f>M374*'Parameters'!$C$18</x:f>
        <x:v>1.7333333333333334</x:v>
      </x:c>
      <x:c r="O374" s="9" t="n">
        <x:f>N374*'Parameters'!$C$19</x:f>
        <x:v>2.166666666666667</x:v>
      </x:c>
      <x:c r="P374" s="9" t="n">
        <x:f>M374*(1-0.40)-N374</x:f>
        <x:v>3.466666666666666</x:v>
      </x:c>
      <x:c r="Q374" s="9" t="n">
        <x:f>'Physical_Arcs'!T14</x:f>
        <x:v>4.333333333333333</x:v>
      </x:c>
      <x:c r="R374" s="9" t="n">
        <x:f>Q374*'Parameters'!$C$18</x:f>
        <x:v>0.8666666666666667</x:v>
      </x:c>
      <x:c r="S374" s="9" t="n">
        <x:f>R374*'Parameters'!$C$19</x:f>
        <x:v>1.0833333333333335</x:v>
      </x:c>
      <x:c r="T374" s="9" t="n">
        <x:f>Q374*(1-0.40)-R374</x:f>
        <x:v>1.733333333333333</x:v>
      </x:c>
    </x:row>
    <x:row r="375" ht="21" customHeight="1">
      <x:c r="A375" s="3" t="n">
        <x:v>6</x:v>
      </x:c>
      <x:c r="B375" s="3" t="str">
        <x:v>01:00</x:v>
      </x:c>
      <x:c r="C375" s="3" t="n">
        <x:v>2</x:v>
      </x:c>
      <x:c r="D375" s="3" t="n">
        <x:v>14</x:v>
      </x:c>
      <x:c r="E375" s="3" t="n">
        <x:v>2</x:v>
      </x:c>
      <x:c r="F375" s="3" t="n">
        <x:v>8</x:v>
      </x:c>
      <x:c r="G375" s="9" t="n">
        <x:v>0.14</x:v>
      </x:c>
      <x:c r="H375" s="9" t="n">
        <x:v>1.144902</x:v>
      </x:c>
      <x:c r="I375" s="9" t="n">
        <x:f>'Physical_Arcs'!R15</x:f>
        <x:v>7.75</x:v>
      </x:c>
      <x:c r="J375" s="9" t="n">
        <x:f>I375*'Parameters'!$C$18</x:f>
        <x:v>1.55</x:v>
      </x:c>
      <x:c r="K375" s="9" t="n">
        <x:f>J375*'Parameters'!$C$19</x:f>
        <x:v>1.9375</x:v>
      </x:c>
      <x:c r="L375" s="9" t="n">
        <x:f>I375*(1-0.40)-J375</x:f>
        <x:v>3.0999999999999996</x:v>
      </x:c>
      <x:c r="M375" s="9" t="n">
        <x:f>'Physical_Arcs'!S15</x:f>
        <x:v>7.75</x:v>
      </x:c>
      <x:c r="N375" s="9" t="n">
        <x:f>M375*'Parameters'!$C$18</x:f>
        <x:v>1.55</x:v>
      </x:c>
      <x:c r="O375" s="9" t="n">
        <x:f>N375*'Parameters'!$C$19</x:f>
        <x:v>1.9375</x:v>
      </x:c>
      <x:c r="P375" s="9" t="n">
        <x:f>M375*(1-0.40)-N375</x:f>
        <x:v>3.0999999999999996</x:v>
      </x:c>
      <x:c r="Q375" s="9" t="n">
        <x:f>'Physical_Arcs'!T15</x:f>
        <x:v>3.888888888888889</x:v>
      </x:c>
      <x:c r="R375" s="9" t="n">
        <x:f>Q375*'Parameters'!$C$18</x:f>
        <x:v>0.7777777777777778</x:v>
      </x:c>
      <x:c r="S375" s="9" t="n">
        <x:f>R375*'Parameters'!$C$19</x:f>
        <x:v>0.9722222222222222</x:v>
      </x:c>
      <x:c r="T375" s="9" t="n">
        <x:f>Q375*(1-0.40)-R375</x:f>
        <x:v>1.5555555555555554</x:v>
      </x:c>
    </x:row>
    <x:row r="376" ht="21" customHeight="1">
      <x:c r="A376" s="3" t="n">
        <x:v>6</x:v>
      </x:c>
      <x:c r="B376" s="3" t="str">
        <x:v>01:00</x:v>
      </x:c>
      <x:c r="C376" s="3" t="n">
        <x:v>2</x:v>
      </x:c>
      <x:c r="D376" s="3" t="n">
        <x:v>15</x:v>
      </x:c>
      <x:c r="E376" s="3" t="n">
        <x:v>2</x:v>
      </x:c>
      <x:c r="F376" s="3" t="n">
        <x:v>10</x:v>
      </x:c>
      <x:c r="G376" s="9" t="n">
        <x:v>0.14</x:v>
      </x:c>
      <x:c r="H376" s="9" t="n">
        <x:v>1.146684</x:v>
      </x:c>
      <x:c r="I376" s="9" t="n">
        <x:f>'Physical_Arcs'!R16</x:f>
        <x:v>7.416666666666667</x:v>
      </x:c>
      <x:c r="J376" s="9" t="n">
        <x:f>I376*'Parameters'!$C$18</x:f>
        <x:v>1.4833333333333334</x:v>
      </x:c>
      <x:c r="K376" s="9" t="n">
        <x:f>J376*'Parameters'!$C$19</x:f>
        <x:v>1.8541666666666667</x:v>
      </x:c>
      <x:c r="L376" s="9" t="n">
        <x:f>I376*(1-0.40)-J376</x:f>
        <x:v>2.966666666666667</x:v>
      </x:c>
      <x:c r="M376" s="9" t="n">
        <x:f>'Physical_Arcs'!S16</x:f>
        <x:v>7.416666666666667</x:v>
      </x:c>
      <x:c r="N376" s="9" t="n">
        <x:f>M376*'Parameters'!$C$18</x:f>
        <x:v>1.4833333333333334</x:v>
      </x:c>
      <x:c r="O376" s="9" t="n">
        <x:f>N376*'Parameters'!$C$19</x:f>
        <x:v>1.8541666666666667</x:v>
      </x:c>
      <x:c r="P376" s="9" t="n">
        <x:f>M376*(1-0.40)-N376</x:f>
        <x:v>2.966666666666667</x:v>
      </x:c>
      <x:c r="Q376" s="9" t="n">
        <x:f>'Physical_Arcs'!T16</x:f>
        <x:v>3.7222222222222223</x:v>
      </x:c>
      <x:c r="R376" s="9" t="n">
        <x:f>Q376*'Parameters'!$C$18</x:f>
        <x:v>0.7444444444444445</x:v>
      </x:c>
      <x:c r="S376" s="9" t="n">
        <x:f>R376*'Parameters'!$C$19</x:f>
        <x:v>0.9305555555555556</x:v>
      </x:c>
      <x:c r="T376" s="9" t="n">
        <x:f>Q376*(1-0.40)-R376</x:f>
        <x:v>1.488888888888889</x:v>
      </x:c>
    </x:row>
    <x:row r="377" ht="21" customHeight="1">
      <x:c r="A377" s="3" t="n">
        <x:v>6</x:v>
      </x:c>
      <x:c r="B377" s="3" t="str">
        <x:v>01:00</x:v>
      </x:c>
      <x:c r="C377" s="3" t="n">
        <x:v>2</x:v>
      </x:c>
      <x:c r="D377" s="3" t="n">
        <x:v>16</x:v>
      </x:c>
      <x:c r="E377" s="3" t="n">
        <x:v>3</x:v>
      </x:c>
      <x:c r="F377" s="3" t="n">
        <x:v>4</x:v>
      </x:c>
      <x:c r="G377" s="9" t="n">
        <x:v>0.14</x:v>
      </x:c>
      <x:c r="H377" s="9" t="n">
        <x:v>1.017658</x:v>
      </x:c>
      <x:c r="I377" s="9" t="n">
        <x:f>'Physical_Arcs'!R17</x:f>
        <x:v>17.02777777777778</x:v>
      </x:c>
      <x:c r="J377" s="9" t="n">
        <x:f>I377*'Parameters'!$C$18</x:f>
        <x:v>3.405555555555556</x:v>
      </x:c>
      <x:c r="K377" s="9" t="n">
        <x:f>J377*'Parameters'!$C$19</x:f>
        <x:v>4.256944444444445</x:v>
      </x:c>
      <x:c r="L377" s="9" t="n">
        <x:f>I377*(1-0.40)-J377</x:f>
        <x:v>6.811111111111111</x:v>
      </x:c>
      <x:c r="M377" s="9" t="n">
        <x:f>'Physical_Arcs'!S17</x:f>
        <x:v>17.02777777777778</x:v>
      </x:c>
      <x:c r="N377" s="9" t="n">
        <x:f>M377*'Parameters'!$C$18</x:f>
        <x:v>3.405555555555556</x:v>
      </x:c>
      <x:c r="O377" s="9" t="n">
        <x:f>N377*'Parameters'!$C$19</x:f>
        <x:v>4.256944444444445</x:v>
      </x:c>
      <x:c r="P377" s="9" t="n">
        <x:f>M377*(1-0.40)-N377</x:f>
        <x:v>6.811111111111111</x:v>
      </x:c>
      <x:c r="Q377" s="9" t="n">
        <x:f>'Physical_Arcs'!T17</x:f>
        <x:v>17.02777777777778</x:v>
      </x:c>
      <x:c r="R377" s="9" t="n">
        <x:f>Q377*'Parameters'!$C$18</x:f>
        <x:v>3.405555555555556</x:v>
      </x:c>
      <x:c r="S377" s="9" t="n">
        <x:f>R377*'Parameters'!$C$19</x:f>
        <x:v>4.256944444444445</x:v>
      </x:c>
      <x:c r="T377" s="9" t="n">
        <x:f>Q377*(1-0.40)-R377</x:f>
        <x:v>6.811111111111111</x:v>
      </x:c>
    </x:row>
    <x:row r="378" ht="21" customHeight="1">
      <x:c r="A378" s="3" t="n">
        <x:v>6</x:v>
      </x:c>
      <x:c r="B378" s="3" t="str">
        <x:v>01:00</x:v>
      </x:c>
      <x:c r="C378" s="3" t="n">
        <x:v>2</x:v>
      </x:c>
      <x:c r="D378" s="3" t="n">
        <x:v>17</x:v>
      </x:c>
      <x:c r="E378" s="3" t="n">
        <x:v>3</x:v>
      </x:c>
      <x:c r="F378" s="3" t="n">
        <x:v>2</x:v>
      </x:c>
      <x:c r="G378" s="9" t="n">
        <x:v>0.14</x:v>
      </x:c>
      <x:c r="H378" s="9" t="n">
        <x:v>0.875995</x:v>
      </x:c>
      <x:c r="I378" s="9" t="n">
        <x:f>'Physical_Arcs'!R18</x:f>
        <x:v>10.666666666666666</x:v>
      </x:c>
      <x:c r="J378" s="9" t="n">
        <x:f>I378*'Parameters'!$C$18</x:f>
        <x:v>2.1333333333333333</x:v>
      </x:c>
      <x:c r="K378" s="9" t="n">
        <x:f>J378*'Parameters'!$C$19</x:f>
        <x:v>2.6666666666666665</x:v>
      </x:c>
      <x:c r="L378" s="9" t="n">
        <x:f>I378*(1-0.40)-J378</x:f>
        <x:v>4.266666666666666</x:v>
      </x:c>
      <x:c r="M378" s="9" t="n">
        <x:f>'Physical_Arcs'!S18</x:f>
        <x:v>10.666666666666666</x:v>
      </x:c>
      <x:c r="N378" s="9" t="n">
        <x:f>M378*'Parameters'!$C$18</x:f>
        <x:v>2.1333333333333333</x:v>
      </x:c>
      <x:c r="O378" s="9" t="n">
        <x:f>N378*'Parameters'!$C$19</x:f>
        <x:v>2.6666666666666665</x:v>
      </x:c>
      <x:c r="P378" s="9" t="n">
        <x:f>M378*(1-0.40)-N378</x:f>
        <x:v>4.266666666666666</x:v>
      </x:c>
      <x:c r="Q378" s="9" t="n">
        <x:f>'Physical_Arcs'!T18</x:f>
        <x:v>5.333333333333333</x:v>
      </x:c>
      <x:c r="R378" s="9" t="n">
        <x:f>Q378*'Parameters'!$C$18</x:f>
        <x:v>1.0666666666666667</x:v>
      </x:c>
      <x:c r="S378" s="9" t="n">
        <x:f>R378*'Parameters'!$C$19</x:f>
        <x:v>1.3333333333333333</x:v>
      </x:c>
      <x:c r="T378" s="9" t="n">
        <x:f>Q378*(1-0.40)-R378</x:f>
        <x:v>2.133333333333333</x:v>
      </x:c>
    </x:row>
    <x:row r="379" ht="21" customHeight="1">
      <x:c r="A379" s="3" t="n">
        <x:v>6</x:v>
      </x:c>
      <x:c r="B379" s="3" t="str">
        <x:v>01:00</x:v>
      </x:c>
      <x:c r="C379" s="3" t="n">
        <x:v>2</x:v>
      </x:c>
      <x:c r="D379" s="3" t="n">
        <x:v>18</x:v>
      </x:c>
      <x:c r="E379" s="3" t="n">
        <x:v>3</x:v>
      </x:c>
      <x:c r="F379" s="3" t="n">
        <x:v>1</x:v>
      </x:c>
      <x:c r="G379" s="9" t="n">
        <x:v>0.14</x:v>
      </x:c>
      <x:c r="H379" s="9" t="n">
        <x:v>1.015397</x:v>
      </x:c>
      <x:c r="I379" s="9" t="n">
        <x:f>'Physical_Arcs'!R19</x:f>
        <x:v>5.166666666666667</x:v>
      </x:c>
      <x:c r="J379" s="9" t="n">
        <x:f>I379*'Parameters'!$C$18</x:f>
        <x:v>1.0333333333333334</x:v>
      </x:c>
      <x:c r="K379" s="9" t="n">
        <x:f>J379*'Parameters'!$C$19</x:f>
        <x:v>1.2916666666666667</x:v>
      </x:c>
      <x:c r="L379" s="9" t="n">
        <x:f>I379*(1-0.40)-J379</x:f>
        <x:v>2.0666666666666664</x:v>
      </x:c>
      <x:c r="M379" s="9" t="n">
        <x:f>'Physical_Arcs'!S19</x:f>
        <x:v>5.166666666666667</x:v>
      </x:c>
      <x:c r="N379" s="9" t="n">
        <x:f>M379*'Parameters'!$C$18</x:f>
        <x:v>1.0333333333333334</x:v>
      </x:c>
      <x:c r="O379" s="9" t="n">
        <x:f>N379*'Parameters'!$C$19</x:f>
        <x:v>1.2916666666666667</x:v>
      </x:c>
      <x:c r="P379" s="9" t="n">
        <x:f>M379*(1-0.40)-N379</x:f>
        <x:v>2.0666666666666664</x:v>
      </x:c>
      <x:c r="Q379" s="9" t="n">
        <x:f>'Physical_Arcs'!T19</x:f>
        <x:v>2.5833333333333335</x:v>
      </x:c>
      <x:c r="R379" s="9" t="n">
        <x:f>Q379*'Parameters'!$C$18</x:f>
        <x:v>0.5166666666666667</x:v>
      </x:c>
      <x:c r="S379" s="9" t="n">
        <x:f>R379*'Parameters'!$C$19</x:f>
        <x:v>0.6458333333333334</x:v>
      </x:c>
      <x:c r="T379" s="9" t="n">
        <x:f>Q379*(1-0.40)-R379</x:f>
        <x:v>1.0333333333333332</x:v>
      </x:c>
    </x:row>
    <x:row r="380" ht="21" customHeight="1">
      <x:c r="A380" s="3" t="n">
        <x:v>6</x:v>
      </x:c>
      <x:c r="B380" s="3" t="str">
        <x:v>01:00</x:v>
      </x:c>
      <x:c r="C380" s="3" t="n">
        <x:v>2</x:v>
      </x:c>
      <x:c r="D380" s="3" t="n">
        <x:v>19</x:v>
      </x:c>
      <x:c r="E380" s="3" t="n">
        <x:v>3</x:v>
      </x:c>
      <x:c r="F380" s="3" t="n">
        <x:v>7</x:v>
      </x:c>
      <x:c r="G380" s="9" t="n">
        <x:v>0.14</x:v>
      </x:c>
      <x:c r="H380" s="9" t="n">
        <x:v>0.996008</x:v>
      </x:c>
      <x:c r="I380" s="9" t="n">
        <x:f>'Physical_Arcs'!R20</x:f>
        <x:v>5.75</x:v>
      </x:c>
      <x:c r="J380" s="9" t="n">
        <x:f>I380*'Parameters'!$C$18</x:f>
        <x:v>1.1500000000000001</x:v>
      </x:c>
      <x:c r="K380" s="9" t="n">
        <x:f>J380*'Parameters'!$C$19</x:f>
        <x:v>1.4375000000000002</x:v>
      </x:c>
      <x:c r="L380" s="9" t="n">
        <x:f>I380*(1-0.40)-J380</x:f>
        <x:v>2.3</x:v>
      </x:c>
      <x:c r="M380" s="9" t="n">
        <x:f>'Physical_Arcs'!S20</x:f>
        <x:v>5.75</x:v>
      </x:c>
      <x:c r="N380" s="9" t="n">
        <x:f>M380*'Parameters'!$C$18</x:f>
        <x:v>1.1500000000000001</x:v>
      </x:c>
      <x:c r="O380" s="9" t="n">
        <x:f>N380*'Parameters'!$C$19</x:f>
        <x:v>1.4375000000000002</x:v>
      </x:c>
      <x:c r="P380" s="9" t="n">
        <x:f>M380*(1-0.40)-N380</x:f>
        <x:v>2.3</x:v>
      </x:c>
      <x:c r="Q380" s="9" t="n">
        <x:f>'Physical_Arcs'!T20</x:f>
        <x:v>2.888888888888889</x:v>
      </x:c>
      <x:c r="R380" s="9" t="n">
        <x:f>Q380*'Parameters'!$C$18</x:f>
        <x:v>0.5777777777777778</x:v>
      </x:c>
      <x:c r="S380" s="9" t="n">
        <x:f>R380*'Parameters'!$C$19</x:f>
        <x:v>0.7222222222222223</x:v>
      </x:c>
      <x:c r="T380" s="9" t="n">
        <x:f>Q380*(1-0.40)-R380</x:f>
        <x:v>1.1555555555555554</x:v>
      </x:c>
    </x:row>
    <x:row r="381" ht="21" customHeight="1">
      <x:c r="A381" s="3" t="n">
        <x:v>6</x:v>
      </x:c>
      <x:c r="B381" s="3" t="str">
        <x:v>01:00</x:v>
      </x:c>
      <x:c r="C381" s="3" t="n">
        <x:v>2</x:v>
      </x:c>
      <x:c r="D381" s="3" t="n">
        <x:v>20</x:v>
      </x:c>
      <x:c r="E381" s="3" t="n">
        <x:v>3</x:v>
      </x:c>
      <x:c r="F381" s="3" t="n">
        <x:v>10</x:v>
      </x:c>
      <x:c r="G381" s="9" t="n">
        <x:v>0.14</x:v>
      </x:c>
      <x:c r="H381" s="9" t="n">
        <x:v>1.118855</x:v>
      </x:c>
      <x:c r="I381" s="9" t="n">
        <x:f>'Physical_Arcs'!R21</x:f>
        <x:v>5.166666666666667</x:v>
      </x:c>
      <x:c r="J381" s="9" t="n">
        <x:f>I381*'Parameters'!$C$18</x:f>
        <x:v>1.0333333333333334</x:v>
      </x:c>
      <x:c r="K381" s="9" t="n">
        <x:f>J381*'Parameters'!$C$19</x:f>
        <x:v>1.2916666666666667</x:v>
      </x:c>
      <x:c r="L381" s="9" t="n">
        <x:f>I381*(1-0.40)-J381</x:f>
        <x:v>2.0666666666666664</x:v>
      </x:c>
      <x:c r="M381" s="9" t="n">
        <x:f>'Physical_Arcs'!S21</x:f>
        <x:v>5.166666666666667</x:v>
      </x:c>
      <x:c r="N381" s="9" t="n">
        <x:f>M381*'Parameters'!$C$18</x:f>
        <x:v>1.0333333333333334</x:v>
      </x:c>
      <x:c r="O381" s="9" t="n">
        <x:f>N381*'Parameters'!$C$19</x:f>
        <x:v>1.2916666666666667</x:v>
      </x:c>
      <x:c r="P381" s="9" t="n">
        <x:f>M381*(1-0.40)-N381</x:f>
        <x:v>2.0666666666666664</x:v>
      </x:c>
      <x:c r="Q381" s="9" t="n">
        <x:f>'Physical_Arcs'!T21</x:f>
        <x:v>2.5833333333333335</x:v>
      </x:c>
      <x:c r="R381" s="9" t="n">
        <x:f>Q381*'Parameters'!$C$18</x:f>
        <x:v>0.5166666666666667</x:v>
      </x:c>
      <x:c r="S381" s="9" t="n">
        <x:f>R381*'Parameters'!$C$19</x:f>
        <x:v>0.6458333333333334</x:v>
      </x:c>
      <x:c r="T381" s="9" t="n">
        <x:f>Q381*(1-0.40)-R381</x:f>
        <x:v>1.0333333333333332</x:v>
      </x:c>
    </x:row>
    <x:row r="382" ht="21" customHeight="1">
      <x:c r="A382" s="3" t="n">
        <x:v>6</x:v>
      </x:c>
      <x:c r="B382" s="3" t="str">
        <x:v>01:00</x:v>
      </x:c>
      <x:c r="C382" s="3" t="n">
        <x:v>2</x:v>
      </x:c>
      <x:c r="D382" s="3" t="n">
        <x:v>21</x:v>
      </x:c>
      <x:c r="E382" s="3" t="n">
        <x:v>3</x:v>
      </x:c>
      <x:c r="F382" s="3" t="n">
        <x:v>9</x:v>
      </x:c>
      <x:c r="G382" s="9" t="n">
        <x:v>0.14</x:v>
      </x:c>
      <x:c r="H382" s="9" t="n">
        <x:v>0.947299</x:v>
      </x:c>
      <x:c r="I382" s="9" t="n">
        <x:f>'Physical_Arcs'!R22</x:f>
        <x:v>9.333333333333334</x:v>
      </x:c>
      <x:c r="J382" s="9" t="n">
        <x:f>I382*'Parameters'!$C$18</x:f>
        <x:v>1.866666666666667</x:v>
      </x:c>
      <x:c r="K382" s="9" t="n">
        <x:f>J382*'Parameters'!$C$19</x:f>
        <x:v>2.3333333333333335</x:v>
      </x:c>
      <x:c r="L382" s="9" t="n">
        <x:f>I382*(1-0.40)-J382</x:f>
        <x:v>3.7333333333333334</x:v>
      </x:c>
      <x:c r="M382" s="9" t="n">
        <x:f>'Physical_Arcs'!S22</x:f>
        <x:v>9.333333333333334</x:v>
      </x:c>
      <x:c r="N382" s="9" t="n">
        <x:f>M382*'Parameters'!$C$18</x:f>
        <x:v>1.866666666666667</x:v>
      </x:c>
      <x:c r="O382" s="9" t="n">
        <x:f>N382*'Parameters'!$C$19</x:f>
        <x:v>2.3333333333333335</x:v>
      </x:c>
      <x:c r="P382" s="9" t="n">
        <x:f>M382*(1-0.40)-N382</x:f>
        <x:v>3.7333333333333334</x:v>
      </x:c>
      <x:c r="Q382" s="9" t="n">
        <x:f>'Physical_Arcs'!T22</x:f>
        <x:v>4.666666666666667</x:v>
      </x:c>
      <x:c r="R382" s="9" t="n">
        <x:f>Q382*'Parameters'!$C$18</x:f>
        <x:v>0.9333333333333335</x:v>
      </x:c>
      <x:c r="S382" s="9" t="n">
        <x:f>R382*'Parameters'!$C$19</x:f>
        <x:v>1.1666666666666667</x:v>
      </x:c>
      <x:c r="T382" s="9" t="n">
        <x:f>Q382*(1-0.40)-R382</x:f>
        <x:v>1.8666666666666667</x:v>
      </x:c>
    </x:row>
    <x:row r="383" ht="21" customHeight="1">
      <x:c r="A383" s="3" t="n">
        <x:v>6</x:v>
      </x:c>
      <x:c r="B383" s="3" t="str">
        <x:v>01:00</x:v>
      </x:c>
      <x:c r="C383" s="3" t="n">
        <x:v>2</x:v>
      </x:c>
      <x:c r="D383" s="3" t="n">
        <x:v>22</x:v>
      </x:c>
      <x:c r="E383" s="3" t="n">
        <x:v>4</x:v>
      </x:c>
      <x:c r="F383" s="3" t="n">
        <x:v>5</x:v>
      </x:c>
      <x:c r="G383" s="9" t="n">
        <x:v>0.14</x:v>
      </x:c>
      <x:c r="H383" s="9" t="n">
        <x:v>0.958485</x:v>
      </x:c>
      <x:c r="I383" s="9" t="n">
        <x:f>'Physical_Arcs'!R23</x:f>
        <x:v>17.02777777777778</x:v>
      </x:c>
      <x:c r="J383" s="9" t="n">
        <x:f>I383*'Parameters'!$C$18</x:f>
        <x:v>3.405555555555556</x:v>
      </x:c>
      <x:c r="K383" s="9" t="n">
        <x:f>J383*'Parameters'!$C$19</x:f>
        <x:v>4.256944444444445</x:v>
      </x:c>
      <x:c r="L383" s="9" t="n">
        <x:f>I383*(1-0.40)-J383</x:f>
        <x:v>6.811111111111111</x:v>
      </x:c>
      <x:c r="M383" s="9" t="n">
        <x:f>'Physical_Arcs'!S23</x:f>
        <x:v>17.02777777777778</x:v>
      </x:c>
      <x:c r="N383" s="9" t="n">
        <x:f>M383*'Parameters'!$C$18</x:f>
        <x:v>3.405555555555556</x:v>
      </x:c>
      <x:c r="O383" s="9" t="n">
        <x:f>N383*'Parameters'!$C$19</x:f>
        <x:v>4.256944444444445</x:v>
      </x:c>
      <x:c r="P383" s="9" t="n">
        <x:f>M383*(1-0.40)-N383</x:f>
        <x:v>6.811111111111111</x:v>
      </x:c>
      <x:c r="Q383" s="9" t="n">
        <x:f>'Physical_Arcs'!T23</x:f>
        <x:v>17.02777777777778</x:v>
      </x:c>
      <x:c r="R383" s="9" t="n">
        <x:f>Q383*'Parameters'!$C$18</x:f>
        <x:v>3.405555555555556</x:v>
      </x:c>
      <x:c r="S383" s="9" t="n">
        <x:f>R383*'Parameters'!$C$19</x:f>
        <x:v>4.256944444444445</x:v>
      </x:c>
      <x:c r="T383" s="9" t="n">
        <x:f>Q383*(1-0.40)-R383</x:f>
        <x:v>6.811111111111111</x:v>
      </x:c>
    </x:row>
    <x:row r="384" ht="21" customHeight="1">
      <x:c r="A384" s="3" t="n">
        <x:v>6</x:v>
      </x:c>
      <x:c r="B384" s="3" t="str">
        <x:v>01:00</x:v>
      </x:c>
      <x:c r="C384" s="3" t="n">
        <x:v>2</x:v>
      </x:c>
      <x:c r="D384" s="3" t="n">
        <x:v>23</x:v>
      </x:c>
      <x:c r="E384" s="3" t="n">
        <x:v>4</x:v>
      </x:c>
      <x:c r="F384" s="3" t="n">
        <x:v>3</x:v>
      </x:c>
      <x:c r="G384" s="9" t="n">
        <x:v>0.14</x:v>
      </x:c>
      <x:c r="H384" s="9" t="n">
        <x:v>0.944916</x:v>
      </x:c>
      <x:c r="I384" s="9" t="n">
        <x:f>'Physical_Arcs'!R24</x:f>
        <x:v>9.333333333333334</x:v>
      </x:c>
      <x:c r="J384" s="9" t="n">
        <x:f>I384*'Parameters'!$C$18</x:f>
        <x:v>1.866666666666667</x:v>
      </x:c>
      <x:c r="K384" s="9" t="n">
        <x:f>J384*'Parameters'!$C$19</x:f>
        <x:v>2.3333333333333335</x:v>
      </x:c>
      <x:c r="L384" s="9" t="n">
        <x:f>I384*(1-0.40)-J384</x:f>
        <x:v>3.7333333333333334</x:v>
      </x:c>
      <x:c r="M384" s="9" t="n">
        <x:f>'Physical_Arcs'!S24</x:f>
        <x:v>9.333333333333334</x:v>
      </x:c>
      <x:c r="N384" s="9" t="n">
        <x:f>M384*'Parameters'!$C$18</x:f>
        <x:v>1.866666666666667</x:v>
      </x:c>
      <x:c r="O384" s="9" t="n">
        <x:f>N384*'Parameters'!$C$19</x:f>
        <x:v>2.3333333333333335</x:v>
      </x:c>
      <x:c r="P384" s="9" t="n">
        <x:f>M384*(1-0.40)-N384</x:f>
        <x:v>3.7333333333333334</x:v>
      </x:c>
      <x:c r="Q384" s="9" t="n">
        <x:f>'Physical_Arcs'!T24</x:f>
        <x:v>4.666666666666667</x:v>
      </x:c>
      <x:c r="R384" s="9" t="n">
        <x:f>Q384*'Parameters'!$C$18</x:f>
        <x:v>0.9333333333333335</x:v>
      </x:c>
      <x:c r="S384" s="9" t="n">
        <x:f>R384*'Parameters'!$C$19</x:f>
        <x:v>1.1666666666666667</x:v>
      </x:c>
      <x:c r="T384" s="9" t="n">
        <x:f>Q384*(1-0.40)-R384</x:f>
        <x:v>1.8666666666666667</x:v>
      </x:c>
    </x:row>
    <x:row r="385" ht="21" customHeight="1">
      <x:c r="A385" s="3" t="n">
        <x:v>6</x:v>
      </x:c>
      <x:c r="B385" s="3" t="str">
        <x:v>01:00</x:v>
      </x:c>
      <x:c r="C385" s="3" t="n">
        <x:v>2</x:v>
      </x:c>
      <x:c r="D385" s="3" t="n">
        <x:v>24</x:v>
      </x:c>
      <x:c r="E385" s="3" t="n">
        <x:v>4</x:v>
      </x:c>
      <x:c r="F385" s="3" t="n">
        <x:v>10</x:v>
      </x:c>
      <x:c r="G385" s="9" t="n">
        <x:v>0.14</x:v>
      </x:c>
      <x:c r="H385" s="9" t="n">
        <x:v>0.875461</x:v>
      </x:c>
      <x:c r="I385" s="9" t="n">
        <x:f>'Physical_Arcs'!R25</x:f>
        <x:v>7.194444444444445</x:v>
      </x:c>
      <x:c r="J385" s="9" t="n">
        <x:f>I385*'Parameters'!$C$18</x:f>
        <x:v>1.438888888888889</x:v>
      </x:c>
      <x:c r="K385" s="9" t="n">
        <x:f>J385*'Parameters'!$C$19</x:f>
        <x:v>1.7986111111111114</x:v>
      </x:c>
      <x:c r="L385" s="9" t="n">
        <x:f>I385*(1-0.40)-J385</x:f>
        <x:v>2.8777777777777773</x:v>
      </x:c>
      <x:c r="M385" s="9" t="n">
        <x:f>'Physical_Arcs'!S25</x:f>
        <x:v>7.194444444444445</x:v>
      </x:c>
      <x:c r="N385" s="9" t="n">
        <x:f>M385*'Parameters'!$C$18</x:f>
        <x:v>1.438888888888889</x:v>
      </x:c>
      <x:c r="O385" s="9" t="n">
        <x:f>N385*'Parameters'!$C$19</x:f>
        <x:v>1.7986111111111114</x:v>
      </x:c>
      <x:c r="P385" s="9" t="n">
        <x:f>M385*(1-0.40)-N385</x:f>
        <x:v>2.8777777777777773</x:v>
      </x:c>
      <x:c r="Q385" s="9" t="n">
        <x:f>'Physical_Arcs'!T25</x:f>
        <x:v>3.611111111111111</x:v>
      </x:c>
      <x:c r="R385" s="9" t="n">
        <x:f>Q385*'Parameters'!$C$18</x:f>
        <x:v>0.7222222222222223</x:v>
      </x:c>
      <x:c r="S385" s="9" t="n">
        <x:f>R385*'Parameters'!$C$19</x:f>
        <x:v>0.9027777777777779</x:v>
      </x:c>
      <x:c r="T385" s="9" t="n">
        <x:f>Q385*(1-0.40)-R385</x:f>
        <x:v>1.4444444444444442</x:v>
      </x:c>
    </x:row>
    <x:row r="386" ht="21" customHeight="1">
      <x:c r="A386" s="3" t="n">
        <x:v>6</x:v>
      </x:c>
      <x:c r="B386" s="3" t="str">
        <x:v>01:00</x:v>
      </x:c>
      <x:c r="C386" s="3" t="n">
        <x:v>2</x:v>
      </x:c>
      <x:c r="D386" s="3" t="n">
        <x:v>25</x:v>
      </x:c>
      <x:c r="E386" s="3" t="n">
        <x:v>4</x:v>
      </x:c>
      <x:c r="F386" s="3" t="n">
        <x:v>8</x:v>
      </x:c>
      <x:c r="G386" s="9" t="n">
        <x:v>0.14</x:v>
      </x:c>
      <x:c r="H386" s="9" t="n">
        <x:v>0.993326</x:v>
      </x:c>
      <x:c r="I386" s="9" t="n">
        <x:f>'Physical_Arcs'!R26</x:f>
        <x:v>5.277777777777778</x:v>
      </x:c>
      <x:c r="J386" s="9" t="n">
        <x:f>I386*'Parameters'!$C$18</x:f>
        <x:v>1.0555555555555556</x:v>
      </x:c>
      <x:c r="K386" s="9" t="n">
        <x:f>J386*'Parameters'!$C$19</x:f>
        <x:v>1.3194444444444444</x:v>
      </x:c>
      <x:c r="L386" s="9" t="n">
        <x:f>I386*(1-0.40)-J386</x:f>
        <x:v>2.1111111111111107</x:v>
      </x:c>
      <x:c r="M386" s="9" t="n">
        <x:f>'Physical_Arcs'!S26</x:f>
        <x:v>5.277777777777778</x:v>
      </x:c>
      <x:c r="N386" s="9" t="n">
        <x:f>M386*'Parameters'!$C$18</x:f>
        <x:v>1.0555555555555556</x:v>
      </x:c>
      <x:c r="O386" s="9" t="n">
        <x:f>N386*'Parameters'!$C$19</x:f>
        <x:v>1.3194444444444444</x:v>
      </x:c>
      <x:c r="P386" s="9" t="n">
        <x:f>M386*(1-0.40)-N386</x:f>
        <x:v>2.1111111111111107</x:v>
      </x:c>
      <x:c r="Q386" s="9" t="n">
        <x:f>'Physical_Arcs'!T26</x:f>
        <x:v>2.638888888888889</x:v>
      </x:c>
      <x:c r="R386" s="9" t="n">
        <x:f>Q386*'Parameters'!$C$18</x:f>
        <x:v>0.5277777777777778</x:v>
      </x:c>
      <x:c r="S386" s="9" t="n">
        <x:f>R386*'Parameters'!$C$19</x:f>
        <x:v>0.6597222222222222</x:v>
      </x:c>
      <x:c r="T386" s="9" t="n">
        <x:f>Q386*(1-0.40)-R386</x:f>
        <x:v>1.0555555555555554</x:v>
      </x:c>
    </x:row>
    <x:row r="387" ht="21" customHeight="1">
      <x:c r="A387" s="3" t="n">
        <x:v>6</x:v>
      </x:c>
      <x:c r="B387" s="3" t="str">
        <x:v>01:00</x:v>
      </x:c>
      <x:c r="C387" s="3" t="n">
        <x:v>2</x:v>
      </x:c>
      <x:c r="D387" s="3" t="n">
        <x:v>26</x:v>
      </x:c>
      <x:c r="E387" s="3" t="n">
        <x:v>4</x:v>
      </x:c>
      <x:c r="F387" s="3" t="n">
        <x:v>7</x:v>
      </x:c>
      <x:c r="G387" s="9" t="n">
        <x:v>0.14</x:v>
      </x:c>
      <x:c r="H387" s="9" t="n">
        <x:v>1.099203</x:v>
      </x:c>
      <x:c r="I387" s="9" t="n">
        <x:f>'Physical_Arcs'!R27</x:f>
        <x:v>6.527777777777778</x:v>
      </x:c>
      <x:c r="J387" s="9" t="n">
        <x:f>I387*'Parameters'!$C$18</x:f>
        <x:v>1.3055555555555556</x:v>
      </x:c>
      <x:c r="K387" s="9" t="n">
        <x:f>J387*'Parameters'!$C$19</x:f>
        <x:v>1.6319444444444444</x:v>
      </x:c>
      <x:c r="L387" s="9" t="n">
        <x:f>I387*(1-0.40)-J387</x:f>
        <x:v>2.6111111111111107</x:v>
      </x:c>
      <x:c r="M387" s="9" t="n">
        <x:f>'Physical_Arcs'!S27</x:f>
        <x:v>6.527777777777778</x:v>
      </x:c>
      <x:c r="N387" s="9" t="n">
        <x:f>M387*'Parameters'!$C$18</x:f>
        <x:v>1.3055555555555556</x:v>
      </x:c>
      <x:c r="O387" s="9" t="n">
        <x:f>N387*'Parameters'!$C$19</x:f>
        <x:v>1.6319444444444444</x:v>
      </x:c>
      <x:c r="P387" s="9" t="n">
        <x:f>M387*(1-0.40)-N387</x:f>
        <x:v>2.6111111111111107</x:v>
      </x:c>
      <x:c r="Q387" s="9" t="n">
        <x:f>'Physical_Arcs'!T27</x:f>
        <x:v>3.2777777777777777</x:v>
      </x:c>
      <x:c r="R387" s="9" t="n">
        <x:f>Q387*'Parameters'!$C$18</x:f>
        <x:v>0.6555555555555556</x:v>
      </x:c>
      <x:c r="S387" s="9" t="n">
        <x:f>R387*'Parameters'!$C$19</x:f>
        <x:v>0.8194444444444444</x:v>
      </x:c>
      <x:c r="T387" s="9" t="n">
        <x:f>Q387*(1-0.40)-R387</x:f>
        <x:v>1.311111111111111</x:v>
      </x:c>
    </x:row>
    <x:row r="388" ht="21" customHeight="1">
      <x:c r="A388" s="3" t="n">
        <x:v>6</x:v>
      </x:c>
      <x:c r="B388" s="3" t="str">
        <x:v>01:00</x:v>
      </x:c>
      <x:c r="C388" s="3" t="n">
        <x:v>2</x:v>
      </x:c>
      <x:c r="D388" s="3" t="n">
        <x:v>27</x:v>
      </x:c>
      <x:c r="E388" s="3" t="n">
        <x:v>4</x:v>
      </x:c>
      <x:c r="F388" s="3" t="n">
        <x:v>2</x:v>
      </x:c>
      <x:c r="G388" s="9" t="n">
        <x:v>0.14</x:v>
      </x:c>
      <x:c r="H388" s="9" t="n">
        <x:v>0.861111</x:v>
      </x:c>
      <x:c r="I388" s="9" t="n">
        <x:f>'Physical_Arcs'!R28</x:f>
        <x:v>4.944444444444445</x:v>
      </x:c>
      <x:c r="J388" s="9" t="n">
        <x:f>I388*'Parameters'!$C$18</x:f>
        <x:v>0.9888888888888889</x:v>
      </x:c>
      <x:c r="K388" s="9" t="n">
        <x:f>J388*'Parameters'!$C$19</x:f>
        <x:v>1.2361111111111112</x:v>
      </x:c>
      <x:c r="L388" s="9" t="n">
        <x:f>I388*(1-0.40)-J388</x:f>
        <x:v>1.9777777777777779</x:v>
      </x:c>
      <x:c r="M388" s="9" t="n">
        <x:f>'Physical_Arcs'!S28</x:f>
        <x:v>4.944444444444445</x:v>
      </x:c>
      <x:c r="N388" s="9" t="n">
        <x:f>M388*'Parameters'!$C$18</x:f>
        <x:v>0.9888888888888889</x:v>
      </x:c>
      <x:c r="O388" s="9" t="n">
        <x:f>N388*'Parameters'!$C$19</x:f>
        <x:v>1.2361111111111112</x:v>
      </x:c>
      <x:c r="P388" s="9" t="n">
        <x:f>M388*(1-0.40)-N388</x:f>
        <x:v>1.9777777777777779</x:v>
      </x:c>
      <x:c r="Q388" s="9" t="n">
        <x:f>'Physical_Arcs'!T28</x:f>
        <x:v>2.4722222222222223</x:v>
      </x:c>
      <x:c r="R388" s="9" t="n">
        <x:f>Q388*'Parameters'!$C$18</x:f>
        <x:v>0.49444444444444446</x:v>
      </x:c>
      <x:c r="S388" s="9" t="n">
        <x:f>R388*'Parameters'!$C$19</x:f>
        <x:v>0.6180555555555556</x:v>
      </x:c>
      <x:c r="T388" s="9" t="n">
        <x:f>Q388*(1-0.40)-R388</x:f>
        <x:v>0.9888888888888889</x:v>
      </x:c>
    </x:row>
    <x:row r="389" ht="21" customHeight="1">
      <x:c r="A389" s="3" t="n">
        <x:v>6</x:v>
      </x:c>
      <x:c r="B389" s="3" t="str">
        <x:v>01:00</x:v>
      </x:c>
      <x:c r="C389" s="3" t="n">
        <x:v>2</x:v>
      </x:c>
      <x:c r="D389" s="3" t="n">
        <x:v>28</x:v>
      </x:c>
      <x:c r="E389" s="3" t="n">
        <x:v>4</x:v>
      </x:c>
      <x:c r="F389" s="3" t="n">
        <x:v>6</x:v>
      </x:c>
      <x:c r="G389" s="9" t="n">
        <x:v>0.14</x:v>
      </x:c>
      <x:c r="H389" s="9" t="n">
        <x:v>1.137214</x:v>
      </x:c>
      <x:c r="I389" s="9" t="n">
        <x:f>'Physical_Arcs'!R29</x:f>
        <x:v>3.388888888888889</x:v>
      </x:c>
      <x:c r="J389" s="9" t="n">
        <x:f>I389*'Parameters'!$C$18</x:f>
        <x:v>0.6777777777777778</x:v>
      </x:c>
      <x:c r="K389" s="9" t="n">
        <x:f>J389*'Parameters'!$C$19</x:f>
        <x:v>0.8472222222222223</x:v>
      </x:c>
      <x:c r="L389" s="9" t="n">
        <x:f>I389*(1-0.40)-J389</x:f>
        <x:v>1.3555555555555554</x:v>
      </x:c>
      <x:c r="M389" s="9" t="n">
        <x:f>'Physical_Arcs'!S29</x:f>
        <x:v>3.388888888888889</x:v>
      </x:c>
      <x:c r="N389" s="9" t="n">
        <x:f>M389*'Parameters'!$C$18</x:f>
        <x:v>0.6777777777777778</x:v>
      </x:c>
      <x:c r="O389" s="9" t="n">
        <x:f>N389*'Parameters'!$C$19</x:f>
        <x:v>0.8472222222222223</x:v>
      </x:c>
      <x:c r="P389" s="9" t="n">
        <x:f>M389*(1-0.40)-N389</x:f>
        <x:v>1.3555555555555554</x:v>
      </x:c>
      <x:c r="Q389" s="9" t="n">
        <x:f>'Physical_Arcs'!T29</x:f>
        <x:v>1.6944444444444444</x:v>
      </x:c>
      <x:c r="R389" s="9" t="n">
        <x:f>Q389*'Parameters'!$C$18</x:f>
        <x:v>0.3388888888888889</x:v>
      </x:c>
      <x:c r="S389" s="9" t="n">
        <x:f>R389*'Parameters'!$C$19</x:f>
        <x:v>0.42361111111111116</x:v>
      </x:c>
      <x:c r="T389" s="9" t="n">
        <x:f>Q389*(1-0.40)-R389</x:f>
        <x:v>0.6777777777777777</x:v>
      </x:c>
    </x:row>
    <x:row r="390" ht="21" customHeight="1">
      <x:c r="A390" s="3" t="n">
        <x:v>6</x:v>
      </x:c>
      <x:c r="B390" s="3" t="str">
        <x:v>01:00</x:v>
      </x:c>
      <x:c r="C390" s="3" t="n">
        <x:v>2</x:v>
      </x:c>
      <x:c r="D390" s="3" t="n">
        <x:v>29</x:v>
      </x:c>
      <x:c r="E390" s="3" t="n">
        <x:v>5</x:v>
      </x:c>
      <x:c r="F390" s="3" t="n">
        <x:v>6</x:v>
      </x:c>
      <x:c r="G390" s="9" t="n">
        <x:v>0.14</x:v>
      </x:c>
      <x:c r="H390" s="9" t="n">
        <x:v>0.949994</x:v>
      </x:c>
      <x:c r="I390" s="9" t="n">
        <x:f>'Physical_Arcs'!R30</x:f>
        <x:v>17.02777777777778</x:v>
      </x:c>
      <x:c r="J390" s="9" t="n">
        <x:f>I390*'Parameters'!$C$18</x:f>
        <x:v>3.405555555555556</x:v>
      </x:c>
      <x:c r="K390" s="9" t="n">
        <x:f>J390*'Parameters'!$C$19</x:f>
        <x:v>4.256944444444445</x:v>
      </x:c>
      <x:c r="L390" s="9" t="n">
        <x:f>I390*(1-0.40)-J390</x:f>
        <x:v>6.811111111111111</x:v>
      </x:c>
      <x:c r="M390" s="9" t="n">
        <x:f>'Physical_Arcs'!S30</x:f>
        <x:v>17.02777777777778</x:v>
      </x:c>
      <x:c r="N390" s="9" t="n">
        <x:f>M390*'Parameters'!$C$18</x:f>
        <x:v>3.405555555555556</x:v>
      </x:c>
      <x:c r="O390" s="9" t="n">
        <x:f>N390*'Parameters'!$C$19</x:f>
        <x:v>4.256944444444445</x:v>
      </x:c>
      <x:c r="P390" s="9" t="n">
        <x:f>M390*(1-0.40)-N390</x:f>
        <x:v>6.811111111111111</x:v>
      </x:c>
      <x:c r="Q390" s="9" t="n">
        <x:f>'Physical_Arcs'!T30</x:f>
        <x:v>17.02777777777778</x:v>
      </x:c>
      <x:c r="R390" s="9" t="n">
        <x:f>Q390*'Parameters'!$C$18</x:f>
        <x:v>3.405555555555556</x:v>
      </x:c>
      <x:c r="S390" s="9" t="n">
        <x:f>R390*'Parameters'!$C$19</x:f>
        <x:v>4.256944444444445</x:v>
      </x:c>
      <x:c r="T390" s="9" t="n">
        <x:f>Q390*(1-0.40)-R390</x:f>
        <x:v>6.811111111111111</x:v>
      </x:c>
    </x:row>
    <x:row r="391" ht="21" customHeight="1">
      <x:c r="A391" s="3" t="n">
        <x:v>6</x:v>
      </x:c>
      <x:c r="B391" s="3" t="str">
        <x:v>01:00</x:v>
      </x:c>
      <x:c r="C391" s="3" t="n">
        <x:v>2</x:v>
      </x:c>
      <x:c r="D391" s="3" t="n">
        <x:v>30</x:v>
      </x:c>
      <x:c r="E391" s="3" t="n">
        <x:v>5</x:v>
      </x:c>
      <x:c r="F391" s="3" t="n">
        <x:v>2</x:v>
      </x:c>
      <x:c r="G391" s="9" t="n">
        <x:v>0.14</x:v>
      </x:c>
      <x:c r="H391" s="9" t="n">
        <x:v>0.882396</x:v>
      </x:c>
      <x:c r="I391" s="9" t="n">
        <x:f>'Physical_Arcs'!R31</x:f>
        <x:v>2.9444444444444446</x:v>
      </x:c>
      <x:c r="J391" s="9" t="n">
        <x:f>I391*'Parameters'!$C$18</x:f>
        <x:v>0.5888888888888889</x:v>
      </x:c>
      <x:c r="K391" s="9" t="n">
        <x:f>J391*'Parameters'!$C$19</x:f>
        <x:v>0.7361111111111112</x:v>
      </x:c>
      <x:c r="L391" s="9" t="n">
        <x:f>I391*(1-0.40)-J391</x:f>
        <x:v>1.177777777777778</x:v>
      </x:c>
      <x:c r="M391" s="9" t="n">
        <x:f>'Physical_Arcs'!S31</x:f>
        <x:v>2.9444444444444446</x:v>
      </x:c>
      <x:c r="N391" s="9" t="n">
        <x:f>M391*'Parameters'!$C$18</x:f>
        <x:v>0.5888888888888889</x:v>
      </x:c>
      <x:c r="O391" s="9" t="n">
        <x:f>N391*'Parameters'!$C$19</x:f>
        <x:v>0.7361111111111112</x:v>
      </x:c>
      <x:c r="P391" s="9" t="n">
        <x:f>M391*(1-0.40)-N391</x:f>
        <x:v>1.177777777777778</x:v>
      </x:c>
      <x:c r="Q391" s="9" t="n">
        <x:f>'Physical_Arcs'!T31</x:f>
        <x:v>1.4722222222222223</x:v>
      </x:c>
      <x:c r="R391" s="9" t="n">
        <x:f>Q391*'Parameters'!$C$18</x:f>
        <x:v>0.29444444444444445</x:v>
      </x:c>
      <x:c r="S391" s="9" t="n">
        <x:f>R391*'Parameters'!$C$19</x:f>
        <x:v>0.3680555555555556</x:v>
      </x:c>
      <x:c r="T391" s="9" t="n">
        <x:f>Q391*(1-0.40)-R391</x:f>
        <x:v>0.588888888888889</x:v>
      </x:c>
    </x:row>
    <x:row r="392" ht="21" customHeight="1">
      <x:c r="A392" s="3" t="n">
        <x:v>6</x:v>
      </x:c>
      <x:c r="B392" s="3" t="str">
        <x:v>01:00</x:v>
      </x:c>
      <x:c r="C392" s="3" t="n">
        <x:v>2</x:v>
      </x:c>
      <x:c r="D392" s="3" t="n">
        <x:v>31</x:v>
      </x:c>
      <x:c r="E392" s="3" t="n">
        <x:v>5</x:v>
      </x:c>
      <x:c r="F392" s="3" t="n">
        <x:v>8</x:v>
      </x:c>
      <x:c r="G392" s="9" t="n">
        <x:v>0.14</x:v>
      </x:c>
      <x:c r="H392" s="9" t="n">
        <x:v>0.986718</x:v>
      </x:c>
      <x:c r="I392" s="9" t="n">
        <x:f>'Physical_Arcs'!R32</x:f>
        <x:v>9.333333333333334</x:v>
      </x:c>
      <x:c r="J392" s="9" t="n">
        <x:f>I392*'Parameters'!$C$18</x:f>
        <x:v>1.866666666666667</x:v>
      </x:c>
      <x:c r="K392" s="9" t="n">
        <x:f>J392*'Parameters'!$C$19</x:f>
        <x:v>2.3333333333333335</x:v>
      </x:c>
      <x:c r="L392" s="9" t="n">
        <x:f>I392*(1-0.40)-J392</x:f>
        <x:v>3.7333333333333334</x:v>
      </x:c>
      <x:c r="M392" s="9" t="n">
        <x:f>'Physical_Arcs'!S32</x:f>
        <x:v>9.333333333333334</x:v>
      </x:c>
      <x:c r="N392" s="9" t="n">
        <x:f>M392*'Parameters'!$C$18</x:f>
        <x:v>1.866666666666667</x:v>
      </x:c>
      <x:c r="O392" s="9" t="n">
        <x:f>N392*'Parameters'!$C$19</x:f>
        <x:v>2.3333333333333335</x:v>
      </x:c>
      <x:c r="P392" s="9" t="n">
        <x:f>M392*(1-0.40)-N392</x:f>
        <x:v>3.7333333333333334</x:v>
      </x:c>
      <x:c r="Q392" s="9" t="n">
        <x:f>'Physical_Arcs'!T32</x:f>
        <x:v>4.666666666666667</x:v>
      </x:c>
      <x:c r="R392" s="9" t="n">
        <x:f>Q392*'Parameters'!$C$18</x:f>
        <x:v>0.9333333333333335</x:v>
      </x:c>
      <x:c r="S392" s="9" t="n">
        <x:f>R392*'Parameters'!$C$19</x:f>
        <x:v>1.1666666666666667</x:v>
      </x:c>
      <x:c r="T392" s="9" t="n">
        <x:f>Q392*(1-0.40)-R392</x:f>
        <x:v>1.8666666666666667</x:v>
      </x:c>
    </x:row>
    <x:row r="393" ht="21" customHeight="1">
      <x:c r="A393" s="3" t="n">
        <x:v>6</x:v>
      </x:c>
      <x:c r="B393" s="3" t="str">
        <x:v>01:00</x:v>
      </x:c>
      <x:c r="C393" s="3" t="n">
        <x:v>2</x:v>
      </x:c>
      <x:c r="D393" s="3" t="n">
        <x:v>32</x:v>
      </x:c>
      <x:c r="E393" s="3" t="n">
        <x:v>5</x:v>
      </x:c>
      <x:c r="F393" s="3" t="n">
        <x:v>3</x:v>
      </x:c>
      <x:c r="G393" s="9" t="n">
        <x:v>0.14</x:v>
      </x:c>
      <x:c r="H393" s="9" t="n">
        <x:v>1.089544</x:v>
      </x:c>
      <x:c r="I393" s="9" t="n">
        <x:f>'Physical_Arcs'!R33</x:f>
        <x:v>11.13888888888889</x:v>
      </x:c>
      <x:c r="J393" s="9" t="n">
        <x:f>I393*'Parameters'!$C$18</x:f>
        <x:v>2.227777777777778</x:v>
      </x:c>
      <x:c r="K393" s="9" t="n">
        <x:f>J393*'Parameters'!$C$19</x:f>
        <x:v>2.7847222222222223</x:v>
      </x:c>
      <x:c r="L393" s="9" t="n">
        <x:f>I393*(1-0.40)-J393</x:f>
        <x:v>4.455555555555556</x:v>
      </x:c>
      <x:c r="M393" s="9" t="n">
        <x:f>'Physical_Arcs'!S33</x:f>
        <x:v>11.13888888888889</x:v>
      </x:c>
      <x:c r="N393" s="9" t="n">
        <x:f>M393*'Parameters'!$C$18</x:f>
        <x:v>2.227777777777778</x:v>
      </x:c>
      <x:c r="O393" s="9" t="n">
        <x:f>N393*'Parameters'!$C$19</x:f>
        <x:v>2.7847222222222223</x:v>
      </x:c>
      <x:c r="P393" s="9" t="n">
        <x:f>M393*(1-0.40)-N393</x:f>
        <x:v>4.455555555555556</x:v>
      </x:c>
      <x:c r="Q393" s="9" t="n">
        <x:f>'Physical_Arcs'!T33</x:f>
        <x:v>5.583333333333333</x:v>
      </x:c>
      <x:c r="R393" s="9" t="n">
        <x:f>Q393*'Parameters'!$C$18</x:f>
        <x:v>1.1166666666666667</x:v>
      </x:c>
      <x:c r="S393" s="9" t="n">
        <x:f>R393*'Parameters'!$C$19</x:f>
        <x:v>1.3958333333333335</x:v>
      </x:c>
      <x:c r="T393" s="9" t="n">
        <x:f>Q393*(1-0.40)-R393</x:f>
        <x:v>2.233333333333333</x:v>
      </x:c>
    </x:row>
    <x:row r="394" ht="21" customHeight="1">
      <x:c r="A394" s="3" t="n">
        <x:v>6</x:v>
      </x:c>
      <x:c r="B394" s="3" t="str">
        <x:v>01:00</x:v>
      </x:c>
      <x:c r="C394" s="3" t="n">
        <x:v>2</x:v>
      </x:c>
      <x:c r="D394" s="3" t="n">
        <x:v>33</x:v>
      </x:c>
      <x:c r="E394" s="3" t="n">
        <x:v>5</x:v>
      </x:c>
      <x:c r="F394" s="3" t="n">
        <x:v>10</x:v>
      </x:c>
      <x:c r="G394" s="9" t="n">
        <x:v>0.14</x:v>
      </x:c>
      <x:c r="H394" s="9" t="n">
        <x:v>1.103596</x:v>
      </x:c>
      <x:c r="I394" s="9" t="n">
        <x:f>'Physical_Arcs'!R34</x:f>
        <x:v>4.611111111111111</x:v>
      </x:c>
      <x:c r="J394" s="9" t="n">
        <x:f>I394*'Parameters'!$C$18</x:f>
        <x:v>0.9222222222222222</x:v>
      </x:c>
      <x:c r="K394" s="9" t="n">
        <x:f>J394*'Parameters'!$C$19</x:f>
        <x:v>1.1527777777777777</x:v>
      </x:c>
      <x:c r="L394" s="9" t="n">
        <x:f>I394*(1-0.40)-J394</x:f>
        <x:v>1.844444444444444</x:v>
      </x:c>
      <x:c r="M394" s="9" t="n">
        <x:f>'Physical_Arcs'!S34</x:f>
        <x:v>4.611111111111111</x:v>
      </x:c>
      <x:c r="N394" s="9" t="n">
        <x:f>M394*'Parameters'!$C$18</x:f>
        <x:v>0.9222222222222222</x:v>
      </x:c>
      <x:c r="O394" s="9" t="n">
        <x:f>N394*'Parameters'!$C$19</x:f>
        <x:v>1.1527777777777777</x:v>
      </x:c>
      <x:c r="P394" s="9" t="n">
        <x:f>M394*(1-0.40)-N394</x:f>
        <x:v>1.844444444444444</x:v>
      </x:c>
      <x:c r="Q394" s="9" t="n">
        <x:f>'Physical_Arcs'!T34</x:f>
        <x:v>2.3055555555555554</x:v>
      </x:c>
      <x:c r="R394" s="9" t="n">
        <x:f>Q394*'Parameters'!$C$18</x:f>
        <x:v>0.4611111111111111</x:v>
      </x:c>
      <x:c r="S394" s="9" t="n">
        <x:f>R394*'Parameters'!$C$19</x:f>
        <x:v>0.5763888888888888</x:v>
      </x:c>
      <x:c r="T394" s="9" t="n">
        <x:f>Q394*(1-0.40)-R394</x:f>
        <x:v>0.922222222222222</x:v>
      </x:c>
    </x:row>
    <x:row r="395" ht="21" customHeight="1">
      <x:c r="A395" s="3" t="n">
        <x:v>6</x:v>
      </x:c>
      <x:c r="B395" s="3" t="str">
        <x:v>01:00</x:v>
      </x:c>
      <x:c r="C395" s="3" t="n">
        <x:v>2</x:v>
      </x:c>
      <x:c r="D395" s="3" t="n">
        <x:v>34</x:v>
      </x:c>
      <x:c r="E395" s="3" t="n">
        <x:v>6</x:v>
      </x:c>
      <x:c r="F395" s="3" t="n">
        <x:v>7</x:v>
      </x:c>
      <x:c r="G395" s="9" t="n">
        <x:v>0.14</x:v>
      </x:c>
      <x:c r="H395" s="9" t="n">
        <x:v>0.973887</x:v>
      </x:c>
      <x:c r="I395" s="9" t="n">
        <x:f>'Physical_Arcs'!R35</x:f>
        <x:v>17.02777777777778</x:v>
      </x:c>
      <x:c r="J395" s="9" t="n">
        <x:f>I395*'Parameters'!$C$18</x:f>
        <x:v>3.405555555555556</x:v>
      </x:c>
      <x:c r="K395" s="9" t="n">
        <x:f>J395*'Parameters'!$C$19</x:f>
        <x:v>4.256944444444445</x:v>
      </x:c>
      <x:c r="L395" s="9" t="n">
        <x:f>I395*(1-0.40)-J395</x:f>
        <x:v>6.811111111111111</x:v>
      </x:c>
      <x:c r="M395" s="9" t="n">
        <x:f>'Physical_Arcs'!S35</x:f>
        <x:v>17.02777777777778</x:v>
      </x:c>
      <x:c r="N395" s="9" t="n">
        <x:f>M395*'Parameters'!$C$18</x:f>
        <x:v>3.405555555555556</x:v>
      </x:c>
      <x:c r="O395" s="9" t="n">
        <x:f>N395*'Parameters'!$C$19</x:f>
        <x:v>4.256944444444445</x:v>
      </x:c>
      <x:c r="P395" s="9" t="n">
        <x:f>M395*(1-0.40)-N395</x:f>
        <x:v>6.811111111111111</x:v>
      </x:c>
      <x:c r="Q395" s="9" t="n">
        <x:f>'Physical_Arcs'!T35</x:f>
        <x:v>17.02777777777778</x:v>
      </x:c>
      <x:c r="R395" s="9" t="n">
        <x:f>Q395*'Parameters'!$C$18</x:f>
        <x:v>3.405555555555556</x:v>
      </x:c>
      <x:c r="S395" s="9" t="n">
        <x:f>R395*'Parameters'!$C$19</x:f>
        <x:v>4.256944444444445</x:v>
      </x:c>
      <x:c r="T395" s="9" t="n">
        <x:f>Q395*(1-0.40)-R395</x:f>
        <x:v>6.811111111111111</x:v>
      </x:c>
    </x:row>
    <x:row r="396" ht="21" customHeight="1">
      <x:c r="A396" s="3" t="n">
        <x:v>6</x:v>
      </x:c>
      <x:c r="B396" s="3" t="str">
        <x:v>01:00</x:v>
      </x:c>
      <x:c r="C396" s="3" t="n">
        <x:v>2</x:v>
      </x:c>
      <x:c r="D396" s="3" t="n">
        <x:v>35</x:v>
      </x:c>
      <x:c r="E396" s="3" t="n">
        <x:v>6</x:v>
      </x:c>
      <x:c r="F396" s="3" t="n">
        <x:v>10</x:v>
      </x:c>
      <x:c r="G396" s="9" t="n">
        <x:v>0.14</x:v>
      </x:c>
      <x:c r="H396" s="9" t="n">
        <x:v>1.009062</x:v>
      </x:c>
      <x:c r="I396" s="9" t="n">
        <x:f>'Physical_Arcs'!R36</x:f>
        <x:v>4.055555555555555</x:v>
      </x:c>
      <x:c r="J396" s="9" t="n">
        <x:f>I396*'Parameters'!$C$18</x:f>
        <x:v>0.8111111111111111</x:v>
      </x:c>
      <x:c r="K396" s="9" t="n">
        <x:f>J396*'Parameters'!$C$19</x:f>
        <x:v>1.0138888888888888</x:v>
      </x:c>
      <x:c r="L396" s="9" t="n">
        <x:f>I396*(1-0.40)-J396</x:f>
        <x:v>1.622222222222222</x:v>
      </x:c>
      <x:c r="M396" s="9" t="n">
        <x:f>'Physical_Arcs'!S36</x:f>
        <x:v>4.055555555555555</x:v>
      </x:c>
      <x:c r="N396" s="9" t="n">
        <x:f>M396*'Parameters'!$C$18</x:f>
        <x:v>0.8111111111111111</x:v>
      </x:c>
      <x:c r="O396" s="9" t="n">
        <x:f>N396*'Parameters'!$C$19</x:f>
        <x:v>1.0138888888888888</x:v>
      </x:c>
      <x:c r="P396" s="9" t="n">
        <x:f>M396*(1-0.40)-N396</x:f>
        <x:v>1.622222222222222</x:v>
      </x:c>
      <x:c r="Q396" s="9" t="n">
        <x:f>'Physical_Arcs'!T36</x:f>
        <x:v>2.0277777777777777</x:v>
      </x:c>
      <x:c r="R396" s="9" t="n">
        <x:f>Q396*'Parameters'!$C$18</x:f>
        <x:v>0.40555555555555556</x:v>
      </x:c>
      <x:c r="S396" s="9" t="n">
        <x:f>R396*'Parameters'!$C$19</x:f>
        <x:v>0.5069444444444444</x:v>
      </x:c>
      <x:c r="T396" s="9" t="n">
        <x:f>Q396*(1-0.40)-R396</x:f>
        <x:v>0.811111111111111</x:v>
      </x:c>
    </x:row>
    <x:row r="397" ht="21" customHeight="1">
      <x:c r="A397" s="3" t="n">
        <x:v>6</x:v>
      </x:c>
      <x:c r="B397" s="3" t="str">
        <x:v>01:00</x:v>
      </x:c>
      <x:c r="C397" s="3" t="n">
        <x:v>2</x:v>
      </x:c>
      <x:c r="D397" s="3" t="n">
        <x:v>36</x:v>
      </x:c>
      <x:c r="E397" s="3" t="n">
        <x:v>6</x:v>
      </x:c>
      <x:c r="F397" s="3" t="n">
        <x:v>8</x:v>
      </x:c>
      <x:c r="G397" s="9" t="n">
        <x:v>0.14</x:v>
      </x:c>
      <x:c r="H397" s="9" t="n">
        <x:v>1.132129</x:v>
      </x:c>
      <x:c r="I397" s="9" t="n">
        <x:f>'Physical_Arcs'!R37</x:f>
        <x:v>6.972222222222222</x:v>
      </x:c>
      <x:c r="J397" s="9" t="n">
        <x:f>I397*'Parameters'!$C$18</x:f>
        <x:v>1.3944444444444446</x:v>
      </x:c>
      <x:c r="K397" s="9" t="n">
        <x:f>J397*'Parameters'!$C$19</x:f>
        <x:v>1.7430555555555558</x:v>
      </x:c>
      <x:c r="L397" s="9" t="n">
        <x:f>I397*(1-0.40)-J397</x:f>
        <x:v>2.7888888888888888</x:v>
      </x:c>
      <x:c r="M397" s="9" t="n">
        <x:f>'Physical_Arcs'!S37</x:f>
        <x:v>6.972222222222222</x:v>
      </x:c>
      <x:c r="N397" s="9" t="n">
        <x:f>M397*'Parameters'!$C$18</x:f>
        <x:v>1.3944444444444446</x:v>
      </x:c>
      <x:c r="O397" s="9" t="n">
        <x:f>N397*'Parameters'!$C$19</x:f>
        <x:v>1.7430555555555558</x:v>
      </x:c>
      <x:c r="P397" s="9" t="n">
        <x:f>M397*(1-0.40)-N397</x:f>
        <x:v>2.7888888888888888</x:v>
      </x:c>
      <x:c r="Q397" s="9" t="n">
        <x:f>'Physical_Arcs'!T37</x:f>
        <x:v>3.5</x:v>
      </x:c>
      <x:c r="R397" s="9" t="n">
        <x:f>Q397*'Parameters'!$C$18</x:f>
        <x:v>0.7000000000000001</x:v>
      </x:c>
      <x:c r="S397" s="9" t="n">
        <x:f>R397*'Parameters'!$C$19</x:f>
        <x:v>0.8750000000000001</x:v>
      </x:c>
      <x:c r="T397" s="9" t="n">
        <x:f>Q397*(1-0.40)-R397</x:f>
        <x:v>1.4</x:v>
      </x:c>
    </x:row>
    <x:row r="398" ht="21" customHeight="1">
      <x:c r="A398" s="3" t="n">
        <x:v>6</x:v>
      </x:c>
      <x:c r="B398" s="3" t="str">
        <x:v>01:00</x:v>
      </x:c>
      <x:c r="C398" s="3" t="n">
        <x:v>2</x:v>
      </x:c>
      <x:c r="D398" s="3" t="n">
        <x:v>37</x:v>
      </x:c>
      <x:c r="E398" s="3" t="n">
        <x:v>6</x:v>
      </x:c>
      <x:c r="F398" s="3" t="n">
        <x:v>1</x:v>
      </x:c>
      <x:c r="G398" s="9" t="n">
        <x:v>0.14</x:v>
      </x:c>
      <x:c r="H398" s="9" t="n">
        <x:v>1.020746</x:v>
      </x:c>
      <x:c r="I398" s="9" t="n">
        <x:f>'Physical_Arcs'!R38</x:f>
        <x:v>6.305555555555555</x:v>
      </x:c>
      <x:c r="J398" s="9" t="n">
        <x:f>I398*'Parameters'!$C$18</x:f>
        <x:v>1.261111111111111</x:v>
      </x:c>
      <x:c r="K398" s="9" t="n">
        <x:f>J398*'Parameters'!$C$19</x:f>
        <x:v>1.5763888888888888</x:v>
      </x:c>
      <x:c r="L398" s="9" t="n">
        <x:f>I398*(1-0.40)-J398</x:f>
        <x:v>2.522222222222222</x:v>
      </x:c>
      <x:c r="M398" s="9" t="n">
        <x:f>'Physical_Arcs'!S38</x:f>
        <x:v>6.305555555555555</x:v>
      </x:c>
      <x:c r="N398" s="9" t="n">
        <x:f>M398*'Parameters'!$C$18</x:f>
        <x:v>1.261111111111111</x:v>
      </x:c>
      <x:c r="O398" s="9" t="n">
        <x:f>N398*'Parameters'!$C$19</x:f>
        <x:v>1.5763888888888888</x:v>
      </x:c>
      <x:c r="P398" s="9" t="n">
        <x:f>M398*(1-0.40)-N398</x:f>
        <x:v>2.522222222222222</x:v>
      </x:c>
      <x:c r="Q398" s="9" t="n">
        <x:f>'Physical_Arcs'!T38</x:f>
        <x:v>3.1666666666666665</x:v>
      </x:c>
      <x:c r="R398" s="9" t="n">
        <x:f>Q398*'Parameters'!$C$18</x:f>
        <x:v>0.6333333333333333</x:v>
      </x:c>
      <x:c r="S398" s="9" t="n">
        <x:f>R398*'Parameters'!$C$19</x:f>
        <x:v>0.7916666666666666</x:v>
      </x:c>
      <x:c r="T398" s="9" t="n">
        <x:f>Q398*(1-0.40)-R398</x:f>
        <x:v>1.2666666666666666</x:v>
      </x:c>
    </x:row>
    <x:row r="399" ht="21" customHeight="1">
      <x:c r="A399" s="3" t="n">
        <x:v>6</x:v>
      </x:c>
      <x:c r="B399" s="3" t="str">
        <x:v>01:00</x:v>
      </x:c>
      <x:c r="C399" s="3" t="n">
        <x:v>2</x:v>
      </x:c>
      <x:c r="D399" s="3" t="n">
        <x:v>38</x:v>
      </x:c>
      <x:c r="E399" s="3" t="n">
        <x:v>6</x:v>
      </x:c>
      <x:c r="F399" s="3" t="n">
        <x:v>3</x:v>
      </x:c>
      <x:c r="G399" s="9" t="n">
        <x:v>0.14</x:v>
      </x:c>
      <x:c r="H399" s="9" t="n">
        <x:v>1.149081</x:v>
      </x:c>
      <x:c r="I399" s="9" t="n">
        <x:f>'Physical_Arcs'!R39</x:f>
        <x:v>1.9166666666666667</x:v>
      </x:c>
      <x:c r="J399" s="9" t="n">
        <x:f>I399*'Parameters'!$C$18</x:f>
        <x:v>0.38333333333333336</x:v>
      </x:c>
      <x:c r="K399" s="9" t="n">
        <x:f>J399*'Parameters'!$C$19</x:f>
        <x:v>0.4791666666666667</x:v>
      </x:c>
      <x:c r="L399" s="9" t="n">
        <x:f>I399*(1-0.40)-J399</x:f>
        <x:v>0.7666666666666666</x:v>
      </x:c>
      <x:c r="M399" s="9" t="n">
        <x:f>'Physical_Arcs'!S39</x:f>
        <x:v>1.9166666666666667</x:v>
      </x:c>
      <x:c r="N399" s="9" t="n">
        <x:f>M399*'Parameters'!$C$18</x:f>
        <x:v>0.38333333333333336</x:v>
      </x:c>
      <x:c r="O399" s="9" t="n">
        <x:f>N399*'Parameters'!$C$19</x:f>
        <x:v>0.4791666666666667</x:v>
      </x:c>
      <x:c r="P399" s="9" t="n">
        <x:f>M399*(1-0.40)-N399</x:f>
        <x:v>0.7666666666666666</x:v>
      </x:c>
      <x:c r="Q399" s="9" t="n">
        <x:f>'Physical_Arcs'!T39</x:f>
        <x:v>0.9722222222222222</x:v>
      </x:c>
      <x:c r="R399" s="9" t="n">
        <x:f>Q399*'Parameters'!$C$18</x:f>
        <x:v>0.19444444444444445</x:v>
      </x:c>
      <x:c r="S399" s="9" t="n">
        <x:f>R399*'Parameters'!$C$19</x:f>
        <x:v>0.24305555555555555</x:v>
      </x:c>
      <x:c r="T399" s="9" t="n">
        <x:f>Q399*(1-0.40)-R399</x:f>
        <x:v>0.38888888888888884</x:v>
      </x:c>
    </x:row>
    <x:row r="400" ht="21" customHeight="1">
      <x:c r="A400" s="3" t="n">
        <x:v>6</x:v>
      </x:c>
      <x:c r="B400" s="3" t="str">
        <x:v>01:00</x:v>
      </x:c>
      <x:c r="C400" s="3" t="n">
        <x:v>2</x:v>
      </x:c>
      <x:c r="D400" s="3" t="n">
        <x:v>39</x:v>
      </x:c>
      <x:c r="E400" s="3" t="n">
        <x:v>7</x:v>
      </x:c>
      <x:c r="F400" s="3" t="n">
        <x:v>8</x:v>
      </x:c>
      <x:c r="G400" s="9" t="n">
        <x:v>0.14</x:v>
      </x:c>
      <x:c r="H400" s="9" t="n">
        <x:v>1.003268</x:v>
      </x:c>
      <x:c r="I400" s="9" t="n">
        <x:f>'Physical_Arcs'!R40</x:f>
        <x:v>17.02777777777778</x:v>
      </x:c>
      <x:c r="J400" s="9" t="n">
        <x:f>I400*'Parameters'!$C$18</x:f>
        <x:v>3.405555555555556</x:v>
      </x:c>
      <x:c r="K400" s="9" t="n">
        <x:f>J400*'Parameters'!$C$19</x:f>
        <x:v>4.256944444444445</x:v>
      </x:c>
      <x:c r="L400" s="9" t="n">
        <x:f>I400*(1-0.40)-J400</x:f>
        <x:v>6.811111111111111</x:v>
      </x:c>
      <x:c r="M400" s="9" t="n">
        <x:f>'Physical_Arcs'!S40</x:f>
        <x:v>17.02777777777778</x:v>
      </x:c>
      <x:c r="N400" s="9" t="n">
        <x:f>M400*'Parameters'!$C$18</x:f>
        <x:v>3.405555555555556</x:v>
      </x:c>
      <x:c r="O400" s="9" t="n">
        <x:f>N400*'Parameters'!$C$19</x:f>
        <x:v>4.256944444444445</x:v>
      </x:c>
      <x:c r="P400" s="9" t="n">
        <x:f>M400*(1-0.40)-N400</x:f>
        <x:v>6.811111111111111</x:v>
      </x:c>
      <x:c r="Q400" s="9" t="n">
        <x:f>'Physical_Arcs'!T40</x:f>
        <x:v>17.02777777777778</x:v>
      </x:c>
      <x:c r="R400" s="9" t="n">
        <x:f>Q400*'Parameters'!$C$18</x:f>
        <x:v>3.405555555555556</x:v>
      </x:c>
      <x:c r="S400" s="9" t="n">
        <x:f>R400*'Parameters'!$C$19</x:f>
        <x:v>4.256944444444445</x:v>
      </x:c>
      <x:c r="T400" s="9" t="n">
        <x:f>Q400*(1-0.40)-R400</x:f>
        <x:v>6.811111111111111</x:v>
      </x:c>
    </x:row>
    <x:row r="401" ht="21" customHeight="1">
      <x:c r="A401" s="3" t="n">
        <x:v>6</x:v>
      </x:c>
      <x:c r="B401" s="3" t="str">
        <x:v>01:00</x:v>
      </x:c>
      <x:c r="C401" s="3" t="n">
        <x:v>2</x:v>
      </x:c>
      <x:c r="D401" s="3" t="n">
        <x:v>40</x:v>
      </x:c>
      <x:c r="E401" s="3" t="n">
        <x:v>7</x:v>
      </x:c>
      <x:c r="F401" s="3" t="n">
        <x:v>1</x:v>
      </x:c>
      <x:c r="G401" s="9" t="n">
        <x:v>0.14</x:v>
      </x:c>
      <x:c r="H401" s="9" t="n">
        <x:v>1.057592</x:v>
      </x:c>
      <x:c r="I401" s="9" t="n">
        <x:f>'Physical_Arcs'!R41</x:f>
        <x:v>7.972222222222222</x:v>
      </x:c>
      <x:c r="J401" s="9" t="n">
        <x:f>I401*'Parameters'!$C$18</x:f>
        <x:v>1.5944444444444446</x:v>
      </x:c>
      <x:c r="K401" s="9" t="n">
        <x:f>J401*'Parameters'!$C$19</x:f>
        <x:v>1.9930555555555558</x:v>
      </x:c>
      <x:c r="L401" s="9" t="n">
        <x:f>I401*(1-0.40)-J401</x:f>
        <x:v>3.1888888888888887</x:v>
      </x:c>
      <x:c r="M401" s="9" t="n">
        <x:f>'Physical_Arcs'!S41</x:f>
        <x:v>7.972222222222222</x:v>
      </x:c>
      <x:c r="N401" s="9" t="n">
        <x:f>M401*'Parameters'!$C$18</x:f>
        <x:v>1.5944444444444446</x:v>
      </x:c>
      <x:c r="O401" s="9" t="n">
        <x:f>N401*'Parameters'!$C$19</x:f>
        <x:v>1.9930555555555558</x:v>
      </x:c>
      <x:c r="P401" s="9" t="n">
        <x:f>M401*(1-0.40)-N401</x:f>
        <x:v>3.1888888888888887</x:v>
      </x:c>
      <x:c r="Q401" s="9" t="n">
        <x:f>'Physical_Arcs'!T41</x:f>
        <x:v>4</x:v>
      </x:c>
      <x:c r="R401" s="9" t="n">
        <x:f>Q401*'Parameters'!$C$18</x:f>
        <x:v>0.8</x:v>
      </x:c>
      <x:c r="S401" s="9" t="n">
        <x:f>R401*'Parameters'!$C$19</x:f>
        <x:v>1</x:v>
      </x:c>
      <x:c r="T401" s="9" t="n">
        <x:f>Q401*(1-0.40)-R401</x:f>
        <x:v>1.5999999999999999</x:v>
      </x:c>
    </x:row>
    <x:row r="402" ht="21" customHeight="1">
      <x:c r="A402" s="3" t="n">
        <x:v>6</x:v>
      </x:c>
      <x:c r="B402" s="3" t="str">
        <x:v>01:00</x:v>
      </x:c>
      <x:c r="C402" s="3" t="n">
        <x:v>2</x:v>
      </x:c>
      <x:c r="D402" s="3" t="n">
        <x:v>41</x:v>
      </x:c>
      <x:c r="E402" s="3" t="n">
        <x:v>7</x:v>
      </x:c>
      <x:c r="F402" s="3" t="n">
        <x:v>9</x:v>
      </x:c>
      <x:c r="G402" s="9" t="n">
        <x:v>0.14</x:v>
      </x:c>
      <x:c r="H402" s="9" t="n">
        <x:v>1.14801</x:v>
      </x:c>
      <x:c r="I402" s="9" t="n">
        <x:f>'Physical_Arcs'!R42</x:f>
        <x:v>8.88888888888889</x:v>
      </x:c>
      <x:c r="J402" s="9" t="n">
        <x:f>I402*'Parameters'!$C$18</x:f>
        <x:v>1.777777777777778</x:v>
      </x:c>
      <x:c r="K402" s="9" t="n">
        <x:f>J402*'Parameters'!$C$19</x:f>
        <x:v>2.2222222222222223</x:v>
      </x:c>
      <x:c r="L402" s="9" t="n">
        <x:f>I402*(1-0.40)-J402</x:f>
        <x:v>3.5555555555555554</x:v>
      </x:c>
      <x:c r="M402" s="9" t="n">
        <x:f>'Physical_Arcs'!S42</x:f>
        <x:v>8.88888888888889</x:v>
      </x:c>
      <x:c r="N402" s="9" t="n">
        <x:f>M402*'Parameters'!$C$18</x:f>
        <x:v>1.777777777777778</x:v>
      </x:c>
      <x:c r="O402" s="9" t="n">
        <x:f>N402*'Parameters'!$C$19</x:f>
        <x:v>2.2222222222222223</x:v>
      </x:c>
      <x:c r="P402" s="9" t="n">
        <x:f>M402*(1-0.40)-N402</x:f>
        <x:v>3.5555555555555554</x:v>
      </x:c>
      <x:c r="Q402" s="9" t="n">
        <x:f>'Physical_Arcs'!T42</x:f>
        <x:v>4.444444444444445</x:v>
      </x:c>
      <x:c r="R402" s="9" t="n">
        <x:f>Q402*'Parameters'!$C$18</x:f>
        <x:v>0.888888888888889</x:v>
      </x:c>
      <x:c r="S402" s="9" t="n">
        <x:f>R402*'Parameters'!$C$19</x:f>
        <x:v>1.1111111111111112</x:v>
      </x:c>
      <x:c r="T402" s="9" t="n">
        <x:f>Q402*(1-0.40)-R402</x:f>
        <x:v>1.7777777777777777</x:v>
      </x:c>
    </x:row>
    <x:row r="403" ht="21" customHeight="1">
      <x:c r="A403" s="3" t="n">
        <x:v>6</x:v>
      </x:c>
      <x:c r="B403" s="3" t="str">
        <x:v>01:00</x:v>
      </x:c>
      <x:c r="C403" s="3" t="n">
        <x:v>2</x:v>
      </x:c>
      <x:c r="D403" s="3" t="n">
        <x:v>42</x:v>
      </x:c>
      <x:c r="E403" s="3" t="n">
        <x:v>7</x:v>
      </x:c>
      <x:c r="F403" s="3" t="n">
        <x:v>2</x:v>
      </x:c>
      <x:c r="G403" s="9" t="n">
        <x:v>0.14</x:v>
      </x:c>
      <x:c r="H403" s="9" t="n">
        <x:v>0.989237</x:v>
      </x:c>
      <x:c r="I403" s="9" t="n">
        <x:f>'Physical_Arcs'!R43</x:f>
        <x:v>9</x:v>
      </x:c>
      <x:c r="J403" s="9" t="n">
        <x:f>I403*'Parameters'!$C$18</x:f>
        <x:v>1.8</x:v>
      </x:c>
      <x:c r="K403" s="9" t="n">
        <x:f>J403*'Parameters'!$C$19</x:f>
        <x:v>2.25</x:v>
      </x:c>
      <x:c r="L403" s="9" t="n">
        <x:f>I403*(1-0.40)-J403</x:f>
        <x:v>3.5999999999999996</x:v>
      </x:c>
      <x:c r="M403" s="9" t="n">
        <x:f>'Physical_Arcs'!S43</x:f>
        <x:v>9</x:v>
      </x:c>
      <x:c r="N403" s="9" t="n">
        <x:f>M403*'Parameters'!$C$18</x:f>
        <x:v>1.8</x:v>
      </x:c>
      <x:c r="O403" s="9" t="n">
        <x:f>N403*'Parameters'!$C$19</x:f>
        <x:v>2.25</x:v>
      </x:c>
      <x:c r="P403" s="9" t="n">
        <x:f>M403*(1-0.40)-N403</x:f>
        <x:v>3.5999999999999996</x:v>
      </x:c>
      <x:c r="Q403" s="9" t="n">
        <x:f>'Physical_Arcs'!T43</x:f>
        <x:v>4.5</x:v>
      </x:c>
      <x:c r="R403" s="9" t="n">
        <x:f>Q403*'Parameters'!$C$18</x:f>
        <x:v>0.9</x:v>
      </x:c>
      <x:c r="S403" s="9" t="n">
        <x:f>R403*'Parameters'!$C$19</x:f>
        <x:v>1.125</x:v>
      </x:c>
      <x:c r="T403" s="9" t="n">
        <x:f>Q403*(1-0.40)-R403</x:f>
        <x:v>1.7999999999999998</x:v>
      </x:c>
    </x:row>
    <x:row r="404" ht="21" customHeight="1">
      <x:c r="A404" s="3" t="n">
        <x:v>6</x:v>
      </x:c>
      <x:c r="B404" s="3" t="str">
        <x:v>01:00</x:v>
      </x:c>
      <x:c r="C404" s="3" t="n">
        <x:v>2</x:v>
      </x:c>
      <x:c r="D404" s="3" t="n">
        <x:v>43</x:v>
      </x:c>
      <x:c r="E404" s="3" t="n">
        <x:v>7</x:v>
      </x:c>
      <x:c r="F404" s="3" t="n">
        <x:v>3</x:v>
      </x:c>
      <x:c r="G404" s="9" t="n">
        <x:v>0.14</x:v>
      </x:c>
      <x:c r="H404" s="9" t="n">
        <x:v>1.050432</x:v>
      </x:c>
      <x:c r="I404" s="9" t="n">
        <x:f>'Physical_Arcs'!R44</x:f>
        <x:v>7.638888888888889</x:v>
      </x:c>
      <x:c r="J404" s="9" t="n">
        <x:f>I404*'Parameters'!$C$18</x:f>
        <x:v>1.527777777777778</x:v>
      </x:c>
      <x:c r="K404" s="9" t="n">
        <x:f>J404*'Parameters'!$C$19</x:f>
        <x:v>1.9097222222222223</x:v>
      </x:c>
      <x:c r="L404" s="9" t="n">
        <x:f>I404*(1-0.40)-J404</x:f>
        <x:v>3.0555555555555554</x:v>
      </x:c>
      <x:c r="M404" s="9" t="n">
        <x:f>'Physical_Arcs'!S44</x:f>
        <x:v>7.638888888888889</x:v>
      </x:c>
      <x:c r="N404" s="9" t="n">
        <x:f>M404*'Parameters'!$C$18</x:f>
        <x:v>1.527777777777778</x:v>
      </x:c>
      <x:c r="O404" s="9" t="n">
        <x:f>N404*'Parameters'!$C$19</x:f>
        <x:v>1.9097222222222223</x:v>
      </x:c>
      <x:c r="P404" s="9" t="n">
        <x:f>M404*(1-0.40)-N404</x:f>
        <x:v>3.0555555555555554</x:v>
      </x:c>
      <x:c r="Q404" s="9" t="n">
        <x:f>'Physical_Arcs'!T44</x:f>
        <x:v>3.8333333333333335</x:v>
      </x:c>
      <x:c r="R404" s="9" t="n">
        <x:f>Q404*'Parameters'!$C$18</x:f>
        <x:v>0.7666666666666667</x:v>
      </x:c>
      <x:c r="S404" s="9" t="n">
        <x:f>R404*'Parameters'!$C$19</x:f>
        <x:v>0.9583333333333334</x:v>
      </x:c>
      <x:c r="T404" s="9" t="n">
        <x:f>Q404*(1-0.40)-R404</x:f>
        <x:v>1.5333333333333332</x:v>
      </x:c>
    </x:row>
    <x:row r="405" ht="21" customHeight="1">
      <x:c r="A405" s="3" t="n">
        <x:v>6</x:v>
      </x:c>
      <x:c r="B405" s="3" t="str">
        <x:v>01:00</x:v>
      </x:c>
      <x:c r="C405" s="3" t="n">
        <x:v>2</x:v>
      </x:c>
      <x:c r="D405" s="3" t="n">
        <x:v>44</x:v>
      </x:c>
      <x:c r="E405" s="3" t="n">
        <x:v>8</x:v>
      </x:c>
      <x:c r="F405" s="3" t="n">
        <x:v>9</x:v>
      </x:c>
      <x:c r="G405" s="9" t="n">
        <x:v>0.14</x:v>
      </x:c>
      <x:c r="H405" s="9" t="n">
        <x:v>0.868101</x:v>
      </x:c>
      <x:c r="I405" s="9" t="n">
        <x:f>'Physical_Arcs'!R45</x:f>
        <x:v>17.02777777777778</x:v>
      </x:c>
      <x:c r="J405" s="9" t="n">
        <x:f>I405*'Parameters'!$C$18</x:f>
        <x:v>3.405555555555556</x:v>
      </x:c>
      <x:c r="K405" s="9" t="n">
        <x:f>J405*'Parameters'!$C$19</x:f>
        <x:v>4.256944444444445</x:v>
      </x:c>
      <x:c r="L405" s="9" t="n">
        <x:f>I405*(1-0.40)-J405</x:f>
        <x:v>6.811111111111111</x:v>
      </x:c>
      <x:c r="M405" s="9" t="n">
        <x:f>'Physical_Arcs'!S45</x:f>
        <x:v>17.02777777777778</x:v>
      </x:c>
      <x:c r="N405" s="9" t="n">
        <x:f>M405*'Parameters'!$C$18</x:f>
        <x:v>3.405555555555556</x:v>
      </x:c>
      <x:c r="O405" s="9" t="n">
        <x:f>N405*'Parameters'!$C$19</x:f>
        <x:v>4.256944444444445</x:v>
      </x:c>
      <x:c r="P405" s="9" t="n">
        <x:f>M405*(1-0.40)-N405</x:f>
        <x:v>6.811111111111111</x:v>
      </x:c>
      <x:c r="Q405" s="9" t="n">
        <x:f>'Physical_Arcs'!T45</x:f>
        <x:v>17.02777777777778</x:v>
      </x:c>
      <x:c r="R405" s="9" t="n">
        <x:f>Q405*'Parameters'!$C$18</x:f>
        <x:v>3.405555555555556</x:v>
      </x:c>
      <x:c r="S405" s="9" t="n">
        <x:f>R405*'Parameters'!$C$19</x:f>
        <x:v>4.256944444444445</x:v>
      </x:c>
      <x:c r="T405" s="9" t="n">
        <x:f>Q405*(1-0.40)-R405</x:f>
        <x:v>6.811111111111111</x:v>
      </x:c>
    </x:row>
    <x:row r="406" ht="21" customHeight="1">
      <x:c r="A406" s="3" t="n">
        <x:v>6</x:v>
      </x:c>
      <x:c r="B406" s="3" t="str">
        <x:v>01:00</x:v>
      </x:c>
      <x:c r="C406" s="3" t="n">
        <x:v>2</x:v>
      </x:c>
      <x:c r="D406" s="3" t="n">
        <x:v>45</x:v>
      </x:c>
      <x:c r="E406" s="3" t="n">
        <x:v>8</x:v>
      </x:c>
      <x:c r="F406" s="3" t="n">
        <x:v>3</x:v>
      </x:c>
      <x:c r="G406" s="9" t="n">
        <x:v>0.14</x:v>
      </x:c>
      <x:c r="H406" s="9" t="n">
        <x:v>0.944958</x:v>
      </x:c>
      <x:c r="I406" s="9" t="n">
        <x:f>'Physical_Arcs'!R46</x:f>
        <x:v>5.388888888888889</x:v>
      </x:c>
      <x:c r="J406" s="9" t="n">
        <x:f>I406*'Parameters'!$C$18</x:f>
        <x:v>1.077777777777778</x:v>
      </x:c>
      <x:c r="K406" s="9" t="n">
        <x:f>J406*'Parameters'!$C$19</x:f>
        <x:v>1.3472222222222223</x:v>
      </x:c>
      <x:c r="L406" s="9" t="n">
        <x:f>I406*(1-0.40)-J406</x:f>
        <x:v>2.1555555555555554</x:v>
      </x:c>
      <x:c r="M406" s="9" t="n">
        <x:f>'Physical_Arcs'!S46</x:f>
        <x:v>5.388888888888889</x:v>
      </x:c>
      <x:c r="N406" s="9" t="n">
        <x:f>M406*'Parameters'!$C$18</x:f>
        <x:v>1.077777777777778</x:v>
      </x:c>
      <x:c r="O406" s="9" t="n">
        <x:f>N406*'Parameters'!$C$19</x:f>
        <x:v>1.3472222222222223</x:v>
      </x:c>
      <x:c r="P406" s="9" t="n">
        <x:f>M406*(1-0.40)-N406</x:f>
        <x:v>2.1555555555555554</x:v>
      </x:c>
      <x:c r="Q406" s="9" t="n">
        <x:f>'Physical_Arcs'!T46</x:f>
        <x:v>2.6944444444444446</x:v>
      </x:c>
      <x:c r="R406" s="9" t="n">
        <x:f>Q406*'Parameters'!$C$18</x:f>
        <x:v>0.538888888888889</x:v>
      </x:c>
      <x:c r="S406" s="9" t="n">
        <x:f>R406*'Parameters'!$C$19</x:f>
        <x:v>0.6736111111111112</x:v>
      </x:c>
      <x:c r="T406" s="9" t="n">
        <x:f>Q406*(1-0.40)-R406</x:f>
        <x:v>1.0777777777777777</x:v>
      </x:c>
    </x:row>
    <x:row r="407" ht="21" customHeight="1">
      <x:c r="A407" s="3" t="n">
        <x:v>6</x:v>
      </x:c>
      <x:c r="B407" s="3" t="str">
        <x:v>01:00</x:v>
      </x:c>
      <x:c r="C407" s="3" t="n">
        <x:v>2</x:v>
      </x:c>
      <x:c r="D407" s="3" t="n">
        <x:v>46</x:v>
      </x:c>
      <x:c r="E407" s="3" t="n">
        <x:v>8</x:v>
      </x:c>
      <x:c r="F407" s="3" t="n">
        <x:v>7</x:v>
      </x:c>
      <x:c r="G407" s="9" t="n">
        <x:v>0.14</x:v>
      </x:c>
      <x:c r="H407" s="9" t="n">
        <x:v>0.866232</x:v>
      </x:c>
      <x:c r="I407" s="9" t="n">
        <x:f>'Physical_Arcs'!R47</x:f>
        <x:v>5.388888888888889</x:v>
      </x:c>
      <x:c r="J407" s="9" t="n">
        <x:f>I407*'Parameters'!$C$18</x:f>
        <x:v>1.077777777777778</x:v>
      </x:c>
      <x:c r="K407" s="9" t="n">
        <x:f>J407*'Parameters'!$C$19</x:f>
        <x:v>1.3472222222222223</x:v>
      </x:c>
      <x:c r="L407" s="9" t="n">
        <x:f>I407*(1-0.40)-J407</x:f>
        <x:v>2.1555555555555554</x:v>
      </x:c>
      <x:c r="M407" s="9" t="n">
        <x:f>'Physical_Arcs'!S47</x:f>
        <x:v>5.388888888888889</x:v>
      </x:c>
      <x:c r="N407" s="9" t="n">
        <x:f>M407*'Parameters'!$C$18</x:f>
        <x:v>1.077777777777778</x:v>
      </x:c>
      <x:c r="O407" s="9" t="n">
        <x:f>N407*'Parameters'!$C$19</x:f>
        <x:v>1.3472222222222223</x:v>
      </x:c>
      <x:c r="P407" s="9" t="n">
        <x:f>M407*(1-0.40)-N407</x:f>
        <x:v>2.1555555555555554</x:v>
      </x:c>
      <x:c r="Q407" s="9" t="n">
        <x:f>'Physical_Arcs'!T47</x:f>
        <x:v>2.6944444444444446</x:v>
      </x:c>
      <x:c r="R407" s="9" t="n">
        <x:f>Q407*'Parameters'!$C$18</x:f>
        <x:v>0.538888888888889</x:v>
      </x:c>
      <x:c r="S407" s="9" t="n">
        <x:f>R407*'Parameters'!$C$19</x:f>
        <x:v>0.6736111111111112</x:v>
      </x:c>
      <x:c r="T407" s="9" t="n">
        <x:f>Q407*(1-0.40)-R407</x:f>
        <x:v>1.0777777777777777</x:v>
      </x:c>
    </x:row>
    <x:row r="408" ht="21" customHeight="1">
      <x:c r="A408" s="3" t="n">
        <x:v>6</x:v>
      </x:c>
      <x:c r="B408" s="3" t="str">
        <x:v>01:00</x:v>
      </x:c>
      <x:c r="C408" s="3" t="n">
        <x:v>2</x:v>
      </x:c>
      <x:c r="D408" s="3" t="n">
        <x:v>47</x:v>
      </x:c>
      <x:c r="E408" s="3" t="n">
        <x:v>8</x:v>
      </x:c>
      <x:c r="F408" s="3" t="n">
        <x:v>2</x:v>
      </x:c>
      <x:c r="G408" s="9" t="n">
        <x:v>0.14</x:v>
      </x:c>
      <x:c r="H408" s="9" t="n">
        <x:v>1.135644</x:v>
      </x:c>
      <x:c r="I408" s="9" t="n">
        <x:f>'Physical_Arcs'!R48</x:f>
        <x:v>8.083333333333334</x:v>
      </x:c>
      <x:c r="J408" s="9" t="n">
        <x:f>I408*'Parameters'!$C$18</x:f>
        <x:v>1.616666666666667</x:v>
      </x:c>
      <x:c r="K408" s="9" t="n">
        <x:f>J408*'Parameters'!$C$19</x:f>
        <x:v>2.0208333333333335</x:v>
      </x:c>
      <x:c r="L408" s="9" t="n">
        <x:f>I408*(1-0.40)-J408</x:f>
        <x:v>3.2333333333333334</x:v>
      </x:c>
      <x:c r="M408" s="9" t="n">
        <x:f>'Physical_Arcs'!S48</x:f>
        <x:v>8.083333333333334</x:v>
      </x:c>
      <x:c r="N408" s="9" t="n">
        <x:f>M408*'Parameters'!$C$18</x:f>
        <x:v>1.616666666666667</x:v>
      </x:c>
      <x:c r="O408" s="9" t="n">
        <x:f>N408*'Parameters'!$C$19</x:f>
        <x:v>2.0208333333333335</x:v>
      </x:c>
      <x:c r="P408" s="9" t="n">
        <x:f>M408*(1-0.40)-N408</x:f>
        <x:v>3.2333333333333334</x:v>
      </x:c>
      <x:c r="Q408" s="9" t="n">
        <x:f>'Physical_Arcs'!T48</x:f>
        <x:v>4.055555555555555</x:v>
      </x:c>
      <x:c r="R408" s="9" t="n">
        <x:f>Q408*'Parameters'!$C$18</x:f>
        <x:v>0.8111111111111111</x:v>
      </x:c>
      <x:c r="S408" s="9" t="n">
        <x:f>R408*'Parameters'!$C$19</x:f>
        <x:v>1.0138888888888888</x:v>
      </x:c>
      <x:c r="T408" s="9" t="n">
        <x:f>Q408*(1-0.40)-R408</x:f>
        <x:v>1.622222222222222</x:v>
      </x:c>
    </x:row>
    <x:row r="409" ht="21" customHeight="1">
      <x:c r="A409" s="3" t="n">
        <x:v>6</x:v>
      </x:c>
      <x:c r="B409" s="3" t="str">
        <x:v>01:00</x:v>
      </x:c>
      <x:c r="C409" s="3" t="n">
        <x:v>2</x:v>
      </x:c>
      <x:c r="D409" s="3" t="n">
        <x:v>48</x:v>
      </x:c>
      <x:c r="E409" s="3" t="n">
        <x:v>8</x:v>
      </x:c>
      <x:c r="F409" s="3" t="n">
        <x:v>6</x:v>
      </x:c>
      <x:c r="G409" s="9" t="n">
        <x:v>0.14</x:v>
      </x:c>
      <x:c r="H409" s="9" t="n">
        <x:v>0.850778</x:v>
      </x:c>
      <x:c r="I409" s="9" t="n">
        <x:f>'Physical_Arcs'!R49</x:f>
        <x:v>10.555555555555555</x:v>
      </x:c>
      <x:c r="J409" s="9" t="n">
        <x:f>I409*'Parameters'!$C$18</x:f>
        <x:v>2.111111111111111</x:v>
      </x:c>
      <x:c r="K409" s="9" t="n">
        <x:f>J409*'Parameters'!$C$19</x:f>
        <x:v>2.638888888888889</x:v>
      </x:c>
      <x:c r="L409" s="9" t="n">
        <x:f>I409*(1-0.40)-J409</x:f>
        <x:v>4.222222222222221</x:v>
      </x:c>
      <x:c r="M409" s="9" t="n">
        <x:f>'Physical_Arcs'!S49</x:f>
        <x:v>10.555555555555555</x:v>
      </x:c>
      <x:c r="N409" s="9" t="n">
        <x:f>M409*'Parameters'!$C$18</x:f>
        <x:v>2.111111111111111</x:v>
      </x:c>
      <x:c r="O409" s="9" t="n">
        <x:f>N409*'Parameters'!$C$19</x:f>
        <x:v>2.638888888888889</x:v>
      </x:c>
      <x:c r="P409" s="9" t="n">
        <x:f>M409*(1-0.40)-N409</x:f>
        <x:v>4.222222222222221</x:v>
      </x:c>
      <x:c r="Q409" s="9" t="n">
        <x:f>'Physical_Arcs'!T49</x:f>
        <x:v>5.277777777777778</x:v>
      </x:c>
      <x:c r="R409" s="9" t="n">
        <x:f>Q409*'Parameters'!$C$18</x:f>
        <x:v>1.0555555555555556</x:v>
      </x:c>
      <x:c r="S409" s="9" t="n">
        <x:f>R409*'Parameters'!$C$19</x:f>
        <x:v>1.3194444444444444</x:v>
      </x:c>
      <x:c r="T409" s="9" t="n">
        <x:f>Q409*(1-0.40)-R409</x:f>
        <x:v>2.1111111111111107</x:v>
      </x:c>
    </x:row>
    <x:row r="410" ht="21" customHeight="1">
      <x:c r="A410" s="3" t="n">
        <x:v>6</x:v>
      </x:c>
      <x:c r="B410" s="3" t="str">
        <x:v>01:00</x:v>
      </x:c>
      <x:c r="C410" s="3" t="n">
        <x:v>2</x:v>
      </x:c>
      <x:c r="D410" s="3" t="n">
        <x:v>49</x:v>
      </x:c>
      <x:c r="E410" s="3" t="n">
        <x:v>8</x:v>
      </x:c>
      <x:c r="F410" s="3" t="n">
        <x:v>4</x:v>
      </x:c>
      <x:c r="G410" s="9" t="n">
        <x:v>0.14</x:v>
      </x:c>
      <x:c r="H410" s="9" t="n">
        <x:v>0.904949</x:v>
      </x:c>
      <x:c r="I410" s="9" t="n">
        <x:f>'Physical_Arcs'!R50</x:f>
        <x:v>1.5833333333333333</x:v>
      </x:c>
      <x:c r="J410" s="9" t="n">
        <x:f>I410*'Parameters'!$C$18</x:f>
        <x:v>0.31666666666666665</x:v>
      </x:c>
      <x:c r="K410" s="9" t="n">
        <x:f>J410*'Parameters'!$C$19</x:f>
        <x:v>0.3958333333333333</x:v>
      </x:c>
      <x:c r="L410" s="9" t="n">
        <x:f>I410*(1-0.40)-J410</x:f>
        <x:v>0.6333333333333333</x:v>
      </x:c>
      <x:c r="M410" s="9" t="n">
        <x:f>'Physical_Arcs'!S50</x:f>
        <x:v>1.5833333333333333</x:v>
      </x:c>
      <x:c r="N410" s="9" t="n">
        <x:f>M410*'Parameters'!$C$18</x:f>
        <x:v>0.31666666666666665</x:v>
      </x:c>
      <x:c r="O410" s="9" t="n">
        <x:f>N410*'Parameters'!$C$19</x:f>
        <x:v>0.3958333333333333</x:v>
      </x:c>
      <x:c r="P410" s="9" t="n">
        <x:f>M410*(1-0.40)-N410</x:f>
        <x:v>0.6333333333333333</x:v>
      </x:c>
      <x:c r="Q410" s="9" t="n">
        <x:f>'Physical_Arcs'!T50</x:f>
        <x:v>0.8055555555555556</x:v>
      </x:c>
      <x:c r="R410" s="9" t="n">
        <x:f>Q410*'Parameters'!$C$18</x:f>
        <x:v>0.16111111111111112</x:v>
      </x:c>
      <x:c r="S410" s="9" t="n">
        <x:f>R410*'Parameters'!$C$19</x:f>
        <x:v>0.2013888888888889</x:v>
      </x:c>
      <x:c r="T410" s="9" t="n">
        <x:f>Q410*(1-0.40)-R410</x:f>
        <x:v>0.3222222222222222</x:v>
      </x:c>
    </x:row>
    <x:row r="411" ht="21" customHeight="1">
      <x:c r="A411" s="3" t="n">
        <x:v>6</x:v>
      </x:c>
      <x:c r="B411" s="3" t="str">
        <x:v>01:00</x:v>
      </x:c>
      <x:c r="C411" s="3" t="n">
        <x:v>2</x:v>
      </x:c>
      <x:c r="D411" s="3" t="n">
        <x:v>50</x:v>
      </x:c>
      <x:c r="E411" s="3" t="n">
        <x:v>8</x:v>
      </x:c>
      <x:c r="F411" s="3" t="n">
        <x:v>5</x:v>
      </x:c>
      <x:c r="G411" s="9" t="n">
        <x:v>0.14</x:v>
      </x:c>
      <x:c r="H411" s="9" t="n">
        <x:v>0.990416</x:v>
      </x:c>
      <x:c r="I411" s="9" t="n">
        <x:f>'Physical_Arcs'!R51</x:f>
        <x:v>10.777777777777779</x:v>
      </x:c>
      <x:c r="J411" s="9" t="n">
        <x:f>I411*'Parameters'!$C$18</x:f>
        <x:v>2.155555555555556</x:v>
      </x:c>
      <x:c r="K411" s="9" t="n">
        <x:f>J411*'Parameters'!$C$19</x:f>
        <x:v>2.6944444444444446</x:v>
      </x:c>
      <x:c r="L411" s="9" t="n">
        <x:f>I411*(1-0.40)-J411</x:f>
        <x:v>4.311111111111111</x:v>
      </x:c>
      <x:c r="M411" s="9" t="n">
        <x:f>'Physical_Arcs'!S51</x:f>
        <x:v>10.777777777777779</x:v>
      </x:c>
      <x:c r="N411" s="9" t="n">
        <x:f>M411*'Parameters'!$C$18</x:f>
        <x:v>2.155555555555556</x:v>
      </x:c>
      <x:c r="O411" s="9" t="n">
        <x:f>N411*'Parameters'!$C$19</x:f>
        <x:v>2.6944444444444446</x:v>
      </x:c>
      <x:c r="P411" s="9" t="n">
        <x:f>M411*(1-0.40)-N411</x:f>
        <x:v>4.311111111111111</x:v>
      </x:c>
      <x:c r="Q411" s="9" t="n">
        <x:f>'Physical_Arcs'!T51</x:f>
        <x:v>5.388888888888889</x:v>
      </x:c>
      <x:c r="R411" s="9" t="n">
        <x:f>Q411*'Parameters'!$C$18</x:f>
        <x:v>1.077777777777778</x:v>
      </x:c>
      <x:c r="S411" s="9" t="n">
        <x:f>R411*'Parameters'!$C$19</x:f>
        <x:v>1.3472222222222223</x:v>
      </x:c>
      <x:c r="T411" s="9" t="n">
        <x:f>Q411*(1-0.40)-R411</x:f>
        <x:v>2.1555555555555554</x:v>
      </x:c>
    </x:row>
    <x:row r="412" ht="21" customHeight="1">
      <x:c r="A412" s="3" t="n">
        <x:v>6</x:v>
      </x:c>
      <x:c r="B412" s="3" t="str">
        <x:v>01:00</x:v>
      </x:c>
      <x:c r="C412" s="3" t="n">
        <x:v>2</x:v>
      </x:c>
      <x:c r="D412" s="3" t="n">
        <x:v>51</x:v>
      </x:c>
      <x:c r="E412" s="3" t="n">
        <x:v>8</x:v>
      </x:c>
      <x:c r="F412" s="3" t="n">
        <x:v>1</x:v>
      </x:c>
      <x:c r="G412" s="9" t="n">
        <x:v>0.14</x:v>
      </x:c>
      <x:c r="H412" s="9" t="n">
        <x:v>1.039066</x:v>
      </x:c>
      <x:c r="I412" s="9" t="n">
        <x:f>'Physical_Arcs'!R52</x:f>
        <x:v>8.88888888888889</x:v>
      </x:c>
      <x:c r="J412" s="9" t="n">
        <x:f>I412*'Parameters'!$C$18</x:f>
        <x:v>1.777777777777778</x:v>
      </x:c>
      <x:c r="K412" s="9" t="n">
        <x:f>J412*'Parameters'!$C$19</x:f>
        <x:v>2.2222222222222223</x:v>
      </x:c>
      <x:c r="L412" s="9" t="n">
        <x:f>I412*(1-0.40)-J412</x:f>
        <x:v>3.5555555555555554</x:v>
      </x:c>
      <x:c r="M412" s="9" t="n">
        <x:f>'Physical_Arcs'!S52</x:f>
        <x:v>8.88888888888889</x:v>
      </x:c>
      <x:c r="N412" s="9" t="n">
        <x:f>M412*'Parameters'!$C$18</x:f>
        <x:v>1.777777777777778</x:v>
      </x:c>
      <x:c r="O412" s="9" t="n">
        <x:f>N412*'Parameters'!$C$19</x:f>
        <x:v>2.2222222222222223</x:v>
      </x:c>
      <x:c r="P412" s="9" t="n">
        <x:f>M412*(1-0.40)-N412</x:f>
        <x:v>3.5555555555555554</x:v>
      </x:c>
      <x:c r="Q412" s="9" t="n">
        <x:f>'Physical_Arcs'!T52</x:f>
        <x:v>4.444444444444445</x:v>
      </x:c>
      <x:c r="R412" s="9" t="n">
        <x:f>Q412*'Parameters'!$C$18</x:f>
        <x:v>0.888888888888889</x:v>
      </x:c>
      <x:c r="S412" s="9" t="n">
        <x:f>R412*'Parameters'!$C$19</x:f>
        <x:v>1.1111111111111112</x:v>
      </x:c>
      <x:c r="T412" s="9" t="n">
        <x:f>Q412*(1-0.40)-R412</x:f>
        <x:v>1.7777777777777777</x:v>
      </x:c>
    </x:row>
    <x:row r="413" ht="21" customHeight="1">
      <x:c r="A413" s="3" t="n">
        <x:v>6</x:v>
      </x:c>
      <x:c r="B413" s="3" t="str">
        <x:v>01:00</x:v>
      </x:c>
      <x:c r="C413" s="3" t="n">
        <x:v>2</x:v>
      </x:c>
      <x:c r="D413" s="3" t="n">
        <x:v>52</x:v>
      </x:c>
      <x:c r="E413" s="3" t="n">
        <x:v>9</x:v>
      </x:c>
      <x:c r="F413" s="3" t="n">
        <x:v>10</x:v>
      </x:c>
      <x:c r="G413" s="9" t="n">
        <x:v>0.14</x:v>
      </x:c>
      <x:c r="H413" s="9" t="n">
        <x:v>0.954096</x:v>
      </x:c>
      <x:c r="I413" s="9" t="n">
        <x:f>'Physical_Arcs'!R53</x:f>
        <x:v>17.02777777777778</x:v>
      </x:c>
      <x:c r="J413" s="9" t="n">
        <x:f>I413*'Parameters'!$C$18</x:f>
        <x:v>3.405555555555556</x:v>
      </x:c>
      <x:c r="K413" s="9" t="n">
        <x:f>J413*'Parameters'!$C$19</x:f>
        <x:v>4.256944444444445</x:v>
      </x:c>
      <x:c r="L413" s="9" t="n">
        <x:f>I413*(1-0.40)-J413</x:f>
        <x:v>6.811111111111111</x:v>
      </x:c>
      <x:c r="M413" s="9" t="n">
        <x:f>'Physical_Arcs'!S53</x:f>
        <x:v>17.02777777777778</x:v>
      </x:c>
      <x:c r="N413" s="9" t="n">
        <x:f>M413*'Parameters'!$C$18</x:f>
        <x:v>3.405555555555556</x:v>
      </x:c>
      <x:c r="O413" s="9" t="n">
        <x:f>N413*'Parameters'!$C$19</x:f>
        <x:v>4.256944444444445</x:v>
      </x:c>
      <x:c r="P413" s="9" t="n">
        <x:f>M413*(1-0.40)-N413</x:f>
        <x:v>6.811111111111111</x:v>
      </x:c>
      <x:c r="Q413" s="9" t="n">
        <x:f>'Physical_Arcs'!T53</x:f>
        <x:v>17.02777777777778</x:v>
      </x:c>
      <x:c r="R413" s="9" t="n">
        <x:f>Q413*'Parameters'!$C$18</x:f>
        <x:v>3.405555555555556</x:v>
      </x:c>
      <x:c r="S413" s="9" t="n">
        <x:f>R413*'Parameters'!$C$19</x:f>
        <x:v>4.256944444444445</x:v>
      </x:c>
      <x:c r="T413" s="9" t="n">
        <x:f>Q413*(1-0.40)-R413</x:f>
        <x:v>6.811111111111111</x:v>
      </x:c>
    </x:row>
    <x:row r="414" ht="21" customHeight="1">
      <x:c r="A414" s="3" t="n">
        <x:v>6</x:v>
      </x:c>
      <x:c r="B414" s="3" t="str">
        <x:v>01:00</x:v>
      </x:c>
      <x:c r="C414" s="3" t="n">
        <x:v>2</x:v>
      </x:c>
      <x:c r="D414" s="3" t="n">
        <x:v>53</x:v>
      </x:c>
      <x:c r="E414" s="3" t="n">
        <x:v>9</x:v>
      </x:c>
      <x:c r="F414" s="3" t="n">
        <x:v>6</x:v>
      </x:c>
      <x:c r="G414" s="9" t="n">
        <x:v>0.14</x:v>
      </x:c>
      <x:c r="H414" s="9" t="n">
        <x:v>1.125574</x:v>
      </x:c>
      <x:c r="I414" s="9" t="n">
        <x:f>'Physical_Arcs'!R54</x:f>
        <x:v>9.666666666666666</x:v>
      </x:c>
      <x:c r="J414" s="9" t="n">
        <x:f>I414*'Parameters'!$C$18</x:f>
        <x:v>1.9333333333333333</x:v>
      </x:c>
      <x:c r="K414" s="9" t="n">
        <x:f>J414*'Parameters'!$C$19</x:f>
        <x:v>2.4166666666666665</x:v>
      </x:c>
      <x:c r="L414" s="9" t="n">
        <x:f>I414*(1-0.40)-J414</x:f>
        <x:v>3.8666666666666663</x:v>
      </x:c>
      <x:c r="M414" s="9" t="n">
        <x:f>'Physical_Arcs'!S54</x:f>
        <x:v>9.666666666666666</x:v>
      </x:c>
      <x:c r="N414" s="9" t="n">
        <x:f>M414*'Parameters'!$C$18</x:f>
        <x:v>1.9333333333333333</x:v>
      </x:c>
      <x:c r="O414" s="9" t="n">
        <x:f>N414*'Parameters'!$C$19</x:f>
        <x:v>2.4166666666666665</x:v>
      </x:c>
      <x:c r="P414" s="9" t="n">
        <x:f>M414*(1-0.40)-N414</x:f>
        <x:v>3.8666666666666663</x:v>
      </x:c>
      <x:c r="Q414" s="9" t="n">
        <x:f>'Physical_Arcs'!T54</x:f>
        <x:v>4.833333333333333</x:v>
      </x:c>
      <x:c r="R414" s="9" t="n">
        <x:f>Q414*'Parameters'!$C$18</x:f>
        <x:v>0.9666666666666667</x:v>
      </x:c>
      <x:c r="S414" s="9" t="n">
        <x:f>R414*'Parameters'!$C$19</x:f>
        <x:v>1.2083333333333333</x:v>
      </x:c>
      <x:c r="T414" s="9" t="n">
        <x:f>Q414*(1-0.40)-R414</x:f>
        <x:v>1.9333333333333331</x:v>
      </x:c>
    </x:row>
    <x:row r="415" ht="21" customHeight="1">
      <x:c r="A415" s="3" t="n">
        <x:v>6</x:v>
      </x:c>
      <x:c r="B415" s="3" t="str">
        <x:v>01:00</x:v>
      </x:c>
      <x:c r="C415" s="3" t="n">
        <x:v>2</x:v>
      </x:c>
      <x:c r="D415" s="3" t="n">
        <x:v>54</x:v>
      </x:c>
      <x:c r="E415" s="3" t="n">
        <x:v>9</x:v>
      </x:c>
      <x:c r="F415" s="3" t="n">
        <x:v>2</x:v>
      </x:c>
      <x:c r="G415" s="9" t="n">
        <x:v>0.14</x:v>
      </x:c>
      <x:c r="H415" s="9" t="n">
        <x:v>0.854534</x:v>
      </x:c>
      <x:c r="I415" s="9" t="n">
        <x:f>'Physical_Arcs'!R55</x:f>
        <x:v>9.88888888888889</x:v>
      </x:c>
      <x:c r="J415" s="9" t="n">
        <x:f>I415*'Parameters'!$C$18</x:f>
        <x:v>1.9777777777777779</x:v>
      </x:c>
      <x:c r="K415" s="9" t="n">
        <x:f>J415*'Parameters'!$C$19</x:f>
        <x:v>2.4722222222222223</x:v>
      </x:c>
      <x:c r="L415" s="9" t="n">
        <x:f>I415*(1-0.40)-J415</x:f>
        <x:v>3.9555555555555557</x:v>
      </x:c>
      <x:c r="M415" s="9" t="n">
        <x:f>'Physical_Arcs'!S55</x:f>
        <x:v>9.88888888888889</x:v>
      </x:c>
      <x:c r="N415" s="9" t="n">
        <x:f>M415*'Parameters'!$C$18</x:f>
        <x:v>1.9777777777777779</x:v>
      </x:c>
      <x:c r="O415" s="9" t="n">
        <x:f>N415*'Parameters'!$C$19</x:f>
        <x:v>2.4722222222222223</x:v>
      </x:c>
      <x:c r="P415" s="9" t="n">
        <x:f>M415*(1-0.40)-N415</x:f>
        <x:v>3.9555555555555557</x:v>
      </x:c>
      <x:c r="Q415" s="9" t="n">
        <x:f>'Physical_Arcs'!T55</x:f>
        <x:v>4.944444444444445</x:v>
      </x:c>
      <x:c r="R415" s="9" t="n">
        <x:f>Q415*'Parameters'!$C$18</x:f>
        <x:v>0.9888888888888889</x:v>
      </x:c>
      <x:c r="S415" s="9" t="n">
        <x:f>R415*'Parameters'!$C$19</x:f>
        <x:v>1.2361111111111112</x:v>
      </x:c>
      <x:c r="T415" s="9" t="n">
        <x:f>Q415*(1-0.40)-R415</x:f>
        <x:v>1.9777777777777779</x:v>
      </x:c>
    </x:row>
    <x:row r="416" ht="21" customHeight="1">
      <x:c r="A416" s="3" t="n">
        <x:v>6</x:v>
      </x:c>
      <x:c r="B416" s="3" t="str">
        <x:v>01:00</x:v>
      </x:c>
      <x:c r="C416" s="3" t="n">
        <x:v>2</x:v>
      </x:c>
      <x:c r="D416" s="3" t="n">
        <x:v>55</x:v>
      </x:c>
      <x:c r="E416" s="3" t="n">
        <x:v>9</x:v>
      </x:c>
      <x:c r="F416" s="3" t="n">
        <x:v>7</x:v>
      </x:c>
      <x:c r="G416" s="9" t="n">
        <x:v>0.14</x:v>
      </x:c>
      <x:c r="H416" s="9" t="n">
        <x:v>0.900033</x:v>
      </x:c>
      <x:c r="I416" s="9" t="n">
        <x:f>'Physical_Arcs'!R56</x:f>
        <x:v>4.166666666666667</x:v>
      </x:c>
      <x:c r="J416" s="9" t="n">
        <x:f>I416*'Parameters'!$C$18</x:f>
        <x:v>0.8333333333333335</x:v>
      </x:c>
      <x:c r="K416" s="9" t="n">
        <x:f>J416*'Parameters'!$C$19</x:f>
        <x:v>1.041666666666667</x:v>
      </x:c>
      <x:c r="L416" s="9" t="n">
        <x:f>I416*(1-0.40)-J416</x:f>
        <x:v>1.6666666666666665</x:v>
      </x:c>
      <x:c r="M416" s="9" t="n">
        <x:f>'Physical_Arcs'!S56</x:f>
        <x:v>4.166666666666667</x:v>
      </x:c>
      <x:c r="N416" s="9" t="n">
        <x:f>M416*'Parameters'!$C$18</x:f>
        <x:v>0.8333333333333335</x:v>
      </x:c>
      <x:c r="O416" s="9" t="n">
        <x:f>N416*'Parameters'!$C$19</x:f>
        <x:v>1.041666666666667</x:v>
      </x:c>
      <x:c r="P416" s="9" t="n">
        <x:f>M416*(1-0.40)-N416</x:f>
        <x:v>1.6666666666666665</x:v>
      </x:c>
      <x:c r="Q416" s="9" t="n">
        <x:f>'Physical_Arcs'!T56</x:f>
        <x:v>2.0833333333333335</x:v>
      </x:c>
      <x:c r="R416" s="9" t="n">
        <x:f>Q416*'Parameters'!$C$18</x:f>
        <x:v>0.41666666666666674</x:v>
      </x:c>
      <x:c r="S416" s="9" t="n">
        <x:f>R416*'Parameters'!$C$19</x:f>
        <x:v>0.5208333333333335</x:v>
      </x:c>
      <x:c r="T416" s="9" t="n">
        <x:f>Q416*(1-0.40)-R416</x:f>
        <x:v>0.8333333333333333</x:v>
      </x:c>
    </x:row>
    <x:row r="417" ht="21" customHeight="1">
      <x:c r="A417" s="3" t="n">
        <x:v>6</x:v>
      </x:c>
      <x:c r="B417" s="3" t="str">
        <x:v>01:00</x:v>
      </x:c>
      <x:c r="C417" s="3" t="n">
        <x:v>2</x:v>
      </x:c>
      <x:c r="D417" s="3" t="n">
        <x:v>56</x:v>
      </x:c>
      <x:c r="E417" s="3" t="n">
        <x:v>9</x:v>
      </x:c>
      <x:c r="F417" s="3" t="n">
        <x:v>3</x:v>
      </x:c>
      <x:c r="G417" s="9" t="n">
        <x:v>0.14</x:v>
      </x:c>
      <x:c r="H417" s="9" t="n">
        <x:v>0.893428</x:v>
      </x:c>
      <x:c r="I417" s="9" t="n">
        <x:f>'Physical_Arcs'!R57</x:f>
        <x:v>3.7222222222222223</x:v>
      </x:c>
      <x:c r="J417" s="9" t="n">
        <x:f>I417*'Parameters'!$C$18</x:f>
        <x:v>0.7444444444444445</x:v>
      </x:c>
      <x:c r="K417" s="9" t="n">
        <x:f>J417*'Parameters'!$C$19</x:f>
        <x:v>0.9305555555555556</x:v>
      </x:c>
      <x:c r="L417" s="9" t="n">
        <x:f>I417*(1-0.40)-J417</x:f>
        <x:v>1.488888888888889</x:v>
      </x:c>
      <x:c r="M417" s="9" t="n">
        <x:f>'Physical_Arcs'!S57</x:f>
        <x:v>3.7222222222222223</x:v>
      </x:c>
      <x:c r="N417" s="9" t="n">
        <x:f>M417*'Parameters'!$C$18</x:f>
        <x:v>0.7444444444444445</x:v>
      </x:c>
      <x:c r="O417" s="9" t="n">
        <x:f>N417*'Parameters'!$C$19</x:f>
        <x:v>0.9305555555555556</x:v>
      </x:c>
      <x:c r="P417" s="9" t="n">
        <x:f>M417*(1-0.40)-N417</x:f>
        <x:v>1.488888888888889</x:v>
      </x:c>
      <x:c r="Q417" s="9" t="n">
        <x:f>'Physical_Arcs'!T57</x:f>
        <x:v>1.8611111111111112</x:v>
      </x:c>
      <x:c r="R417" s="9" t="n">
        <x:f>Q417*'Parameters'!$C$18</x:f>
        <x:v>0.37222222222222223</x:v>
      </x:c>
      <x:c r="S417" s="9" t="n">
        <x:f>R417*'Parameters'!$C$19</x:f>
        <x:v>0.4652777777777778</x:v>
      </x:c>
      <x:c r="T417" s="9" t="n">
        <x:f>Q417*(1-0.40)-R417</x:f>
        <x:v>0.7444444444444445</x:v>
      </x:c>
    </x:row>
    <x:row r="418" ht="21" customHeight="1">
      <x:c r="A418" s="3" t="n">
        <x:v>6</x:v>
      </x:c>
      <x:c r="B418" s="3" t="str">
        <x:v>01:00</x:v>
      </x:c>
      <x:c r="C418" s="3" t="n">
        <x:v>2</x:v>
      </x:c>
      <x:c r="D418" s="3" t="n">
        <x:v>57</x:v>
      </x:c>
      <x:c r="E418" s="3" t="n">
        <x:v>10</x:v>
      </x:c>
      <x:c r="F418" s="3" t="n">
        <x:v>1</x:v>
      </x:c>
      <x:c r="G418" s="9" t="n">
        <x:v>0.14</x:v>
      </x:c>
      <x:c r="H418" s="9" t="n">
        <x:v>1.027979</x:v>
      </x:c>
      <x:c r="I418" s="9" t="n">
        <x:f>'Physical_Arcs'!R58</x:f>
        <x:v>17.02777777777778</x:v>
      </x:c>
      <x:c r="J418" s="9" t="n">
        <x:f>I418*'Parameters'!$C$18</x:f>
        <x:v>3.405555555555556</x:v>
      </x:c>
      <x:c r="K418" s="9" t="n">
        <x:f>J418*'Parameters'!$C$19</x:f>
        <x:v>4.256944444444445</x:v>
      </x:c>
      <x:c r="L418" s="9" t="n">
        <x:f>I418*(1-0.40)-J418</x:f>
        <x:v>6.811111111111111</x:v>
      </x:c>
      <x:c r="M418" s="9" t="n">
        <x:f>'Physical_Arcs'!S58</x:f>
        <x:v>17.02777777777778</x:v>
      </x:c>
      <x:c r="N418" s="9" t="n">
        <x:f>M418*'Parameters'!$C$18</x:f>
        <x:v>3.405555555555556</x:v>
      </x:c>
      <x:c r="O418" s="9" t="n">
        <x:f>N418*'Parameters'!$C$19</x:f>
        <x:v>4.256944444444445</x:v>
      </x:c>
      <x:c r="P418" s="9" t="n">
        <x:f>M418*(1-0.40)-N418</x:f>
        <x:v>6.811111111111111</x:v>
      </x:c>
      <x:c r="Q418" s="9" t="n">
        <x:f>'Physical_Arcs'!T58</x:f>
        <x:v>17.02777777777778</x:v>
      </x:c>
      <x:c r="R418" s="9" t="n">
        <x:f>Q418*'Parameters'!$C$18</x:f>
        <x:v>3.405555555555556</x:v>
      </x:c>
      <x:c r="S418" s="9" t="n">
        <x:f>R418*'Parameters'!$C$19</x:f>
        <x:v>4.256944444444445</x:v>
      </x:c>
      <x:c r="T418" s="9" t="n">
        <x:f>Q418*(1-0.40)-R418</x:f>
        <x:v>6.811111111111111</x:v>
      </x:c>
    </x:row>
    <x:row r="419" ht="21" customHeight="1">
      <x:c r="A419" s="3" t="n">
        <x:v>6</x:v>
      </x:c>
      <x:c r="B419" s="3" t="str">
        <x:v>01:00</x:v>
      </x:c>
      <x:c r="C419" s="3" t="n">
        <x:v>2</x:v>
      </x:c>
      <x:c r="D419" s="3" t="n">
        <x:v>58</x:v>
      </x:c>
      <x:c r="E419" s="3" t="n">
        <x:v>10</x:v>
      </x:c>
      <x:c r="F419" s="3" t="n">
        <x:v>6</x:v>
      </x:c>
      <x:c r="G419" s="9" t="n">
        <x:v>0.14</x:v>
      </x:c>
      <x:c r="H419" s="9" t="n">
        <x:v>0.952676</x:v>
      </x:c>
      <x:c r="I419" s="9" t="n">
        <x:f>'Physical_Arcs'!R59</x:f>
        <x:v>6.305555555555555</x:v>
      </x:c>
      <x:c r="J419" s="9" t="n">
        <x:f>I419*'Parameters'!$C$18</x:f>
        <x:v>1.261111111111111</x:v>
      </x:c>
      <x:c r="K419" s="9" t="n">
        <x:f>J419*'Parameters'!$C$19</x:f>
        <x:v>1.5763888888888888</x:v>
      </x:c>
      <x:c r="L419" s="9" t="n">
        <x:f>I419*(1-0.40)-J419</x:f>
        <x:v>2.522222222222222</x:v>
      </x:c>
      <x:c r="M419" s="9" t="n">
        <x:f>'Physical_Arcs'!S59</x:f>
        <x:v>6.305555555555555</x:v>
      </x:c>
      <x:c r="N419" s="9" t="n">
        <x:f>M419*'Parameters'!$C$18</x:f>
        <x:v>1.261111111111111</x:v>
      </x:c>
      <x:c r="O419" s="9" t="n">
        <x:f>N419*'Parameters'!$C$19</x:f>
        <x:v>1.5763888888888888</x:v>
      </x:c>
      <x:c r="P419" s="9" t="n">
        <x:f>M419*(1-0.40)-N419</x:f>
        <x:v>2.522222222222222</x:v>
      </x:c>
      <x:c r="Q419" s="9" t="n">
        <x:f>'Physical_Arcs'!T59</x:f>
        <x:v>3.1666666666666665</x:v>
      </x:c>
      <x:c r="R419" s="9" t="n">
        <x:f>Q419*'Parameters'!$C$18</x:f>
        <x:v>0.6333333333333333</x:v>
      </x:c>
      <x:c r="S419" s="9" t="n">
        <x:f>R419*'Parameters'!$C$19</x:f>
        <x:v>0.7916666666666666</x:v>
      </x:c>
      <x:c r="T419" s="9" t="n">
        <x:f>Q419*(1-0.40)-R419</x:f>
        <x:v>1.2666666666666666</x:v>
      </x:c>
    </x:row>
    <x:row r="420" ht="21" customHeight="1">
      <x:c r="A420" s="3" t="n">
        <x:v>6</x:v>
      </x:c>
      <x:c r="B420" s="3" t="str">
        <x:v>01:00</x:v>
      </x:c>
      <x:c r="C420" s="3" t="n">
        <x:v>2</x:v>
      </x:c>
      <x:c r="D420" s="3" t="n">
        <x:v>59</x:v>
      </x:c>
      <x:c r="E420" s="3" t="n">
        <x:v>10</x:v>
      </x:c>
      <x:c r="F420" s="3" t="n">
        <x:v>4</x:v>
      </x:c>
      <x:c r="G420" s="9" t="n">
        <x:v>0.14</x:v>
      </x:c>
      <x:c r="H420" s="9" t="n">
        <x:v>1.114542</x:v>
      </x:c>
      <x:c r="I420" s="9" t="n">
        <x:f>'Physical_Arcs'!R60</x:f>
        <x:v>1.5833333333333333</x:v>
      </x:c>
      <x:c r="J420" s="9" t="n">
        <x:f>I420*'Parameters'!$C$18</x:f>
        <x:v>0.31666666666666665</x:v>
      </x:c>
      <x:c r="K420" s="9" t="n">
        <x:f>J420*'Parameters'!$C$19</x:f>
        <x:v>0.3958333333333333</x:v>
      </x:c>
      <x:c r="L420" s="9" t="n">
        <x:f>I420*(1-0.40)-J420</x:f>
        <x:v>0.6333333333333333</x:v>
      </x:c>
      <x:c r="M420" s="9" t="n">
        <x:f>'Physical_Arcs'!S60</x:f>
        <x:v>1.5833333333333333</x:v>
      </x:c>
      <x:c r="N420" s="9" t="n">
        <x:f>M420*'Parameters'!$C$18</x:f>
        <x:v>0.31666666666666665</x:v>
      </x:c>
      <x:c r="O420" s="9" t="n">
        <x:f>N420*'Parameters'!$C$19</x:f>
        <x:v>0.3958333333333333</x:v>
      </x:c>
      <x:c r="P420" s="9" t="n">
        <x:f>M420*(1-0.40)-N420</x:f>
        <x:v>0.6333333333333333</x:v>
      </x:c>
      <x:c r="Q420" s="9" t="n">
        <x:f>'Physical_Arcs'!T60</x:f>
        <x:v>0.8055555555555556</x:v>
      </x:c>
      <x:c r="R420" s="9" t="n">
        <x:f>Q420*'Parameters'!$C$18</x:f>
        <x:v>0.16111111111111112</x:v>
      </x:c>
      <x:c r="S420" s="9" t="n">
        <x:f>R420*'Parameters'!$C$19</x:f>
        <x:v>0.2013888888888889</x:v>
      </x:c>
      <x:c r="T420" s="9" t="n">
        <x:f>Q420*(1-0.40)-R420</x:f>
        <x:v>0.3222222222222222</x:v>
      </x:c>
    </x:row>
    <x:row r="421" ht="21" customHeight="1">
      <x:c r="A421" s="3" t="n">
        <x:v>6</x:v>
      </x:c>
      <x:c r="B421" s="3" t="str">
        <x:v>01:00</x:v>
      </x:c>
      <x:c r="C421" s="3" t="n">
        <x:v>2</x:v>
      </x:c>
      <x:c r="D421" s="3" t="n">
        <x:v>60</x:v>
      </x:c>
      <x:c r="E421" s="3" t="n">
        <x:v>10</x:v>
      </x:c>
      <x:c r="F421" s="3" t="n">
        <x:v>9</x:v>
      </x:c>
      <x:c r="G421" s="9" t="n">
        <x:v>0.14</x:v>
      </x:c>
      <x:c r="H421" s="9" t="n">
        <x:v>1.092245</x:v>
      </x:c>
      <x:c r="I421" s="9" t="n">
        <x:f>'Physical_Arcs'!R61</x:f>
        <x:v>10.333333333333334</x:v>
      </x:c>
      <x:c r="J421" s="9" t="n">
        <x:f>I421*'Parameters'!$C$18</x:f>
        <x:v>2.066666666666667</x:v>
      </x:c>
      <x:c r="K421" s="9" t="n">
        <x:f>J421*'Parameters'!$C$19</x:f>
        <x:v>2.5833333333333335</x:v>
      </x:c>
      <x:c r="L421" s="9" t="n">
        <x:f>I421*(1-0.40)-J421</x:f>
        <x:v>4.133333333333333</x:v>
      </x:c>
      <x:c r="M421" s="9" t="n">
        <x:f>'Physical_Arcs'!S61</x:f>
        <x:v>10.333333333333334</x:v>
      </x:c>
      <x:c r="N421" s="9" t="n">
        <x:f>M421*'Parameters'!$C$18</x:f>
        <x:v>2.066666666666667</x:v>
      </x:c>
      <x:c r="O421" s="9" t="n">
        <x:f>N421*'Parameters'!$C$19</x:f>
        <x:v>2.5833333333333335</x:v>
      </x:c>
      <x:c r="P421" s="9" t="n">
        <x:f>M421*(1-0.40)-N421</x:f>
        <x:v>4.133333333333333</x:v>
      </x:c>
      <x:c r="Q421" s="9" t="n">
        <x:f>'Physical_Arcs'!T61</x:f>
        <x:v>5.166666666666667</x:v>
      </x:c>
      <x:c r="R421" s="9" t="n">
        <x:f>Q421*'Parameters'!$C$18</x:f>
        <x:v>1.0333333333333334</x:v>
      </x:c>
      <x:c r="S421" s="9" t="n">
        <x:f>R421*'Parameters'!$C$19</x:f>
        <x:v>1.2916666666666667</x:v>
      </x:c>
      <x:c r="T421" s="9" t="n">
        <x:f>Q421*(1-0.40)-R421</x:f>
        <x:v>2.0666666666666664</x:v>
      </x:c>
    </x:row>
    <x:row r="422" ht="21" customHeight="1">
      <x:c r="A422" s="3" t="n">
        <x:v>7</x:v>
      </x:c>
      <x:c r="B422" s="3" t="str">
        <x:v>01:10</x:v>
      </x:c>
      <x:c r="C422" s="3" t="n">
        <x:v>2</x:v>
      </x:c>
      <x:c r="D422" s="3" t="n">
        <x:v>1</x:v>
      </x:c>
      <x:c r="E422" s="3" t="n">
        <x:v>1</x:v>
      </x:c>
      <x:c r="F422" s="3" t="n">
        <x:v>2</x:v>
      </x:c>
      <x:c r="G422" s="9" t="n">
        <x:v>0.14</x:v>
      </x:c>
      <x:c r="H422" s="9" t="n">
        <x:v>0.914787</x:v>
      </x:c>
      <x:c r="I422" s="9" t="n">
        <x:f>'Physical_Arcs'!R2</x:f>
        <x:v>17.02777777777778</x:v>
      </x:c>
      <x:c r="J422" s="9" t="n">
        <x:f>I422*'Parameters'!$C$18</x:f>
        <x:v>3.405555555555556</x:v>
      </x:c>
      <x:c r="K422" s="9" t="n">
        <x:f>J422*'Parameters'!$C$19</x:f>
        <x:v>4.256944444444445</x:v>
      </x:c>
      <x:c r="L422" s="9" t="n">
        <x:f>I422*(1-0.40)-J422</x:f>
        <x:v>6.811111111111111</x:v>
      </x:c>
      <x:c r="M422" s="9" t="n">
        <x:f>'Physical_Arcs'!S2</x:f>
        <x:v>17.02777777777778</x:v>
      </x:c>
      <x:c r="N422" s="9" t="n">
        <x:f>M422*'Parameters'!$C$18</x:f>
        <x:v>3.405555555555556</x:v>
      </x:c>
      <x:c r="O422" s="9" t="n">
        <x:f>N422*'Parameters'!$C$19</x:f>
        <x:v>4.256944444444445</x:v>
      </x:c>
      <x:c r="P422" s="9" t="n">
        <x:f>M422*(1-0.40)-N422</x:f>
        <x:v>6.811111111111111</x:v>
      </x:c>
      <x:c r="Q422" s="9" t="n">
        <x:f>'Physical_Arcs'!T2</x:f>
        <x:v>17.02777777777778</x:v>
      </x:c>
      <x:c r="R422" s="9" t="n">
        <x:f>Q422*'Parameters'!$C$18</x:f>
        <x:v>3.405555555555556</x:v>
      </x:c>
      <x:c r="S422" s="9" t="n">
        <x:f>R422*'Parameters'!$C$19</x:f>
        <x:v>4.256944444444445</x:v>
      </x:c>
      <x:c r="T422" s="9" t="n">
        <x:f>Q422*(1-0.40)-R422</x:f>
        <x:v>6.811111111111111</x:v>
      </x:c>
    </x:row>
    <x:row r="423" ht="21" customHeight="1">
      <x:c r="A423" s="3" t="n">
        <x:v>7</x:v>
      </x:c>
      <x:c r="B423" s="3" t="str">
        <x:v>01:10</x:v>
      </x:c>
      <x:c r="C423" s="3" t="n">
        <x:v>2</x:v>
      </x:c>
      <x:c r="D423" s="3" t="n">
        <x:v>2</x:v>
      </x:c>
      <x:c r="E423" s="3" t="n">
        <x:v>1</x:v>
      </x:c>
      <x:c r="F423" s="3" t="n">
        <x:v>10</x:v>
      </x:c>
      <x:c r="G423" s="9" t="n">
        <x:v>0.14</x:v>
      </x:c>
      <x:c r="H423" s="9" t="n">
        <x:v>1.003995</x:v>
      </x:c>
      <x:c r="I423" s="9" t="n">
        <x:f>'Physical_Arcs'!R3</x:f>
        <x:v>3.2777777777777777</x:v>
      </x:c>
      <x:c r="J423" s="9" t="n">
        <x:f>I423*'Parameters'!$C$18</x:f>
        <x:v>0.6555555555555556</x:v>
      </x:c>
      <x:c r="K423" s="9" t="n">
        <x:f>J423*'Parameters'!$C$19</x:f>
        <x:v>0.8194444444444444</x:v>
      </x:c>
      <x:c r="L423" s="9" t="n">
        <x:f>I423*(1-0.40)-J423</x:f>
        <x:v>1.311111111111111</x:v>
      </x:c>
      <x:c r="M423" s="9" t="n">
        <x:f>'Physical_Arcs'!S3</x:f>
        <x:v>3.2777777777777777</x:v>
      </x:c>
      <x:c r="N423" s="9" t="n">
        <x:f>M423*'Parameters'!$C$18</x:f>
        <x:v>0.6555555555555556</x:v>
      </x:c>
      <x:c r="O423" s="9" t="n">
        <x:f>N423*'Parameters'!$C$19</x:f>
        <x:v>0.8194444444444444</x:v>
      </x:c>
      <x:c r="P423" s="9" t="n">
        <x:f>M423*(1-0.40)-N423</x:f>
        <x:v>1.311111111111111</x:v>
      </x:c>
      <x:c r="Q423" s="9" t="n">
        <x:f>'Physical_Arcs'!T3</x:f>
        <x:v>1.6388888888888888</x:v>
      </x:c>
      <x:c r="R423" s="9" t="n">
        <x:f>Q423*'Parameters'!$C$18</x:f>
        <x:v>0.3277777777777778</x:v>
      </x:c>
      <x:c r="S423" s="9" t="n">
        <x:f>R423*'Parameters'!$C$19</x:f>
        <x:v>0.4097222222222222</x:v>
      </x:c>
      <x:c r="T423" s="9" t="n">
        <x:f>Q423*(1-0.40)-R423</x:f>
        <x:v>0.6555555555555554</x:v>
      </x:c>
    </x:row>
    <x:row r="424" ht="21" customHeight="1">
      <x:c r="A424" s="3" t="n">
        <x:v>7</x:v>
      </x:c>
      <x:c r="B424" s="3" t="str">
        <x:v>01:10</x:v>
      </x:c>
      <x:c r="C424" s="3" t="n">
        <x:v>2</x:v>
      </x:c>
      <x:c r="D424" s="3" t="n">
        <x:v>3</x:v>
      </x:c>
      <x:c r="E424" s="3" t="n">
        <x:v>1</x:v>
      </x:c>
      <x:c r="F424" s="3" t="n">
        <x:v>8</x:v>
      </x:c>
      <x:c r="G424" s="9" t="n">
        <x:v>0.14</x:v>
      </x:c>
      <x:c r="H424" s="9" t="n">
        <x:v>0.923863</x:v>
      </x:c>
      <x:c r="I424" s="9" t="n">
        <x:f>'Physical_Arcs'!R4</x:f>
        <x:v>6.083333333333333</x:v>
      </x:c>
      <x:c r="J424" s="9" t="n">
        <x:f>I424*'Parameters'!$C$18</x:f>
        <x:v>1.2166666666666668</x:v>
      </x:c>
      <x:c r="K424" s="9" t="n">
        <x:f>J424*'Parameters'!$C$19</x:f>
        <x:v>1.5208333333333335</x:v>
      </x:c>
      <x:c r="L424" s="9" t="n">
        <x:f>I424*(1-0.40)-J424</x:f>
        <x:v>2.4333333333333327</x:v>
      </x:c>
      <x:c r="M424" s="9" t="n">
        <x:f>'Physical_Arcs'!S4</x:f>
        <x:v>6.083333333333333</x:v>
      </x:c>
      <x:c r="N424" s="9" t="n">
        <x:f>M424*'Parameters'!$C$18</x:f>
        <x:v>1.2166666666666668</x:v>
      </x:c>
      <x:c r="O424" s="9" t="n">
        <x:f>N424*'Parameters'!$C$19</x:f>
        <x:v>1.5208333333333335</x:v>
      </x:c>
      <x:c r="P424" s="9" t="n">
        <x:f>M424*(1-0.40)-N424</x:f>
        <x:v>2.4333333333333327</x:v>
      </x:c>
      <x:c r="Q424" s="9" t="n">
        <x:f>'Physical_Arcs'!T4</x:f>
        <x:v>3.0555555555555554</x:v>
      </x:c>
      <x:c r="R424" s="9" t="n">
        <x:f>Q424*'Parameters'!$C$18</x:f>
        <x:v>0.6111111111111112</x:v>
      </x:c>
      <x:c r="S424" s="9" t="n">
        <x:f>R424*'Parameters'!$C$19</x:f>
        <x:v>0.763888888888889</x:v>
      </x:c>
      <x:c r="T424" s="9" t="n">
        <x:f>Q424*(1-0.40)-R424</x:f>
        <x:v>1.2222222222222219</x:v>
      </x:c>
    </x:row>
    <x:row r="425" ht="21" customHeight="1">
      <x:c r="A425" s="3" t="n">
        <x:v>7</x:v>
      </x:c>
      <x:c r="B425" s="3" t="str">
        <x:v>01:10</x:v>
      </x:c>
      <x:c r="C425" s="3" t="n">
        <x:v>2</x:v>
      </x:c>
      <x:c r="D425" s="3" t="n">
        <x:v>4</x:v>
      </x:c>
      <x:c r="E425" s="3" t="n">
        <x:v>1</x:v>
      </x:c>
      <x:c r="F425" s="3" t="n">
        <x:v>7</x:v>
      </x:c>
      <x:c r="G425" s="9" t="n">
        <x:v>0.14</x:v>
      </x:c>
      <x:c r="H425" s="9" t="n">
        <x:v>1.111072</x:v>
      </x:c>
      <x:c r="I425" s="9" t="n">
        <x:f>'Physical_Arcs'!R5</x:f>
        <x:v>9</x:v>
      </x:c>
      <x:c r="J425" s="9" t="n">
        <x:f>I425*'Parameters'!$C$18</x:f>
        <x:v>1.8</x:v>
      </x:c>
      <x:c r="K425" s="9" t="n">
        <x:f>J425*'Parameters'!$C$19</x:f>
        <x:v>2.25</x:v>
      </x:c>
      <x:c r="L425" s="9" t="n">
        <x:f>I425*(1-0.40)-J425</x:f>
        <x:v>3.5999999999999996</x:v>
      </x:c>
      <x:c r="M425" s="9" t="n">
        <x:f>'Physical_Arcs'!S5</x:f>
        <x:v>9</x:v>
      </x:c>
      <x:c r="N425" s="9" t="n">
        <x:f>M425*'Parameters'!$C$18</x:f>
        <x:v>1.8</x:v>
      </x:c>
      <x:c r="O425" s="9" t="n">
        <x:f>N425*'Parameters'!$C$19</x:f>
        <x:v>2.25</x:v>
      </x:c>
      <x:c r="P425" s="9" t="n">
        <x:f>M425*(1-0.40)-N425</x:f>
        <x:v>3.5999999999999996</x:v>
      </x:c>
      <x:c r="Q425" s="9" t="n">
        <x:f>'Physical_Arcs'!T5</x:f>
        <x:v>4.5</x:v>
      </x:c>
      <x:c r="R425" s="9" t="n">
        <x:f>Q425*'Parameters'!$C$18</x:f>
        <x:v>0.9</x:v>
      </x:c>
      <x:c r="S425" s="9" t="n">
        <x:f>R425*'Parameters'!$C$19</x:f>
        <x:v>1.125</x:v>
      </x:c>
      <x:c r="T425" s="9" t="n">
        <x:f>Q425*(1-0.40)-R425</x:f>
        <x:v>1.7999999999999998</x:v>
      </x:c>
    </x:row>
    <x:row r="426" ht="21" customHeight="1">
      <x:c r="A426" s="3" t="n">
        <x:v>7</x:v>
      </x:c>
      <x:c r="B426" s="3" t="str">
        <x:v>01:10</x:v>
      </x:c>
      <x:c r="C426" s="3" t="n">
        <x:v>2</x:v>
      </x:c>
      <x:c r="D426" s="3" t="n">
        <x:v>5</x:v>
      </x:c>
      <x:c r="E426" s="3" t="n">
        <x:v>1</x:v>
      </x:c>
      <x:c r="F426" s="3" t="n">
        <x:v>4</x:v>
      </x:c>
      <x:c r="G426" s="9" t="n">
        <x:v>0.14</x:v>
      </x:c>
      <x:c r="H426" s="9" t="n">
        <x:v>1.001665</x:v>
      </x:c>
      <x:c r="I426" s="9" t="n">
        <x:f>'Physical_Arcs'!R6</x:f>
        <x:v>4.166666666666667</x:v>
      </x:c>
      <x:c r="J426" s="9" t="n">
        <x:f>I426*'Parameters'!$C$18</x:f>
        <x:v>0.8333333333333335</x:v>
      </x:c>
      <x:c r="K426" s="9" t="n">
        <x:f>J426*'Parameters'!$C$19</x:f>
        <x:v>1.041666666666667</x:v>
      </x:c>
      <x:c r="L426" s="9" t="n">
        <x:f>I426*(1-0.40)-J426</x:f>
        <x:v>1.6666666666666665</x:v>
      </x:c>
      <x:c r="M426" s="9" t="n">
        <x:f>'Physical_Arcs'!S6</x:f>
        <x:v>4.166666666666667</x:v>
      </x:c>
      <x:c r="N426" s="9" t="n">
        <x:f>M426*'Parameters'!$C$18</x:f>
        <x:v>0.8333333333333335</x:v>
      </x:c>
      <x:c r="O426" s="9" t="n">
        <x:f>N426*'Parameters'!$C$19</x:f>
        <x:v>1.041666666666667</x:v>
      </x:c>
      <x:c r="P426" s="9" t="n">
        <x:f>M426*(1-0.40)-N426</x:f>
        <x:v>1.6666666666666665</x:v>
      </x:c>
      <x:c r="Q426" s="9" t="n">
        <x:f>'Physical_Arcs'!T6</x:f>
        <x:v>2.0833333333333335</x:v>
      </x:c>
      <x:c r="R426" s="9" t="n">
        <x:f>Q426*'Parameters'!$C$18</x:f>
        <x:v>0.41666666666666674</x:v>
      </x:c>
      <x:c r="S426" s="9" t="n">
        <x:f>R426*'Parameters'!$C$19</x:f>
        <x:v>0.5208333333333335</x:v>
      </x:c>
      <x:c r="T426" s="9" t="n">
        <x:f>Q426*(1-0.40)-R426</x:f>
        <x:v>0.8333333333333333</x:v>
      </x:c>
    </x:row>
    <x:row r="427" ht="21" customHeight="1">
      <x:c r="A427" s="3" t="n">
        <x:v>7</x:v>
      </x:c>
      <x:c r="B427" s="3" t="str">
        <x:v>01:10</x:v>
      </x:c>
      <x:c r="C427" s="3" t="n">
        <x:v>2</x:v>
      </x:c>
      <x:c r="D427" s="3" t="n">
        <x:v>6</x:v>
      </x:c>
      <x:c r="E427" s="3" t="n">
        <x:v>1</x:v>
      </x:c>
      <x:c r="F427" s="3" t="n">
        <x:v>9</x:v>
      </x:c>
      <x:c r="G427" s="9" t="n">
        <x:v>0.14</x:v>
      </x:c>
      <x:c r="H427" s="9" t="n">
        <x:v>0.942884</x:v>
      </x:c>
      <x:c r="I427" s="9" t="n">
        <x:f>'Physical_Arcs'!R7</x:f>
        <x:v>11.027777777777779</x:v>
      </x:c>
      <x:c r="J427" s="9" t="n">
        <x:f>I427*'Parameters'!$C$18</x:f>
        <x:v>2.2055555555555557</x:v>
      </x:c>
      <x:c r="K427" s="9" t="n">
        <x:f>J427*'Parameters'!$C$19</x:f>
        <x:v>2.7569444444444446</x:v>
      </x:c>
      <x:c r="L427" s="9" t="n">
        <x:f>I427*(1-0.40)-J427</x:f>
        <x:v>4.411111111111111</x:v>
      </x:c>
      <x:c r="M427" s="9" t="n">
        <x:f>'Physical_Arcs'!S7</x:f>
        <x:v>11.027777777777779</x:v>
      </x:c>
      <x:c r="N427" s="9" t="n">
        <x:f>M427*'Parameters'!$C$18</x:f>
        <x:v>2.2055555555555557</x:v>
      </x:c>
      <x:c r="O427" s="9" t="n">
        <x:f>N427*'Parameters'!$C$19</x:f>
        <x:v>2.7569444444444446</x:v>
      </x:c>
      <x:c r="P427" s="9" t="n">
        <x:f>M427*(1-0.40)-N427</x:f>
        <x:v>4.411111111111111</x:v>
      </x:c>
      <x:c r="Q427" s="9" t="n">
        <x:f>'Physical_Arcs'!T7</x:f>
        <x:v>5.527777777777778</x:v>
      </x:c>
      <x:c r="R427" s="9" t="n">
        <x:f>Q427*'Parameters'!$C$18</x:f>
        <x:v>1.1055555555555556</x:v>
      </x:c>
      <x:c r="S427" s="9" t="n">
        <x:f>R427*'Parameters'!$C$19</x:f>
        <x:v>1.3819444444444446</x:v>
      </x:c>
      <x:c r="T427" s="9" t="n">
        <x:f>Q427*(1-0.40)-R427</x:f>
        <x:v>2.211111111111111</x:v>
      </x:c>
    </x:row>
    <x:row r="428" ht="21" customHeight="1">
      <x:c r="A428" s="3" t="n">
        <x:v>7</x:v>
      </x:c>
      <x:c r="B428" s="3" t="str">
        <x:v>01:10</x:v>
      </x:c>
      <x:c r="C428" s="3" t="n">
        <x:v>2</x:v>
      </x:c>
      <x:c r="D428" s="3" t="n">
        <x:v>7</x:v>
      </x:c>
      <x:c r="E428" s="3" t="n">
        <x:v>1</x:v>
      </x:c>
      <x:c r="F428" s="3" t="n">
        <x:v>5</x:v>
      </x:c>
      <x:c r="G428" s="9" t="n">
        <x:v>0.14</x:v>
      </x:c>
      <x:c r="H428" s="9" t="n">
        <x:v>1.038222</x:v>
      </x:c>
      <x:c r="I428" s="9" t="n">
        <x:f>'Physical_Arcs'!R8</x:f>
        <x:v>7.972222222222222</x:v>
      </x:c>
      <x:c r="J428" s="9" t="n">
        <x:f>I428*'Parameters'!$C$18</x:f>
        <x:v>1.5944444444444446</x:v>
      </x:c>
      <x:c r="K428" s="9" t="n">
        <x:f>J428*'Parameters'!$C$19</x:f>
        <x:v>1.9930555555555558</x:v>
      </x:c>
      <x:c r="L428" s="9" t="n">
        <x:f>I428*(1-0.40)-J428</x:f>
        <x:v>3.1888888888888887</x:v>
      </x:c>
      <x:c r="M428" s="9" t="n">
        <x:f>'Physical_Arcs'!S8</x:f>
        <x:v>7.972222222222222</x:v>
      </x:c>
      <x:c r="N428" s="9" t="n">
        <x:f>M428*'Parameters'!$C$18</x:f>
        <x:v>1.5944444444444446</x:v>
      </x:c>
      <x:c r="O428" s="9" t="n">
        <x:f>N428*'Parameters'!$C$19</x:f>
        <x:v>1.9930555555555558</x:v>
      </x:c>
      <x:c r="P428" s="9" t="n">
        <x:f>M428*(1-0.40)-N428</x:f>
        <x:v>3.1888888888888887</x:v>
      </x:c>
      <x:c r="Q428" s="9" t="n">
        <x:f>'Physical_Arcs'!T8</x:f>
        <x:v>4</x:v>
      </x:c>
      <x:c r="R428" s="9" t="n">
        <x:f>Q428*'Parameters'!$C$18</x:f>
        <x:v>0.8</x:v>
      </x:c>
      <x:c r="S428" s="9" t="n">
        <x:f>R428*'Parameters'!$C$19</x:f>
        <x:v>1</x:v>
      </x:c>
      <x:c r="T428" s="9" t="n">
        <x:f>Q428*(1-0.40)-R428</x:f>
        <x:v>1.5999999999999999</x:v>
      </x:c>
    </x:row>
    <x:row r="429" ht="21" customHeight="1">
      <x:c r="A429" s="3" t="n">
        <x:v>7</x:v>
      </x:c>
      <x:c r="B429" s="3" t="str">
        <x:v>01:10</x:v>
      </x:c>
      <x:c r="C429" s="3" t="n">
        <x:v>2</x:v>
      </x:c>
      <x:c r="D429" s="3" t="n">
        <x:v>8</x:v>
      </x:c>
      <x:c r="E429" s="3" t="n">
        <x:v>1</x:v>
      </x:c>
      <x:c r="F429" s="3" t="n">
        <x:v>3</x:v>
      </x:c>
      <x:c r="G429" s="9" t="n">
        <x:v>0.14</x:v>
      </x:c>
      <x:c r="H429" s="9" t="n">
        <x:v>1.122297</x:v>
      </x:c>
      <x:c r="I429" s="9" t="n">
        <x:f>'Physical_Arcs'!R9</x:f>
        <x:v>4.166666666666667</x:v>
      </x:c>
      <x:c r="J429" s="9" t="n">
        <x:f>I429*'Parameters'!$C$18</x:f>
        <x:v>0.8333333333333335</x:v>
      </x:c>
      <x:c r="K429" s="9" t="n">
        <x:f>J429*'Parameters'!$C$19</x:f>
        <x:v>1.041666666666667</x:v>
      </x:c>
      <x:c r="L429" s="9" t="n">
        <x:f>I429*(1-0.40)-J429</x:f>
        <x:v>1.6666666666666665</x:v>
      </x:c>
      <x:c r="M429" s="9" t="n">
        <x:f>'Physical_Arcs'!S9</x:f>
        <x:v>4.166666666666667</x:v>
      </x:c>
      <x:c r="N429" s="9" t="n">
        <x:f>M429*'Parameters'!$C$18</x:f>
        <x:v>0.8333333333333335</x:v>
      </x:c>
      <x:c r="O429" s="9" t="n">
        <x:f>N429*'Parameters'!$C$19</x:f>
        <x:v>1.041666666666667</x:v>
      </x:c>
      <x:c r="P429" s="9" t="n">
        <x:f>M429*(1-0.40)-N429</x:f>
        <x:v>1.6666666666666665</x:v>
      </x:c>
      <x:c r="Q429" s="9" t="n">
        <x:f>'Physical_Arcs'!T9</x:f>
        <x:v>2.0833333333333335</x:v>
      </x:c>
      <x:c r="R429" s="9" t="n">
        <x:f>Q429*'Parameters'!$C$18</x:f>
        <x:v>0.41666666666666674</x:v>
      </x:c>
      <x:c r="S429" s="9" t="n">
        <x:f>R429*'Parameters'!$C$19</x:f>
        <x:v>0.5208333333333335</x:v>
      </x:c>
      <x:c r="T429" s="9" t="n">
        <x:f>Q429*(1-0.40)-R429</x:f>
        <x:v>0.8333333333333333</x:v>
      </x:c>
    </x:row>
    <x:row r="430" ht="21" customHeight="1">
      <x:c r="A430" s="3" t="n">
        <x:v>7</x:v>
      </x:c>
      <x:c r="B430" s="3" t="str">
        <x:v>01:10</x:v>
      </x:c>
      <x:c r="C430" s="3" t="n">
        <x:v>2</x:v>
      </x:c>
      <x:c r="D430" s="3" t="n">
        <x:v>9</x:v>
      </x:c>
      <x:c r="E430" s="3" t="n">
        <x:v>1</x:v>
      </x:c>
      <x:c r="F430" s="3" t="n">
        <x:v>6</x:v>
      </x:c>
      <x:c r="G430" s="9" t="n">
        <x:v>0.14</x:v>
      </x:c>
      <x:c r="H430" s="9" t="n">
        <x:v>1.132682</x:v>
      </x:c>
      <x:c r="I430" s="9" t="n">
        <x:f>'Physical_Arcs'!R10</x:f>
        <x:v>2.138888888888889</x:v>
      </x:c>
      <x:c r="J430" s="9" t="n">
        <x:f>I430*'Parameters'!$C$18</x:f>
        <x:v>0.4277777777777778</x:v>
      </x:c>
      <x:c r="K430" s="9" t="n">
        <x:f>J430*'Parameters'!$C$19</x:f>
        <x:v>0.5347222222222223</x:v>
      </x:c>
      <x:c r="L430" s="9" t="n">
        <x:f>I430*(1-0.40)-J430</x:f>
        <x:v>0.8555555555555554</x:v>
      </x:c>
      <x:c r="M430" s="9" t="n">
        <x:f>'Physical_Arcs'!S10</x:f>
        <x:v>2.138888888888889</x:v>
      </x:c>
      <x:c r="N430" s="9" t="n">
        <x:f>M430*'Parameters'!$C$18</x:f>
        <x:v>0.4277777777777778</x:v>
      </x:c>
      <x:c r="O430" s="9" t="n">
        <x:f>N430*'Parameters'!$C$19</x:f>
        <x:v>0.5347222222222223</x:v>
      </x:c>
      <x:c r="P430" s="9" t="n">
        <x:f>M430*(1-0.40)-N430</x:f>
        <x:v>0.8555555555555554</x:v>
      </x:c>
      <x:c r="Q430" s="9" t="n">
        <x:f>'Physical_Arcs'!T10</x:f>
        <x:v>1.0833333333333333</x:v>
      </x:c>
      <x:c r="R430" s="9" t="n">
        <x:f>Q430*'Parameters'!$C$18</x:f>
        <x:v>0.21666666666666667</x:v>
      </x:c>
      <x:c r="S430" s="9" t="n">
        <x:f>R430*'Parameters'!$C$19</x:f>
        <x:v>0.27083333333333337</x:v>
      </x:c>
      <x:c r="T430" s="9" t="n">
        <x:f>Q430*(1-0.40)-R430</x:f>
        <x:v>0.43333333333333324</x:v>
      </x:c>
    </x:row>
    <x:row r="431" ht="21" customHeight="1">
      <x:c r="A431" s="3" t="n">
        <x:v>7</x:v>
      </x:c>
      <x:c r="B431" s="3" t="str">
        <x:v>01:10</x:v>
      </x:c>
      <x:c r="C431" s="3" t="n">
        <x:v>2</x:v>
      </x:c>
      <x:c r="D431" s="3" t="n">
        <x:v>10</x:v>
      </x:c>
      <x:c r="E431" s="3" t="n">
        <x:v>2</x:v>
      </x:c>
      <x:c r="F431" s="3" t="n">
        <x:v>3</x:v>
      </x:c>
      <x:c r="G431" s="9" t="n">
        <x:v>0.14</x:v>
      </x:c>
      <x:c r="H431" s="9" t="n">
        <x:v>0.871154</x:v>
      </x:c>
      <x:c r="I431" s="9" t="n">
        <x:f>'Physical_Arcs'!R11</x:f>
        <x:v>17.02777777777778</x:v>
      </x:c>
      <x:c r="J431" s="9" t="n">
        <x:f>I431*'Parameters'!$C$18</x:f>
        <x:v>3.405555555555556</x:v>
      </x:c>
      <x:c r="K431" s="9" t="n">
        <x:f>J431*'Parameters'!$C$19</x:f>
        <x:v>4.256944444444445</x:v>
      </x:c>
      <x:c r="L431" s="9" t="n">
        <x:f>I431*(1-0.40)-J431</x:f>
        <x:v>6.811111111111111</x:v>
      </x:c>
      <x:c r="M431" s="9" t="n">
        <x:f>'Physical_Arcs'!S11</x:f>
        <x:v>17.02777777777778</x:v>
      </x:c>
      <x:c r="N431" s="9" t="n">
        <x:f>M431*'Parameters'!$C$18</x:f>
        <x:v>3.405555555555556</x:v>
      </x:c>
      <x:c r="O431" s="9" t="n">
        <x:f>N431*'Parameters'!$C$19</x:f>
        <x:v>4.256944444444445</x:v>
      </x:c>
      <x:c r="P431" s="9" t="n">
        <x:f>M431*(1-0.40)-N431</x:f>
        <x:v>6.811111111111111</x:v>
      </x:c>
      <x:c r="Q431" s="9" t="n">
        <x:f>'Physical_Arcs'!T11</x:f>
        <x:v>17.02777777777778</x:v>
      </x:c>
      <x:c r="R431" s="9" t="n">
        <x:f>Q431*'Parameters'!$C$18</x:f>
        <x:v>3.405555555555556</x:v>
      </x:c>
      <x:c r="S431" s="9" t="n">
        <x:f>R431*'Parameters'!$C$19</x:f>
        <x:v>4.256944444444445</x:v>
      </x:c>
      <x:c r="T431" s="9" t="n">
        <x:f>Q431*(1-0.40)-R431</x:f>
        <x:v>6.811111111111111</x:v>
      </x:c>
    </x:row>
    <x:row r="432" ht="21" customHeight="1">
      <x:c r="A432" s="3" t="n">
        <x:v>7</x:v>
      </x:c>
      <x:c r="B432" s="3" t="str">
        <x:v>01:10</x:v>
      </x:c>
      <x:c r="C432" s="3" t="n">
        <x:v>2</x:v>
      </x:c>
      <x:c r="D432" s="3" t="n">
        <x:v>11</x:v>
      </x:c>
      <x:c r="E432" s="3" t="n">
        <x:v>2</x:v>
      </x:c>
      <x:c r="F432" s="3" t="n">
        <x:v>4</x:v>
      </x:c>
      <x:c r="G432" s="9" t="n">
        <x:v>0.14</x:v>
      </x:c>
      <x:c r="H432" s="9" t="n">
        <x:v>1.147412</x:v>
      </x:c>
      <x:c r="I432" s="9" t="n">
        <x:f>'Physical_Arcs'!R12</x:f>
        <x:v>7.972222222222222</x:v>
      </x:c>
      <x:c r="J432" s="9" t="n">
        <x:f>I432*'Parameters'!$C$18</x:f>
        <x:v>1.5944444444444446</x:v>
      </x:c>
      <x:c r="K432" s="9" t="n">
        <x:f>J432*'Parameters'!$C$19</x:f>
        <x:v>1.9930555555555558</x:v>
      </x:c>
      <x:c r="L432" s="9" t="n">
        <x:f>I432*(1-0.40)-J432</x:f>
        <x:v>3.1888888888888887</x:v>
      </x:c>
      <x:c r="M432" s="9" t="n">
        <x:f>'Physical_Arcs'!S12</x:f>
        <x:v>7.972222222222222</x:v>
      </x:c>
      <x:c r="N432" s="9" t="n">
        <x:f>M432*'Parameters'!$C$18</x:f>
        <x:v>1.5944444444444446</x:v>
      </x:c>
      <x:c r="O432" s="9" t="n">
        <x:f>N432*'Parameters'!$C$19</x:f>
        <x:v>1.9930555555555558</x:v>
      </x:c>
      <x:c r="P432" s="9" t="n">
        <x:f>M432*(1-0.40)-N432</x:f>
        <x:v>3.1888888888888887</x:v>
      </x:c>
      <x:c r="Q432" s="9" t="n">
        <x:f>'Physical_Arcs'!T12</x:f>
        <x:v>4</x:v>
      </x:c>
      <x:c r="R432" s="9" t="n">
        <x:f>Q432*'Parameters'!$C$18</x:f>
        <x:v>0.8</x:v>
      </x:c>
      <x:c r="S432" s="9" t="n">
        <x:f>R432*'Parameters'!$C$19</x:f>
        <x:v>1</x:v>
      </x:c>
      <x:c r="T432" s="9" t="n">
        <x:f>Q432*(1-0.40)-R432</x:f>
        <x:v>1.5999999999999999</x:v>
      </x:c>
    </x:row>
    <x:row r="433" ht="21" customHeight="1">
      <x:c r="A433" s="3" t="n">
        <x:v>7</x:v>
      </x:c>
      <x:c r="B433" s="3" t="str">
        <x:v>01:10</x:v>
      </x:c>
      <x:c r="C433" s="3" t="n">
        <x:v>2</x:v>
      </x:c>
      <x:c r="D433" s="3" t="n">
        <x:v>12</x:v>
      </x:c>
      <x:c r="E433" s="3" t="n">
        <x:v>2</x:v>
      </x:c>
      <x:c r="F433" s="3" t="n">
        <x:v>7</x:v>
      </x:c>
      <x:c r="G433" s="9" t="n">
        <x:v>0.14</x:v>
      </x:c>
      <x:c r="H433" s="9" t="n">
        <x:v>0.96729</x:v>
      </x:c>
      <x:c r="I433" s="9" t="n">
        <x:f>'Physical_Arcs'!R13</x:f>
        <x:v>4.611111111111111</x:v>
      </x:c>
      <x:c r="J433" s="9" t="n">
        <x:f>I433*'Parameters'!$C$18</x:f>
        <x:v>0.9222222222222222</x:v>
      </x:c>
      <x:c r="K433" s="9" t="n">
        <x:f>J433*'Parameters'!$C$19</x:f>
        <x:v>1.1527777777777777</x:v>
      </x:c>
      <x:c r="L433" s="9" t="n">
        <x:f>I433*(1-0.40)-J433</x:f>
        <x:v>1.844444444444444</x:v>
      </x:c>
      <x:c r="M433" s="9" t="n">
        <x:f>'Physical_Arcs'!S13</x:f>
        <x:v>4.611111111111111</x:v>
      </x:c>
      <x:c r="N433" s="9" t="n">
        <x:f>M433*'Parameters'!$C$18</x:f>
        <x:v>0.9222222222222222</x:v>
      </x:c>
      <x:c r="O433" s="9" t="n">
        <x:f>N433*'Parameters'!$C$19</x:f>
        <x:v>1.1527777777777777</x:v>
      </x:c>
      <x:c r="P433" s="9" t="n">
        <x:f>M433*(1-0.40)-N433</x:f>
        <x:v>1.844444444444444</x:v>
      </x:c>
      <x:c r="Q433" s="9" t="n">
        <x:f>'Physical_Arcs'!T13</x:f>
        <x:v>2.3055555555555554</x:v>
      </x:c>
      <x:c r="R433" s="9" t="n">
        <x:f>Q433*'Parameters'!$C$18</x:f>
        <x:v>0.4611111111111111</x:v>
      </x:c>
      <x:c r="S433" s="9" t="n">
        <x:f>R433*'Parameters'!$C$19</x:f>
        <x:v>0.5763888888888888</x:v>
      </x:c>
      <x:c r="T433" s="9" t="n">
        <x:f>Q433*(1-0.40)-R433</x:f>
        <x:v>0.922222222222222</x:v>
      </x:c>
    </x:row>
    <x:row r="434" ht="21" customHeight="1">
      <x:c r="A434" s="3" t="n">
        <x:v>7</x:v>
      </x:c>
      <x:c r="B434" s="3" t="str">
        <x:v>01:10</x:v>
      </x:c>
      <x:c r="C434" s="3" t="n">
        <x:v>2</x:v>
      </x:c>
      <x:c r="D434" s="3" t="n">
        <x:v>13</x:v>
      </x:c>
      <x:c r="E434" s="3" t="n">
        <x:v>2</x:v>
      </x:c>
      <x:c r="F434" s="3" t="n">
        <x:v>9</x:v>
      </x:c>
      <x:c r="G434" s="9" t="n">
        <x:v>0.14</x:v>
      </x:c>
      <x:c r="H434" s="9" t="n">
        <x:v>1.117625</x:v>
      </x:c>
      <x:c r="I434" s="9" t="n">
        <x:f>'Physical_Arcs'!R14</x:f>
        <x:v>8.666666666666666</x:v>
      </x:c>
      <x:c r="J434" s="9" t="n">
        <x:f>I434*'Parameters'!$C$18</x:f>
        <x:v>1.7333333333333334</x:v>
      </x:c>
      <x:c r="K434" s="9" t="n">
        <x:f>J434*'Parameters'!$C$19</x:f>
        <x:v>2.166666666666667</x:v>
      </x:c>
      <x:c r="L434" s="9" t="n">
        <x:f>I434*(1-0.40)-J434</x:f>
        <x:v>3.466666666666666</x:v>
      </x:c>
      <x:c r="M434" s="9" t="n">
        <x:f>'Physical_Arcs'!S14</x:f>
        <x:v>8.666666666666666</x:v>
      </x:c>
      <x:c r="N434" s="9" t="n">
        <x:f>M434*'Parameters'!$C$18</x:f>
        <x:v>1.7333333333333334</x:v>
      </x:c>
      <x:c r="O434" s="9" t="n">
        <x:f>N434*'Parameters'!$C$19</x:f>
        <x:v>2.166666666666667</x:v>
      </x:c>
      <x:c r="P434" s="9" t="n">
        <x:f>M434*(1-0.40)-N434</x:f>
        <x:v>3.466666666666666</x:v>
      </x:c>
      <x:c r="Q434" s="9" t="n">
        <x:f>'Physical_Arcs'!T14</x:f>
        <x:v>4.333333333333333</x:v>
      </x:c>
      <x:c r="R434" s="9" t="n">
        <x:f>Q434*'Parameters'!$C$18</x:f>
        <x:v>0.8666666666666667</x:v>
      </x:c>
      <x:c r="S434" s="9" t="n">
        <x:f>R434*'Parameters'!$C$19</x:f>
        <x:v>1.0833333333333335</x:v>
      </x:c>
      <x:c r="T434" s="9" t="n">
        <x:f>Q434*(1-0.40)-R434</x:f>
        <x:v>1.733333333333333</x:v>
      </x:c>
    </x:row>
    <x:row r="435" ht="21" customHeight="1">
      <x:c r="A435" s="3" t="n">
        <x:v>7</x:v>
      </x:c>
      <x:c r="B435" s="3" t="str">
        <x:v>01:10</x:v>
      </x:c>
      <x:c r="C435" s="3" t="n">
        <x:v>2</x:v>
      </x:c>
      <x:c r="D435" s="3" t="n">
        <x:v>14</x:v>
      </x:c>
      <x:c r="E435" s="3" t="n">
        <x:v>2</x:v>
      </x:c>
      <x:c r="F435" s="3" t="n">
        <x:v>8</x:v>
      </x:c>
      <x:c r="G435" s="9" t="n">
        <x:v>0.14</x:v>
      </x:c>
      <x:c r="H435" s="9" t="n">
        <x:v>1.144902</x:v>
      </x:c>
      <x:c r="I435" s="9" t="n">
        <x:f>'Physical_Arcs'!R15</x:f>
        <x:v>7.75</x:v>
      </x:c>
      <x:c r="J435" s="9" t="n">
        <x:f>I435*'Parameters'!$C$18</x:f>
        <x:v>1.55</x:v>
      </x:c>
      <x:c r="K435" s="9" t="n">
        <x:f>J435*'Parameters'!$C$19</x:f>
        <x:v>1.9375</x:v>
      </x:c>
      <x:c r="L435" s="9" t="n">
        <x:f>I435*(1-0.40)-J435</x:f>
        <x:v>3.0999999999999996</x:v>
      </x:c>
      <x:c r="M435" s="9" t="n">
        <x:f>'Physical_Arcs'!S15</x:f>
        <x:v>7.75</x:v>
      </x:c>
      <x:c r="N435" s="9" t="n">
        <x:f>M435*'Parameters'!$C$18</x:f>
        <x:v>1.55</x:v>
      </x:c>
      <x:c r="O435" s="9" t="n">
        <x:f>N435*'Parameters'!$C$19</x:f>
        <x:v>1.9375</x:v>
      </x:c>
      <x:c r="P435" s="9" t="n">
        <x:f>M435*(1-0.40)-N435</x:f>
        <x:v>3.0999999999999996</x:v>
      </x:c>
      <x:c r="Q435" s="9" t="n">
        <x:f>'Physical_Arcs'!T15</x:f>
        <x:v>3.888888888888889</x:v>
      </x:c>
      <x:c r="R435" s="9" t="n">
        <x:f>Q435*'Parameters'!$C$18</x:f>
        <x:v>0.7777777777777778</x:v>
      </x:c>
      <x:c r="S435" s="9" t="n">
        <x:f>R435*'Parameters'!$C$19</x:f>
        <x:v>0.9722222222222222</x:v>
      </x:c>
      <x:c r="T435" s="9" t="n">
        <x:f>Q435*(1-0.40)-R435</x:f>
        <x:v>1.5555555555555554</x:v>
      </x:c>
    </x:row>
    <x:row r="436" ht="21" customHeight="1">
      <x:c r="A436" s="3" t="n">
        <x:v>7</x:v>
      </x:c>
      <x:c r="B436" s="3" t="str">
        <x:v>01:10</x:v>
      </x:c>
      <x:c r="C436" s="3" t="n">
        <x:v>2</x:v>
      </x:c>
      <x:c r="D436" s="3" t="n">
        <x:v>15</x:v>
      </x:c>
      <x:c r="E436" s="3" t="n">
        <x:v>2</x:v>
      </x:c>
      <x:c r="F436" s="3" t="n">
        <x:v>10</x:v>
      </x:c>
      <x:c r="G436" s="9" t="n">
        <x:v>0.14</x:v>
      </x:c>
      <x:c r="H436" s="9" t="n">
        <x:v>1.146684</x:v>
      </x:c>
      <x:c r="I436" s="9" t="n">
        <x:f>'Physical_Arcs'!R16</x:f>
        <x:v>7.416666666666667</x:v>
      </x:c>
      <x:c r="J436" s="9" t="n">
        <x:f>I436*'Parameters'!$C$18</x:f>
        <x:v>1.4833333333333334</x:v>
      </x:c>
      <x:c r="K436" s="9" t="n">
        <x:f>J436*'Parameters'!$C$19</x:f>
        <x:v>1.8541666666666667</x:v>
      </x:c>
      <x:c r="L436" s="9" t="n">
        <x:f>I436*(1-0.40)-J436</x:f>
        <x:v>2.966666666666667</x:v>
      </x:c>
      <x:c r="M436" s="9" t="n">
        <x:f>'Physical_Arcs'!S16</x:f>
        <x:v>7.416666666666667</x:v>
      </x:c>
      <x:c r="N436" s="9" t="n">
        <x:f>M436*'Parameters'!$C$18</x:f>
        <x:v>1.4833333333333334</x:v>
      </x:c>
      <x:c r="O436" s="9" t="n">
        <x:f>N436*'Parameters'!$C$19</x:f>
        <x:v>1.8541666666666667</x:v>
      </x:c>
      <x:c r="P436" s="9" t="n">
        <x:f>M436*(1-0.40)-N436</x:f>
        <x:v>2.966666666666667</x:v>
      </x:c>
      <x:c r="Q436" s="9" t="n">
        <x:f>'Physical_Arcs'!T16</x:f>
        <x:v>3.7222222222222223</x:v>
      </x:c>
      <x:c r="R436" s="9" t="n">
        <x:f>Q436*'Parameters'!$C$18</x:f>
        <x:v>0.7444444444444445</x:v>
      </x:c>
      <x:c r="S436" s="9" t="n">
        <x:f>R436*'Parameters'!$C$19</x:f>
        <x:v>0.9305555555555556</x:v>
      </x:c>
      <x:c r="T436" s="9" t="n">
        <x:f>Q436*(1-0.40)-R436</x:f>
        <x:v>1.488888888888889</x:v>
      </x:c>
    </x:row>
    <x:row r="437" ht="21" customHeight="1">
      <x:c r="A437" s="3" t="n">
        <x:v>7</x:v>
      </x:c>
      <x:c r="B437" s="3" t="str">
        <x:v>01:10</x:v>
      </x:c>
      <x:c r="C437" s="3" t="n">
        <x:v>2</x:v>
      </x:c>
      <x:c r="D437" s="3" t="n">
        <x:v>16</x:v>
      </x:c>
      <x:c r="E437" s="3" t="n">
        <x:v>3</x:v>
      </x:c>
      <x:c r="F437" s="3" t="n">
        <x:v>4</x:v>
      </x:c>
      <x:c r="G437" s="9" t="n">
        <x:v>0.14</x:v>
      </x:c>
      <x:c r="H437" s="9" t="n">
        <x:v>1.017658</x:v>
      </x:c>
      <x:c r="I437" s="9" t="n">
        <x:f>'Physical_Arcs'!R17</x:f>
        <x:v>17.02777777777778</x:v>
      </x:c>
      <x:c r="J437" s="9" t="n">
        <x:f>I437*'Parameters'!$C$18</x:f>
        <x:v>3.405555555555556</x:v>
      </x:c>
      <x:c r="K437" s="9" t="n">
        <x:f>J437*'Parameters'!$C$19</x:f>
        <x:v>4.256944444444445</x:v>
      </x:c>
      <x:c r="L437" s="9" t="n">
        <x:f>I437*(1-0.40)-J437</x:f>
        <x:v>6.811111111111111</x:v>
      </x:c>
      <x:c r="M437" s="9" t="n">
        <x:f>'Physical_Arcs'!S17</x:f>
        <x:v>17.02777777777778</x:v>
      </x:c>
      <x:c r="N437" s="9" t="n">
        <x:f>M437*'Parameters'!$C$18</x:f>
        <x:v>3.405555555555556</x:v>
      </x:c>
      <x:c r="O437" s="9" t="n">
        <x:f>N437*'Parameters'!$C$19</x:f>
        <x:v>4.256944444444445</x:v>
      </x:c>
      <x:c r="P437" s="9" t="n">
        <x:f>M437*(1-0.40)-N437</x:f>
        <x:v>6.811111111111111</x:v>
      </x:c>
      <x:c r="Q437" s="9" t="n">
        <x:f>'Physical_Arcs'!T17</x:f>
        <x:v>17.02777777777778</x:v>
      </x:c>
      <x:c r="R437" s="9" t="n">
        <x:f>Q437*'Parameters'!$C$18</x:f>
        <x:v>3.405555555555556</x:v>
      </x:c>
      <x:c r="S437" s="9" t="n">
        <x:f>R437*'Parameters'!$C$19</x:f>
        <x:v>4.256944444444445</x:v>
      </x:c>
      <x:c r="T437" s="9" t="n">
        <x:f>Q437*(1-0.40)-R437</x:f>
        <x:v>6.811111111111111</x:v>
      </x:c>
    </x:row>
    <x:row r="438" ht="21" customHeight="1">
      <x:c r="A438" s="3" t="n">
        <x:v>7</x:v>
      </x:c>
      <x:c r="B438" s="3" t="str">
        <x:v>01:10</x:v>
      </x:c>
      <x:c r="C438" s="3" t="n">
        <x:v>2</x:v>
      </x:c>
      <x:c r="D438" s="3" t="n">
        <x:v>17</x:v>
      </x:c>
      <x:c r="E438" s="3" t="n">
        <x:v>3</x:v>
      </x:c>
      <x:c r="F438" s="3" t="n">
        <x:v>2</x:v>
      </x:c>
      <x:c r="G438" s="9" t="n">
        <x:v>0.14</x:v>
      </x:c>
      <x:c r="H438" s="9" t="n">
        <x:v>0.875995</x:v>
      </x:c>
      <x:c r="I438" s="9" t="n">
        <x:f>'Physical_Arcs'!R18</x:f>
        <x:v>10.666666666666666</x:v>
      </x:c>
      <x:c r="J438" s="9" t="n">
        <x:f>I438*'Parameters'!$C$18</x:f>
        <x:v>2.1333333333333333</x:v>
      </x:c>
      <x:c r="K438" s="9" t="n">
        <x:f>J438*'Parameters'!$C$19</x:f>
        <x:v>2.6666666666666665</x:v>
      </x:c>
      <x:c r="L438" s="9" t="n">
        <x:f>I438*(1-0.40)-J438</x:f>
        <x:v>4.266666666666666</x:v>
      </x:c>
      <x:c r="M438" s="9" t="n">
        <x:f>'Physical_Arcs'!S18</x:f>
        <x:v>10.666666666666666</x:v>
      </x:c>
      <x:c r="N438" s="9" t="n">
        <x:f>M438*'Parameters'!$C$18</x:f>
        <x:v>2.1333333333333333</x:v>
      </x:c>
      <x:c r="O438" s="9" t="n">
        <x:f>N438*'Parameters'!$C$19</x:f>
        <x:v>2.6666666666666665</x:v>
      </x:c>
      <x:c r="P438" s="9" t="n">
        <x:f>M438*(1-0.40)-N438</x:f>
        <x:v>4.266666666666666</x:v>
      </x:c>
      <x:c r="Q438" s="9" t="n">
        <x:f>'Physical_Arcs'!T18</x:f>
        <x:v>5.333333333333333</x:v>
      </x:c>
      <x:c r="R438" s="9" t="n">
        <x:f>Q438*'Parameters'!$C$18</x:f>
        <x:v>1.0666666666666667</x:v>
      </x:c>
      <x:c r="S438" s="9" t="n">
        <x:f>R438*'Parameters'!$C$19</x:f>
        <x:v>1.3333333333333333</x:v>
      </x:c>
      <x:c r="T438" s="9" t="n">
        <x:f>Q438*(1-0.40)-R438</x:f>
        <x:v>2.133333333333333</x:v>
      </x:c>
    </x:row>
    <x:row r="439" ht="21" customHeight="1">
      <x:c r="A439" s="3" t="n">
        <x:v>7</x:v>
      </x:c>
      <x:c r="B439" s="3" t="str">
        <x:v>01:10</x:v>
      </x:c>
      <x:c r="C439" s="3" t="n">
        <x:v>2</x:v>
      </x:c>
      <x:c r="D439" s="3" t="n">
        <x:v>18</x:v>
      </x:c>
      <x:c r="E439" s="3" t="n">
        <x:v>3</x:v>
      </x:c>
      <x:c r="F439" s="3" t="n">
        <x:v>1</x:v>
      </x:c>
      <x:c r="G439" s="9" t="n">
        <x:v>0.14</x:v>
      </x:c>
      <x:c r="H439" s="9" t="n">
        <x:v>1.015397</x:v>
      </x:c>
      <x:c r="I439" s="9" t="n">
        <x:f>'Physical_Arcs'!R19</x:f>
        <x:v>5.166666666666667</x:v>
      </x:c>
      <x:c r="J439" s="9" t="n">
        <x:f>I439*'Parameters'!$C$18</x:f>
        <x:v>1.0333333333333334</x:v>
      </x:c>
      <x:c r="K439" s="9" t="n">
        <x:f>J439*'Parameters'!$C$19</x:f>
        <x:v>1.2916666666666667</x:v>
      </x:c>
      <x:c r="L439" s="9" t="n">
        <x:f>I439*(1-0.40)-J439</x:f>
        <x:v>2.0666666666666664</x:v>
      </x:c>
      <x:c r="M439" s="9" t="n">
        <x:f>'Physical_Arcs'!S19</x:f>
        <x:v>5.166666666666667</x:v>
      </x:c>
      <x:c r="N439" s="9" t="n">
        <x:f>M439*'Parameters'!$C$18</x:f>
        <x:v>1.0333333333333334</x:v>
      </x:c>
      <x:c r="O439" s="9" t="n">
        <x:f>N439*'Parameters'!$C$19</x:f>
        <x:v>1.2916666666666667</x:v>
      </x:c>
      <x:c r="P439" s="9" t="n">
        <x:f>M439*(1-0.40)-N439</x:f>
        <x:v>2.0666666666666664</x:v>
      </x:c>
      <x:c r="Q439" s="9" t="n">
        <x:f>'Physical_Arcs'!T19</x:f>
        <x:v>2.5833333333333335</x:v>
      </x:c>
      <x:c r="R439" s="9" t="n">
        <x:f>Q439*'Parameters'!$C$18</x:f>
        <x:v>0.5166666666666667</x:v>
      </x:c>
      <x:c r="S439" s="9" t="n">
        <x:f>R439*'Parameters'!$C$19</x:f>
        <x:v>0.6458333333333334</x:v>
      </x:c>
      <x:c r="T439" s="9" t="n">
        <x:f>Q439*(1-0.40)-R439</x:f>
        <x:v>1.0333333333333332</x:v>
      </x:c>
    </x:row>
    <x:row r="440" ht="21" customHeight="1">
      <x:c r="A440" s="3" t="n">
        <x:v>7</x:v>
      </x:c>
      <x:c r="B440" s="3" t="str">
        <x:v>01:10</x:v>
      </x:c>
      <x:c r="C440" s="3" t="n">
        <x:v>2</x:v>
      </x:c>
      <x:c r="D440" s="3" t="n">
        <x:v>19</x:v>
      </x:c>
      <x:c r="E440" s="3" t="n">
        <x:v>3</x:v>
      </x:c>
      <x:c r="F440" s="3" t="n">
        <x:v>7</x:v>
      </x:c>
      <x:c r="G440" s="9" t="n">
        <x:v>0.14</x:v>
      </x:c>
      <x:c r="H440" s="9" t="n">
        <x:v>0.996008</x:v>
      </x:c>
      <x:c r="I440" s="9" t="n">
        <x:f>'Physical_Arcs'!R20</x:f>
        <x:v>5.75</x:v>
      </x:c>
      <x:c r="J440" s="9" t="n">
        <x:f>I440*'Parameters'!$C$18</x:f>
        <x:v>1.1500000000000001</x:v>
      </x:c>
      <x:c r="K440" s="9" t="n">
        <x:f>J440*'Parameters'!$C$19</x:f>
        <x:v>1.4375000000000002</x:v>
      </x:c>
      <x:c r="L440" s="9" t="n">
        <x:f>I440*(1-0.40)-J440</x:f>
        <x:v>2.3</x:v>
      </x:c>
      <x:c r="M440" s="9" t="n">
        <x:f>'Physical_Arcs'!S20</x:f>
        <x:v>5.75</x:v>
      </x:c>
      <x:c r="N440" s="9" t="n">
        <x:f>M440*'Parameters'!$C$18</x:f>
        <x:v>1.1500000000000001</x:v>
      </x:c>
      <x:c r="O440" s="9" t="n">
        <x:f>N440*'Parameters'!$C$19</x:f>
        <x:v>1.4375000000000002</x:v>
      </x:c>
      <x:c r="P440" s="9" t="n">
        <x:f>M440*(1-0.40)-N440</x:f>
        <x:v>2.3</x:v>
      </x:c>
      <x:c r="Q440" s="9" t="n">
        <x:f>'Physical_Arcs'!T20</x:f>
        <x:v>2.888888888888889</x:v>
      </x:c>
      <x:c r="R440" s="9" t="n">
        <x:f>Q440*'Parameters'!$C$18</x:f>
        <x:v>0.5777777777777778</x:v>
      </x:c>
      <x:c r="S440" s="9" t="n">
        <x:f>R440*'Parameters'!$C$19</x:f>
        <x:v>0.7222222222222223</x:v>
      </x:c>
      <x:c r="T440" s="9" t="n">
        <x:f>Q440*(1-0.40)-R440</x:f>
        <x:v>1.1555555555555554</x:v>
      </x:c>
    </x:row>
    <x:row r="441" ht="21" customHeight="1">
      <x:c r="A441" s="3" t="n">
        <x:v>7</x:v>
      </x:c>
      <x:c r="B441" s="3" t="str">
        <x:v>01:10</x:v>
      </x:c>
      <x:c r="C441" s="3" t="n">
        <x:v>2</x:v>
      </x:c>
      <x:c r="D441" s="3" t="n">
        <x:v>20</x:v>
      </x:c>
      <x:c r="E441" s="3" t="n">
        <x:v>3</x:v>
      </x:c>
      <x:c r="F441" s="3" t="n">
        <x:v>10</x:v>
      </x:c>
      <x:c r="G441" s="9" t="n">
        <x:v>0.14</x:v>
      </x:c>
      <x:c r="H441" s="9" t="n">
        <x:v>1.118855</x:v>
      </x:c>
      <x:c r="I441" s="9" t="n">
        <x:f>'Physical_Arcs'!R21</x:f>
        <x:v>5.166666666666667</x:v>
      </x:c>
      <x:c r="J441" s="9" t="n">
        <x:f>I441*'Parameters'!$C$18</x:f>
        <x:v>1.0333333333333334</x:v>
      </x:c>
      <x:c r="K441" s="9" t="n">
        <x:f>J441*'Parameters'!$C$19</x:f>
        <x:v>1.2916666666666667</x:v>
      </x:c>
      <x:c r="L441" s="9" t="n">
        <x:f>I441*(1-0.40)-J441</x:f>
        <x:v>2.0666666666666664</x:v>
      </x:c>
      <x:c r="M441" s="9" t="n">
        <x:f>'Physical_Arcs'!S21</x:f>
        <x:v>5.166666666666667</x:v>
      </x:c>
      <x:c r="N441" s="9" t="n">
        <x:f>M441*'Parameters'!$C$18</x:f>
        <x:v>1.0333333333333334</x:v>
      </x:c>
      <x:c r="O441" s="9" t="n">
        <x:f>N441*'Parameters'!$C$19</x:f>
        <x:v>1.2916666666666667</x:v>
      </x:c>
      <x:c r="P441" s="9" t="n">
        <x:f>M441*(1-0.40)-N441</x:f>
        <x:v>2.0666666666666664</x:v>
      </x:c>
      <x:c r="Q441" s="9" t="n">
        <x:f>'Physical_Arcs'!T21</x:f>
        <x:v>2.5833333333333335</x:v>
      </x:c>
      <x:c r="R441" s="9" t="n">
        <x:f>Q441*'Parameters'!$C$18</x:f>
        <x:v>0.5166666666666667</x:v>
      </x:c>
      <x:c r="S441" s="9" t="n">
        <x:f>R441*'Parameters'!$C$19</x:f>
        <x:v>0.6458333333333334</x:v>
      </x:c>
      <x:c r="T441" s="9" t="n">
        <x:f>Q441*(1-0.40)-R441</x:f>
        <x:v>1.0333333333333332</x:v>
      </x:c>
    </x:row>
    <x:row r="442" ht="21" customHeight="1">
      <x:c r="A442" s="3" t="n">
        <x:v>7</x:v>
      </x:c>
      <x:c r="B442" s="3" t="str">
        <x:v>01:10</x:v>
      </x:c>
      <x:c r="C442" s="3" t="n">
        <x:v>2</x:v>
      </x:c>
      <x:c r="D442" s="3" t="n">
        <x:v>21</x:v>
      </x:c>
      <x:c r="E442" s="3" t="n">
        <x:v>3</x:v>
      </x:c>
      <x:c r="F442" s="3" t="n">
        <x:v>9</x:v>
      </x:c>
      <x:c r="G442" s="9" t="n">
        <x:v>0.14</x:v>
      </x:c>
      <x:c r="H442" s="9" t="n">
        <x:v>0.947299</x:v>
      </x:c>
      <x:c r="I442" s="9" t="n">
        <x:f>'Physical_Arcs'!R22</x:f>
        <x:v>9.333333333333334</x:v>
      </x:c>
      <x:c r="J442" s="9" t="n">
        <x:f>I442*'Parameters'!$C$18</x:f>
        <x:v>1.866666666666667</x:v>
      </x:c>
      <x:c r="K442" s="9" t="n">
        <x:f>J442*'Parameters'!$C$19</x:f>
        <x:v>2.3333333333333335</x:v>
      </x:c>
      <x:c r="L442" s="9" t="n">
        <x:f>I442*(1-0.40)-J442</x:f>
        <x:v>3.7333333333333334</x:v>
      </x:c>
      <x:c r="M442" s="9" t="n">
        <x:f>'Physical_Arcs'!S22</x:f>
        <x:v>9.333333333333334</x:v>
      </x:c>
      <x:c r="N442" s="9" t="n">
        <x:f>M442*'Parameters'!$C$18</x:f>
        <x:v>1.866666666666667</x:v>
      </x:c>
      <x:c r="O442" s="9" t="n">
        <x:f>N442*'Parameters'!$C$19</x:f>
        <x:v>2.3333333333333335</x:v>
      </x:c>
      <x:c r="P442" s="9" t="n">
        <x:f>M442*(1-0.40)-N442</x:f>
        <x:v>3.7333333333333334</x:v>
      </x:c>
      <x:c r="Q442" s="9" t="n">
        <x:f>'Physical_Arcs'!T22</x:f>
        <x:v>4.666666666666667</x:v>
      </x:c>
      <x:c r="R442" s="9" t="n">
        <x:f>Q442*'Parameters'!$C$18</x:f>
        <x:v>0.9333333333333335</x:v>
      </x:c>
      <x:c r="S442" s="9" t="n">
        <x:f>R442*'Parameters'!$C$19</x:f>
        <x:v>1.1666666666666667</x:v>
      </x:c>
      <x:c r="T442" s="9" t="n">
        <x:f>Q442*(1-0.40)-R442</x:f>
        <x:v>1.8666666666666667</x:v>
      </x:c>
    </x:row>
    <x:row r="443" ht="21" customHeight="1">
      <x:c r="A443" s="3" t="n">
        <x:v>7</x:v>
      </x:c>
      <x:c r="B443" s="3" t="str">
        <x:v>01:10</x:v>
      </x:c>
      <x:c r="C443" s="3" t="n">
        <x:v>2</x:v>
      </x:c>
      <x:c r="D443" s="3" t="n">
        <x:v>22</x:v>
      </x:c>
      <x:c r="E443" s="3" t="n">
        <x:v>4</x:v>
      </x:c>
      <x:c r="F443" s="3" t="n">
        <x:v>5</x:v>
      </x:c>
      <x:c r="G443" s="9" t="n">
        <x:v>0.14</x:v>
      </x:c>
      <x:c r="H443" s="9" t="n">
        <x:v>0.958485</x:v>
      </x:c>
      <x:c r="I443" s="9" t="n">
        <x:f>'Physical_Arcs'!R23</x:f>
        <x:v>17.02777777777778</x:v>
      </x:c>
      <x:c r="J443" s="9" t="n">
        <x:f>I443*'Parameters'!$C$18</x:f>
        <x:v>3.405555555555556</x:v>
      </x:c>
      <x:c r="K443" s="9" t="n">
        <x:f>J443*'Parameters'!$C$19</x:f>
        <x:v>4.256944444444445</x:v>
      </x:c>
      <x:c r="L443" s="9" t="n">
        <x:f>I443*(1-0.40)-J443</x:f>
        <x:v>6.811111111111111</x:v>
      </x:c>
      <x:c r="M443" s="9" t="n">
        <x:f>'Physical_Arcs'!S23</x:f>
        <x:v>17.02777777777778</x:v>
      </x:c>
      <x:c r="N443" s="9" t="n">
        <x:f>M443*'Parameters'!$C$18</x:f>
        <x:v>3.405555555555556</x:v>
      </x:c>
      <x:c r="O443" s="9" t="n">
        <x:f>N443*'Parameters'!$C$19</x:f>
        <x:v>4.256944444444445</x:v>
      </x:c>
      <x:c r="P443" s="9" t="n">
        <x:f>M443*(1-0.40)-N443</x:f>
        <x:v>6.811111111111111</x:v>
      </x:c>
      <x:c r="Q443" s="9" t="n">
        <x:f>'Physical_Arcs'!T23</x:f>
        <x:v>17.02777777777778</x:v>
      </x:c>
      <x:c r="R443" s="9" t="n">
        <x:f>Q443*'Parameters'!$C$18</x:f>
        <x:v>3.405555555555556</x:v>
      </x:c>
      <x:c r="S443" s="9" t="n">
        <x:f>R443*'Parameters'!$C$19</x:f>
        <x:v>4.256944444444445</x:v>
      </x:c>
      <x:c r="T443" s="9" t="n">
        <x:f>Q443*(1-0.40)-R443</x:f>
        <x:v>6.811111111111111</x:v>
      </x:c>
    </x:row>
    <x:row r="444" ht="21" customHeight="1">
      <x:c r="A444" s="3" t="n">
        <x:v>7</x:v>
      </x:c>
      <x:c r="B444" s="3" t="str">
        <x:v>01:10</x:v>
      </x:c>
      <x:c r="C444" s="3" t="n">
        <x:v>2</x:v>
      </x:c>
      <x:c r="D444" s="3" t="n">
        <x:v>23</x:v>
      </x:c>
      <x:c r="E444" s="3" t="n">
        <x:v>4</x:v>
      </x:c>
      <x:c r="F444" s="3" t="n">
        <x:v>3</x:v>
      </x:c>
      <x:c r="G444" s="9" t="n">
        <x:v>0.14</x:v>
      </x:c>
      <x:c r="H444" s="9" t="n">
        <x:v>0.944916</x:v>
      </x:c>
      <x:c r="I444" s="9" t="n">
        <x:f>'Physical_Arcs'!R24</x:f>
        <x:v>9.333333333333334</x:v>
      </x:c>
      <x:c r="J444" s="9" t="n">
        <x:f>I444*'Parameters'!$C$18</x:f>
        <x:v>1.866666666666667</x:v>
      </x:c>
      <x:c r="K444" s="9" t="n">
        <x:f>J444*'Parameters'!$C$19</x:f>
        <x:v>2.3333333333333335</x:v>
      </x:c>
      <x:c r="L444" s="9" t="n">
        <x:f>I444*(1-0.40)-J444</x:f>
        <x:v>3.7333333333333334</x:v>
      </x:c>
      <x:c r="M444" s="9" t="n">
        <x:f>'Physical_Arcs'!S24</x:f>
        <x:v>9.333333333333334</x:v>
      </x:c>
      <x:c r="N444" s="9" t="n">
        <x:f>M444*'Parameters'!$C$18</x:f>
        <x:v>1.866666666666667</x:v>
      </x:c>
      <x:c r="O444" s="9" t="n">
        <x:f>N444*'Parameters'!$C$19</x:f>
        <x:v>2.3333333333333335</x:v>
      </x:c>
      <x:c r="P444" s="9" t="n">
        <x:f>M444*(1-0.40)-N444</x:f>
        <x:v>3.7333333333333334</x:v>
      </x:c>
      <x:c r="Q444" s="9" t="n">
        <x:f>'Physical_Arcs'!T24</x:f>
        <x:v>4.666666666666667</x:v>
      </x:c>
      <x:c r="R444" s="9" t="n">
        <x:f>Q444*'Parameters'!$C$18</x:f>
        <x:v>0.9333333333333335</x:v>
      </x:c>
      <x:c r="S444" s="9" t="n">
        <x:f>R444*'Parameters'!$C$19</x:f>
        <x:v>1.1666666666666667</x:v>
      </x:c>
      <x:c r="T444" s="9" t="n">
        <x:f>Q444*(1-0.40)-R444</x:f>
        <x:v>1.8666666666666667</x:v>
      </x:c>
    </x:row>
    <x:row r="445" ht="21" customHeight="1">
      <x:c r="A445" s="3" t="n">
        <x:v>7</x:v>
      </x:c>
      <x:c r="B445" s="3" t="str">
        <x:v>01:10</x:v>
      </x:c>
      <x:c r="C445" s="3" t="n">
        <x:v>2</x:v>
      </x:c>
      <x:c r="D445" s="3" t="n">
        <x:v>24</x:v>
      </x:c>
      <x:c r="E445" s="3" t="n">
        <x:v>4</x:v>
      </x:c>
      <x:c r="F445" s="3" t="n">
        <x:v>10</x:v>
      </x:c>
      <x:c r="G445" s="9" t="n">
        <x:v>0.14</x:v>
      </x:c>
      <x:c r="H445" s="9" t="n">
        <x:v>0.875461</x:v>
      </x:c>
      <x:c r="I445" s="9" t="n">
        <x:f>'Physical_Arcs'!R25</x:f>
        <x:v>7.194444444444445</x:v>
      </x:c>
      <x:c r="J445" s="9" t="n">
        <x:f>I445*'Parameters'!$C$18</x:f>
        <x:v>1.438888888888889</x:v>
      </x:c>
      <x:c r="K445" s="9" t="n">
        <x:f>J445*'Parameters'!$C$19</x:f>
        <x:v>1.7986111111111114</x:v>
      </x:c>
      <x:c r="L445" s="9" t="n">
        <x:f>I445*(1-0.40)-J445</x:f>
        <x:v>2.8777777777777773</x:v>
      </x:c>
      <x:c r="M445" s="9" t="n">
        <x:f>'Physical_Arcs'!S25</x:f>
        <x:v>7.194444444444445</x:v>
      </x:c>
      <x:c r="N445" s="9" t="n">
        <x:f>M445*'Parameters'!$C$18</x:f>
        <x:v>1.438888888888889</x:v>
      </x:c>
      <x:c r="O445" s="9" t="n">
        <x:f>N445*'Parameters'!$C$19</x:f>
        <x:v>1.7986111111111114</x:v>
      </x:c>
      <x:c r="P445" s="9" t="n">
        <x:f>M445*(1-0.40)-N445</x:f>
        <x:v>2.8777777777777773</x:v>
      </x:c>
      <x:c r="Q445" s="9" t="n">
        <x:f>'Physical_Arcs'!T25</x:f>
        <x:v>3.611111111111111</x:v>
      </x:c>
      <x:c r="R445" s="9" t="n">
        <x:f>Q445*'Parameters'!$C$18</x:f>
        <x:v>0.7222222222222223</x:v>
      </x:c>
      <x:c r="S445" s="9" t="n">
        <x:f>R445*'Parameters'!$C$19</x:f>
        <x:v>0.9027777777777779</x:v>
      </x:c>
      <x:c r="T445" s="9" t="n">
        <x:f>Q445*(1-0.40)-R445</x:f>
        <x:v>1.4444444444444442</x:v>
      </x:c>
    </x:row>
    <x:row r="446" ht="21" customHeight="1">
      <x:c r="A446" s="3" t="n">
        <x:v>7</x:v>
      </x:c>
      <x:c r="B446" s="3" t="str">
        <x:v>01:10</x:v>
      </x:c>
      <x:c r="C446" s="3" t="n">
        <x:v>2</x:v>
      </x:c>
      <x:c r="D446" s="3" t="n">
        <x:v>25</x:v>
      </x:c>
      <x:c r="E446" s="3" t="n">
        <x:v>4</x:v>
      </x:c>
      <x:c r="F446" s="3" t="n">
        <x:v>8</x:v>
      </x:c>
      <x:c r="G446" s="9" t="n">
        <x:v>0.14</x:v>
      </x:c>
      <x:c r="H446" s="9" t="n">
        <x:v>0.993326</x:v>
      </x:c>
      <x:c r="I446" s="9" t="n">
        <x:f>'Physical_Arcs'!R26</x:f>
        <x:v>5.277777777777778</x:v>
      </x:c>
      <x:c r="J446" s="9" t="n">
        <x:f>I446*'Parameters'!$C$18</x:f>
        <x:v>1.0555555555555556</x:v>
      </x:c>
      <x:c r="K446" s="9" t="n">
        <x:f>J446*'Parameters'!$C$19</x:f>
        <x:v>1.3194444444444444</x:v>
      </x:c>
      <x:c r="L446" s="9" t="n">
        <x:f>I446*(1-0.40)-J446</x:f>
        <x:v>2.1111111111111107</x:v>
      </x:c>
      <x:c r="M446" s="9" t="n">
        <x:f>'Physical_Arcs'!S26</x:f>
        <x:v>5.277777777777778</x:v>
      </x:c>
      <x:c r="N446" s="9" t="n">
        <x:f>M446*'Parameters'!$C$18</x:f>
        <x:v>1.0555555555555556</x:v>
      </x:c>
      <x:c r="O446" s="9" t="n">
        <x:f>N446*'Parameters'!$C$19</x:f>
        <x:v>1.3194444444444444</x:v>
      </x:c>
      <x:c r="P446" s="9" t="n">
        <x:f>M446*(1-0.40)-N446</x:f>
        <x:v>2.1111111111111107</x:v>
      </x:c>
      <x:c r="Q446" s="9" t="n">
        <x:f>'Physical_Arcs'!T26</x:f>
        <x:v>2.638888888888889</x:v>
      </x:c>
      <x:c r="R446" s="9" t="n">
        <x:f>Q446*'Parameters'!$C$18</x:f>
        <x:v>0.5277777777777778</x:v>
      </x:c>
      <x:c r="S446" s="9" t="n">
        <x:f>R446*'Parameters'!$C$19</x:f>
        <x:v>0.6597222222222222</x:v>
      </x:c>
      <x:c r="T446" s="9" t="n">
        <x:f>Q446*(1-0.40)-R446</x:f>
        <x:v>1.0555555555555554</x:v>
      </x:c>
    </x:row>
    <x:row r="447" ht="21" customHeight="1">
      <x:c r="A447" s="3" t="n">
        <x:v>7</x:v>
      </x:c>
      <x:c r="B447" s="3" t="str">
        <x:v>01:10</x:v>
      </x:c>
      <x:c r="C447" s="3" t="n">
        <x:v>2</x:v>
      </x:c>
      <x:c r="D447" s="3" t="n">
        <x:v>26</x:v>
      </x:c>
      <x:c r="E447" s="3" t="n">
        <x:v>4</x:v>
      </x:c>
      <x:c r="F447" s="3" t="n">
        <x:v>7</x:v>
      </x:c>
      <x:c r="G447" s="9" t="n">
        <x:v>0.14</x:v>
      </x:c>
      <x:c r="H447" s="9" t="n">
        <x:v>1.099203</x:v>
      </x:c>
      <x:c r="I447" s="9" t="n">
        <x:f>'Physical_Arcs'!R27</x:f>
        <x:v>6.527777777777778</x:v>
      </x:c>
      <x:c r="J447" s="9" t="n">
        <x:f>I447*'Parameters'!$C$18</x:f>
        <x:v>1.3055555555555556</x:v>
      </x:c>
      <x:c r="K447" s="9" t="n">
        <x:f>J447*'Parameters'!$C$19</x:f>
        <x:v>1.6319444444444444</x:v>
      </x:c>
      <x:c r="L447" s="9" t="n">
        <x:f>I447*(1-0.40)-J447</x:f>
        <x:v>2.6111111111111107</x:v>
      </x:c>
      <x:c r="M447" s="9" t="n">
        <x:f>'Physical_Arcs'!S27</x:f>
        <x:v>6.527777777777778</x:v>
      </x:c>
      <x:c r="N447" s="9" t="n">
        <x:f>M447*'Parameters'!$C$18</x:f>
        <x:v>1.3055555555555556</x:v>
      </x:c>
      <x:c r="O447" s="9" t="n">
        <x:f>N447*'Parameters'!$C$19</x:f>
        <x:v>1.6319444444444444</x:v>
      </x:c>
      <x:c r="P447" s="9" t="n">
        <x:f>M447*(1-0.40)-N447</x:f>
        <x:v>2.6111111111111107</x:v>
      </x:c>
      <x:c r="Q447" s="9" t="n">
        <x:f>'Physical_Arcs'!T27</x:f>
        <x:v>3.2777777777777777</x:v>
      </x:c>
      <x:c r="R447" s="9" t="n">
        <x:f>Q447*'Parameters'!$C$18</x:f>
        <x:v>0.6555555555555556</x:v>
      </x:c>
      <x:c r="S447" s="9" t="n">
        <x:f>R447*'Parameters'!$C$19</x:f>
        <x:v>0.8194444444444444</x:v>
      </x:c>
      <x:c r="T447" s="9" t="n">
        <x:f>Q447*(1-0.40)-R447</x:f>
        <x:v>1.311111111111111</x:v>
      </x:c>
    </x:row>
    <x:row r="448" ht="21" customHeight="1">
      <x:c r="A448" s="3" t="n">
        <x:v>7</x:v>
      </x:c>
      <x:c r="B448" s="3" t="str">
        <x:v>01:10</x:v>
      </x:c>
      <x:c r="C448" s="3" t="n">
        <x:v>2</x:v>
      </x:c>
      <x:c r="D448" s="3" t="n">
        <x:v>27</x:v>
      </x:c>
      <x:c r="E448" s="3" t="n">
        <x:v>4</x:v>
      </x:c>
      <x:c r="F448" s="3" t="n">
        <x:v>2</x:v>
      </x:c>
      <x:c r="G448" s="9" t="n">
        <x:v>0.14</x:v>
      </x:c>
      <x:c r="H448" s="9" t="n">
        <x:v>0.861111</x:v>
      </x:c>
      <x:c r="I448" s="9" t="n">
        <x:f>'Physical_Arcs'!R28</x:f>
        <x:v>4.944444444444445</x:v>
      </x:c>
      <x:c r="J448" s="9" t="n">
        <x:f>I448*'Parameters'!$C$18</x:f>
        <x:v>0.9888888888888889</x:v>
      </x:c>
      <x:c r="K448" s="9" t="n">
        <x:f>J448*'Parameters'!$C$19</x:f>
        <x:v>1.2361111111111112</x:v>
      </x:c>
      <x:c r="L448" s="9" t="n">
        <x:f>I448*(1-0.40)-J448</x:f>
        <x:v>1.9777777777777779</x:v>
      </x:c>
      <x:c r="M448" s="9" t="n">
        <x:f>'Physical_Arcs'!S28</x:f>
        <x:v>4.944444444444445</x:v>
      </x:c>
      <x:c r="N448" s="9" t="n">
        <x:f>M448*'Parameters'!$C$18</x:f>
        <x:v>0.9888888888888889</x:v>
      </x:c>
      <x:c r="O448" s="9" t="n">
        <x:f>N448*'Parameters'!$C$19</x:f>
        <x:v>1.2361111111111112</x:v>
      </x:c>
      <x:c r="P448" s="9" t="n">
        <x:f>M448*(1-0.40)-N448</x:f>
        <x:v>1.9777777777777779</x:v>
      </x:c>
      <x:c r="Q448" s="9" t="n">
        <x:f>'Physical_Arcs'!T28</x:f>
        <x:v>2.4722222222222223</x:v>
      </x:c>
      <x:c r="R448" s="9" t="n">
        <x:f>Q448*'Parameters'!$C$18</x:f>
        <x:v>0.49444444444444446</x:v>
      </x:c>
      <x:c r="S448" s="9" t="n">
        <x:f>R448*'Parameters'!$C$19</x:f>
        <x:v>0.6180555555555556</x:v>
      </x:c>
      <x:c r="T448" s="9" t="n">
        <x:f>Q448*(1-0.40)-R448</x:f>
        <x:v>0.9888888888888889</x:v>
      </x:c>
    </x:row>
    <x:row r="449" ht="21" customHeight="1">
      <x:c r="A449" s="3" t="n">
        <x:v>7</x:v>
      </x:c>
      <x:c r="B449" s="3" t="str">
        <x:v>01:10</x:v>
      </x:c>
      <x:c r="C449" s="3" t="n">
        <x:v>2</x:v>
      </x:c>
      <x:c r="D449" s="3" t="n">
        <x:v>28</x:v>
      </x:c>
      <x:c r="E449" s="3" t="n">
        <x:v>4</x:v>
      </x:c>
      <x:c r="F449" s="3" t="n">
        <x:v>6</x:v>
      </x:c>
      <x:c r="G449" s="9" t="n">
        <x:v>0.14</x:v>
      </x:c>
      <x:c r="H449" s="9" t="n">
        <x:v>1.137214</x:v>
      </x:c>
      <x:c r="I449" s="9" t="n">
        <x:f>'Physical_Arcs'!R29</x:f>
        <x:v>3.388888888888889</x:v>
      </x:c>
      <x:c r="J449" s="9" t="n">
        <x:f>I449*'Parameters'!$C$18</x:f>
        <x:v>0.6777777777777778</x:v>
      </x:c>
      <x:c r="K449" s="9" t="n">
        <x:f>J449*'Parameters'!$C$19</x:f>
        <x:v>0.8472222222222223</x:v>
      </x:c>
      <x:c r="L449" s="9" t="n">
        <x:f>I449*(1-0.40)-J449</x:f>
        <x:v>1.3555555555555554</x:v>
      </x:c>
      <x:c r="M449" s="9" t="n">
        <x:f>'Physical_Arcs'!S29</x:f>
        <x:v>3.388888888888889</x:v>
      </x:c>
      <x:c r="N449" s="9" t="n">
        <x:f>M449*'Parameters'!$C$18</x:f>
        <x:v>0.6777777777777778</x:v>
      </x:c>
      <x:c r="O449" s="9" t="n">
        <x:f>N449*'Parameters'!$C$19</x:f>
        <x:v>0.8472222222222223</x:v>
      </x:c>
      <x:c r="P449" s="9" t="n">
        <x:f>M449*(1-0.40)-N449</x:f>
        <x:v>1.3555555555555554</x:v>
      </x:c>
      <x:c r="Q449" s="9" t="n">
        <x:f>'Physical_Arcs'!T29</x:f>
        <x:v>1.6944444444444444</x:v>
      </x:c>
      <x:c r="R449" s="9" t="n">
        <x:f>Q449*'Parameters'!$C$18</x:f>
        <x:v>0.3388888888888889</x:v>
      </x:c>
      <x:c r="S449" s="9" t="n">
        <x:f>R449*'Parameters'!$C$19</x:f>
        <x:v>0.42361111111111116</x:v>
      </x:c>
      <x:c r="T449" s="9" t="n">
        <x:f>Q449*(1-0.40)-R449</x:f>
        <x:v>0.6777777777777777</x:v>
      </x:c>
    </x:row>
    <x:row r="450" ht="21" customHeight="1">
      <x:c r="A450" s="3" t="n">
        <x:v>7</x:v>
      </x:c>
      <x:c r="B450" s="3" t="str">
        <x:v>01:10</x:v>
      </x:c>
      <x:c r="C450" s="3" t="n">
        <x:v>2</x:v>
      </x:c>
      <x:c r="D450" s="3" t="n">
        <x:v>29</x:v>
      </x:c>
      <x:c r="E450" s="3" t="n">
        <x:v>5</x:v>
      </x:c>
      <x:c r="F450" s="3" t="n">
        <x:v>6</x:v>
      </x:c>
      <x:c r="G450" s="9" t="n">
        <x:v>0.14</x:v>
      </x:c>
      <x:c r="H450" s="9" t="n">
        <x:v>0.949994</x:v>
      </x:c>
      <x:c r="I450" s="9" t="n">
        <x:f>'Physical_Arcs'!R30</x:f>
        <x:v>17.02777777777778</x:v>
      </x:c>
      <x:c r="J450" s="9" t="n">
        <x:f>I450*'Parameters'!$C$18</x:f>
        <x:v>3.405555555555556</x:v>
      </x:c>
      <x:c r="K450" s="9" t="n">
        <x:f>J450*'Parameters'!$C$19</x:f>
        <x:v>4.256944444444445</x:v>
      </x:c>
      <x:c r="L450" s="9" t="n">
        <x:f>I450*(1-0.40)-J450</x:f>
        <x:v>6.811111111111111</x:v>
      </x:c>
      <x:c r="M450" s="9" t="n">
        <x:f>'Physical_Arcs'!S30</x:f>
        <x:v>17.02777777777778</x:v>
      </x:c>
      <x:c r="N450" s="9" t="n">
        <x:f>M450*'Parameters'!$C$18</x:f>
        <x:v>3.405555555555556</x:v>
      </x:c>
      <x:c r="O450" s="9" t="n">
        <x:f>N450*'Parameters'!$C$19</x:f>
        <x:v>4.256944444444445</x:v>
      </x:c>
      <x:c r="P450" s="9" t="n">
        <x:f>M450*(1-0.40)-N450</x:f>
        <x:v>6.811111111111111</x:v>
      </x:c>
      <x:c r="Q450" s="9" t="n">
        <x:f>'Physical_Arcs'!T30</x:f>
        <x:v>17.02777777777778</x:v>
      </x:c>
      <x:c r="R450" s="9" t="n">
        <x:f>Q450*'Parameters'!$C$18</x:f>
        <x:v>3.405555555555556</x:v>
      </x:c>
      <x:c r="S450" s="9" t="n">
        <x:f>R450*'Parameters'!$C$19</x:f>
        <x:v>4.256944444444445</x:v>
      </x:c>
      <x:c r="T450" s="9" t="n">
        <x:f>Q450*(1-0.40)-R450</x:f>
        <x:v>6.811111111111111</x:v>
      </x:c>
    </x:row>
    <x:row r="451" ht="21" customHeight="1">
      <x:c r="A451" s="3" t="n">
        <x:v>7</x:v>
      </x:c>
      <x:c r="B451" s="3" t="str">
        <x:v>01:10</x:v>
      </x:c>
      <x:c r="C451" s="3" t="n">
        <x:v>2</x:v>
      </x:c>
      <x:c r="D451" s="3" t="n">
        <x:v>30</x:v>
      </x:c>
      <x:c r="E451" s="3" t="n">
        <x:v>5</x:v>
      </x:c>
      <x:c r="F451" s="3" t="n">
        <x:v>2</x:v>
      </x:c>
      <x:c r="G451" s="9" t="n">
        <x:v>0.14</x:v>
      </x:c>
      <x:c r="H451" s="9" t="n">
        <x:v>0.882396</x:v>
      </x:c>
      <x:c r="I451" s="9" t="n">
        <x:f>'Physical_Arcs'!R31</x:f>
        <x:v>2.9444444444444446</x:v>
      </x:c>
      <x:c r="J451" s="9" t="n">
        <x:f>I451*'Parameters'!$C$18</x:f>
        <x:v>0.5888888888888889</x:v>
      </x:c>
      <x:c r="K451" s="9" t="n">
        <x:f>J451*'Parameters'!$C$19</x:f>
        <x:v>0.7361111111111112</x:v>
      </x:c>
      <x:c r="L451" s="9" t="n">
        <x:f>I451*(1-0.40)-J451</x:f>
        <x:v>1.177777777777778</x:v>
      </x:c>
      <x:c r="M451" s="9" t="n">
        <x:f>'Physical_Arcs'!S31</x:f>
        <x:v>2.9444444444444446</x:v>
      </x:c>
      <x:c r="N451" s="9" t="n">
        <x:f>M451*'Parameters'!$C$18</x:f>
        <x:v>0.5888888888888889</x:v>
      </x:c>
      <x:c r="O451" s="9" t="n">
        <x:f>N451*'Parameters'!$C$19</x:f>
        <x:v>0.7361111111111112</x:v>
      </x:c>
      <x:c r="P451" s="9" t="n">
        <x:f>M451*(1-0.40)-N451</x:f>
        <x:v>1.177777777777778</x:v>
      </x:c>
      <x:c r="Q451" s="9" t="n">
        <x:f>'Physical_Arcs'!T31</x:f>
        <x:v>1.4722222222222223</x:v>
      </x:c>
      <x:c r="R451" s="9" t="n">
        <x:f>Q451*'Parameters'!$C$18</x:f>
        <x:v>0.29444444444444445</x:v>
      </x:c>
      <x:c r="S451" s="9" t="n">
        <x:f>R451*'Parameters'!$C$19</x:f>
        <x:v>0.3680555555555556</x:v>
      </x:c>
      <x:c r="T451" s="9" t="n">
        <x:f>Q451*(1-0.40)-R451</x:f>
        <x:v>0.588888888888889</x:v>
      </x:c>
    </x:row>
    <x:row r="452" ht="21" customHeight="1">
      <x:c r="A452" s="3" t="n">
        <x:v>7</x:v>
      </x:c>
      <x:c r="B452" s="3" t="str">
        <x:v>01:10</x:v>
      </x:c>
      <x:c r="C452" s="3" t="n">
        <x:v>2</x:v>
      </x:c>
      <x:c r="D452" s="3" t="n">
        <x:v>31</x:v>
      </x:c>
      <x:c r="E452" s="3" t="n">
        <x:v>5</x:v>
      </x:c>
      <x:c r="F452" s="3" t="n">
        <x:v>8</x:v>
      </x:c>
      <x:c r="G452" s="9" t="n">
        <x:v>0.14</x:v>
      </x:c>
      <x:c r="H452" s="9" t="n">
        <x:v>0.986718</x:v>
      </x:c>
      <x:c r="I452" s="9" t="n">
        <x:f>'Physical_Arcs'!R32</x:f>
        <x:v>9.333333333333334</x:v>
      </x:c>
      <x:c r="J452" s="9" t="n">
        <x:f>I452*'Parameters'!$C$18</x:f>
        <x:v>1.866666666666667</x:v>
      </x:c>
      <x:c r="K452" s="9" t="n">
        <x:f>J452*'Parameters'!$C$19</x:f>
        <x:v>2.3333333333333335</x:v>
      </x:c>
      <x:c r="L452" s="9" t="n">
        <x:f>I452*(1-0.40)-J452</x:f>
        <x:v>3.7333333333333334</x:v>
      </x:c>
      <x:c r="M452" s="9" t="n">
        <x:f>'Physical_Arcs'!S32</x:f>
        <x:v>9.333333333333334</x:v>
      </x:c>
      <x:c r="N452" s="9" t="n">
        <x:f>M452*'Parameters'!$C$18</x:f>
        <x:v>1.866666666666667</x:v>
      </x:c>
      <x:c r="O452" s="9" t="n">
        <x:f>N452*'Parameters'!$C$19</x:f>
        <x:v>2.3333333333333335</x:v>
      </x:c>
      <x:c r="P452" s="9" t="n">
        <x:f>M452*(1-0.40)-N452</x:f>
        <x:v>3.7333333333333334</x:v>
      </x:c>
      <x:c r="Q452" s="9" t="n">
        <x:f>'Physical_Arcs'!T32</x:f>
        <x:v>4.666666666666667</x:v>
      </x:c>
      <x:c r="R452" s="9" t="n">
        <x:f>Q452*'Parameters'!$C$18</x:f>
        <x:v>0.9333333333333335</x:v>
      </x:c>
      <x:c r="S452" s="9" t="n">
        <x:f>R452*'Parameters'!$C$19</x:f>
        <x:v>1.1666666666666667</x:v>
      </x:c>
      <x:c r="T452" s="9" t="n">
        <x:f>Q452*(1-0.40)-R452</x:f>
        <x:v>1.8666666666666667</x:v>
      </x:c>
    </x:row>
    <x:row r="453" ht="21" customHeight="1">
      <x:c r="A453" s="3" t="n">
        <x:v>7</x:v>
      </x:c>
      <x:c r="B453" s="3" t="str">
        <x:v>01:10</x:v>
      </x:c>
      <x:c r="C453" s="3" t="n">
        <x:v>2</x:v>
      </x:c>
      <x:c r="D453" s="3" t="n">
        <x:v>32</x:v>
      </x:c>
      <x:c r="E453" s="3" t="n">
        <x:v>5</x:v>
      </x:c>
      <x:c r="F453" s="3" t="n">
        <x:v>3</x:v>
      </x:c>
      <x:c r="G453" s="9" t="n">
        <x:v>0.14</x:v>
      </x:c>
      <x:c r="H453" s="9" t="n">
        <x:v>1.089544</x:v>
      </x:c>
      <x:c r="I453" s="9" t="n">
        <x:f>'Physical_Arcs'!R33</x:f>
        <x:v>11.13888888888889</x:v>
      </x:c>
      <x:c r="J453" s="9" t="n">
        <x:f>I453*'Parameters'!$C$18</x:f>
        <x:v>2.227777777777778</x:v>
      </x:c>
      <x:c r="K453" s="9" t="n">
        <x:f>J453*'Parameters'!$C$19</x:f>
        <x:v>2.7847222222222223</x:v>
      </x:c>
      <x:c r="L453" s="9" t="n">
        <x:f>I453*(1-0.40)-J453</x:f>
        <x:v>4.455555555555556</x:v>
      </x:c>
      <x:c r="M453" s="9" t="n">
        <x:f>'Physical_Arcs'!S33</x:f>
        <x:v>11.13888888888889</x:v>
      </x:c>
      <x:c r="N453" s="9" t="n">
        <x:f>M453*'Parameters'!$C$18</x:f>
        <x:v>2.227777777777778</x:v>
      </x:c>
      <x:c r="O453" s="9" t="n">
        <x:f>N453*'Parameters'!$C$19</x:f>
        <x:v>2.7847222222222223</x:v>
      </x:c>
      <x:c r="P453" s="9" t="n">
        <x:f>M453*(1-0.40)-N453</x:f>
        <x:v>4.455555555555556</x:v>
      </x:c>
      <x:c r="Q453" s="9" t="n">
        <x:f>'Physical_Arcs'!T33</x:f>
        <x:v>5.583333333333333</x:v>
      </x:c>
      <x:c r="R453" s="9" t="n">
        <x:f>Q453*'Parameters'!$C$18</x:f>
        <x:v>1.1166666666666667</x:v>
      </x:c>
      <x:c r="S453" s="9" t="n">
        <x:f>R453*'Parameters'!$C$19</x:f>
        <x:v>1.3958333333333335</x:v>
      </x:c>
      <x:c r="T453" s="9" t="n">
        <x:f>Q453*(1-0.40)-R453</x:f>
        <x:v>2.233333333333333</x:v>
      </x:c>
    </x:row>
    <x:row r="454" ht="21" customHeight="1">
      <x:c r="A454" s="3" t="n">
        <x:v>7</x:v>
      </x:c>
      <x:c r="B454" s="3" t="str">
        <x:v>01:10</x:v>
      </x:c>
      <x:c r="C454" s="3" t="n">
        <x:v>2</x:v>
      </x:c>
      <x:c r="D454" s="3" t="n">
        <x:v>33</x:v>
      </x:c>
      <x:c r="E454" s="3" t="n">
        <x:v>5</x:v>
      </x:c>
      <x:c r="F454" s="3" t="n">
        <x:v>10</x:v>
      </x:c>
      <x:c r="G454" s="9" t="n">
        <x:v>0.14</x:v>
      </x:c>
      <x:c r="H454" s="9" t="n">
        <x:v>1.103596</x:v>
      </x:c>
      <x:c r="I454" s="9" t="n">
        <x:f>'Physical_Arcs'!R34</x:f>
        <x:v>4.611111111111111</x:v>
      </x:c>
      <x:c r="J454" s="9" t="n">
        <x:f>I454*'Parameters'!$C$18</x:f>
        <x:v>0.9222222222222222</x:v>
      </x:c>
      <x:c r="K454" s="9" t="n">
        <x:f>J454*'Parameters'!$C$19</x:f>
        <x:v>1.1527777777777777</x:v>
      </x:c>
      <x:c r="L454" s="9" t="n">
        <x:f>I454*(1-0.40)-J454</x:f>
        <x:v>1.844444444444444</x:v>
      </x:c>
      <x:c r="M454" s="9" t="n">
        <x:f>'Physical_Arcs'!S34</x:f>
        <x:v>4.611111111111111</x:v>
      </x:c>
      <x:c r="N454" s="9" t="n">
        <x:f>M454*'Parameters'!$C$18</x:f>
        <x:v>0.9222222222222222</x:v>
      </x:c>
      <x:c r="O454" s="9" t="n">
        <x:f>N454*'Parameters'!$C$19</x:f>
        <x:v>1.1527777777777777</x:v>
      </x:c>
      <x:c r="P454" s="9" t="n">
        <x:f>M454*(1-0.40)-N454</x:f>
        <x:v>1.844444444444444</x:v>
      </x:c>
      <x:c r="Q454" s="9" t="n">
        <x:f>'Physical_Arcs'!T34</x:f>
        <x:v>2.3055555555555554</x:v>
      </x:c>
      <x:c r="R454" s="9" t="n">
        <x:f>Q454*'Parameters'!$C$18</x:f>
        <x:v>0.4611111111111111</x:v>
      </x:c>
      <x:c r="S454" s="9" t="n">
        <x:f>R454*'Parameters'!$C$19</x:f>
        <x:v>0.5763888888888888</x:v>
      </x:c>
      <x:c r="T454" s="9" t="n">
        <x:f>Q454*(1-0.40)-R454</x:f>
        <x:v>0.922222222222222</x:v>
      </x:c>
    </x:row>
    <x:row r="455" ht="21" customHeight="1">
      <x:c r="A455" s="3" t="n">
        <x:v>7</x:v>
      </x:c>
      <x:c r="B455" s="3" t="str">
        <x:v>01:10</x:v>
      </x:c>
      <x:c r="C455" s="3" t="n">
        <x:v>2</x:v>
      </x:c>
      <x:c r="D455" s="3" t="n">
        <x:v>34</x:v>
      </x:c>
      <x:c r="E455" s="3" t="n">
        <x:v>6</x:v>
      </x:c>
      <x:c r="F455" s="3" t="n">
        <x:v>7</x:v>
      </x:c>
      <x:c r="G455" s="9" t="n">
        <x:v>0.14</x:v>
      </x:c>
      <x:c r="H455" s="9" t="n">
        <x:v>0.973887</x:v>
      </x:c>
      <x:c r="I455" s="9" t="n">
        <x:f>'Physical_Arcs'!R35</x:f>
        <x:v>17.02777777777778</x:v>
      </x:c>
      <x:c r="J455" s="9" t="n">
        <x:f>I455*'Parameters'!$C$18</x:f>
        <x:v>3.405555555555556</x:v>
      </x:c>
      <x:c r="K455" s="9" t="n">
        <x:f>J455*'Parameters'!$C$19</x:f>
        <x:v>4.256944444444445</x:v>
      </x:c>
      <x:c r="L455" s="9" t="n">
        <x:f>I455*(1-0.40)-J455</x:f>
        <x:v>6.811111111111111</x:v>
      </x:c>
      <x:c r="M455" s="9" t="n">
        <x:f>'Physical_Arcs'!S35</x:f>
        <x:v>17.02777777777778</x:v>
      </x:c>
      <x:c r="N455" s="9" t="n">
        <x:f>M455*'Parameters'!$C$18</x:f>
        <x:v>3.405555555555556</x:v>
      </x:c>
      <x:c r="O455" s="9" t="n">
        <x:f>N455*'Parameters'!$C$19</x:f>
        <x:v>4.256944444444445</x:v>
      </x:c>
      <x:c r="P455" s="9" t="n">
        <x:f>M455*(1-0.40)-N455</x:f>
        <x:v>6.811111111111111</x:v>
      </x:c>
      <x:c r="Q455" s="9" t="n">
        <x:f>'Physical_Arcs'!T35</x:f>
        <x:v>17.02777777777778</x:v>
      </x:c>
      <x:c r="R455" s="9" t="n">
        <x:f>Q455*'Parameters'!$C$18</x:f>
        <x:v>3.405555555555556</x:v>
      </x:c>
      <x:c r="S455" s="9" t="n">
        <x:f>R455*'Parameters'!$C$19</x:f>
        <x:v>4.256944444444445</x:v>
      </x:c>
      <x:c r="T455" s="9" t="n">
        <x:f>Q455*(1-0.40)-R455</x:f>
        <x:v>6.811111111111111</x:v>
      </x:c>
    </x:row>
    <x:row r="456" ht="21" customHeight="1">
      <x:c r="A456" s="3" t="n">
        <x:v>7</x:v>
      </x:c>
      <x:c r="B456" s="3" t="str">
        <x:v>01:10</x:v>
      </x:c>
      <x:c r="C456" s="3" t="n">
        <x:v>2</x:v>
      </x:c>
      <x:c r="D456" s="3" t="n">
        <x:v>35</x:v>
      </x:c>
      <x:c r="E456" s="3" t="n">
        <x:v>6</x:v>
      </x:c>
      <x:c r="F456" s="3" t="n">
        <x:v>10</x:v>
      </x:c>
      <x:c r="G456" s="9" t="n">
        <x:v>0.14</x:v>
      </x:c>
      <x:c r="H456" s="9" t="n">
        <x:v>1.009062</x:v>
      </x:c>
      <x:c r="I456" s="9" t="n">
        <x:f>'Physical_Arcs'!R36</x:f>
        <x:v>4.055555555555555</x:v>
      </x:c>
      <x:c r="J456" s="9" t="n">
        <x:f>I456*'Parameters'!$C$18</x:f>
        <x:v>0.8111111111111111</x:v>
      </x:c>
      <x:c r="K456" s="9" t="n">
        <x:f>J456*'Parameters'!$C$19</x:f>
        <x:v>1.0138888888888888</x:v>
      </x:c>
      <x:c r="L456" s="9" t="n">
        <x:f>I456*(1-0.40)-J456</x:f>
        <x:v>1.622222222222222</x:v>
      </x:c>
      <x:c r="M456" s="9" t="n">
        <x:f>'Physical_Arcs'!S36</x:f>
        <x:v>4.055555555555555</x:v>
      </x:c>
      <x:c r="N456" s="9" t="n">
        <x:f>M456*'Parameters'!$C$18</x:f>
        <x:v>0.8111111111111111</x:v>
      </x:c>
      <x:c r="O456" s="9" t="n">
        <x:f>N456*'Parameters'!$C$19</x:f>
        <x:v>1.0138888888888888</x:v>
      </x:c>
      <x:c r="P456" s="9" t="n">
        <x:f>M456*(1-0.40)-N456</x:f>
        <x:v>1.622222222222222</x:v>
      </x:c>
      <x:c r="Q456" s="9" t="n">
        <x:f>'Physical_Arcs'!T36</x:f>
        <x:v>2.0277777777777777</x:v>
      </x:c>
      <x:c r="R456" s="9" t="n">
        <x:f>Q456*'Parameters'!$C$18</x:f>
        <x:v>0.40555555555555556</x:v>
      </x:c>
      <x:c r="S456" s="9" t="n">
        <x:f>R456*'Parameters'!$C$19</x:f>
        <x:v>0.5069444444444444</x:v>
      </x:c>
      <x:c r="T456" s="9" t="n">
        <x:f>Q456*(1-0.40)-R456</x:f>
        <x:v>0.811111111111111</x:v>
      </x:c>
    </x:row>
    <x:row r="457" ht="21" customHeight="1">
      <x:c r="A457" s="3" t="n">
        <x:v>7</x:v>
      </x:c>
      <x:c r="B457" s="3" t="str">
        <x:v>01:10</x:v>
      </x:c>
      <x:c r="C457" s="3" t="n">
        <x:v>2</x:v>
      </x:c>
      <x:c r="D457" s="3" t="n">
        <x:v>36</x:v>
      </x:c>
      <x:c r="E457" s="3" t="n">
        <x:v>6</x:v>
      </x:c>
      <x:c r="F457" s="3" t="n">
        <x:v>8</x:v>
      </x:c>
      <x:c r="G457" s="9" t="n">
        <x:v>0.14</x:v>
      </x:c>
      <x:c r="H457" s="9" t="n">
        <x:v>1.132129</x:v>
      </x:c>
      <x:c r="I457" s="9" t="n">
        <x:f>'Physical_Arcs'!R37</x:f>
        <x:v>6.972222222222222</x:v>
      </x:c>
      <x:c r="J457" s="9" t="n">
        <x:f>I457*'Parameters'!$C$18</x:f>
        <x:v>1.3944444444444446</x:v>
      </x:c>
      <x:c r="K457" s="9" t="n">
        <x:f>J457*'Parameters'!$C$19</x:f>
        <x:v>1.7430555555555558</x:v>
      </x:c>
      <x:c r="L457" s="9" t="n">
        <x:f>I457*(1-0.40)-J457</x:f>
        <x:v>2.7888888888888888</x:v>
      </x:c>
      <x:c r="M457" s="9" t="n">
        <x:f>'Physical_Arcs'!S37</x:f>
        <x:v>6.972222222222222</x:v>
      </x:c>
      <x:c r="N457" s="9" t="n">
        <x:f>M457*'Parameters'!$C$18</x:f>
        <x:v>1.3944444444444446</x:v>
      </x:c>
      <x:c r="O457" s="9" t="n">
        <x:f>N457*'Parameters'!$C$19</x:f>
        <x:v>1.7430555555555558</x:v>
      </x:c>
      <x:c r="P457" s="9" t="n">
        <x:f>M457*(1-0.40)-N457</x:f>
        <x:v>2.7888888888888888</x:v>
      </x:c>
      <x:c r="Q457" s="9" t="n">
        <x:f>'Physical_Arcs'!T37</x:f>
        <x:v>3.5</x:v>
      </x:c>
      <x:c r="R457" s="9" t="n">
        <x:f>Q457*'Parameters'!$C$18</x:f>
        <x:v>0.7000000000000001</x:v>
      </x:c>
      <x:c r="S457" s="9" t="n">
        <x:f>R457*'Parameters'!$C$19</x:f>
        <x:v>0.8750000000000001</x:v>
      </x:c>
      <x:c r="T457" s="9" t="n">
        <x:f>Q457*(1-0.40)-R457</x:f>
        <x:v>1.4</x:v>
      </x:c>
    </x:row>
    <x:row r="458" ht="21" customHeight="1">
      <x:c r="A458" s="3" t="n">
        <x:v>7</x:v>
      </x:c>
      <x:c r="B458" s="3" t="str">
        <x:v>01:10</x:v>
      </x:c>
      <x:c r="C458" s="3" t="n">
        <x:v>2</x:v>
      </x:c>
      <x:c r="D458" s="3" t="n">
        <x:v>37</x:v>
      </x:c>
      <x:c r="E458" s="3" t="n">
        <x:v>6</x:v>
      </x:c>
      <x:c r="F458" s="3" t="n">
        <x:v>1</x:v>
      </x:c>
      <x:c r="G458" s="9" t="n">
        <x:v>0.14</x:v>
      </x:c>
      <x:c r="H458" s="9" t="n">
        <x:v>1.020746</x:v>
      </x:c>
      <x:c r="I458" s="9" t="n">
        <x:f>'Physical_Arcs'!R38</x:f>
        <x:v>6.305555555555555</x:v>
      </x:c>
      <x:c r="J458" s="9" t="n">
        <x:f>I458*'Parameters'!$C$18</x:f>
        <x:v>1.261111111111111</x:v>
      </x:c>
      <x:c r="K458" s="9" t="n">
        <x:f>J458*'Parameters'!$C$19</x:f>
        <x:v>1.5763888888888888</x:v>
      </x:c>
      <x:c r="L458" s="9" t="n">
        <x:f>I458*(1-0.40)-J458</x:f>
        <x:v>2.522222222222222</x:v>
      </x:c>
      <x:c r="M458" s="9" t="n">
        <x:f>'Physical_Arcs'!S38</x:f>
        <x:v>6.305555555555555</x:v>
      </x:c>
      <x:c r="N458" s="9" t="n">
        <x:f>M458*'Parameters'!$C$18</x:f>
        <x:v>1.261111111111111</x:v>
      </x:c>
      <x:c r="O458" s="9" t="n">
        <x:f>N458*'Parameters'!$C$19</x:f>
        <x:v>1.5763888888888888</x:v>
      </x:c>
      <x:c r="P458" s="9" t="n">
        <x:f>M458*(1-0.40)-N458</x:f>
        <x:v>2.522222222222222</x:v>
      </x:c>
      <x:c r="Q458" s="9" t="n">
        <x:f>'Physical_Arcs'!T38</x:f>
        <x:v>3.1666666666666665</x:v>
      </x:c>
      <x:c r="R458" s="9" t="n">
        <x:f>Q458*'Parameters'!$C$18</x:f>
        <x:v>0.6333333333333333</x:v>
      </x:c>
      <x:c r="S458" s="9" t="n">
        <x:f>R458*'Parameters'!$C$19</x:f>
        <x:v>0.7916666666666666</x:v>
      </x:c>
      <x:c r="T458" s="9" t="n">
        <x:f>Q458*(1-0.40)-R458</x:f>
        <x:v>1.2666666666666666</x:v>
      </x:c>
    </x:row>
    <x:row r="459" ht="21" customHeight="1">
      <x:c r="A459" s="3" t="n">
        <x:v>7</x:v>
      </x:c>
      <x:c r="B459" s="3" t="str">
        <x:v>01:10</x:v>
      </x:c>
      <x:c r="C459" s="3" t="n">
        <x:v>2</x:v>
      </x:c>
      <x:c r="D459" s="3" t="n">
        <x:v>38</x:v>
      </x:c>
      <x:c r="E459" s="3" t="n">
        <x:v>6</x:v>
      </x:c>
      <x:c r="F459" s="3" t="n">
        <x:v>3</x:v>
      </x:c>
      <x:c r="G459" s="9" t="n">
        <x:v>0.14</x:v>
      </x:c>
      <x:c r="H459" s="9" t="n">
        <x:v>1.149081</x:v>
      </x:c>
      <x:c r="I459" s="9" t="n">
        <x:f>'Physical_Arcs'!R39</x:f>
        <x:v>1.9166666666666667</x:v>
      </x:c>
      <x:c r="J459" s="9" t="n">
        <x:f>I459*'Parameters'!$C$18</x:f>
        <x:v>0.38333333333333336</x:v>
      </x:c>
      <x:c r="K459" s="9" t="n">
        <x:f>J459*'Parameters'!$C$19</x:f>
        <x:v>0.4791666666666667</x:v>
      </x:c>
      <x:c r="L459" s="9" t="n">
        <x:f>I459*(1-0.40)-J459</x:f>
        <x:v>0.7666666666666666</x:v>
      </x:c>
      <x:c r="M459" s="9" t="n">
        <x:f>'Physical_Arcs'!S39</x:f>
        <x:v>1.9166666666666667</x:v>
      </x:c>
      <x:c r="N459" s="9" t="n">
        <x:f>M459*'Parameters'!$C$18</x:f>
        <x:v>0.38333333333333336</x:v>
      </x:c>
      <x:c r="O459" s="9" t="n">
        <x:f>N459*'Parameters'!$C$19</x:f>
        <x:v>0.4791666666666667</x:v>
      </x:c>
      <x:c r="P459" s="9" t="n">
        <x:f>M459*(1-0.40)-N459</x:f>
        <x:v>0.7666666666666666</x:v>
      </x:c>
      <x:c r="Q459" s="9" t="n">
        <x:f>'Physical_Arcs'!T39</x:f>
        <x:v>0.9722222222222222</x:v>
      </x:c>
      <x:c r="R459" s="9" t="n">
        <x:f>Q459*'Parameters'!$C$18</x:f>
        <x:v>0.19444444444444445</x:v>
      </x:c>
      <x:c r="S459" s="9" t="n">
        <x:f>R459*'Parameters'!$C$19</x:f>
        <x:v>0.24305555555555555</x:v>
      </x:c>
      <x:c r="T459" s="9" t="n">
        <x:f>Q459*(1-0.40)-R459</x:f>
        <x:v>0.38888888888888884</x:v>
      </x:c>
    </x:row>
    <x:row r="460" ht="21" customHeight="1">
      <x:c r="A460" s="3" t="n">
        <x:v>7</x:v>
      </x:c>
      <x:c r="B460" s="3" t="str">
        <x:v>01:10</x:v>
      </x:c>
      <x:c r="C460" s="3" t="n">
        <x:v>2</x:v>
      </x:c>
      <x:c r="D460" s="3" t="n">
        <x:v>39</x:v>
      </x:c>
      <x:c r="E460" s="3" t="n">
        <x:v>7</x:v>
      </x:c>
      <x:c r="F460" s="3" t="n">
        <x:v>8</x:v>
      </x:c>
      <x:c r="G460" s="9" t="n">
        <x:v>0.14</x:v>
      </x:c>
      <x:c r="H460" s="9" t="n">
        <x:v>1.003268</x:v>
      </x:c>
      <x:c r="I460" s="9" t="n">
        <x:f>'Physical_Arcs'!R40</x:f>
        <x:v>17.02777777777778</x:v>
      </x:c>
      <x:c r="J460" s="9" t="n">
        <x:f>I460*'Parameters'!$C$18</x:f>
        <x:v>3.405555555555556</x:v>
      </x:c>
      <x:c r="K460" s="9" t="n">
        <x:f>J460*'Parameters'!$C$19</x:f>
        <x:v>4.256944444444445</x:v>
      </x:c>
      <x:c r="L460" s="9" t="n">
        <x:f>I460*(1-0.40)-J460</x:f>
        <x:v>6.811111111111111</x:v>
      </x:c>
      <x:c r="M460" s="9" t="n">
        <x:f>'Physical_Arcs'!S40</x:f>
        <x:v>17.02777777777778</x:v>
      </x:c>
      <x:c r="N460" s="9" t="n">
        <x:f>M460*'Parameters'!$C$18</x:f>
        <x:v>3.405555555555556</x:v>
      </x:c>
      <x:c r="O460" s="9" t="n">
        <x:f>N460*'Parameters'!$C$19</x:f>
        <x:v>4.256944444444445</x:v>
      </x:c>
      <x:c r="P460" s="9" t="n">
        <x:f>M460*(1-0.40)-N460</x:f>
        <x:v>6.811111111111111</x:v>
      </x:c>
      <x:c r="Q460" s="9" t="n">
        <x:f>'Physical_Arcs'!T40</x:f>
        <x:v>17.02777777777778</x:v>
      </x:c>
      <x:c r="R460" s="9" t="n">
        <x:f>Q460*'Parameters'!$C$18</x:f>
        <x:v>3.405555555555556</x:v>
      </x:c>
      <x:c r="S460" s="9" t="n">
        <x:f>R460*'Parameters'!$C$19</x:f>
        <x:v>4.256944444444445</x:v>
      </x:c>
      <x:c r="T460" s="9" t="n">
        <x:f>Q460*(1-0.40)-R460</x:f>
        <x:v>6.811111111111111</x:v>
      </x:c>
    </x:row>
    <x:row r="461" ht="21" customHeight="1">
      <x:c r="A461" s="3" t="n">
        <x:v>7</x:v>
      </x:c>
      <x:c r="B461" s="3" t="str">
        <x:v>01:10</x:v>
      </x:c>
      <x:c r="C461" s="3" t="n">
        <x:v>2</x:v>
      </x:c>
      <x:c r="D461" s="3" t="n">
        <x:v>40</x:v>
      </x:c>
      <x:c r="E461" s="3" t="n">
        <x:v>7</x:v>
      </x:c>
      <x:c r="F461" s="3" t="n">
        <x:v>1</x:v>
      </x:c>
      <x:c r="G461" s="9" t="n">
        <x:v>0.14</x:v>
      </x:c>
      <x:c r="H461" s="9" t="n">
        <x:v>1.057592</x:v>
      </x:c>
      <x:c r="I461" s="9" t="n">
        <x:f>'Physical_Arcs'!R41</x:f>
        <x:v>7.972222222222222</x:v>
      </x:c>
      <x:c r="J461" s="9" t="n">
        <x:f>I461*'Parameters'!$C$18</x:f>
        <x:v>1.5944444444444446</x:v>
      </x:c>
      <x:c r="K461" s="9" t="n">
        <x:f>J461*'Parameters'!$C$19</x:f>
        <x:v>1.9930555555555558</x:v>
      </x:c>
      <x:c r="L461" s="9" t="n">
        <x:f>I461*(1-0.40)-J461</x:f>
        <x:v>3.1888888888888887</x:v>
      </x:c>
      <x:c r="M461" s="9" t="n">
        <x:f>'Physical_Arcs'!S41</x:f>
        <x:v>7.972222222222222</x:v>
      </x:c>
      <x:c r="N461" s="9" t="n">
        <x:f>M461*'Parameters'!$C$18</x:f>
        <x:v>1.5944444444444446</x:v>
      </x:c>
      <x:c r="O461" s="9" t="n">
        <x:f>N461*'Parameters'!$C$19</x:f>
        <x:v>1.9930555555555558</x:v>
      </x:c>
      <x:c r="P461" s="9" t="n">
        <x:f>M461*(1-0.40)-N461</x:f>
        <x:v>3.1888888888888887</x:v>
      </x:c>
      <x:c r="Q461" s="9" t="n">
        <x:f>'Physical_Arcs'!T41</x:f>
        <x:v>4</x:v>
      </x:c>
      <x:c r="R461" s="9" t="n">
        <x:f>Q461*'Parameters'!$C$18</x:f>
        <x:v>0.8</x:v>
      </x:c>
      <x:c r="S461" s="9" t="n">
        <x:f>R461*'Parameters'!$C$19</x:f>
        <x:v>1</x:v>
      </x:c>
      <x:c r="T461" s="9" t="n">
        <x:f>Q461*(1-0.40)-R461</x:f>
        <x:v>1.5999999999999999</x:v>
      </x:c>
    </x:row>
    <x:row r="462" ht="21" customHeight="1">
      <x:c r="A462" s="3" t="n">
        <x:v>7</x:v>
      </x:c>
      <x:c r="B462" s="3" t="str">
        <x:v>01:10</x:v>
      </x:c>
      <x:c r="C462" s="3" t="n">
        <x:v>2</x:v>
      </x:c>
      <x:c r="D462" s="3" t="n">
        <x:v>41</x:v>
      </x:c>
      <x:c r="E462" s="3" t="n">
        <x:v>7</x:v>
      </x:c>
      <x:c r="F462" s="3" t="n">
        <x:v>9</x:v>
      </x:c>
      <x:c r="G462" s="9" t="n">
        <x:v>0.14</x:v>
      </x:c>
      <x:c r="H462" s="9" t="n">
        <x:v>1.14801</x:v>
      </x:c>
      <x:c r="I462" s="9" t="n">
        <x:f>'Physical_Arcs'!R42</x:f>
        <x:v>8.88888888888889</x:v>
      </x:c>
      <x:c r="J462" s="9" t="n">
        <x:f>I462*'Parameters'!$C$18</x:f>
        <x:v>1.777777777777778</x:v>
      </x:c>
      <x:c r="K462" s="9" t="n">
        <x:f>J462*'Parameters'!$C$19</x:f>
        <x:v>2.2222222222222223</x:v>
      </x:c>
      <x:c r="L462" s="9" t="n">
        <x:f>I462*(1-0.40)-J462</x:f>
        <x:v>3.5555555555555554</x:v>
      </x:c>
      <x:c r="M462" s="9" t="n">
        <x:f>'Physical_Arcs'!S42</x:f>
        <x:v>8.88888888888889</x:v>
      </x:c>
      <x:c r="N462" s="9" t="n">
        <x:f>M462*'Parameters'!$C$18</x:f>
        <x:v>1.777777777777778</x:v>
      </x:c>
      <x:c r="O462" s="9" t="n">
        <x:f>N462*'Parameters'!$C$19</x:f>
        <x:v>2.2222222222222223</x:v>
      </x:c>
      <x:c r="P462" s="9" t="n">
        <x:f>M462*(1-0.40)-N462</x:f>
        <x:v>3.5555555555555554</x:v>
      </x:c>
      <x:c r="Q462" s="9" t="n">
        <x:f>'Physical_Arcs'!T42</x:f>
        <x:v>4.444444444444445</x:v>
      </x:c>
      <x:c r="R462" s="9" t="n">
        <x:f>Q462*'Parameters'!$C$18</x:f>
        <x:v>0.888888888888889</x:v>
      </x:c>
      <x:c r="S462" s="9" t="n">
        <x:f>R462*'Parameters'!$C$19</x:f>
        <x:v>1.1111111111111112</x:v>
      </x:c>
      <x:c r="T462" s="9" t="n">
        <x:f>Q462*(1-0.40)-R462</x:f>
        <x:v>1.7777777777777777</x:v>
      </x:c>
    </x:row>
    <x:row r="463" ht="21" customHeight="1">
      <x:c r="A463" s="3" t="n">
        <x:v>7</x:v>
      </x:c>
      <x:c r="B463" s="3" t="str">
        <x:v>01:10</x:v>
      </x:c>
      <x:c r="C463" s="3" t="n">
        <x:v>2</x:v>
      </x:c>
      <x:c r="D463" s="3" t="n">
        <x:v>42</x:v>
      </x:c>
      <x:c r="E463" s="3" t="n">
        <x:v>7</x:v>
      </x:c>
      <x:c r="F463" s="3" t="n">
        <x:v>2</x:v>
      </x:c>
      <x:c r="G463" s="9" t="n">
        <x:v>0.14</x:v>
      </x:c>
      <x:c r="H463" s="9" t="n">
        <x:v>0.989237</x:v>
      </x:c>
      <x:c r="I463" s="9" t="n">
        <x:f>'Physical_Arcs'!R43</x:f>
        <x:v>9</x:v>
      </x:c>
      <x:c r="J463" s="9" t="n">
        <x:f>I463*'Parameters'!$C$18</x:f>
        <x:v>1.8</x:v>
      </x:c>
      <x:c r="K463" s="9" t="n">
        <x:f>J463*'Parameters'!$C$19</x:f>
        <x:v>2.25</x:v>
      </x:c>
      <x:c r="L463" s="9" t="n">
        <x:f>I463*(1-0.40)-J463</x:f>
        <x:v>3.5999999999999996</x:v>
      </x:c>
      <x:c r="M463" s="9" t="n">
        <x:f>'Physical_Arcs'!S43</x:f>
        <x:v>9</x:v>
      </x:c>
      <x:c r="N463" s="9" t="n">
        <x:f>M463*'Parameters'!$C$18</x:f>
        <x:v>1.8</x:v>
      </x:c>
      <x:c r="O463" s="9" t="n">
        <x:f>N463*'Parameters'!$C$19</x:f>
        <x:v>2.25</x:v>
      </x:c>
      <x:c r="P463" s="9" t="n">
        <x:f>M463*(1-0.40)-N463</x:f>
        <x:v>3.5999999999999996</x:v>
      </x:c>
      <x:c r="Q463" s="9" t="n">
        <x:f>'Physical_Arcs'!T43</x:f>
        <x:v>4.5</x:v>
      </x:c>
      <x:c r="R463" s="9" t="n">
        <x:f>Q463*'Parameters'!$C$18</x:f>
        <x:v>0.9</x:v>
      </x:c>
      <x:c r="S463" s="9" t="n">
        <x:f>R463*'Parameters'!$C$19</x:f>
        <x:v>1.125</x:v>
      </x:c>
      <x:c r="T463" s="9" t="n">
        <x:f>Q463*(1-0.40)-R463</x:f>
        <x:v>1.7999999999999998</x:v>
      </x:c>
    </x:row>
    <x:row r="464" ht="21" customHeight="1">
      <x:c r="A464" s="3" t="n">
        <x:v>7</x:v>
      </x:c>
      <x:c r="B464" s="3" t="str">
        <x:v>01:10</x:v>
      </x:c>
      <x:c r="C464" s="3" t="n">
        <x:v>2</x:v>
      </x:c>
      <x:c r="D464" s="3" t="n">
        <x:v>43</x:v>
      </x:c>
      <x:c r="E464" s="3" t="n">
        <x:v>7</x:v>
      </x:c>
      <x:c r="F464" s="3" t="n">
        <x:v>3</x:v>
      </x:c>
      <x:c r="G464" s="9" t="n">
        <x:v>0.14</x:v>
      </x:c>
      <x:c r="H464" s="9" t="n">
        <x:v>1.050432</x:v>
      </x:c>
      <x:c r="I464" s="9" t="n">
        <x:f>'Physical_Arcs'!R44</x:f>
        <x:v>7.638888888888889</x:v>
      </x:c>
      <x:c r="J464" s="9" t="n">
        <x:f>I464*'Parameters'!$C$18</x:f>
        <x:v>1.527777777777778</x:v>
      </x:c>
      <x:c r="K464" s="9" t="n">
        <x:f>J464*'Parameters'!$C$19</x:f>
        <x:v>1.9097222222222223</x:v>
      </x:c>
      <x:c r="L464" s="9" t="n">
        <x:f>I464*(1-0.40)-J464</x:f>
        <x:v>3.0555555555555554</x:v>
      </x:c>
      <x:c r="M464" s="9" t="n">
        <x:f>'Physical_Arcs'!S44</x:f>
        <x:v>7.638888888888889</x:v>
      </x:c>
      <x:c r="N464" s="9" t="n">
        <x:f>M464*'Parameters'!$C$18</x:f>
        <x:v>1.527777777777778</x:v>
      </x:c>
      <x:c r="O464" s="9" t="n">
        <x:f>N464*'Parameters'!$C$19</x:f>
        <x:v>1.9097222222222223</x:v>
      </x:c>
      <x:c r="P464" s="9" t="n">
        <x:f>M464*(1-0.40)-N464</x:f>
        <x:v>3.0555555555555554</x:v>
      </x:c>
      <x:c r="Q464" s="9" t="n">
        <x:f>'Physical_Arcs'!T44</x:f>
        <x:v>3.8333333333333335</x:v>
      </x:c>
      <x:c r="R464" s="9" t="n">
        <x:f>Q464*'Parameters'!$C$18</x:f>
        <x:v>0.7666666666666667</x:v>
      </x:c>
      <x:c r="S464" s="9" t="n">
        <x:f>R464*'Parameters'!$C$19</x:f>
        <x:v>0.9583333333333334</x:v>
      </x:c>
      <x:c r="T464" s="9" t="n">
        <x:f>Q464*(1-0.40)-R464</x:f>
        <x:v>1.5333333333333332</x:v>
      </x:c>
    </x:row>
    <x:row r="465" ht="21" customHeight="1">
      <x:c r="A465" s="3" t="n">
        <x:v>7</x:v>
      </x:c>
      <x:c r="B465" s="3" t="str">
        <x:v>01:10</x:v>
      </x:c>
      <x:c r="C465" s="3" t="n">
        <x:v>2</x:v>
      </x:c>
      <x:c r="D465" s="3" t="n">
        <x:v>44</x:v>
      </x:c>
      <x:c r="E465" s="3" t="n">
        <x:v>8</x:v>
      </x:c>
      <x:c r="F465" s="3" t="n">
        <x:v>9</x:v>
      </x:c>
      <x:c r="G465" s="9" t="n">
        <x:v>0.14</x:v>
      </x:c>
      <x:c r="H465" s="9" t="n">
        <x:v>0.868101</x:v>
      </x:c>
      <x:c r="I465" s="9" t="n">
        <x:f>'Physical_Arcs'!R45</x:f>
        <x:v>17.02777777777778</x:v>
      </x:c>
      <x:c r="J465" s="9" t="n">
        <x:f>I465*'Parameters'!$C$18</x:f>
        <x:v>3.405555555555556</x:v>
      </x:c>
      <x:c r="K465" s="9" t="n">
        <x:f>J465*'Parameters'!$C$19</x:f>
        <x:v>4.256944444444445</x:v>
      </x:c>
      <x:c r="L465" s="9" t="n">
        <x:f>I465*(1-0.40)-J465</x:f>
        <x:v>6.811111111111111</x:v>
      </x:c>
      <x:c r="M465" s="9" t="n">
        <x:f>'Physical_Arcs'!S45</x:f>
        <x:v>17.02777777777778</x:v>
      </x:c>
      <x:c r="N465" s="9" t="n">
        <x:f>M465*'Parameters'!$C$18</x:f>
        <x:v>3.405555555555556</x:v>
      </x:c>
      <x:c r="O465" s="9" t="n">
        <x:f>N465*'Parameters'!$C$19</x:f>
        <x:v>4.256944444444445</x:v>
      </x:c>
      <x:c r="P465" s="9" t="n">
        <x:f>M465*(1-0.40)-N465</x:f>
        <x:v>6.811111111111111</x:v>
      </x:c>
      <x:c r="Q465" s="9" t="n">
        <x:f>'Physical_Arcs'!T45</x:f>
        <x:v>17.02777777777778</x:v>
      </x:c>
      <x:c r="R465" s="9" t="n">
        <x:f>Q465*'Parameters'!$C$18</x:f>
        <x:v>3.405555555555556</x:v>
      </x:c>
      <x:c r="S465" s="9" t="n">
        <x:f>R465*'Parameters'!$C$19</x:f>
        <x:v>4.256944444444445</x:v>
      </x:c>
      <x:c r="T465" s="9" t="n">
        <x:f>Q465*(1-0.40)-R465</x:f>
        <x:v>6.811111111111111</x:v>
      </x:c>
    </x:row>
    <x:row r="466" ht="21" customHeight="1">
      <x:c r="A466" s="3" t="n">
        <x:v>7</x:v>
      </x:c>
      <x:c r="B466" s="3" t="str">
        <x:v>01:10</x:v>
      </x:c>
      <x:c r="C466" s="3" t="n">
        <x:v>2</x:v>
      </x:c>
      <x:c r="D466" s="3" t="n">
        <x:v>45</x:v>
      </x:c>
      <x:c r="E466" s="3" t="n">
        <x:v>8</x:v>
      </x:c>
      <x:c r="F466" s="3" t="n">
        <x:v>3</x:v>
      </x:c>
      <x:c r="G466" s="9" t="n">
        <x:v>0.14</x:v>
      </x:c>
      <x:c r="H466" s="9" t="n">
        <x:v>0.944958</x:v>
      </x:c>
      <x:c r="I466" s="9" t="n">
        <x:f>'Physical_Arcs'!R46</x:f>
        <x:v>5.388888888888889</x:v>
      </x:c>
      <x:c r="J466" s="9" t="n">
        <x:f>I466*'Parameters'!$C$18</x:f>
        <x:v>1.077777777777778</x:v>
      </x:c>
      <x:c r="K466" s="9" t="n">
        <x:f>J466*'Parameters'!$C$19</x:f>
        <x:v>1.3472222222222223</x:v>
      </x:c>
      <x:c r="L466" s="9" t="n">
        <x:f>I466*(1-0.40)-J466</x:f>
        <x:v>2.1555555555555554</x:v>
      </x:c>
      <x:c r="M466" s="9" t="n">
        <x:f>'Physical_Arcs'!S46</x:f>
        <x:v>5.388888888888889</x:v>
      </x:c>
      <x:c r="N466" s="9" t="n">
        <x:f>M466*'Parameters'!$C$18</x:f>
        <x:v>1.077777777777778</x:v>
      </x:c>
      <x:c r="O466" s="9" t="n">
        <x:f>N466*'Parameters'!$C$19</x:f>
        <x:v>1.3472222222222223</x:v>
      </x:c>
      <x:c r="P466" s="9" t="n">
        <x:f>M466*(1-0.40)-N466</x:f>
        <x:v>2.1555555555555554</x:v>
      </x:c>
      <x:c r="Q466" s="9" t="n">
        <x:f>'Physical_Arcs'!T46</x:f>
        <x:v>2.6944444444444446</x:v>
      </x:c>
      <x:c r="R466" s="9" t="n">
        <x:f>Q466*'Parameters'!$C$18</x:f>
        <x:v>0.538888888888889</x:v>
      </x:c>
      <x:c r="S466" s="9" t="n">
        <x:f>R466*'Parameters'!$C$19</x:f>
        <x:v>0.6736111111111112</x:v>
      </x:c>
      <x:c r="T466" s="9" t="n">
        <x:f>Q466*(1-0.40)-R466</x:f>
        <x:v>1.0777777777777777</x:v>
      </x:c>
    </x:row>
    <x:row r="467" ht="21" customHeight="1">
      <x:c r="A467" s="3" t="n">
        <x:v>7</x:v>
      </x:c>
      <x:c r="B467" s="3" t="str">
        <x:v>01:10</x:v>
      </x:c>
      <x:c r="C467" s="3" t="n">
        <x:v>2</x:v>
      </x:c>
      <x:c r="D467" s="3" t="n">
        <x:v>46</x:v>
      </x:c>
      <x:c r="E467" s="3" t="n">
        <x:v>8</x:v>
      </x:c>
      <x:c r="F467" s="3" t="n">
        <x:v>7</x:v>
      </x:c>
      <x:c r="G467" s="9" t="n">
        <x:v>0.14</x:v>
      </x:c>
      <x:c r="H467" s="9" t="n">
        <x:v>0.866232</x:v>
      </x:c>
      <x:c r="I467" s="9" t="n">
        <x:f>'Physical_Arcs'!R47</x:f>
        <x:v>5.388888888888889</x:v>
      </x:c>
      <x:c r="J467" s="9" t="n">
        <x:f>I467*'Parameters'!$C$18</x:f>
        <x:v>1.077777777777778</x:v>
      </x:c>
      <x:c r="K467" s="9" t="n">
        <x:f>J467*'Parameters'!$C$19</x:f>
        <x:v>1.3472222222222223</x:v>
      </x:c>
      <x:c r="L467" s="9" t="n">
        <x:f>I467*(1-0.40)-J467</x:f>
        <x:v>2.1555555555555554</x:v>
      </x:c>
      <x:c r="M467" s="9" t="n">
        <x:f>'Physical_Arcs'!S47</x:f>
        <x:v>5.388888888888889</x:v>
      </x:c>
      <x:c r="N467" s="9" t="n">
        <x:f>M467*'Parameters'!$C$18</x:f>
        <x:v>1.077777777777778</x:v>
      </x:c>
      <x:c r="O467" s="9" t="n">
        <x:f>N467*'Parameters'!$C$19</x:f>
        <x:v>1.3472222222222223</x:v>
      </x:c>
      <x:c r="P467" s="9" t="n">
        <x:f>M467*(1-0.40)-N467</x:f>
        <x:v>2.1555555555555554</x:v>
      </x:c>
      <x:c r="Q467" s="9" t="n">
        <x:f>'Physical_Arcs'!T47</x:f>
        <x:v>2.6944444444444446</x:v>
      </x:c>
      <x:c r="R467" s="9" t="n">
        <x:f>Q467*'Parameters'!$C$18</x:f>
        <x:v>0.538888888888889</x:v>
      </x:c>
      <x:c r="S467" s="9" t="n">
        <x:f>R467*'Parameters'!$C$19</x:f>
        <x:v>0.6736111111111112</x:v>
      </x:c>
      <x:c r="T467" s="9" t="n">
        <x:f>Q467*(1-0.40)-R467</x:f>
        <x:v>1.0777777777777777</x:v>
      </x:c>
    </x:row>
    <x:row r="468" ht="21" customHeight="1">
      <x:c r="A468" s="3" t="n">
        <x:v>7</x:v>
      </x:c>
      <x:c r="B468" s="3" t="str">
        <x:v>01:10</x:v>
      </x:c>
      <x:c r="C468" s="3" t="n">
        <x:v>2</x:v>
      </x:c>
      <x:c r="D468" s="3" t="n">
        <x:v>47</x:v>
      </x:c>
      <x:c r="E468" s="3" t="n">
        <x:v>8</x:v>
      </x:c>
      <x:c r="F468" s="3" t="n">
        <x:v>2</x:v>
      </x:c>
      <x:c r="G468" s="9" t="n">
        <x:v>0.14</x:v>
      </x:c>
      <x:c r="H468" s="9" t="n">
        <x:v>1.135644</x:v>
      </x:c>
      <x:c r="I468" s="9" t="n">
        <x:f>'Physical_Arcs'!R48</x:f>
        <x:v>8.083333333333334</x:v>
      </x:c>
      <x:c r="J468" s="9" t="n">
        <x:f>I468*'Parameters'!$C$18</x:f>
        <x:v>1.616666666666667</x:v>
      </x:c>
      <x:c r="K468" s="9" t="n">
        <x:f>J468*'Parameters'!$C$19</x:f>
        <x:v>2.0208333333333335</x:v>
      </x:c>
      <x:c r="L468" s="9" t="n">
        <x:f>I468*(1-0.40)-J468</x:f>
        <x:v>3.2333333333333334</x:v>
      </x:c>
      <x:c r="M468" s="9" t="n">
        <x:f>'Physical_Arcs'!S48</x:f>
        <x:v>8.083333333333334</x:v>
      </x:c>
      <x:c r="N468" s="9" t="n">
        <x:f>M468*'Parameters'!$C$18</x:f>
        <x:v>1.616666666666667</x:v>
      </x:c>
      <x:c r="O468" s="9" t="n">
        <x:f>N468*'Parameters'!$C$19</x:f>
        <x:v>2.0208333333333335</x:v>
      </x:c>
      <x:c r="P468" s="9" t="n">
        <x:f>M468*(1-0.40)-N468</x:f>
        <x:v>3.2333333333333334</x:v>
      </x:c>
      <x:c r="Q468" s="9" t="n">
        <x:f>'Physical_Arcs'!T48</x:f>
        <x:v>4.055555555555555</x:v>
      </x:c>
      <x:c r="R468" s="9" t="n">
        <x:f>Q468*'Parameters'!$C$18</x:f>
        <x:v>0.8111111111111111</x:v>
      </x:c>
      <x:c r="S468" s="9" t="n">
        <x:f>R468*'Parameters'!$C$19</x:f>
        <x:v>1.0138888888888888</x:v>
      </x:c>
      <x:c r="T468" s="9" t="n">
        <x:f>Q468*(1-0.40)-R468</x:f>
        <x:v>1.622222222222222</x:v>
      </x:c>
    </x:row>
    <x:row r="469" ht="21" customHeight="1">
      <x:c r="A469" s="3" t="n">
        <x:v>7</x:v>
      </x:c>
      <x:c r="B469" s="3" t="str">
        <x:v>01:10</x:v>
      </x:c>
      <x:c r="C469" s="3" t="n">
        <x:v>2</x:v>
      </x:c>
      <x:c r="D469" s="3" t="n">
        <x:v>48</x:v>
      </x:c>
      <x:c r="E469" s="3" t="n">
        <x:v>8</x:v>
      </x:c>
      <x:c r="F469" s="3" t="n">
        <x:v>6</x:v>
      </x:c>
      <x:c r="G469" s="9" t="n">
        <x:v>0.14</x:v>
      </x:c>
      <x:c r="H469" s="9" t="n">
        <x:v>0.850778</x:v>
      </x:c>
      <x:c r="I469" s="9" t="n">
        <x:f>'Physical_Arcs'!R49</x:f>
        <x:v>10.555555555555555</x:v>
      </x:c>
      <x:c r="J469" s="9" t="n">
        <x:f>I469*'Parameters'!$C$18</x:f>
        <x:v>2.111111111111111</x:v>
      </x:c>
      <x:c r="K469" s="9" t="n">
        <x:f>J469*'Parameters'!$C$19</x:f>
        <x:v>2.638888888888889</x:v>
      </x:c>
      <x:c r="L469" s="9" t="n">
        <x:f>I469*(1-0.40)-J469</x:f>
        <x:v>4.222222222222221</x:v>
      </x:c>
      <x:c r="M469" s="9" t="n">
        <x:f>'Physical_Arcs'!S49</x:f>
        <x:v>10.555555555555555</x:v>
      </x:c>
      <x:c r="N469" s="9" t="n">
        <x:f>M469*'Parameters'!$C$18</x:f>
        <x:v>2.111111111111111</x:v>
      </x:c>
      <x:c r="O469" s="9" t="n">
        <x:f>N469*'Parameters'!$C$19</x:f>
        <x:v>2.638888888888889</x:v>
      </x:c>
      <x:c r="P469" s="9" t="n">
        <x:f>M469*(1-0.40)-N469</x:f>
        <x:v>4.222222222222221</x:v>
      </x:c>
      <x:c r="Q469" s="9" t="n">
        <x:f>'Physical_Arcs'!T49</x:f>
        <x:v>5.277777777777778</x:v>
      </x:c>
      <x:c r="R469" s="9" t="n">
        <x:f>Q469*'Parameters'!$C$18</x:f>
        <x:v>1.0555555555555556</x:v>
      </x:c>
      <x:c r="S469" s="9" t="n">
        <x:f>R469*'Parameters'!$C$19</x:f>
        <x:v>1.3194444444444444</x:v>
      </x:c>
      <x:c r="T469" s="9" t="n">
        <x:f>Q469*(1-0.40)-R469</x:f>
        <x:v>2.1111111111111107</x:v>
      </x:c>
    </x:row>
    <x:row r="470" ht="21" customHeight="1">
      <x:c r="A470" s="3" t="n">
        <x:v>7</x:v>
      </x:c>
      <x:c r="B470" s="3" t="str">
        <x:v>01:10</x:v>
      </x:c>
      <x:c r="C470" s="3" t="n">
        <x:v>2</x:v>
      </x:c>
      <x:c r="D470" s="3" t="n">
        <x:v>49</x:v>
      </x:c>
      <x:c r="E470" s="3" t="n">
        <x:v>8</x:v>
      </x:c>
      <x:c r="F470" s="3" t="n">
        <x:v>4</x:v>
      </x:c>
      <x:c r="G470" s="9" t="n">
        <x:v>0.14</x:v>
      </x:c>
      <x:c r="H470" s="9" t="n">
        <x:v>0.904949</x:v>
      </x:c>
      <x:c r="I470" s="9" t="n">
        <x:f>'Physical_Arcs'!R50</x:f>
        <x:v>1.5833333333333333</x:v>
      </x:c>
      <x:c r="J470" s="9" t="n">
        <x:f>I470*'Parameters'!$C$18</x:f>
        <x:v>0.31666666666666665</x:v>
      </x:c>
      <x:c r="K470" s="9" t="n">
        <x:f>J470*'Parameters'!$C$19</x:f>
        <x:v>0.3958333333333333</x:v>
      </x:c>
      <x:c r="L470" s="9" t="n">
        <x:f>I470*(1-0.40)-J470</x:f>
        <x:v>0.6333333333333333</x:v>
      </x:c>
      <x:c r="M470" s="9" t="n">
        <x:f>'Physical_Arcs'!S50</x:f>
        <x:v>1.5833333333333333</x:v>
      </x:c>
      <x:c r="N470" s="9" t="n">
        <x:f>M470*'Parameters'!$C$18</x:f>
        <x:v>0.31666666666666665</x:v>
      </x:c>
      <x:c r="O470" s="9" t="n">
        <x:f>N470*'Parameters'!$C$19</x:f>
        <x:v>0.3958333333333333</x:v>
      </x:c>
      <x:c r="P470" s="9" t="n">
        <x:f>M470*(1-0.40)-N470</x:f>
        <x:v>0.6333333333333333</x:v>
      </x:c>
      <x:c r="Q470" s="9" t="n">
        <x:f>'Physical_Arcs'!T50</x:f>
        <x:v>0.8055555555555556</x:v>
      </x:c>
      <x:c r="R470" s="9" t="n">
        <x:f>Q470*'Parameters'!$C$18</x:f>
        <x:v>0.16111111111111112</x:v>
      </x:c>
      <x:c r="S470" s="9" t="n">
        <x:f>R470*'Parameters'!$C$19</x:f>
        <x:v>0.2013888888888889</x:v>
      </x:c>
      <x:c r="T470" s="9" t="n">
        <x:f>Q470*(1-0.40)-R470</x:f>
        <x:v>0.3222222222222222</x:v>
      </x:c>
    </x:row>
    <x:row r="471" ht="21" customHeight="1">
      <x:c r="A471" s="3" t="n">
        <x:v>7</x:v>
      </x:c>
      <x:c r="B471" s="3" t="str">
        <x:v>01:10</x:v>
      </x:c>
      <x:c r="C471" s="3" t="n">
        <x:v>2</x:v>
      </x:c>
      <x:c r="D471" s="3" t="n">
        <x:v>50</x:v>
      </x:c>
      <x:c r="E471" s="3" t="n">
        <x:v>8</x:v>
      </x:c>
      <x:c r="F471" s="3" t="n">
        <x:v>5</x:v>
      </x:c>
      <x:c r="G471" s="9" t="n">
        <x:v>0.14</x:v>
      </x:c>
      <x:c r="H471" s="9" t="n">
        <x:v>0.990416</x:v>
      </x:c>
      <x:c r="I471" s="9" t="n">
        <x:f>'Physical_Arcs'!R51</x:f>
        <x:v>10.777777777777779</x:v>
      </x:c>
      <x:c r="J471" s="9" t="n">
        <x:f>I471*'Parameters'!$C$18</x:f>
        <x:v>2.155555555555556</x:v>
      </x:c>
      <x:c r="K471" s="9" t="n">
        <x:f>J471*'Parameters'!$C$19</x:f>
        <x:v>2.6944444444444446</x:v>
      </x:c>
      <x:c r="L471" s="9" t="n">
        <x:f>I471*(1-0.40)-J471</x:f>
        <x:v>4.311111111111111</x:v>
      </x:c>
      <x:c r="M471" s="9" t="n">
        <x:f>'Physical_Arcs'!S51</x:f>
        <x:v>10.777777777777779</x:v>
      </x:c>
      <x:c r="N471" s="9" t="n">
        <x:f>M471*'Parameters'!$C$18</x:f>
        <x:v>2.155555555555556</x:v>
      </x:c>
      <x:c r="O471" s="9" t="n">
        <x:f>N471*'Parameters'!$C$19</x:f>
        <x:v>2.6944444444444446</x:v>
      </x:c>
      <x:c r="P471" s="9" t="n">
        <x:f>M471*(1-0.40)-N471</x:f>
        <x:v>4.311111111111111</x:v>
      </x:c>
      <x:c r="Q471" s="9" t="n">
        <x:f>'Physical_Arcs'!T51</x:f>
        <x:v>5.388888888888889</x:v>
      </x:c>
      <x:c r="R471" s="9" t="n">
        <x:f>Q471*'Parameters'!$C$18</x:f>
        <x:v>1.077777777777778</x:v>
      </x:c>
      <x:c r="S471" s="9" t="n">
        <x:f>R471*'Parameters'!$C$19</x:f>
        <x:v>1.3472222222222223</x:v>
      </x:c>
      <x:c r="T471" s="9" t="n">
        <x:f>Q471*(1-0.40)-R471</x:f>
        <x:v>2.1555555555555554</x:v>
      </x:c>
    </x:row>
    <x:row r="472" ht="21" customHeight="1">
      <x:c r="A472" s="3" t="n">
        <x:v>7</x:v>
      </x:c>
      <x:c r="B472" s="3" t="str">
        <x:v>01:10</x:v>
      </x:c>
      <x:c r="C472" s="3" t="n">
        <x:v>2</x:v>
      </x:c>
      <x:c r="D472" s="3" t="n">
        <x:v>51</x:v>
      </x:c>
      <x:c r="E472" s="3" t="n">
        <x:v>8</x:v>
      </x:c>
      <x:c r="F472" s="3" t="n">
        <x:v>1</x:v>
      </x:c>
      <x:c r="G472" s="9" t="n">
        <x:v>0.14</x:v>
      </x:c>
      <x:c r="H472" s="9" t="n">
        <x:v>1.039066</x:v>
      </x:c>
      <x:c r="I472" s="9" t="n">
        <x:f>'Physical_Arcs'!R52</x:f>
        <x:v>8.88888888888889</x:v>
      </x:c>
      <x:c r="J472" s="9" t="n">
        <x:f>I472*'Parameters'!$C$18</x:f>
        <x:v>1.777777777777778</x:v>
      </x:c>
      <x:c r="K472" s="9" t="n">
        <x:f>J472*'Parameters'!$C$19</x:f>
        <x:v>2.2222222222222223</x:v>
      </x:c>
      <x:c r="L472" s="9" t="n">
        <x:f>I472*(1-0.40)-J472</x:f>
        <x:v>3.5555555555555554</x:v>
      </x:c>
      <x:c r="M472" s="9" t="n">
        <x:f>'Physical_Arcs'!S52</x:f>
        <x:v>8.88888888888889</x:v>
      </x:c>
      <x:c r="N472" s="9" t="n">
        <x:f>M472*'Parameters'!$C$18</x:f>
        <x:v>1.777777777777778</x:v>
      </x:c>
      <x:c r="O472" s="9" t="n">
        <x:f>N472*'Parameters'!$C$19</x:f>
        <x:v>2.2222222222222223</x:v>
      </x:c>
      <x:c r="P472" s="9" t="n">
        <x:f>M472*(1-0.40)-N472</x:f>
        <x:v>3.5555555555555554</x:v>
      </x:c>
      <x:c r="Q472" s="9" t="n">
        <x:f>'Physical_Arcs'!T52</x:f>
        <x:v>4.444444444444445</x:v>
      </x:c>
      <x:c r="R472" s="9" t="n">
        <x:f>Q472*'Parameters'!$C$18</x:f>
        <x:v>0.888888888888889</x:v>
      </x:c>
      <x:c r="S472" s="9" t="n">
        <x:f>R472*'Parameters'!$C$19</x:f>
        <x:v>1.1111111111111112</x:v>
      </x:c>
      <x:c r="T472" s="9" t="n">
        <x:f>Q472*(1-0.40)-R472</x:f>
        <x:v>1.7777777777777777</x:v>
      </x:c>
    </x:row>
    <x:row r="473" ht="21" customHeight="1">
      <x:c r="A473" s="3" t="n">
        <x:v>7</x:v>
      </x:c>
      <x:c r="B473" s="3" t="str">
        <x:v>01:10</x:v>
      </x:c>
      <x:c r="C473" s="3" t="n">
        <x:v>2</x:v>
      </x:c>
      <x:c r="D473" s="3" t="n">
        <x:v>52</x:v>
      </x:c>
      <x:c r="E473" s="3" t="n">
        <x:v>9</x:v>
      </x:c>
      <x:c r="F473" s="3" t="n">
        <x:v>10</x:v>
      </x:c>
      <x:c r="G473" s="9" t="n">
        <x:v>0.14</x:v>
      </x:c>
      <x:c r="H473" s="9" t="n">
        <x:v>0.954096</x:v>
      </x:c>
      <x:c r="I473" s="9" t="n">
        <x:f>'Physical_Arcs'!R53</x:f>
        <x:v>17.02777777777778</x:v>
      </x:c>
      <x:c r="J473" s="9" t="n">
        <x:f>I473*'Parameters'!$C$18</x:f>
        <x:v>3.405555555555556</x:v>
      </x:c>
      <x:c r="K473" s="9" t="n">
        <x:f>J473*'Parameters'!$C$19</x:f>
        <x:v>4.256944444444445</x:v>
      </x:c>
      <x:c r="L473" s="9" t="n">
        <x:f>I473*(1-0.40)-J473</x:f>
        <x:v>6.811111111111111</x:v>
      </x:c>
      <x:c r="M473" s="9" t="n">
        <x:f>'Physical_Arcs'!S53</x:f>
        <x:v>17.02777777777778</x:v>
      </x:c>
      <x:c r="N473" s="9" t="n">
        <x:f>M473*'Parameters'!$C$18</x:f>
        <x:v>3.405555555555556</x:v>
      </x:c>
      <x:c r="O473" s="9" t="n">
        <x:f>N473*'Parameters'!$C$19</x:f>
        <x:v>4.256944444444445</x:v>
      </x:c>
      <x:c r="P473" s="9" t="n">
        <x:f>M473*(1-0.40)-N473</x:f>
        <x:v>6.811111111111111</x:v>
      </x:c>
      <x:c r="Q473" s="9" t="n">
        <x:f>'Physical_Arcs'!T53</x:f>
        <x:v>17.02777777777778</x:v>
      </x:c>
      <x:c r="R473" s="9" t="n">
        <x:f>Q473*'Parameters'!$C$18</x:f>
        <x:v>3.405555555555556</x:v>
      </x:c>
      <x:c r="S473" s="9" t="n">
        <x:f>R473*'Parameters'!$C$19</x:f>
        <x:v>4.256944444444445</x:v>
      </x:c>
      <x:c r="T473" s="9" t="n">
        <x:f>Q473*(1-0.40)-R473</x:f>
        <x:v>6.811111111111111</x:v>
      </x:c>
    </x:row>
    <x:row r="474" ht="21" customHeight="1">
      <x:c r="A474" s="3" t="n">
        <x:v>7</x:v>
      </x:c>
      <x:c r="B474" s="3" t="str">
        <x:v>01:10</x:v>
      </x:c>
      <x:c r="C474" s="3" t="n">
        <x:v>2</x:v>
      </x:c>
      <x:c r="D474" s="3" t="n">
        <x:v>53</x:v>
      </x:c>
      <x:c r="E474" s="3" t="n">
        <x:v>9</x:v>
      </x:c>
      <x:c r="F474" s="3" t="n">
        <x:v>6</x:v>
      </x:c>
      <x:c r="G474" s="9" t="n">
        <x:v>0.14</x:v>
      </x:c>
      <x:c r="H474" s="9" t="n">
        <x:v>1.125574</x:v>
      </x:c>
      <x:c r="I474" s="9" t="n">
        <x:f>'Physical_Arcs'!R54</x:f>
        <x:v>9.666666666666666</x:v>
      </x:c>
      <x:c r="J474" s="9" t="n">
        <x:f>I474*'Parameters'!$C$18</x:f>
        <x:v>1.9333333333333333</x:v>
      </x:c>
      <x:c r="K474" s="9" t="n">
        <x:f>J474*'Parameters'!$C$19</x:f>
        <x:v>2.4166666666666665</x:v>
      </x:c>
      <x:c r="L474" s="9" t="n">
        <x:f>I474*(1-0.40)-J474</x:f>
        <x:v>3.8666666666666663</x:v>
      </x:c>
      <x:c r="M474" s="9" t="n">
        <x:f>'Physical_Arcs'!S54</x:f>
        <x:v>9.666666666666666</x:v>
      </x:c>
      <x:c r="N474" s="9" t="n">
        <x:f>M474*'Parameters'!$C$18</x:f>
        <x:v>1.9333333333333333</x:v>
      </x:c>
      <x:c r="O474" s="9" t="n">
        <x:f>N474*'Parameters'!$C$19</x:f>
        <x:v>2.4166666666666665</x:v>
      </x:c>
      <x:c r="P474" s="9" t="n">
        <x:f>M474*(1-0.40)-N474</x:f>
        <x:v>3.8666666666666663</x:v>
      </x:c>
      <x:c r="Q474" s="9" t="n">
        <x:f>'Physical_Arcs'!T54</x:f>
        <x:v>4.833333333333333</x:v>
      </x:c>
      <x:c r="R474" s="9" t="n">
        <x:f>Q474*'Parameters'!$C$18</x:f>
        <x:v>0.9666666666666667</x:v>
      </x:c>
      <x:c r="S474" s="9" t="n">
        <x:f>R474*'Parameters'!$C$19</x:f>
        <x:v>1.2083333333333333</x:v>
      </x:c>
      <x:c r="T474" s="9" t="n">
        <x:f>Q474*(1-0.40)-R474</x:f>
        <x:v>1.9333333333333331</x:v>
      </x:c>
    </x:row>
    <x:row r="475" ht="21" customHeight="1">
      <x:c r="A475" s="3" t="n">
        <x:v>7</x:v>
      </x:c>
      <x:c r="B475" s="3" t="str">
        <x:v>01:10</x:v>
      </x:c>
      <x:c r="C475" s="3" t="n">
        <x:v>2</x:v>
      </x:c>
      <x:c r="D475" s="3" t="n">
        <x:v>54</x:v>
      </x:c>
      <x:c r="E475" s="3" t="n">
        <x:v>9</x:v>
      </x:c>
      <x:c r="F475" s="3" t="n">
        <x:v>2</x:v>
      </x:c>
      <x:c r="G475" s="9" t="n">
        <x:v>0.14</x:v>
      </x:c>
      <x:c r="H475" s="9" t="n">
        <x:v>0.854534</x:v>
      </x:c>
      <x:c r="I475" s="9" t="n">
        <x:f>'Physical_Arcs'!R55</x:f>
        <x:v>9.88888888888889</x:v>
      </x:c>
      <x:c r="J475" s="9" t="n">
        <x:f>I475*'Parameters'!$C$18</x:f>
        <x:v>1.9777777777777779</x:v>
      </x:c>
      <x:c r="K475" s="9" t="n">
        <x:f>J475*'Parameters'!$C$19</x:f>
        <x:v>2.4722222222222223</x:v>
      </x:c>
      <x:c r="L475" s="9" t="n">
        <x:f>I475*(1-0.40)-J475</x:f>
        <x:v>3.9555555555555557</x:v>
      </x:c>
      <x:c r="M475" s="9" t="n">
        <x:f>'Physical_Arcs'!S55</x:f>
        <x:v>9.88888888888889</x:v>
      </x:c>
      <x:c r="N475" s="9" t="n">
        <x:f>M475*'Parameters'!$C$18</x:f>
        <x:v>1.9777777777777779</x:v>
      </x:c>
      <x:c r="O475" s="9" t="n">
        <x:f>N475*'Parameters'!$C$19</x:f>
        <x:v>2.4722222222222223</x:v>
      </x:c>
      <x:c r="P475" s="9" t="n">
        <x:f>M475*(1-0.40)-N475</x:f>
        <x:v>3.9555555555555557</x:v>
      </x:c>
      <x:c r="Q475" s="9" t="n">
        <x:f>'Physical_Arcs'!T55</x:f>
        <x:v>4.944444444444445</x:v>
      </x:c>
      <x:c r="R475" s="9" t="n">
        <x:f>Q475*'Parameters'!$C$18</x:f>
        <x:v>0.9888888888888889</x:v>
      </x:c>
      <x:c r="S475" s="9" t="n">
        <x:f>R475*'Parameters'!$C$19</x:f>
        <x:v>1.2361111111111112</x:v>
      </x:c>
      <x:c r="T475" s="9" t="n">
        <x:f>Q475*(1-0.40)-R475</x:f>
        <x:v>1.9777777777777779</x:v>
      </x:c>
    </x:row>
    <x:row r="476" ht="21" customHeight="1">
      <x:c r="A476" s="3" t="n">
        <x:v>7</x:v>
      </x:c>
      <x:c r="B476" s="3" t="str">
        <x:v>01:10</x:v>
      </x:c>
      <x:c r="C476" s="3" t="n">
        <x:v>2</x:v>
      </x:c>
      <x:c r="D476" s="3" t="n">
        <x:v>55</x:v>
      </x:c>
      <x:c r="E476" s="3" t="n">
        <x:v>9</x:v>
      </x:c>
      <x:c r="F476" s="3" t="n">
        <x:v>7</x:v>
      </x:c>
      <x:c r="G476" s="9" t="n">
        <x:v>0.14</x:v>
      </x:c>
      <x:c r="H476" s="9" t="n">
        <x:v>0.900033</x:v>
      </x:c>
      <x:c r="I476" s="9" t="n">
        <x:f>'Physical_Arcs'!R56</x:f>
        <x:v>4.166666666666667</x:v>
      </x:c>
      <x:c r="J476" s="9" t="n">
        <x:f>I476*'Parameters'!$C$18</x:f>
        <x:v>0.8333333333333335</x:v>
      </x:c>
      <x:c r="K476" s="9" t="n">
        <x:f>J476*'Parameters'!$C$19</x:f>
        <x:v>1.041666666666667</x:v>
      </x:c>
      <x:c r="L476" s="9" t="n">
        <x:f>I476*(1-0.40)-J476</x:f>
        <x:v>1.6666666666666665</x:v>
      </x:c>
      <x:c r="M476" s="9" t="n">
        <x:f>'Physical_Arcs'!S56</x:f>
        <x:v>4.166666666666667</x:v>
      </x:c>
      <x:c r="N476" s="9" t="n">
        <x:f>M476*'Parameters'!$C$18</x:f>
        <x:v>0.8333333333333335</x:v>
      </x:c>
      <x:c r="O476" s="9" t="n">
        <x:f>N476*'Parameters'!$C$19</x:f>
        <x:v>1.041666666666667</x:v>
      </x:c>
      <x:c r="P476" s="9" t="n">
        <x:f>M476*(1-0.40)-N476</x:f>
        <x:v>1.6666666666666665</x:v>
      </x:c>
      <x:c r="Q476" s="9" t="n">
        <x:f>'Physical_Arcs'!T56</x:f>
        <x:v>2.0833333333333335</x:v>
      </x:c>
      <x:c r="R476" s="9" t="n">
        <x:f>Q476*'Parameters'!$C$18</x:f>
        <x:v>0.41666666666666674</x:v>
      </x:c>
      <x:c r="S476" s="9" t="n">
        <x:f>R476*'Parameters'!$C$19</x:f>
        <x:v>0.5208333333333335</x:v>
      </x:c>
      <x:c r="T476" s="9" t="n">
        <x:f>Q476*(1-0.40)-R476</x:f>
        <x:v>0.8333333333333333</x:v>
      </x:c>
    </x:row>
    <x:row r="477" ht="21" customHeight="1">
      <x:c r="A477" s="3" t="n">
        <x:v>7</x:v>
      </x:c>
      <x:c r="B477" s="3" t="str">
        <x:v>01:10</x:v>
      </x:c>
      <x:c r="C477" s="3" t="n">
        <x:v>2</x:v>
      </x:c>
      <x:c r="D477" s="3" t="n">
        <x:v>56</x:v>
      </x:c>
      <x:c r="E477" s="3" t="n">
        <x:v>9</x:v>
      </x:c>
      <x:c r="F477" s="3" t="n">
        <x:v>3</x:v>
      </x:c>
      <x:c r="G477" s="9" t="n">
        <x:v>0.14</x:v>
      </x:c>
      <x:c r="H477" s="9" t="n">
        <x:v>0.893428</x:v>
      </x:c>
      <x:c r="I477" s="9" t="n">
        <x:f>'Physical_Arcs'!R57</x:f>
        <x:v>3.7222222222222223</x:v>
      </x:c>
      <x:c r="J477" s="9" t="n">
        <x:f>I477*'Parameters'!$C$18</x:f>
        <x:v>0.7444444444444445</x:v>
      </x:c>
      <x:c r="K477" s="9" t="n">
        <x:f>J477*'Parameters'!$C$19</x:f>
        <x:v>0.9305555555555556</x:v>
      </x:c>
      <x:c r="L477" s="9" t="n">
        <x:f>I477*(1-0.40)-J477</x:f>
        <x:v>1.488888888888889</x:v>
      </x:c>
      <x:c r="M477" s="9" t="n">
        <x:f>'Physical_Arcs'!S57</x:f>
        <x:v>3.7222222222222223</x:v>
      </x:c>
      <x:c r="N477" s="9" t="n">
        <x:f>M477*'Parameters'!$C$18</x:f>
        <x:v>0.7444444444444445</x:v>
      </x:c>
      <x:c r="O477" s="9" t="n">
        <x:f>N477*'Parameters'!$C$19</x:f>
        <x:v>0.9305555555555556</x:v>
      </x:c>
      <x:c r="P477" s="9" t="n">
        <x:f>M477*(1-0.40)-N477</x:f>
        <x:v>1.488888888888889</x:v>
      </x:c>
      <x:c r="Q477" s="9" t="n">
        <x:f>'Physical_Arcs'!T57</x:f>
        <x:v>1.8611111111111112</x:v>
      </x:c>
      <x:c r="R477" s="9" t="n">
        <x:f>Q477*'Parameters'!$C$18</x:f>
        <x:v>0.37222222222222223</x:v>
      </x:c>
      <x:c r="S477" s="9" t="n">
        <x:f>R477*'Parameters'!$C$19</x:f>
        <x:v>0.4652777777777778</x:v>
      </x:c>
      <x:c r="T477" s="9" t="n">
        <x:f>Q477*(1-0.40)-R477</x:f>
        <x:v>0.7444444444444445</x:v>
      </x:c>
    </x:row>
    <x:row r="478" ht="21" customHeight="1">
      <x:c r="A478" s="3" t="n">
        <x:v>7</x:v>
      </x:c>
      <x:c r="B478" s="3" t="str">
        <x:v>01:10</x:v>
      </x:c>
      <x:c r="C478" s="3" t="n">
        <x:v>2</x:v>
      </x:c>
      <x:c r="D478" s="3" t="n">
        <x:v>57</x:v>
      </x:c>
      <x:c r="E478" s="3" t="n">
        <x:v>10</x:v>
      </x:c>
      <x:c r="F478" s="3" t="n">
        <x:v>1</x:v>
      </x:c>
      <x:c r="G478" s="9" t="n">
        <x:v>0.14</x:v>
      </x:c>
      <x:c r="H478" s="9" t="n">
        <x:v>1.027979</x:v>
      </x:c>
      <x:c r="I478" s="9" t="n">
        <x:f>'Physical_Arcs'!R58</x:f>
        <x:v>17.02777777777778</x:v>
      </x:c>
      <x:c r="J478" s="9" t="n">
        <x:f>I478*'Parameters'!$C$18</x:f>
        <x:v>3.405555555555556</x:v>
      </x:c>
      <x:c r="K478" s="9" t="n">
        <x:f>J478*'Parameters'!$C$19</x:f>
        <x:v>4.256944444444445</x:v>
      </x:c>
      <x:c r="L478" s="9" t="n">
        <x:f>I478*(1-0.40)-J478</x:f>
        <x:v>6.811111111111111</x:v>
      </x:c>
      <x:c r="M478" s="9" t="n">
        <x:f>'Physical_Arcs'!S58</x:f>
        <x:v>17.02777777777778</x:v>
      </x:c>
      <x:c r="N478" s="9" t="n">
        <x:f>M478*'Parameters'!$C$18</x:f>
        <x:v>3.405555555555556</x:v>
      </x:c>
      <x:c r="O478" s="9" t="n">
        <x:f>N478*'Parameters'!$C$19</x:f>
        <x:v>4.256944444444445</x:v>
      </x:c>
      <x:c r="P478" s="9" t="n">
        <x:f>M478*(1-0.40)-N478</x:f>
        <x:v>6.811111111111111</x:v>
      </x:c>
      <x:c r="Q478" s="9" t="n">
        <x:f>'Physical_Arcs'!T58</x:f>
        <x:v>17.02777777777778</x:v>
      </x:c>
      <x:c r="R478" s="9" t="n">
        <x:f>Q478*'Parameters'!$C$18</x:f>
        <x:v>3.405555555555556</x:v>
      </x:c>
      <x:c r="S478" s="9" t="n">
        <x:f>R478*'Parameters'!$C$19</x:f>
        <x:v>4.256944444444445</x:v>
      </x:c>
      <x:c r="T478" s="9" t="n">
        <x:f>Q478*(1-0.40)-R478</x:f>
        <x:v>6.811111111111111</x:v>
      </x:c>
    </x:row>
    <x:row r="479" ht="21" customHeight="1">
      <x:c r="A479" s="3" t="n">
        <x:v>7</x:v>
      </x:c>
      <x:c r="B479" s="3" t="str">
        <x:v>01:10</x:v>
      </x:c>
      <x:c r="C479" s="3" t="n">
        <x:v>2</x:v>
      </x:c>
      <x:c r="D479" s="3" t="n">
        <x:v>58</x:v>
      </x:c>
      <x:c r="E479" s="3" t="n">
        <x:v>10</x:v>
      </x:c>
      <x:c r="F479" s="3" t="n">
        <x:v>6</x:v>
      </x:c>
      <x:c r="G479" s="9" t="n">
        <x:v>0.14</x:v>
      </x:c>
      <x:c r="H479" s="9" t="n">
        <x:v>0.952676</x:v>
      </x:c>
      <x:c r="I479" s="9" t="n">
        <x:f>'Physical_Arcs'!R59</x:f>
        <x:v>6.305555555555555</x:v>
      </x:c>
      <x:c r="J479" s="9" t="n">
        <x:f>I479*'Parameters'!$C$18</x:f>
        <x:v>1.261111111111111</x:v>
      </x:c>
      <x:c r="K479" s="9" t="n">
        <x:f>J479*'Parameters'!$C$19</x:f>
        <x:v>1.5763888888888888</x:v>
      </x:c>
      <x:c r="L479" s="9" t="n">
        <x:f>I479*(1-0.40)-J479</x:f>
        <x:v>2.522222222222222</x:v>
      </x:c>
      <x:c r="M479" s="9" t="n">
        <x:f>'Physical_Arcs'!S59</x:f>
        <x:v>6.305555555555555</x:v>
      </x:c>
      <x:c r="N479" s="9" t="n">
        <x:f>M479*'Parameters'!$C$18</x:f>
        <x:v>1.261111111111111</x:v>
      </x:c>
      <x:c r="O479" s="9" t="n">
        <x:f>N479*'Parameters'!$C$19</x:f>
        <x:v>1.5763888888888888</x:v>
      </x:c>
      <x:c r="P479" s="9" t="n">
        <x:f>M479*(1-0.40)-N479</x:f>
        <x:v>2.522222222222222</x:v>
      </x:c>
      <x:c r="Q479" s="9" t="n">
        <x:f>'Physical_Arcs'!T59</x:f>
        <x:v>3.1666666666666665</x:v>
      </x:c>
      <x:c r="R479" s="9" t="n">
        <x:f>Q479*'Parameters'!$C$18</x:f>
        <x:v>0.6333333333333333</x:v>
      </x:c>
      <x:c r="S479" s="9" t="n">
        <x:f>R479*'Parameters'!$C$19</x:f>
        <x:v>0.7916666666666666</x:v>
      </x:c>
      <x:c r="T479" s="9" t="n">
        <x:f>Q479*(1-0.40)-R479</x:f>
        <x:v>1.2666666666666666</x:v>
      </x:c>
    </x:row>
    <x:row r="480" ht="21" customHeight="1">
      <x:c r="A480" s="3" t="n">
        <x:v>7</x:v>
      </x:c>
      <x:c r="B480" s="3" t="str">
        <x:v>01:10</x:v>
      </x:c>
      <x:c r="C480" s="3" t="n">
        <x:v>2</x:v>
      </x:c>
      <x:c r="D480" s="3" t="n">
        <x:v>59</x:v>
      </x:c>
      <x:c r="E480" s="3" t="n">
        <x:v>10</x:v>
      </x:c>
      <x:c r="F480" s="3" t="n">
        <x:v>4</x:v>
      </x:c>
      <x:c r="G480" s="9" t="n">
        <x:v>0.14</x:v>
      </x:c>
      <x:c r="H480" s="9" t="n">
        <x:v>1.114542</x:v>
      </x:c>
      <x:c r="I480" s="9" t="n">
        <x:f>'Physical_Arcs'!R60</x:f>
        <x:v>1.5833333333333333</x:v>
      </x:c>
      <x:c r="J480" s="9" t="n">
        <x:f>I480*'Parameters'!$C$18</x:f>
        <x:v>0.31666666666666665</x:v>
      </x:c>
      <x:c r="K480" s="9" t="n">
        <x:f>J480*'Parameters'!$C$19</x:f>
        <x:v>0.3958333333333333</x:v>
      </x:c>
      <x:c r="L480" s="9" t="n">
        <x:f>I480*(1-0.40)-J480</x:f>
        <x:v>0.6333333333333333</x:v>
      </x:c>
      <x:c r="M480" s="9" t="n">
        <x:f>'Physical_Arcs'!S60</x:f>
        <x:v>1.5833333333333333</x:v>
      </x:c>
      <x:c r="N480" s="9" t="n">
        <x:f>M480*'Parameters'!$C$18</x:f>
        <x:v>0.31666666666666665</x:v>
      </x:c>
      <x:c r="O480" s="9" t="n">
        <x:f>N480*'Parameters'!$C$19</x:f>
        <x:v>0.3958333333333333</x:v>
      </x:c>
      <x:c r="P480" s="9" t="n">
        <x:f>M480*(1-0.40)-N480</x:f>
        <x:v>0.6333333333333333</x:v>
      </x:c>
      <x:c r="Q480" s="9" t="n">
        <x:f>'Physical_Arcs'!T60</x:f>
        <x:v>0.8055555555555556</x:v>
      </x:c>
      <x:c r="R480" s="9" t="n">
        <x:f>Q480*'Parameters'!$C$18</x:f>
        <x:v>0.16111111111111112</x:v>
      </x:c>
      <x:c r="S480" s="9" t="n">
        <x:f>R480*'Parameters'!$C$19</x:f>
        <x:v>0.2013888888888889</x:v>
      </x:c>
      <x:c r="T480" s="9" t="n">
        <x:f>Q480*(1-0.40)-R480</x:f>
        <x:v>0.3222222222222222</x:v>
      </x:c>
    </x:row>
    <x:row r="481" ht="21" customHeight="1">
      <x:c r="A481" s="3" t="n">
        <x:v>7</x:v>
      </x:c>
      <x:c r="B481" s="3" t="str">
        <x:v>01:10</x:v>
      </x:c>
      <x:c r="C481" s="3" t="n">
        <x:v>2</x:v>
      </x:c>
      <x:c r="D481" s="3" t="n">
        <x:v>60</x:v>
      </x:c>
      <x:c r="E481" s="3" t="n">
        <x:v>10</x:v>
      </x:c>
      <x:c r="F481" s="3" t="n">
        <x:v>9</x:v>
      </x:c>
      <x:c r="G481" s="9" t="n">
        <x:v>0.14</x:v>
      </x:c>
      <x:c r="H481" s="9" t="n">
        <x:v>1.092245</x:v>
      </x:c>
      <x:c r="I481" s="9" t="n">
        <x:f>'Physical_Arcs'!R61</x:f>
        <x:v>10.333333333333334</x:v>
      </x:c>
      <x:c r="J481" s="9" t="n">
        <x:f>I481*'Parameters'!$C$18</x:f>
        <x:v>2.066666666666667</x:v>
      </x:c>
      <x:c r="K481" s="9" t="n">
        <x:f>J481*'Parameters'!$C$19</x:f>
        <x:v>2.5833333333333335</x:v>
      </x:c>
      <x:c r="L481" s="9" t="n">
        <x:f>I481*(1-0.40)-J481</x:f>
        <x:v>4.133333333333333</x:v>
      </x:c>
      <x:c r="M481" s="9" t="n">
        <x:f>'Physical_Arcs'!S61</x:f>
        <x:v>10.333333333333334</x:v>
      </x:c>
      <x:c r="N481" s="9" t="n">
        <x:f>M481*'Parameters'!$C$18</x:f>
        <x:v>2.066666666666667</x:v>
      </x:c>
      <x:c r="O481" s="9" t="n">
        <x:f>N481*'Parameters'!$C$19</x:f>
        <x:v>2.5833333333333335</x:v>
      </x:c>
      <x:c r="P481" s="9" t="n">
        <x:f>M481*(1-0.40)-N481</x:f>
        <x:v>4.133333333333333</x:v>
      </x:c>
      <x:c r="Q481" s="9" t="n">
        <x:f>'Physical_Arcs'!T61</x:f>
        <x:v>5.166666666666667</x:v>
      </x:c>
      <x:c r="R481" s="9" t="n">
        <x:f>Q481*'Parameters'!$C$18</x:f>
        <x:v>1.0333333333333334</x:v>
      </x:c>
      <x:c r="S481" s="9" t="n">
        <x:f>R481*'Parameters'!$C$19</x:f>
        <x:v>1.2916666666666667</x:v>
      </x:c>
      <x:c r="T481" s="9" t="n">
        <x:f>Q481*(1-0.40)-R481</x:f>
        <x:v>2.0666666666666664</x:v>
      </x:c>
    </x:row>
    <x:row r="482" ht="21" customHeight="1">
      <x:c r="A482" s="3" t="n">
        <x:v>8</x:v>
      </x:c>
      <x:c r="B482" s="3" t="str">
        <x:v>01:20</x:v>
      </x:c>
      <x:c r="C482" s="3" t="n">
        <x:v>2</x:v>
      </x:c>
      <x:c r="D482" s="3" t="n">
        <x:v>1</x:v>
      </x:c>
      <x:c r="E482" s="3" t="n">
        <x:v>1</x:v>
      </x:c>
      <x:c r="F482" s="3" t="n">
        <x:v>2</x:v>
      </x:c>
      <x:c r="G482" s="9" t="n">
        <x:v>0.14</x:v>
      </x:c>
      <x:c r="H482" s="9" t="n">
        <x:v>0.914787</x:v>
      </x:c>
      <x:c r="I482" s="9" t="n">
        <x:f>'Physical_Arcs'!R2</x:f>
        <x:v>17.02777777777778</x:v>
      </x:c>
      <x:c r="J482" s="9" t="n">
        <x:f>I482*'Parameters'!$C$18</x:f>
        <x:v>3.405555555555556</x:v>
      </x:c>
      <x:c r="K482" s="9" t="n">
        <x:f>J482*'Parameters'!$C$19</x:f>
        <x:v>4.256944444444445</x:v>
      </x:c>
      <x:c r="L482" s="9" t="n">
        <x:f>I482*(1-0.40)-J482</x:f>
        <x:v>6.811111111111111</x:v>
      </x:c>
      <x:c r="M482" s="9" t="n">
        <x:f>'Physical_Arcs'!S2</x:f>
        <x:v>17.02777777777778</x:v>
      </x:c>
      <x:c r="N482" s="9" t="n">
        <x:f>M482*'Parameters'!$C$18</x:f>
        <x:v>3.405555555555556</x:v>
      </x:c>
      <x:c r="O482" s="9" t="n">
        <x:f>N482*'Parameters'!$C$19</x:f>
        <x:v>4.256944444444445</x:v>
      </x:c>
      <x:c r="P482" s="9" t="n">
        <x:f>M482*(1-0.40)-N482</x:f>
        <x:v>6.811111111111111</x:v>
      </x:c>
      <x:c r="Q482" s="9" t="n">
        <x:f>'Physical_Arcs'!T2</x:f>
        <x:v>17.02777777777778</x:v>
      </x:c>
      <x:c r="R482" s="9" t="n">
        <x:f>Q482*'Parameters'!$C$18</x:f>
        <x:v>3.405555555555556</x:v>
      </x:c>
      <x:c r="S482" s="9" t="n">
        <x:f>R482*'Parameters'!$C$19</x:f>
        <x:v>4.256944444444445</x:v>
      </x:c>
      <x:c r="T482" s="9" t="n">
        <x:f>Q482*(1-0.40)-R482</x:f>
        <x:v>6.811111111111111</x:v>
      </x:c>
    </x:row>
    <x:row r="483" ht="21" customHeight="1">
      <x:c r="A483" s="3" t="n">
        <x:v>8</x:v>
      </x:c>
      <x:c r="B483" s="3" t="str">
        <x:v>01:20</x:v>
      </x:c>
      <x:c r="C483" s="3" t="n">
        <x:v>2</x:v>
      </x:c>
      <x:c r="D483" s="3" t="n">
        <x:v>2</x:v>
      </x:c>
      <x:c r="E483" s="3" t="n">
        <x:v>1</x:v>
      </x:c>
      <x:c r="F483" s="3" t="n">
        <x:v>10</x:v>
      </x:c>
      <x:c r="G483" s="9" t="n">
        <x:v>0.14</x:v>
      </x:c>
      <x:c r="H483" s="9" t="n">
        <x:v>1.003995</x:v>
      </x:c>
      <x:c r="I483" s="9" t="n">
        <x:f>'Physical_Arcs'!R3</x:f>
        <x:v>3.2777777777777777</x:v>
      </x:c>
      <x:c r="J483" s="9" t="n">
        <x:f>I483*'Parameters'!$C$18</x:f>
        <x:v>0.6555555555555556</x:v>
      </x:c>
      <x:c r="K483" s="9" t="n">
        <x:f>J483*'Parameters'!$C$19</x:f>
        <x:v>0.8194444444444444</x:v>
      </x:c>
      <x:c r="L483" s="9" t="n">
        <x:f>I483*(1-0.40)-J483</x:f>
        <x:v>1.311111111111111</x:v>
      </x:c>
      <x:c r="M483" s="9" t="n">
        <x:f>'Physical_Arcs'!S3</x:f>
        <x:v>3.2777777777777777</x:v>
      </x:c>
      <x:c r="N483" s="9" t="n">
        <x:f>M483*'Parameters'!$C$18</x:f>
        <x:v>0.6555555555555556</x:v>
      </x:c>
      <x:c r="O483" s="9" t="n">
        <x:f>N483*'Parameters'!$C$19</x:f>
        <x:v>0.8194444444444444</x:v>
      </x:c>
      <x:c r="P483" s="9" t="n">
        <x:f>M483*(1-0.40)-N483</x:f>
        <x:v>1.311111111111111</x:v>
      </x:c>
      <x:c r="Q483" s="9" t="n">
        <x:f>'Physical_Arcs'!T3</x:f>
        <x:v>1.6388888888888888</x:v>
      </x:c>
      <x:c r="R483" s="9" t="n">
        <x:f>Q483*'Parameters'!$C$18</x:f>
        <x:v>0.3277777777777778</x:v>
      </x:c>
      <x:c r="S483" s="9" t="n">
        <x:f>R483*'Parameters'!$C$19</x:f>
        <x:v>0.4097222222222222</x:v>
      </x:c>
      <x:c r="T483" s="9" t="n">
        <x:f>Q483*(1-0.40)-R483</x:f>
        <x:v>0.6555555555555554</x:v>
      </x:c>
    </x:row>
    <x:row r="484" ht="21" customHeight="1">
      <x:c r="A484" s="3" t="n">
        <x:v>8</x:v>
      </x:c>
      <x:c r="B484" s="3" t="str">
        <x:v>01:20</x:v>
      </x:c>
      <x:c r="C484" s="3" t="n">
        <x:v>2</x:v>
      </x:c>
      <x:c r="D484" s="3" t="n">
        <x:v>3</x:v>
      </x:c>
      <x:c r="E484" s="3" t="n">
        <x:v>1</x:v>
      </x:c>
      <x:c r="F484" s="3" t="n">
        <x:v>8</x:v>
      </x:c>
      <x:c r="G484" s="9" t="n">
        <x:v>0.14</x:v>
      </x:c>
      <x:c r="H484" s="9" t="n">
        <x:v>0.923863</x:v>
      </x:c>
      <x:c r="I484" s="9" t="n">
        <x:f>'Physical_Arcs'!R4</x:f>
        <x:v>6.083333333333333</x:v>
      </x:c>
      <x:c r="J484" s="9" t="n">
        <x:f>I484*'Parameters'!$C$18</x:f>
        <x:v>1.2166666666666668</x:v>
      </x:c>
      <x:c r="K484" s="9" t="n">
        <x:f>J484*'Parameters'!$C$19</x:f>
        <x:v>1.5208333333333335</x:v>
      </x:c>
      <x:c r="L484" s="9" t="n">
        <x:f>I484*(1-0.40)-J484</x:f>
        <x:v>2.4333333333333327</x:v>
      </x:c>
      <x:c r="M484" s="9" t="n">
        <x:f>'Physical_Arcs'!S4</x:f>
        <x:v>6.083333333333333</x:v>
      </x:c>
      <x:c r="N484" s="9" t="n">
        <x:f>M484*'Parameters'!$C$18</x:f>
        <x:v>1.2166666666666668</x:v>
      </x:c>
      <x:c r="O484" s="9" t="n">
        <x:f>N484*'Parameters'!$C$19</x:f>
        <x:v>1.5208333333333335</x:v>
      </x:c>
      <x:c r="P484" s="9" t="n">
        <x:f>M484*(1-0.40)-N484</x:f>
        <x:v>2.4333333333333327</x:v>
      </x:c>
      <x:c r="Q484" s="9" t="n">
        <x:f>'Physical_Arcs'!T4</x:f>
        <x:v>3.0555555555555554</x:v>
      </x:c>
      <x:c r="R484" s="9" t="n">
        <x:f>Q484*'Parameters'!$C$18</x:f>
        <x:v>0.6111111111111112</x:v>
      </x:c>
      <x:c r="S484" s="9" t="n">
        <x:f>R484*'Parameters'!$C$19</x:f>
        <x:v>0.763888888888889</x:v>
      </x:c>
      <x:c r="T484" s="9" t="n">
        <x:f>Q484*(1-0.40)-R484</x:f>
        <x:v>1.2222222222222219</x:v>
      </x:c>
    </x:row>
    <x:row r="485" ht="21" customHeight="1">
      <x:c r="A485" s="3" t="n">
        <x:v>8</x:v>
      </x:c>
      <x:c r="B485" s="3" t="str">
        <x:v>01:20</x:v>
      </x:c>
      <x:c r="C485" s="3" t="n">
        <x:v>2</x:v>
      </x:c>
      <x:c r="D485" s="3" t="n">
        <x:v>4</x:v>
      </x:c>
      <x:c r="E485" s="3" t="n">
        <x:v>1</x:v>
      </x:c>
      <x:c r="F485" s="3" t="n">
        <x:v>7</x:v>
      </x:c>
      <x:c r="G485" s="9" t="n">
        <x:v>0.14</x:v>
      </x:c>
      <x:c r="H485" s="9" t="n">
        <x:v>1.111072</x:v>
      </x:c>
      <x:c r="I485" s="9" t="n">
        <x:f>'Physical_Arcs'!R5</x:f>
        <x:v>9</x:v>
      </x:c>
      <x:c r="J485" s="9" t="n">
        <x:f>I485*'Parameters'!$C$18</x:f>
        <x:v>1.8</x:v>
      </x:c>
      <x:c r="K485" s="9" t="n">
        <x:f>J485*'Parameters'!$C$19</x:f>
        <x:v>2.25</x:v>
      </x:c>
      <x:c r="L485" s="9" t="n">
        <x:f>I485*(1-0.40)-J485</x:f>
        <x:v>3.5999999999999996</x:v>
      </x:c>
      <x:c r="M485" s="9" t="n">
        <x:f>'Physical_Arcs'!S5</x:f>
        <x:v>9</x:v>
      </x:c>
      <x:c r="N485" s="9" t="n">
        <x:f>M485*'Parameters'!$C$18</x:f>
        <x:v>1.8</x:v>
      </x:c>
      <x:c r="O485" s="9" t="n">
        <x:f>N485*'Parameters'!$C$19</x:f>
        <x:v>2.25</x:v>
      </x:c>
      <x:c r="P485" s="9" t="n">
        <x:f>M485*(1-0.40)-N485</x:f>
        <x:v>3.5999999999999996</x:v>
      </x:c>
      <x:c r="Q485" s="9" t="n">
        <x:f>'Physical_Arcs'!T5</x:f>
        <x:v>4.5</x:v>
      </x:c>
      <x:c r="R485" s="9" t="n">
        <x:f>Q485*'Parameters'!$C$18</x:f>
        <x:v>0.9</x:v>
      </x:c>
      <x:c r="S485" s="9" t="n">
        <x:f>R485*'Parameters'!$C$19</x:f>
        <x:v>1.125</x:v>
      </x:c>
      <x:c r="T485" s="9" t="n">
        <x:f>Q485*(1-0.40)-R485</x:f>
        <x:v>1.7999999999999998</x:v>
      </x:c>
    </x:row>
    <x:row r="486" ht="21" customHeight="1">
      <x:c r="A486" s="3" t="n">
        <x:v>8</x:v>
      </x:c>
      <x:c r="B486" s="3" t="str">
        <x:v>01:20</x:v>
      </x:c>
      <x:c r="C486" s="3" t="n">
        <x:v>2</x:v>
      </x:c>
      <x:c r="D486" s="3" t="n">
        <x:v>5</x:v>
      </x:c>
      <x:c r="E486" s="3" t="n">
        <x:v>1</x:v>
      </x:c>
      <x:c r="F486" s="3" t="n">
        <x:v>4</x:v>
      </x:c>
      <x:c r="G486" s="9" t="n">
        <x:v>0.14</x:v>
      </x:c>
      <x:c r="H486" s="9" t="n">
        <x:v>1.001665</x:v>
      </x:c>
      <x:c r="I486" s="9" t="n">
        <x:f>'Physical_Arcs'!R6</x:f>
        <x:v>4.166666666666667</x:v>
      </x:c>
      <x:c r="J486" s="9" t="n">
        <x:f>I486*'Parameters'!$C$18</x:f>
        <x:v>0.8333333333333335</x:v>
      </x:c>
      <x:c r="K486" s="9" t="n">
        <x:f>J486*'Parameters'!$C$19</x:f>
        <x:v>1.041666666666667</x:v>
      </x:c>
      <x:c r="L486" s="9" t="n">
        <x:f>I486*(1-0.40)-J486</x:f>
        <x:v>1.6666666666666665</x:v>
      </x:c>
      <x:c r="M486" s="9" t="n">
        <x:f>'Physical_Arcs'!S6</x:f>
        <x:v>4.166666666666667</x:v>
      </x:c>
      <x:c r="N486" s="9" t="n">
        <x:f>M486*'Parameters'!$C$18</x:f>
        <x:v>0.8333333333333335</x:v>
      </x:c>
      <x:c r="O486" s="9" t="n">
        <x:f>N486*'Parameters'!$C$19</x:f>
        <x:v>1.041666666666667</x:v>
      </x:c>
      <x:c r="P486" s="9" t="n">
        <x:f>M486*(1-0.40)-N486</x:f>
        <x:v>1.6666666666666665</x:v>
      </x:c>
      <x:c r="Q486" s="9" t="n">
        <x:f>'Physical_Arcs'!T6</x:f>
        <x:v>2.0833333333333335</x:v>
      </x:c>
      <x:c r="R486" s="9" t="n">
        <x:f>Q486*'Parameters'!$C$18</x:f>
        <x:v>0.41666666666666674</x:v>
      </x:c>
      <x:c r="S486" s="9" t="n">
        <x:f>R486*'Parameters'!$C$19</x:f>
        <x:v>0.5208333333333335</x:v>
      </x:c>
      <x:c r="T486" s="9" t="n">
        <x:f>Q486*(1-0.40)-R486</x:f>
        <x:v>0.8333333333333333</x:v>
      </x:c>
    </x:row>
    <x:row r="487" ht="21" customHeight="1">
      <x:c r="A487" s="3" t="n">
        <x:v>8</x:v>
      </x:c>
      <x:c r="B487" s="3" t="str">
        <x:v>01:20</x:v>
      </x:c>
      <x:c r="C487" s="3" t="n">
        <x:v>2</x:v>
      </x:c>
      <x:c r="D487" s="3" t="n">
        <x:v>6</x:v>
      </x:c>
      <x:c r="E487" s="3" t="n">
        <x:v>1</x:v>
      </x:c>
      <x:c r="F487" s="3" t="n">
        <x:v>9</x:v>
      </x:c>
      <x:c r="G487" s="9" t="n">
        <x:v>0.14</x:v>
      </x:c>
      <x:c r="H487" s="9" t="n">
        <x:v>0.942884</x:v>
      </x:c>
      <x:c r="I487" s="9" t="n">
        <x:f>'Physical_Arcs'!R7</x:f>
        <x:v>11.027777777777779</x:v>
      </x:c>
      <x:c r="J487" s="9" t="n">
        <x:f>I487*'Parameters'!$C$18</x:f>
        <x:v>2.2055555555555557</x:v>
      </x:c>
      <x:c r="K487" s="9" t="n">
        <x:f>J487*'Parameters'!$C$19</x:f>
        <x:v>2.7569444444444446</x:v>
      </x:c>
      <x:c r="L487" s="9" t="n">
        <x:f>I487*(1-0.40)-J487</x:f>
        <x:v>4.411111111111111</x:v>
      </x:c>
      <x:c r="M487" s="9" t="n">
        <x:f>'Physical_Arcs'!S7</x:f>
        <x:v>11.027777777777779</x:v>
      </x:c>
      <x:c r="N487" s="9" t="n">
        <x:f>M487*'Parameters'!$C$18</x:f>
        <x:v>2.2055555555555557</x:v>
      </x:c>
      <x:c r="O487" s="9" t="n">
        <x:f>N487*'Parameters'!$C$19</x:f>
        <x:v>2.7569444444444446</x:v>
      </x:c>
      <x:c r="P487" s="9" t="n">
        <x:f>M487*(1-0.40)-N487</x:f>
        <x:v>4.411111111111111</x:v>
      </x:c>
      <x:c r="Q487" s="9" t="n">
        <x:f>'Physical_Arcs'!T7</x:f>
        <x:v>5.527777777777778</x:v>
      </x:c>
      <x:c r="R487" s="9" t="n">
        <x:f>Q487*'Parameters'!$C$18</x:f>
        <x:v>1.1055555555555556</x:v>
      </x:c>
      <x:c r="S487" s="9" t="n">
        <x:f>R487*'Parameters'!$C$19</x:f>
        <x:v>1.3819444444444446</x:v>
      </x:c>
      <x:c r="T487" s="9" t="n">
        <x:f>Q487*(1-0.40)-R487</x:f>
        <x:v>2.211111111111111</x:v>
      </x:c>
    </x:row>
    <x:row r="488" ht="21" customHeight="1">
      <x:c r="A488" s="3" t="n">
        <x:v>8</x:v>
      </x:c>
      <x:c r="B488" s="3" t="str">
        <x:v>01:20</x:v>
      </x:c>
      <x:c r="C488" s="3" t="n">
        <x:v>2</x:v>
      </x:c>
      <x:c r="D488" s="3" t="n">
        <x:v>7</x:v>
      </x:c>
      <x:c r="E488" s="3" t="n">
        <x:v>1</x:v>
      </x:c>
      <x:c r="F488" s="3" t="n">
        <x:v>5</x:v>
      </x:c>
      <x:c r="G488" s="9" t="n">
        <x:v>0.14</x:v>
      </x:c>
      <x:c r="H488" s="9" t="n">
        <x:v>1.038222</x:v>
      </x:c>
      <x:c r="I488" s="9" t="n">
        <x:f>'Physical_Arcs'!R8</x:f>
        <x:v>7.972222222222222</x:v>
      </x:c>
      <x:c r="J488" s="9" t="n">
        <x:f>I488*'Parameters'!$C$18</x:f>
        <x:v>1.5944444444444446</x:v>
      </x:c>
      <x:c r="K488" s="9" t="n">
        <x:f>J488*'Parameters'!$C$19</x:f>
        <x:v>1.9930555555555558</x:v>
      </x:c>
      <x:c r="L488" s="9" t="n">
        <x:f>I488*(1-0.40)-J488</x:f>
        <x:v>3.1888888888888887</x:v>
      </x:c>
      <x:c r="M488" s="9" t="n">
        <x:f>'Physical_Arcs'!S8</x:f>
        <x:v>7.972222222222222</x:v>
      </x:c>
      <x:c r="N488" s="9" t="n">
        <x:f>M488*'Parameters'!$C$18</x:f>
        <x:v>1.5944444444444446</x:v>
      </x:c>
      <x:c r="O488" s="9" t="n">
        <x:f>N488*'Parameters'!$C$19</x:f>
        <x:v>1.9930555555555558</x:v>
      </x:c>
      <x:c r="P488" s="9" t="n">
        <x:f>M488*(1-0.40)-N488</x:f>
        <x:v>3.1888888888888887</x:v>
      </x:c>
      <x:c r="Q488" s="9" t="n">
        <x:f>'Physical_Arcs'!T8</x:f>
        <x:v>4</x:v>
      </x:c>
      <x:c r="R488" s="9" t="n">
        <x:f>Q488*'Parameters'!$C$18</x:f>
        <x:v>0.8</x:v>
      </x:c>
      <x:c r="S488" s="9" t="n">
        <x:f>R488*'Parameters'!$C$19</x:f>
        <x:v>1</x:v>
      </x:c>
      <x:c r="T488" s="9" t="n">
        <x:f>Q488*(1-0.40)-R488</x:f>
        <x:v>1.5999999999999999</x:v>
      </x:c>
    </x:row>
    <x:row r="489" ht="21" customHeight="1">
      <x:c r="A489" s="3" t="n">
        <x:v>8</x:v>
      </x:c>
      <x:c r="B489" s="3" t="str">
        <x:v>01:20</x:v>
      </x:c>
      <x:c r="C489" s="3" t="n">
        <x:v>2</x:v>
      </x:c>
      <x:c r="D489" s="3" t="n">
        <x:v>8</x:v>
      </x:c>
      <x:c r="E489" s="3" t="n">
        <x:v>1</x:v>
      </x:c>
      <x:c r="F489" s="3" t="n">
        <x:v>3</x:v>
      </x:c>
      <x:c r="G489" s="9" t="n">
        <x:v>0.14</x:v>
      </x:c>
      <x:c r="H489" s="9" t="n">
        <x:v>1.122297</x:v>
      </x:c>
      <x:c r="I489" s="9" t="n">
        <x:f>'Physical_Arcs'!R9</x:f>
        <x:v>4.166666666666667</x:v>
      </x:c>
      <x:c r="J489" s="9" t="n">
        <x:f>I489*'Parameters'!$C$18</x:f>
        <x:v>0.8333333333333335</x:v>
      </x:c>
      <x:c r="K489" s="9" t="n">
        <x:f>J489*'Parameters'!$C$19</x:f>
        <x:v>1.041666666666667</x:v>
      </x:c>
      <x:c r="L489" s="9" t="n">
        <x:f>I489*(1-0.40)-J489</x:f>
        <x:v>1.6666666666666665</x:v>
      </x:c>
      <x:c r="M489" s="9" t="n">
        <x:f>'Physical_Arcs'!S9</x:f>
        <x:v>4.166666666666667</x:v>
      </x:c>
      <x:c r="N489" s="9" t="n">
        <x:f>M489*'Parameters'!$C$18</x:f>
        <x:v>0.8333333333333335</x:v>
      </x:c>
      <x:c r="O489" s="9" t="n">
        <x:f>N489*'Parameters'!$C$19</x:f>
        <x:v>1.041666666666667</x:v>
      </x:c>
      <x:c r="P489" s="9" t="n">
        <x:f>M489*(1-0.40)-N489</x:f>
        <x:v>1.6666666666666665</x:v>
      </x:c>
      <x:c r="Q489" s="9" t="n">
        <x:f>'Physical_Arcs'!T9</x:f>
        <x:v>2.0833333333333335</x:v>
      </x:c>
      <x:c r="R489" s="9" t="n">
        <x:f>Q489*'Parameters'!$C$18</x:f>
        <x:v>0.41666666666666674</x:v>
      </x:c>
      <x:c r="S489" s="9" t="n">
        <x:f>R489*'Parameters'!$C$19</x:f>
        <x:v>0.5208333333333335</x:v>
      </x:c>
      <x:c r="T489" s="9" t="n">
        <x:f>Q489*(1-0.40)-R489</x:f>
        <x:v>0.8333333333333333</x:v>
      </x:c>
    </x:row>
    <x:row r="490" ht="21" customHeight="1">
      <x:c r="A490" s="3" t="n">
        <x:v>8</x:v>
      </x:c>
      <x:c r="B490" s="3" t="str">
        <x:v>01:20</x:v>
      </x:c>
      <x:c r="C490" s="3" t="n">
        <x:v>2</x:v>
      </x:c>
      <x:c r="D490" s="3" t="n">
        <x:v>9</x:v>
      </x:c>
      <x:c r="E490" s="3" t="n">
        <x:v>1</x:v>
      </x:c>
      <x:c r="F490" s="3" t="n">
        <x:v>6</x:v>
      </x:c>
      <x:c r="G490" s="9" t="n">
        <x:v>0.14</x:v>
      </x:c>
      <x:c r="H490" s="9" t="n">
        <x:v>1.132682</x:v>
      </x:c>
      <x:c r="I490" s="9" t="n">
        <x:f>'Physical_Arcs'!R10</x:f>
        <x:v>2.138888888888889</x:v>
      </x:c>
      <x:c r="J490" s="9" t="n">
        <x:f>I490*'Parameters'!$C$18</x:f>
        <x:v>0.4277777777777778</x:v>
      </x:c>
      <x:c r="K490" s="9" t="n">
        <x:f>J490*'Parameters'!$C$19</x:f>
        <x:v>0.5347222222222223</x:v>
      </x:c>
      <x:c r="L490" s="9" t="n">
        <x:f>I490*(1-0.40)-J490</x:f>
        <x:v>0.8555555555555554</x:v>
      </x:c>
      <x:c r="M490" s="9" t="n">
        <x:f>'Physical_Arcs'!S10</x:f>
        <x:v>2.138888888888889</x:v>
      </x:c>
      <x:c r="N490" s="9" t="n">
        <x:f>M490*'Parameters'!$C$18</x:f>
        <x:v>0.4277777777777778</x:v>
      </x:c>
      <x:c r="O490" s="9" t="n">
        <x:f>N490*'Parameters'!$C$19</x:f>
        <x:v>0.5347222222222223</x:v>
      </x:c>
      <x:c r="P490" s="9" t="n">
        <x:f>M490*(1-0.40)-N490</x:f>
        <x:v>0.8555555555555554</x:v>
      </x:c>
      <x:c r="Q490" s="9" t="n">
        <x:f>'Physical_Arcs'!T10</x:f>
        <x:v>1.0833333333333333</x:v>
      </x:c>
      <x:c r="R490" s="9" t="n">
        <x:f>Q490*'Parameters'!$C$18</x:f>
        <x:v>0.21666666666666667</x:v>
      </x:c>
      <x:c r="S490" s="9" t="n">
        <x:f>R490*'Parameters'!$C$19</x:f>
        <x:v>0.27083333333333337</x:v>
      </x:c>
      <x:c r="T490" s="9" t="n">
        <x:f>Q490*(1-0.40)-R490</x:f>
        <x:v>0.43333333333333324</x:v>
      </x:c>
    </x:row>
    <x:row r="491" ht="21" customHeight="1">
      <x:c r="A491" s="3" t="n">
        <x:v>8</x:v>
      </x:c>
      <x:c r="B491" s="3" t="str">
        <x:v>01:20</x:v>
      </x:c>
      <x:c r="C491" s="3" t="n">
        <x:v>2</x:v>
      </x:c>
      <x:c r="D491" s="3" t="n">
        <x:v>10</x:v>
      </x:c>
      <x:c r="E491" s="3" t="n">
        <x:v>2</x:v>
      </x:c>
      <x:c r="F491" s="3" t="n">
        <x:v>3</x:v>
      </x:c>
      <x:c r="G491" s="9" t="n">
        <x:v>0.14</x:v>
      </x:c>
      <x:c r="H491" s="9" t="n">
        <x:v>0.871154</x:v>
      </x:c>
      <x:c r="I491" s="9" t="n">
        <x:f>'Physical_Arcs'!R11</x:f>
        <x:v>17.02777777777778</x:v>
      </x:c>
      <x:c r="J491" s="9" t="n">
        <x:f>I491*'Parameters'!$C$18</x:f>
        <x:v>3.405555555555556</x:v>
      </x:c>
      <x:c r="K491" s="9" t="n">
        <x:f>J491*'Parameters'!$C$19</x:f>
        <x:v>4.256944444444445</x:v>
      </x:c>
      <x:c r="L491" s="9" t="n">
        <x:f>I491*(1-0.40)-J491</x:f>
        <x:v>6.811111111111111</x:v>
      </x:c>
      <x:c r="M491" s="9" t="n">
        <x:f>'Physical_Arcs'!S11</x:f>
        <x:v>17.02777777777778</x:v>
      </x:c>
      <x:c r="N491" s="9" t="n">
        <x:f>M491*'Parameters'!$C$18</x:f>
        <x:v>3.405555555555556</x:v>
      </x:c>
      <x:c r="O491" s="9" t="n">
        <x:f>N491*'Parameters'!$C$19</x:f>
        <x:v>4.256944444444445</x:v>
      </x:c>
      <x:c r="P491" s="9" t="n">
        <x:f>M491*(1-0.40)-N491</x:f>
        <x:v>6.811111111111111</x:v>
      </x:c>
      <x:c r="Q491" s="9" t="n">
        <x:f>'Physical_Arcs'!T11</x:f>
        <x:v>17.02777777777778</x:v>
      </x:c>
      <x:c r="R491" s="9" t="n">
        <x:f>Q491*'Parameters'!$C$18</x:f>
        <x:v>3.405555555555556</x:v>
      </x:c>
      <x:c r="S491" s="9" t="n">
        <x:f>R491*'Parameters'!$C$19</x:f>
        <x:v>4.256944444444445</x:v>
      </x:c>
      <x:c r="T491" s="9" t="n">
        <x:f>Q491*(1-0.40)-R491</x:f>
        <x:v>6.811111111111111</x:v>
      </x:c>
    </x:row>
    <x:row r="492" ht="21" customHeight="1">
      <x:c r="A492" s="3" t="n">
        <x:v>8</x:v>
      </x:c>
      <x:c r="B492" s="3" t="str">
        <x:v>01:20</x:v>
      </x:c>
      <x:c r="C492" s="3" t="n">
        <x:v>2</x:v>
      </x:c>
      <x:c r="D492" s="3" t="n">
        <x:v>11</x:v>
      </x:c>
      <x:c r="E492" s="3" t="n">
        <x:v>2</x:v>
      </x:c>
      <x:c r="F492" s="3" t="n">
        <x:v>4</x:v>
      </x:c>
      <x:c r="G492" s="9" t="n">
        <x:v>0.14</x:v>
      </x:c>
      <x:c r="H492" s="9" t="n">
        <x:v>1.147412</x:v>
      </x:c>
      <x:c r="I492" s="9" t="n">
        <x:f>'Physical_Arcs'!R12</x:f>
        <x:v>7.972222222222222</x:v>
      </x:c>
      <x:c r="J492" s="9" t="n">
        <x:f>I492*'Parameters'!$C$18</x:f>
        <x:v>1.5944444444444446</x:v>
      </x:c>
      <x:c r="K492" s="9" t="n">
        <x:f>J492*'Parameters'!$C$19</x:f>
        <x:v>1.9930555555555558</x:v>
      </x:c>
      <x:c r="L492" s="9" t="n">
        <x:f>I492*(1-0.40)-J492</x:f>
        <x:v>3.1888888888888887</x:v>
      </x:c>
      <x:c r="M492" s="9" t="n">
        <x:f>'Physical_Arcs'!S12</x:f>
        <x:v>7.972222222222222</x:v>
      </x:c>
      <x:c r="N492" s="9" t="n">
        <x:f>M492*'Parameters'!$C$18</x:f>
        <x:v>1.5944444444444446</x:v>
      </x:c>
      <x:c r="O492" s="9" t="n">
        <x:f>N492*'Parameters'!$C$19</x:f>
        <x:v>1.9930555555555558</x:v>
      </x:c>
      <x:c r="P492" s="9" t="n">
        <x:f>M492*(1-0.40)-N492</x:f>
        <x:v>3.1888888888888887</x:v>
      </x:c>
      <x:c r="Q492" s="9" t="n">
        <x:f>'Physical_Arcs'!T12</x:f>
        <x:v>4</x:v>
      </x:c>
      <x:c r="R492" s="9" t="n">
        <x:f>Q492*'Parameters'!$C$18</x:f>
        <x:v>0.8</x:v>
      </x:c>
      <x:c r="S492" s="9" t="n">
        <x:f>R492*'Parameters'!$C$19</x:f>
        <x:v>1</x:v>
      </x:c>
      <x:c r="T492" s="9" t="n">
        <x:f>Q492*(1-0.40)-R492</x:f>
        <x:v>1.5999999999999999</x:v>
      </x:c>
    </x:row>
    <x:row r="493" ht="21" customHeight="1">
      <x:c r="A493" s="3" t="n">
        <x:v>8</x:v>
      </x:c>
      <x:c r="B493" s="3" t="str">
        <x:v>01:20</x:v>
      </x:c>
      <x:c r="C493" s="3" t="n">
        <x:v>2</x:v>
      </x:c>
      <x:c r="D493" s="3" t="n">
        <x:v>12</x:v>
      </x:c>
      <x:c r="E493" s="3" t="n">
        <x:v>2</x:v>
      </x:c>
      <x:c r="F493" s="3" t="n">
        <x:v>7</x:v>
      </x:c>
      <x:c r="G493" s="9" t="n">
        <x:v>0.14</x:v>
      </x:c>
      <x:c r="H493" s="9" t="n">
        <x:v>0.96729</x:v>
      </x:c>
      <x:c r="I493" s="9" t="n">
        <x:f>'Physical_Arcs'!R13</x:f>
        <x:v>4.611111111111111</x:v>
      </x:c>
      <x:c r="J493" s="9" t="n">
        <x:f>I493*'Parameters'!$C$18</x:f>
        <x:v>0.9222222222222222</x:v>
      </x:c>
      <x:c r="K493" s="9" t="n">
        <x:f>J493*'Parameters'!$C$19</x:f>
        <x:v>1.1527777777777777</x:v>
      </x:c>
      <x:c r="L493" s="9" t="n">
        <x:f>I493*(1-0.40)-J493</x:f>
        <x:v>1.844444444444444</x:v>
      </x:c>
      <x:c r="M493" s="9" t="n">
        <x:f>'Physical_Arcs'!S13</x:f>
        <x:v>4.611111111111111</x:v>
      </x:c>
      <x:c r="N493" s="9" t="n">
        <x:f>M493*'Parameters'!$C$18</x:f>
        <x:v>0.9222222222222222</x:v>
      </x:c>
      <x:c r="O493" s="9" t="n">
        <x:f>N493*'Parameters'!$C$19</x:f>
        <x:v>1.1527777777777777</x:v>
      </x:c>
      <x:c r="P493" s="9" t="n">
        <x:f>M493*(1-0.40)-N493</x:f>
        <x:v>1.844444444444444</x:v>
      </x:c>
      <x:c r="Q493" s="9" t="n">
        <x:f>'Physical_Arcs'!T13</x:f>
        <x:v>2.3055555555555554</x:v>
      </x:c>
      <x:c r="R493" s="9" t="n">
        <x:f>Q493*'Parameters'!$C$18</x:f>
        <x:v>0.4611111111111111</x:v>
      </x:c>
      <x:c r="S493" s="9" t="n">
        <x:f>R493*'Parameters'!$C$19</x:f>
        <x:v>0.5763888888888888</x:v>
      </x:c>
      <x:c r="T493" s="9" t="n">
        <x:f>Q493*(1-0.40)-R493</x:f>
        <x:v>0.922222222222222</x:v>
      </x:c>
    </x:row>
    <x:row r="494" ht="21" customHeight="1">
      <x:c r="A494" s="3" t="n">
        <x:v>8</x:v>
      </x:c>
      <x:c r="B494" s="3" t="str">
        <x:v>01:20</x:v>
      </x:c>
      <x:c r="C494" s="3" t="n">
        <x:v>2</x:v>
      </x:c>
      <x:c r="D494" s="3" t="n">
        <x:v>13</x:v>
      </x:c>
      <x:c r="E494" s="3" t="n">
        <x:v>2</x:v>
      </x:c>
      <x:c r="F494" s="3" t="n">
        <x:v>9</x:v>
      </x:c>
      <x:c r="G494" s="9" t="n">
        <x:v>0.14</x:v>
      </x:c>
      <x:c r="H494" s="9" t="n">
        <x:v>1.117625</x:v>
      </x:c>
      <x:c r="I494" s="9" t="n">
        <x:f>'Physical_Arcs'!R14</x:f>
        <x:v>8.666666666666666</x:v>
      </x:c>
      <x:c r="J494" s="9" t="n">
        <x:f>I494*'Parameters'!$C$18</x:f>
        <x:v>1.7333333333333334</x:v>
      </x:c>
      <x:c r="K494" s="9" t="n">
        <x:f>J494*'Parameters'!$C$19</x:f>
        <x:v>2.166666666666667</x:v>
      </x:c>
      <x:c r="L494" s="9" t="n">
        <x:f>I494*(1-0.40)-J494</x:f>
        <x:v>3.466666666666666</x:v>
      </x:c>
      <x:c r="M494" s="9" t="n">
        <x:f>'Physical_Arcs'!S14</x:f>
        <x:v>8.666666666666666</x:v>
      </x:c>
      <x:c r="N494" s="9" t="n">
        <x:f>M494*'Parameters'!$C$18</x:f>
        <x:v>1.7333333333333334</x:v>
      </x:c>
      <x:c r="O494" s="9" t="n">
        <x:f>N494*'Parameters'!$C$19</x:f>
        <x:v>2.166666666666667</x:v>
      </x:c>
      <x:c r="P494" s="9" t="n">
        <x:f>M494*(1-0.40)-N494</x:f>
        <x:v>3.466666666666666</x:v>
      </x:c>
      <x:c r="Q494" s="9" t="n">
        <x:f>'Physical_Arcs'!T14</x:f>
        <x:v>4.333333333333333</x:v>
      </x:c>
      <x:c r="R494" s="9" t="n">
        <x:f>Q494*'Parameters'!$C$18</x:f>
        <x:v>0.8666666666666667</x:v>
      </x:c>
      <x:c r="S494" s="9" t="n">
        <x:f>R494*'Parameters'!$C$19</x:f>
        <x:v>1.0833333333333335</x:v>
      </x:c>
      <x:c r="T494" s="9" t="n">
        <x:f>Q494*(1-0.40)-R494</x:f>
        <x:v>1.733333333333333</x:v>
      </x:c>
    </x:row>
    <x:row r="495" ht="21" customHeight="1">
      <x:c r="A495" s="3" t="n">
        <x:v>8</x:v>
      </x:c>
      <x:c r="B495" s="3" t="str">
        <x:v>01:20</x:v>
      </x:c>
      <x:c r="C495" s="3" t="n">
        <x:v>2</x:v>
      </x:c>
      <x:c r="D495" s="3" t="n">
        <x:v>14</x:v>
      </x:c>
      <x:c r="E495" s="3" t="n">
        <x:v>2</x:v>
      </x:c>
      <x:c r="F495" s="3" t="n">
        <x:v>8</x:v>
      </x:c>
      <x:c r="G495" s="9" t="n">
        <x:v>0.14</x:v>
      </x:c>
      <x:c r="H495" s="9" t="n">
        <x:v>1.144902</x:v>
      </x:c>
      <x:c r="I495" s="9" t="n">
        <x:f>'Physical_Arcs'!R15</x:f>
        <x:v>7.75</x:v>
      </x:c>
      <x:c r="J495" s="9" t="n">
        <x:f>I495*'Parameters'!$C$18</x:f>
        <x:v>1.55</x:v>
      </x:c>
      <x:c r="K495" s="9" t="n">
        <x:f>J495*'Parameters'!$C$19</x:f>
        <x:v>1.9375</x:v>
      </x:c>
      <x:c r="L495" s="9" t="n">
        <x:f>I495*(1-0.40)-J495</x:f>
        <x:v>3.0999999999999996</x:v>
      </x:c>
      <x:c r="M495" s="9" t="n">
        <x:f>'Physical_Arcs'!S15</x:f>
        <x:v>7.75</x:v>
      </x:c>
      <x:c r="N495" s="9" t="n">
        <x:f>M495*'Parameters'!$C$18</x:f>
        <x:v>1.55</x:v>
      </x:c>
      <x:c r="O495" s="9" t="n">
        <x:f>N495*'Parameters'!$C$19</x:f>
        <x:v>1.9375</x:v>
      </x:c>
      <x:c r="P495" s="9" t="n">
        <x:f>M495*(1-0.40)-N495</x:f>
        <x:v>3.0999999999999996</x:v>
      </x:c>
      <x:c r="Q495" s="9" t="n">
        <x:f>'Physical_Arcs'!T15</x:f>
        <x:v>3.888888888888889</x:v>
      </x:c>
      <x:c r="R495" s="9" t="n">
        <x:f>Q495*'Parameters'!$C$18</x:f>
        <x:v>0.7777777777777778</x:v>
      </x:c>
      <x:c r="S495" s="9" t="n">
        <x:f>R495*'Parameters'!$C$19</x:f>
        <x:v>0.9722222222222222</x:v>
      </x:c>
      <x:c r="T495" s="9" t="n">
        <x:f>Q495*(1-0.40)-R495</x:f>
        <x:v>1.5555555555555554</x:v>
      </x:c>
    </x:row>
    <x:row r="496" ht="21" customHeight="1">
      <x:c r="A496" s="3" t="n">
        <x:v>8</x:v>
      </x:c>
      <x:c r="B496" s="3" t="str">
        <x:v>01:20</x:v>
      </x:c>
      <x:c r="C496" s="3" t="n">
        <x:v>2</x:v>
      </x:c>
      <x:c r="D496" s="3" t="n">
        <x:v>15</x:v>
      </x:c>
      <x:c r="E496" s="3" t="n">
        <x:v>2</x:v>
      </x:c>
      <x:c r="F496" s="3" t="n">
        <x:v>10</x:v>
      </x:c>
      <x:c r="G496" s="9" t="n">
        <x:v>0.14</x:v>
      </x:c>
      <x:c r="H496" s="9" t="n">
        <x:v>1.146684</x:v>
      </x:c>
      <x:c r="I496" s="9" t="n">
        <x:f>'Physical_Arcs'!R16</x:f>
        <x:v>7.416666666666667</x:v>
      </x:c>
      <x:c r="J496" s="9" t="n">
        <x:f>I496*'Parameters'!$C$18</x:f>
        <x:v>1.4833333333333334</x:v>
      </x:c>
      <x:c r="K496" s="9" t="n">
        <x:f>J496*'Parameters'!$C$19</x:f>
        <x:v>1.8541666666666667</x:v>
      </x:c>
      <x:c r="L496" s="9" t="n">
        <x:f>I496*(1-0.40)-J496</x:f>
        <x:v>2.966666666666667</x:v>
      </x:c>
      <x:c r="M496" s="9" t="n">
        <x:f>'Physical_Arcs'!S16</x:f>
        <x:v>7.416666666666667</x:v>
      </x:c>
      <x:c r="N496" s="9" t="n">
        <x:f>M496*'Parameters'!$C$18</x:f>
        <x:v>1.4833333333333334</x:v>
      </x:c>
      <x:c r="O496" s="9" t="n">
        <x:f>N496*'Parameters'!$C$19</x:f>
        <x:v>1.8541666666666667</x:v>
      </x:c>
      <x:c r="P496" s="9" t="n">
        <x:f>M496*(1-0.40)-N496</x:f>
        <x:v>2.966666666666667</x:v>
      </x:c>
      <x:c r="Q496" s="9" t="n">
        <x:f>'Physical_Arcs'!T16</x:f>
        <x:v>3.7222222222222223</x:v>
      </x:c>
      <x:c r="R496" s="9" t="n">
        <x:f>Q496*'Parameters'!$C$18</x:f>
        <x:v>0.7444444444444445</x:v>
      </x:c>
      <x:c r="S496" s="9" t="n">
        <x:f>R496*'Parameters'!$C$19</x:f>
        <x:v>0.9305555555555556</x:v>
      </x:c>
      <x:c r="T496" s="9" t="n">
        <x:f>Q496*(1-0.40)-R496</x:f>
        <x:v>1.488888888888889</x:v>
      </x:c>
    </x:row>
    <x:row r="497" ht="21" customHeight="1">
      <x:c r="A497" s="3" t="n">
        <x:v>8</x:v>
      </x:c>
      <x:c r="B497" s="3" t="str">
        <x:v>01:20</x:v>
      </x:c>
      <x:c r="C497" s="3" t="n">
        <x:v>2</x:v>
      </x:c>
      <x:c r="D497" s="3" t="n">
        <x:v>16</x:v>
      </x:c>
      <x:c r="E497" s="3" t="n">
        <x:v>3</x:v>
      </x:c>
      <x:c r="F497" s="3" t="n">
        <x:v>4</x:v>
      </x:c>
      <x:c r="G497" s="9" t="n">
        <x:v>0.14</x:v>
      </x:c>
      <x:c r="H497" s="9" t="n">
        <x:v>1.017658</x:v>
      </x:c>
      <x:c r="I497" s="9" t="n">
        <x:f>'Physical_Arcs'!R17</x:f>
        <x:v>17.02777777777778</x:v>
      </x:c>
      <x:c r="J497" s="9" t="n">
        <x:f>I497*'Parameters'!$C$18</x:f>
        <x:v>3.405555555555556</x:v>
      </x:c>
      <x:c r="K497" s="9" t="n">
        <x:f>J497*'Parameters'!$C$19</x:f>
        <x:v>4.256944444444445</x:v>
      </x:c>
      <x:c r="L497" s="9" t="n">
        <x:f>I497*(1-0.40)-J497</x:f>
        <x:v>6.811111111111111</x:v>
      </x:c>
      <x:c r="M497" s="9" t="n">
        <x:f>'Physical_Arcs'!S17</x:f>
        <x:v>17.02777777777778</x:v>
      </x:c>
      <x:c r="N497" s="9" t="n">
        <x:f>M497*'Parameters'!$C$18</x:f>
        <x:v>3.405555555555556</x:v>
      </x:c>
      <x:c r="O497" s="9" t="n">
        <x:f>N497*'Parameters'!$C$19</x:f>
        <x:v>4.256944444444445</x:v>
      </x:c>
      <x:c r="P497" s="9" t="n">
        <x:f>M497*(1-0.40)-N497</x:f>
        <x:v>6.811111111111111</x:v>
      </x:c>
      <x:c r="Q497" s="9" t="n">
        <x:f>'Physical_Arcs'!T17</x:f>
        <x:v>17.02777777777778</x:v>
      </x:c>
      <x:c r="R497" s="9" t="n">
        <x:f>Q497*'Parameters'!$C$18</x:f>
        <x:v>3.405555555555556</x:v>
      </x:c>
      <x:c r="S497" s="9" t="n">
        <x:f>R497*'Parameters'!$C$19</x:f>
        <x:v>4.256944444444445</x:v>
      </x:c>
      <x:c r="T497" s="9" t="n">
        <x:f>Q497*(1-0.40)-R497</x:f>
        <x:v>6.811111111111111</x:v>
      </x:c>
    </x:row>
    <x:row r="498" ht="21" customHeight="1">
      <x:c r="A498" s="3" t="n">
        <x:v>8</x:v>
      </x:c>
      <x:c r="B498" s="3" t="str">
        <x:v>01:20</x:v>
      </x:c>
      <x:c r="C498" s="3" t="n">
        <x:v>2</x:v>
      </x:c>
      <x:c r="D498" s="3" t="n">
        <x:v>17</x:v>
      </x:c>
      <x:c r="E498" s="3" t="n">
        <x:v>3</x:v>
      </x:c>
      <x:c r="F498" s="3" t="n">
        <x:v>2</x:v>
      </x:c>
      <x:c r="G498" s="9" t="n">
        <x:v>0.14</x:v>
      </x:c>
      <x:c r="H498" s="9" t="n">
        <x:v>0.875995</x:v>
      </x:c>
      <x:c r="I498" s="9" t="n">
        <x:f>'Physical_Arcs'!R18</x:f>
        <x:v>10.666666666666666</x:v>
      </x:c>
      <x:c r="J498" s="9" t="n">
        <x:f>I498*'Parameters'!$C$18</x:f>
        <x:v>2.1333333333333333</x:v>
      </x:c>
      <x:c r="K498" s="9" t="n">
        <x:f>J498*'Parameters'!$C$19</x:f>
        <x:v>2.6666666666666665</x:v>
      </x:c>
      <x:c r="L498" s="9" t="n">
        <x:f>I498*(1-0.40)-J498</x:f>
        <x:v>4.266666666666666</x:v>
      </x:c>
      <x:c r="M498" s="9" t="n">
        <x:f>'Physical_Arcs'!S18</x:f>
        <x:v>10.666666666666666</x:v>
      </x:c>
      <x:c r="N498" s="9" t="n">
        <x:f>M498*'Parameters'!$C$18</x:f>
        <x:v>2.1333333333333333</x:v>
      </x:c>
      <x:c r="O498" s="9" t="n">
        <x:f>N498*'Parameters'!$C$19</x:f>
        <x:v>2.6666666666666665</x:v>
      </x:c>
      <x:c r="P498" s="9" t="n">
        <x:f>M498*(1-0.40)-N498</x:f>
        <x:v>4.266666666666666</x:v>
      </x:c>
      <x:c r="Q498" s="9" t="n">
        <x:f>'Physical_Arcs'!T18</x:f>
        <x:v>5.333333333333333</x:v>
      </x:c>
      <x:c r="R498" s="9" t="n">
        <x:f>Q498*'Parameters'!$C$18</x:f>
        <x:v>1.0666666666666667</x:v>
      </x:c>
      <x:c r="S498" s="9" t="n">
        <x:f>R498*'Parameters'!$C$19</x:f>
        <x:v>1.3333333333333333</x:v>
      </x:c>
      <x:c r="T498" s="9" t="n">
        <x:f>Q498*(1-0.40)-R498</x:f>
        <x:v>2.133333333333333</x:v>
      </x:c>
    </x:row>
    <x:row r="499" ht="21" customHeight="1">
      <x:c r="A499" s="3" t="n">
        <x:v>8</x:v>
      </x:c>
      <x:c r="B499" s="3" t="str">
        <x:v>01:20</x:v>
      </x:c>
      <x:c r="C499" s="3" t="n">
        <x:v>2</x:v>
      </x:c>
      <x:c r="D499" s="3" t="n">
        <x:v>18</x:v>
      </x:c>
      <x:c r="E499" s="3" t="n">
        <x:v>3</x:v>
      </x:c>
      <x:c r="F499" s="3" t="n">
        <x:v>1</x:v>
      </x:c>
      <x:c r="G499" s="9" t="n">
        <x:v>0.14</x:v>
      </x:c>
      <x:c r="H499" s="9" t="n">
        <x:v>1.015397</x:v>
      </x:c>
      <x:c r="I499" s="9" t="n">
        <x:f>'Physical_Arcs'!R19</x:f>
        <x:v>5.166666666666667</x:v>
      </x:c>
      <x:c r="J499" s="9" t="n">
        <x:f>I499*'Parameters'!$C$18</x:f>
        <x:v>1.0333333333333334</x:v>
      </x:c>
      <x:c r="K499" s="9" t="n">
        <x:f>J499*'Parameters'!$C$19</x:f>
        <x:v>1.2916666666666667</x:v>
      </x:c>
      <x:c r="L499" s="9" t="n">
        <x:f>I499*(1-0.40)-J499</x:f>
        <x:v>2.0666666666666664</x:v>
      </x:c>
      <x:c r="M499" s="9" t="n">
        <x:f>'Physical_Arcs'!S19</x:f>
        <x:v>5.166666666666667</x:v>
      </x:c>
      <x:c r="N499" s="9" t="n">
        <x:f>M499*'Parameters'!$C$18</x:f>
        <x:v>1.0333333333333334</x:v>
      </x:c>
      <x:c r="O499" s="9" t="n">
        <x:f>N499*'Parameters'!$C$19</x:f>
        <x:v>1.2916666666666667</x:v>
      </x:c>
      <x:c r="P499" s="9" t="n">
        <x:f>M499*(1-0.40)-N499</x:f>
        <x:v>2.0666666666666664</x:v>
      </x:c>
      <x:c r="Q499" s="9" t="n">
        <x:f>'Physical_Arcs'!T19</x:f>
        <x:v>2.5833333333333335</x:v>
      </x:c>
      <x:c r="R499" s="9" t="n">
        <x:f>Q499*'Parameters'!$C$18</x:f>
        <x:v>0.5166666666666667</x:v>
      </x:c>
      <x:c r="S499" s="9" t="n">
        <x:f>R499*'Parameters'!$C$19</x:f>
        <x:v>0.6458333333333334</x:v>
      </x:c>
      <x:c r="T499" s="9" t="n">
        <x:f>Q499*(1-0.40)-R499</x:f>
        <x:v>1.0333333333333332</x:v>
      </x:c>
    </x:row>
    <x:row r="500" ht="21" customHeight="1">
      <x:c r="A500" s="3" t="n">
        <x:v>8</x:v>
      </x:c>
      <x:c r="B500" s="3" t="str">
        <x:v>01:20</x:v>
      </x:c>
      <x:c r="C500" s="3" t="n">
        <x:v>2</x:v>
      </x:c>
      <x:c r="D500" s="3" t="n">
        <x:v>19</x:v>
      </x:c>
      <x:c r="E500" s="3" t="n">
        <x:v>3</x:v>
      </x:c>
      <x:c r="F500" s="3" t="n">
        <x:v>7</x:v>
      </x:c>
      <x:c r="G500" s="9" t="n">
        <x:v>0.14</x:v>
      </x:c>
      <x:c r="H500" s="9" t="n">
        <x:v>0.996008</x:v>
      </x:c>
      <x:c r="I500" s="9" t="n">
        <x:f>'Physical_Arcs'!R20</x:f>
        <x:v>5.75</x:v>
      </x:c>
      <x:c r="J500" s="9" t="n">
        <x:f>I500*'Parameters'!$C$18</x:f>
        <x:v>1.1500000000000001</x:v>
      </x:c>
      <x:c r="K500" s="9" t="n">
        <x:f>J500*'Parameters'!$C$19</x:f>
        <x:v>1.4375000000000002</x:v>
      </x:c>
      <x:c r="L500" s="9" t="n">
        <x:f>I500*(1-0.40)-J500</x:f>
        <x:v>2.3</x:v>
      </x:c>
      <x:c r="M500" s="9" t="n">
        <x:f>'Physical_Arcs'!S20</x:f>
        <x:v>5.75</x:v>
      </x:c>
      <x:c r="N500" s="9" t="n">
        <x:f>M500*'Parameters'!$C$18</x:f>
        <x:v>1.1500000000000001</x:v>
      </x:c>
      <x:c r="O500" s="9" t="n">
        <x:f>N500*'Parameters'!$C$19</x:f>
        <x:v>1.4375000000000002</x:v>
      </x:c>
      <x:c r="P500" s="9" t="n">
        <x:f>M500*(1-0.40)-N500</x:f>
        <x:v>2.3</x:v>
      </x:c>
      <x:c r="Q500" s="9" t="n">
        <x:f>'Physical_Arcs'!T20</x:f>
        <x:v>2.888888888888889</x:v>
      </x:c>
      <x:c r="R500" s="9" t="n">
        <x:f>Q500*'Parameters'!$C$18</x:f>
        <x:v>0.5777777777777778</x:v>
      </x:c>
      <x:c r="S500" s="9" t="n">
        <x:f>R500*'Parameters'!$C$19</x:f>
        <x:v>0.7222222222222223</x:v>
      </x:c>
      <x:c r="T500" s="9" t="n">
        <x:f>Q500*(1-0.40)-R500</x:f>
        <x:v>1.1555555555555554</x:v>
      </x:c>
    </x:row>
    <x:row r="501" ht="21" customHeight="1">
      <x:c r="A501" s="3" t="n">
        <x:v>8</x:v>
      </x:c>
      <x:c r="B501" s="3" t="str">
        <x:v>01:20</x:v>
      </x:c>
      <x:c r="C501" s="3" t="n">
        <x:v>2</x:v>
      </x:c>
      <x:c r="D501" s="3" t="n">
        <x:v>20</x:v>
      </x:c>
      <x:c r="E501" s="3" t="n">
        <x:v>3</x:v>
      </x:c>
      <x:c r="F501" s="3" t="n">
        <x:v>10</x:v>
      </x:c>
      <x:c r="G501" s="9" t="n">
        <x:v>0.14</x:v>
      </x:c>
      <x:c r="H501" s="9" t="n">
        <x:v>1.118855</x:v>
      </x:c>
      <x:c r="I501" s="9" t="n">
        <x:f>'Physical_Arcs'!R21</x:f>
        <x:v>5.166666666666667</x:v>
      </x:c>
      <x:c r="J501" s="9" t="n">
        <x:f>I501*'Parameters'!$C$18</x:f>
        <x:v>1.0333333333333334</x:v>
      </x:c>
      <x:c r="K501" s="9" t="n">
        <x:f>J501*'Parameters'!$C$19</x:f>
        <x:v>1.2916666666666667</x:v>
      </x:c>
      <x:c r="L501" s="9" t="n">
        <x:f>I501*(1-0.40)-J501</x:f>
        <x:v>2.0666666666666664</x:v>
      </x:c>
      <x:c r="M501" s="9" t="n">
        <x:f>'Physical_Arcs'!S21</x:f>
        <x:v>5.166666666666667</x:v>
      </x:c>
      <x:c r="N501" s="9" t="n">
        <x:f>M501*'Parameters'!$C$18</x:f>
        <x:v>1.0333333333333334</x:v>
      </x:c>
      <x:c r="O501" s="9" t="n">
        <x:f>N501*'Parameters'!$C$19</x:f>
        <x:v>1.2916666666666667</x:v>
      </x:c>
      <x:c r="P501" s="9" t="n">
        <x:f>M501*(1-0.40)-N501</x:f>
        <x:v>2.0666666666666664</x:v>
      </x:c>
      <x:c r="Q501" s="9" t="n">
        <x:f>'Physical_Arcs'!T21</x:f>
        <x:v>2.5833333333333335</x:v>
      </x:c>
      <x:c r="R501" s="9" t="n">
        <x:f>Q501*'Parameters'!$C$18</x:f>
        <x:v>0.5166666666666667</x:v>
      </x:c>
      <x:c r="S501" s="9" t="n">
        <x:f>R501*'Parameters'!$C$19</x:f>
        <x:v>0.6458333333333334</x:v>
      </x:c>
      <x:c r="T501" s="9" t="n">
        <x:f>Q501*(1-0.40)-R501</x:f>
        <x:v>1.0333333333333332</x:v>
      </x:c>
    </x:row>
    <x:row r="502" ht="21" customHeight="1">
      <x:c r="A502" s="3" t="n">
        <x:v>8</x:v>
      </x:c>
      <x:c r="B502" s="3" t="str">
        <x:v>01:20</x:v>
      </x:c>
      <x:c r="C502" s="3" t="n">
        <x:v>2</x:v>
      </x:c>
      <x:c r="D502" s="3" t="n">
        <x:v>21</x:v>
      </x:c>
      <x:c r="E502" s="3" t="n">
        <x:v>3</x:v>
      </x:c>
      <x:c r="F502" s="3" t="n">
        <x:v>9</x:v>
      </x:c>
      <x:c r="G502" s="9" t="n">
        <x:v>0.14</x:v>
      </x:c>
      <x:c r="H502" s="9" t="n">
        <x:v>0.947299</x:v>
      </x:c>
      <x:c r="I502" s="9" t="n">
        <x:f>'Physical_Arcs'!R22</x:f>
        <x:v>9.333333333333334</x:v>
      </x:c>
      <x:c r="J502" s="9" t="n">
        <x:f>I502*'Parameters'!$C$18</x:f>
        <x:v>1.866666666666667</x:v>
      </x:c>
      <x:c r="K502" s="9" t="n">
        <x:f>J502*'Parameters'!$C$19</x:f>
        <x:v>2.3333333333333335</x:v>
      </x:c>
      <x:c r="L502" s="9" t="n">
        <x:f>I502*(1-0.40)-J502</x:f>
        <x:v>3.7333333333333334</x:v>
      </x:c>
      <x:c r="M502" s="9" t="n">
        <x:f>'Physical_Arcs'!S22</x:f>
        <x:v>9.333333333333334</x:v>
      </x:c>
      <x:c r="N502" s="9" t="n">
        <x:f>M502*'Parameters'!$C$18</x:f>
        <x:v>1.866666666666667</x:v>
      </x:c>
      <x:c r="O502" s="9" t="n">
        <x:f>N502*'Parameters'!$C$19</x:f>
        <x:v>2.3333333333333335</x:v>
      </x:c>
      <x:c r="P502" s="9" t="n">
        <x:f>M502*(1-0.40)-N502</x:f>
        <x:v>3.7333333333333334</x:v>
      </x:c>
      <x:c r="Q502" s="9" t="n">
        <x:f>'Physical_Arcs'!T22</x:f>
        <x:v>4.666666666666667</x:v>
      </x:c>
      <x:c r="R502" s="9" t="n">
        <x:f>Q502*'Parameters'!$C$18</x:f>
        <x:v>0.9333333333333335</x:v>
      </x:c>
      <x:c r="S502" s="9" t="n">
        <x:f>R502*'Parameters'!$C$19</x:f>
        <x:v>1.1666666666666667</x:v>
      </x:c>
      <x:c r="T502" s="9" t="n">
        <x:f>Q502*(1-0.40)-R502</x:f>
        <x:v>1.8666666666666667</x:v>
      </x:c>
    </x:row>
    <x:row r="503" ht="21" customHeight="1">
      <x:c r="A503" s="3" t="n">
        <x:v>8</x:v>
      </x:c>
      <x:c r="B503" s="3" t="str">
        <x:v>01:20</x:v>
      </x:c>
      <x:c r="C503" s="3" t="n">
        <x:v>2</x:v>
      </x:c>
      <x:c r="D503" s="3" t="n">
        <x:v>22</x:v>
      </x:c>
      <x:c r="E503" s="3" t="n">
        <x:v>4</x:v>
      </x:c>
      <x:c r="F503" s="3" t="n">
        <x:v>5</x:v>
      </x:c>
      <x:c r="G503" s="9" t="n">
        <x:v>0.14</x:v>
      </x:c>
      <x:c r="H503" s="9" t="n">
        <x:v>0.958485</x:v>
      </x:c>
      <x:c r="I503" s="9" t="n">
        <x:f>'Physical_Arcs'!R23</x:f>
        <x:v>17.02777777777778</x:v>
      </x:c>
      <x:c r="J503" s="9" t="n">
        <x:f>I503*'Parameters'!$C$18</x:f>
        <x:v>3.405555555555556</x:v>
      </x:c>
      <x:c r="K503" s="9" t="n">
        <x:f>J503*'Parameters'!$C$19</x:f>
        <x:v>4.256944444444445</x:v>
      </x:c>
      <x:c r="L503" s="9" t="n">
        <x:f>I503*(1-0.40)-J503</x:f>
        <x:v>6.811111111111111</x:v>
      </x:c>
      <x:c r="M503" s="9" t="n">
        <x:f>'Physical_Arcs'!S23</x:f>
        <x:v>17.02777777777778</x:v>
      </x:c>
      <x:c r="N503" s="9" t="n">
        <x:f>M503*'Parameters'!$C$18</x:f>
        <x:v>3.405555555555556</x:v>
      </x:c>
      <x:c r="O503" s="9" t="n">
        <x:f>N503*'Parameters'!$C$19</x:f>
        <x:v>4.256944444444445</x:v>
      </x:c>
      <x:c r="P503" s="9" t="n">
        <x:f>M503*(1-0.40)-N503</x:f>
        <x:v>6.811111111111111</x:v>
      </x:c>
      <x:c r="Q503" s="9" t="n">
        <x:f>'Physical_Arcs'!T23</x:f>
        <x:v>17.02777777777778</x:v>
      </x:c>
      <x:c r="R503" s="9" t="n">
        <x:f>Q503*'Parameters'!$C$18</x:f>
        <x:v>3.405555555555556</x:v>
      </x:c>
      <x:c r="S503" s="9" t="n">
        <x:f>R503*'Parameters'!$C$19</x:f>
        <x:v>4.256944444444445</x:v>
      </x:c>
      <x:c r="T503" s="9" t="n">
        <x:f>Q503*(1-0.40)-R503</x:f>
        <x:v>6.811111111111111</x:v>
      </x:c>
    </x:row>
    <x:row r="504" ht="21" customHeight="1">
      <x:c r="A504" s="3" t="n">
        <x:v>8</x:v>
      </x:c>
      <x:c r="B504" s="3" t="str">
        <x:v>01:20</x:v>
      </x:c>
      <x:c r="C504" s="3" t="n">
        <x:v>2</x:v>
      </x:c>
      <x:c r="D504" s="3" t="n">
        <x:v>23</x:v>
      </x:c>
      <x:c r="E504" s="3" t="n">
        <x:v>4</x:v>
      </x:c>
      <x:c r="F504" s="3" t="n">
        <x:v>3</x:v>
      </x:c>
      <x:c r="G504" s="9" t="n">
        <x:v>0.14</x:v>
      </x:c>
      <x:c r="H504" s="9" t="n">
        <x:v>0.944916</x:v>
      </x:c>
      <x:c r="I504" s="9" t="n">
        <x:f>'Physical_Arcs'!R24</x:f>
        <x:v>9.333333333333334</x:v>
      </x:c>
      <x:c r="J504" s="9" t="n">
        <x:f>I504*'Parameters'!$C$18</x:f>
        <x:v>1.866666666666667</x:v>
      </x:c>
      <x:c r="K504" s="9" t="n">
        <x:f>J504*'Parameters'!$C$19</x:f>
        <x:v>2.3333333333333335</x:v>
      </x:c>
      <x:c r="L504" s="9" t="n">
        <x:f>I504*(1-0.40)-J504</x:f>
        <x:v>3.7333333333333334</x:v>
      </x:c>
      <x:c r="M504" s="9" t="n">
        <x:f>'Physical_Arcs'!S24</x:f>
        <x:v>9.333333333333334</x:v>
      </x:c>
      <x:c r="N504" s="9" t="n">
        <x:f>M504*'Parameters'!$C$18</x:f>
        <x:v>1.866666666666667</x:v>
      </x:c>
      <x:c r="O504" s="9" t="n">
        <x:f>N504*'Parameters'!$C$19</x:f>
        <x:v>2.3333333333333335</x:v>
      </x:c>
      <x:c r="P504" s="9" t="n">
        <x:f>M504*(1-0.40)-N504</x:f>
        <x:v>3.7333333333333334</x:v>
      </x:c>
      <x:c r="Q504" s="9" t="n">
        <x:f>'Physical_Arcs'!T24</x:f>
        <x:v>4.666666666666667</x:v>
      </x:c>
      <x:c r="R504" s="9" t="n">
        <x:f>Q504*'Parameters'!$C$18</x:f>
        <x:v>0.9333333333333335</x:v>
      </x:c>
      <x:c r="S504" s="9" t="n">
        <x:f>R504*'Parameters'!$C$19</x:f>
        <x:v>1.1666666666666667</x:v>
      </x:c>
      <x:c r="T504" s="9" t="n">
        <x:f>Q504*(1-0.40)-R504</x:f>
        <x:v>1.8666666666666667</x:v>
      </x:c>
    </x:row>
    <x:row r="505" ht="21" customHeight="1">
      <x:c r="A505" s="3" t="n">
        <x:v>8</x:v>
      </x:c>
      <x:c r="B505" s="3" t="str">
        <x:v>01:20</x:v>
      </x:c>
      <x:c r="C505" s="3" t="n">
        <x:v>2</x:v>
      </x:c>
      <x:c r="D505" s="3" t="n">
        <x:v>24</x:v>
      </x:c>
      <x:c r="E505" s="3" t="n">
        <x:v>4</x:v>
      </x:c>
      <x:c r="F505" s="3" t="n">
        <x:v>10</x:v>
      </x:c>
      <x:c r="G505" s="9" t="n">
        <x:v>0.14</x:v>
      </x:c>
      <x:c r="H505" s="9" t="n">
        <x:v>0.875461</x:v>
      </x:c>
      <x:c r="I505" s="9" t="n">
        <x:f>'Physical_Arcs'!R25</x:f>
        <x:v>7.194444444444445</x:v>
      </x:c>
      <x:c r="J505" s="9" t="n">
        <x:f>I505*'Parameters'!$C$18</x:f>
        <x:v>1.438888888888889</x:v>
      </x:c>
      <x:c r="K505" s="9" t="n">
        <x:f>J505*'Parameters'!$C$19</x:f>
        <x:v>1.7986111111111114</x:v>
      </x:c>
      <x:c r="L505" s="9" t="n">
        <x:f>I505*(1-0.40)-J505</x:f>
        <x:v>2.8777777777777773</x:v>
      </x:c>
      <x:c r="M505" s="9" t="n">
        <x:f>'Physical_Arcs'!S25</x:f>
        <x:v>7.194444444444445</x:v>
      </x:c>
      <x:c r="N505" s="9" t="n">
        <x:f>M505*'Parameters'!$C$18</x:f>
        <x:v>1.438888888888889</x:v>
      </x:c>
      <x:c r="O505" s="9" t="n">
        <x:f>N505*'Parameters'!$C$19</x:f>
        <x:v>1.7986111111111114</x:v>
      </x:c>
      <x:c r="P505" s="9" t="n">
        <x:f>M505*(1-0.40)-N505</x:f>
        <x:v>2.8777777777777773</x:v>
      </x:c>
      <x:c r="Q505" s="9" t="n">
        <x:f>'Physical_Arcs'!T25</x:f>
        <x:v>3.611111111111111</x:v>
      </x:c>
      <x:c r="R505" s="9" t="n">
        <x:f>Q505*'Parameters'!$C$18</x:f>
        <x:v>0.7222222222222223</x:v>
      </x:c>
      <x:c r="S505" s="9" t="n">
        <x:f>R505*'Parameters'!$C$19</x:f>
        <x:v>0.9027777777777779</x:v>
      </x:c>
      <x:c r="T505" s="9" t="n">
        <x:f>Q505*(1-0.40)-R505</x:f>
        <x:v>1.4444444444444442</x:v>
      </x:c>
    </x:row>
    <x:row r="506" ht="21" customHeight="1">
      <x:c r="A506" s="3" t="n">
        <x:v>8</x:v>
      </x:c>
      <x:c r="B506" s="3" t="str">
        <x:v>01:20</x:v>
      </x:c>
      <x:c r="C506" s="3" t="n">
        <x:v>2</x:v>
      </x:c>
      <x:c r="D506" s="3" t="n">
        <x:v>25</x:v>
      </x:c>
      <x:c r="E506" s="3" t="n">
        <x:v>4</x:v>
      </x:c>
      <x:c r="F506" s="3" t="n">
        <x:v>8</x:v>
      </x:c>
      <x:c r="G506" s="9" t="n">
        <x:v>0.14</x:v>
      </x:c>
      <x:c r="H506" s="9" t="n">
        <x:v>0.993326</x:v>
      </x:c>
      <x:c r="I506" s="9" t="n">
        <x:f>'Physical_Arcs'!R26</x:f>
        <x:v>5.277777777777778</x:v>
      </x:c>
      <x:c r="J506" s="9" t="n">
        <x:f>I506*'Parameters'!$C$18</x:f>
        <x:v>1.0555555555555556</x:v>
      </x:c>
      <x:c r="K506" s="9" t="n">
        <x:f>J506*'Parameters'!$C$19</x:f>
        <x:v>1.3194444444444444</x:v>
      </x:c>
      <x:c r="L506" s="9" t="n">
        <x:f>I506*(1-0.40)-J506</x:f>
        <x:v>2.1111111111111107</x:v>
      </x:c>
      <x:c r="M506" s="9" t="n">
        <x:f>'Physical_Arcs'!S26</x:f>
        <x:v>5.277777777777778</x:v>
      </x:c>
      <x:c r="N506" s="9" t="n">
        <x:f>M506*'Parameters'!$C$18</x:f>
        <x:v>1.0555555555555556</x:v>
      </x:c>
      <x:c r="O506" s="9" t="n">
        <x:f>N506*'Parameters'!$C$19</x:f>
        <x:v>1.3194444444444444</x:v>
      </x:c>
      <x:c r="P506" s="9" t="n">
        <x:f>M506*(1-0.40)-N506</x:f>
        <x:v>2.1111111111111107</x:v>
      </x:c>
      <x:c r="Q506" s="9" t="n">
        <x:f>'Physical_Arcs'!T26</x:f>
        <x:v>2.638888888888889</x:v>
      </x:c>
      <x:c r="R506" s="9" t="n">
        <x:f>Q506*'Parameters'!$C$18</x:f>
        <x:v>0.5277777777777778</x:v>
      </x:c>
      <x:c r="S506" s="9" t="n">
        <x:f>R506*'Parameters'!$C$19</x:f>
        <x:v>0.6597222222222222</x:v>
      </x:c>
      <x:c r="T506" s="9" t="n">
        <x:f>Q506*(1-0.40)-R506</x:f>
        <x:v>1.0555555555555554</x:v>
      </x:c>
    </x:row>
    <x:row r="507" ht="21" customHeight="1">
      <x:c r="A507" s="3" t="n">
        <x:v>8</x:v>
      </x:c>
      <x:c r="B507" s="3" t="str">
        <x:v>01:20</x:v>
      </x:c>
      <x:c r="C507" s="3" t="n">
        <x:v>2</x:v>
      </x:c>
      <x:c r="D507" s="3" t="n">
        <x:v>26</x:v>
      </x:c>
      <x:c r="E507" s="3" t="n">
        <x:v>4</x:v>
      </x:c>
      <x:c r="F507" s="3" t="n">
        <x:v>7</x:v>
      </x:c>
      <x:c r="G507" s="9" t="n">
        <x:v>0.14</x:v>
      </x:c>
      <x:c r="H507" s="9" t="n">
        <x:v>1.099203</x:v>
      </x:c>
      <x:c r="I507" s="9" t="n">
        <x:f>'Physical_Arcs'!R27</x:f>
        <x:v>6.527777777777778</x:v>
      </x:c>
      <x:c r="J507" s="9" t="n">
        <x:f>I507*'Parameters'!$C$18</x:f>
        <x:v>1.3055555555555556</x:v>
      </x:c>
      <x:c r="K507" s="9" t="n">
        <x:f>J507*'Parameters'!$C$19</x:f>
        <x:v>1.6319444444444444</x:v>
      </x:c>
      <x:c r="L507" s="9" t="n">
        <x:f>I507*(1-0.40)-J507</x:f>
        <x:v>2.6111111111111107</x:v>
      </x:c>
      <x:c r="M507" s="9" t="n">
        <x:f>'Physical_Arcs'!S27</x:f>
        <x:v>6.527777777777778</x:v>
      </x:c>
      <x:c r="N507" s="9" t="n">
        <x:f>M507*'Parameters'!$C$18</x:f>
        <x:v>1.3055555555555556</x:v>
      </x:c>
      <x:c r="O507" s="9" t="n">
        <x:f>N507*'Parameters'!$C$19</x:f>
        <x:v>1.6319444444444444</x:v>
      </x:c>
      <x:c r="P507" s="9" t="n">
        <x:f>M507*(1-0.40)-N507</x:f>
        <x:v>2.6111111111111107</x:v>
      </x:c>
      <x:c r="Q507" s="9" t="n">
        <x:f>'Physical_Arcs'!T27</x:f>
        <x:v>3.2777777777777777</x:v>
      </x:c>
      <x:c r="R507" s="9" t="n">
        <x:f>Q507*'Parameters'!$C$18</x:f>
        <x:v>0.6555555555555556</x:v>
      </x:c>
      <x:c r="S507" s="9" t="n">
        <x:f>R507*'Parameters'!$C$19</x:f>
        <x:v>0.8194444444444444</x:v>
      </x:c>
      <x:c r="T507" s="9" t="n">
        <x:f>Q507*(1-0.40)-R507</x:f>
        <x:v>1.311111111111111</x:v>
      </x:c>
    </x:row>
    <x:row r="508" ht="21" customHeight="1">
      <x:c r="A508" s="3" t="n">
        <x:v>8</x:v>
      </x:c>
      <x:c r="B508" s="3" t="str">
        <x:v>01:20</x:v>
      </x:c>
      <x:c r="C508" s="3" t="n">
        <x:v>2</x:v>
      </x:c>
      <x:c r="D508" s="3" t="n">
        <x:v>27</x:v>
      </x:c>
      <x:c r="E508" s="3" t="n">
        <x:v>4</x:v>
      </x:c>
      <x:c r="F508" s="3" t="n">
        <x:v>2</x:v>
      </x:c>
      <x:c r="G508" s="9" t="n">
        <x:v>0.14</x:v>
      </x:c>
      <x:c r="H508" s="9" t="n">
        <x:v>0.861111</x:v>
      </x:c>
      <x:c r="I508" s="9" t="n">
        <x:f>'Physical_Arcs'!R28</x:f>
        <x:v>4.944444444444445</x:v>
      </x:c>
      <x:c r="J508" s="9" t="n">
        <x:f>I508*'Parameters'!$C$18</x:f>
        <x:v>0.9888888888888889</x:v>
      </x:c>
      <x:c r="K508" s="9" t="n">
        <x:f>J508*'Parameters'!$C$19</x:f>
        <x:v>1.2361111111111112</x:v>
      </x:c>
      <x:c r="L508" s="9" t="n">
        <x:f>I508*(1-0.40)-J508</x:f>
        <x:v>1.9777777777777779</x:v>
      </x:c>
      <x:c r="M508" s="9" t="n">
        <x:f>'Physical_Arcs'!S28</x:f>
        <x:v>4.944444444444445</x:v>
      </x:c>
      <x:c r="N508" s="9" t="n">
        <x:f>M508*'Parameters'!$C$18</x:f>
        <x:v>0.9888888888888889</x:v>
      </x:c>
      <x:c r="O508" s="9" t="n">
        <x:f>N508*'Parameters'!$C$19</x:f>
        <x:v>1.2361111111111112</x:v>
      </x:c>
      <x:c r="P508" s="9" t="n">
        <x:f>M508*(1-0.40)-N508</x:f>
        <x:v>1.9777777777777779</x:v>
      </x:c>
      <x:c r="Q508" s="9" t="n">
        <x:f>'Physical_Arcs'!T28</x:f>
        <x:v>2.4722222222222223</x:v>
      </x:c>
      <x:c r="R508" s="9" t="n">
        <x:f>Q508*'Parameters'!$C$18</x:f>
        <x:v>0.49444444444444446</x:v>
      </x:c>
      <x:c r="S508" s="9" t="n">
        <x:f>R508*'Parameters'!$C$19</x:f>
        <x:v>0.6180555555555556</x:v>
      </x:c>
      <x:c r="T508" s="9" t="n">
        <x:f>Q508*(1-0.40)-R508</x:f>
        <x:v>0.9888888888888889</x:v>
      </x:c>
    </x:row>
    <x:row r="509" ht="21" customHeight="1">
      <x:c r="A509" s="3" t="n">
        <x:v>8</x:v>
      </x:c>
      <x:c r="B509" s="3" t="str">
        <x:v>01:20</x:v>
      </x:c>
      <x:c r="C509" s="3" t="n">
        <x:v>2</x:v>
      </x:c>
      <x:c r="D509" s="3" t="n">
        <x:v>28</x:v>
      </x:c>
      <x:c r="E509" s="3" t="n">
        <x:v>4</x:v>
      </x:c>
      <x:c r="F509" s="3" t="n">
        <x:v>6</x:v>
      </x:c>
      <x:c r="G509" s="9" t="n">
        <x:v>0.14</x:v>
      </x:c>
      <x:c r="H509" s="9" t="n">
        <x:v>1.137214</x:v>
      </x:c>
      <x:c r="I509" s="9" t="n">
        <x:f>'Physical_Arcs'!R29</x:f>
        <x:v>3.388888888888889</x:v>
      </x:c>
      <x:c r="J509" s="9" t="n">
        <x:f>I509*'Parameters'!$C$18</x:f>
        <x:v>0.6777777777777778</x:v>
      </x:c>
      <x:c r="K509" s="9" t="n">
        <x:f>J509*'Parameters'!$C$19</x:f>
        <x:v>0.8472222222222223</x:v>
      </x:c>
      <x:c r="L509" s="9" t="n">
        <x:f>I509*(1-0.40)-J509</x:f>
        <x:v>1.3555555555555554</x:v>
      </x:c>
      <x:c r="M509" s="9" t="n">
        <x:f>'Physical_Arcs'!S29</x:f>
        <x:v>3.388888888888889</x:v>
      </x:c>
      <x:c r="N509" s="9" t="n">
        <x:f>M509*'Parameters'!$C$18</x:f>
        <x:v>0.6777777777777778</x:v>
      </x:c>
      <x:c r="O509" s="9" t="n">
        <x:f>N509*'Parameters'!$C$19</x:f>
        <x:v>0.8472222222222223</x:v>
      </x:c>
      <x:c r="P509" s="9" t="n">
        <x:f>M509*(1-0.40)-N509</x:f>
        <x:v>1.3555555555555554</x:v>
      </x:c>
      <x:c r="Q509" s="9" t="n">
        <x:f>'Physical_Arcs'!T29</x:f>
        <x:v>1.6944444444444444</x:v>
      </x:c>
      <x:c r="R509" s="9" t="n">
        <x:f>Q509*'Parameters'!$C$18</x:f>
        <x:v>0.3388888888888889</x:v>
      </x:c>
      <x:c r="S509" s="9" t="n">
        <x:f>R509*'Parameters'!$C$19</x:f>
        <x:v>0.42361111111111116</x:v>
      </x:c>
      <x:c r="T509" s="9" t="n">
        <x:f>Q509*(1-0.40)-R509</x:f>
        <x:v>0.6777777777777777</x:v>
      </x:c>
    </x:row>
    <x:row r="510" ht="21" customHeight="1">
      <x:c r="A510" s="3" t="n">
        <x:v>8</x:v>
      </x:c>
      <x:c r="B510" s="3" t="str">
        <x:v>01:20</x:v>
      </x:c>
      <x:c r="C510" s="3" t="n">
        <x:v>2</x:v>
      </x:c>
      <x:c r="D510" s="3" t="n">
        <x:v>29</x:v>
      </x:c>
      <x:c r="E510" s="3" t="n">
        <x:v>5</x:v>
      </x:c>
      <x:c r="F510" s="3" t="n">
        <x:v>6</x:v>
      </x:c>
      <x:c r="G510" s="9" t="n">
        <x:v>0.14</x:v>
      </x:c>
      <x:c r="H510" s="9" t="n">
        <x:v>0.949994</x:v>
      </x:c>
      <x:c r="I510" s="9" t="n">
        <x:f>'Physical_Arcs'!R30</x:f>
        <x:v>17.02777777777778</x:v>
      </x:c>
      <x:c r="J510" s="9" t="n">
        <x:f>I510*'Parameters'!$C$18</x:f>
        <x:v>3.405555555555556</x:v>
      </x:c>
      <x:c r="K510" s="9" t="n">
        <x:f>J510*'Parameters'!$C$19</x:f>
        <x:v>4.256944444444445</x:v>
      </x:c>
      <x:c r="L510" s="9" t="n">
        <x:f>I510*(1-0.40)-J510</x:f>
        <x:v>6.811111111111111</x:v>
      </x:c>
      <x:c r="M510" s="9" t="n">
        <x:f>'Physical_Arcs'!S30</x:f>
        <x:v>17.02777777777778</x:v>
      </x:c>
      <x:c r="N510" s="9" t="n">
        <x:f>M510*'Parameters'!$C$18</x:f>
        <x:v>3.405555555555556</x:v>
      </x:c>
      <x:c r="O510" s="9" t="n">
        <x:f>N510*'Parameters'!$C$19</x:f>
        <x:v>4.256944444444445</x:v>
      </x:c>
      <x:c r="P510" s="9" t="n">
        <x:f>M510*(1-0.40)-N510</x:f>
        <x:v>6.811111111111111</x:v>
      </x:c>
      <x:c r="Q510" s="9" t="n">
        <x:f>'Physical_Arcs'!T30</x:f>
        <x:v>17.02777777777778</x:v>
      </x:c>
      <x:c r="R510" s="9" t="n">
        <x:f>Q510*'Parameters'!$C$18</x:f>
        <x:v>3.405555555555556</x:v>
      </x:c>
      <x:c r="S510" s="9" t="n">
        <x:f>R510*'Parameters'!$C$19</x:f>
        <x:v>4.256944444444445</x:v>
      </x:c>
      <x:c r="T510" s="9" t="n">
        <x:f>Q510*(1-0.40)-R510</x:f>
        <x:v>6.811111111111111</x:v>
      </x:c>
    </x:row>
    <x:row r="511" ht="21" customHeight="1">
      <x:c r="A511" s="3" t="n">
        <x:v>8</x:v>
      </x:c>
      <x:c r="B511" s="3" t="str">
        <x:v>01:20</x:v>
      </x:c>
      <x:c r="C511" s="3" t="n">
        <x:v>2</x:v>
      </x:c>
      <x:c r="D511" s="3" t="n">
        <x:v>30</x:v>
      </x:c>
      <x:c r="E511" s="3" t="n">
        <x:v>5</x:v>
      </x:c>
      <x:c r="F511" s="3" t="n">
        <x:v>2</x:v>
      </x:c>
      <x:c r="G511" s="9" t="n">
        <x:v>0.14</x:v>
      </x:c>
      <x:c r="H511" s="9" t="n">
        <x:v>0.882396</x:v>
      </x:c>
      <x:c r="I511" s="9" t="n">
        <x:f>'Physical_Arcs'!R31</x:f>
        <x:v>2.9444444444444446</x:v>
      </x:c>
      <x:c r="J511" s="9" t="n">
        <x:f>I511*'Parameters'!$C$18</x:f>
        <x:v>0.5888888888888889</x:v>
      </x:c>
      <x:c r="K511" s="9" t="n">
        <x:f>J511*'Parameters'!$C$19</x:f>
        <x:v>0.7361111111111112</x:v>
      </x:c>
      <x:c r="L511" s="9" t="n">
        <x:f>I511*(1-0.40)-J511</x:f>
        <x:v>1.177777777777778</x:v>
      </x:c>
      <x:c r="M511" s="9" t="n">
        <x:f>'Physical_Arcs'!S31</x:f>
        <x:v>2.9444444444444446</x:v>
      </x:c>
      <x:c r="N511" s="9" t="n">
        <x:f>M511*'Parameters'!$C$18</x:f>
        <x:v>0.5888888888888889</x:v>
      </x:c>
      <x:c r="O511" s="9" t="n">
        <x:f>N511*'Parameters'!$C$19</x:f>
        <x:v>0.7361111111111112</x:v>
      </x:c>
      <x:c r="P511" s="9" t="n">
        <x:f>M511*(1-0.40)-N511</x:f>
        <x:v>1.177777777777778</x:v>
      </x:c>
      <x:c r="Q511" s="9" t="n">
        <x:f>'Physical_Arcs'!T31</x:f>
        <x:v>1.4722222222222223</x:v>
      </x:c>
      <x:c r="R511" s="9" t="n">
        <x:f>Q511*'Parameters'!$C$18</x:f>
        <x:v>0.29444444444444445</x:v>
      </x:c>
      <x:c r="S511" s="9" t="n">
        <x:f>R511*'Parameters'!$C$19</x:f>
        <x:v>0.3680555555555556</x:v>
      </x:c>
      <x:c r="T511" s="9" t="n">
        <x:f>Q511*(1-0.40)-R511</x:f>
        <x:v>0.588888888888889</x:v>
      </x:c>
    </x:row>
    <x:row r="512" ht="21" customHeight="1">
      <x:c r="A512" s="3" t="n">
        <x:v>8</x:v>
      </x:c>
      <x:c r="B512" s="3" t="str">
        <x:v>01:20</x:v>
      </x:c>
      <x:c r="C512" s="3" t="n">
        <x:v>2</x:v>
      </x:c>
      <x:c r="D512" s="3" t="n">
        <x:v>31</x:v>
      </x:c>
      <x:c r="E512" s="3" t="n">
        <x:v>5</x:v>
      </x:c>
      <x:c r="F512" s="3" t="n">
        <x:v>8</x:v>
      </x:c>
      <x:c r="G512" s="9" t="n">
        <x:v>0.14</x:v>
      </x:c>
      <x:c r="H512" s="9" t="n">
        <x:v>0.986718</x:v>
      </x:c>
      <x:c r="I512" s="9" t="n">
        <x:f>'Physical_Arcs'!R32</x:f>
        <x:v>9.333333333333334</x:v>
      </x:c>
      <x:c r="J512" s="9" t="n">
        <x:f>I512*'Parameters'!$C$18</x:f>
        <x:v>1.866666666666667</x:v>
      </x:c>
      <x:c r="K512" s="9" t="n">
        <x:f>J512*'Parameters'!$C$19</x:f>
        <x:v>2.3333333333333335</x:v>
      </x:c>
      <x:c r="L512" s="9" t="n">
        <x:f>I512*(1-0.40)-J512</x:f>
        <x:v>3.7333333333333334</x:v>
      </x:c>
      <x:c r="M512" s="9" t="n">
        <x:f>'Physical_Arcs'!S32</x:f>
        <x:v>9.333333333333334</x:v>
      </x:c>
      <x:c r="N512" s="9" t="n">
        <x:f>M512*'Parameters'!$C$18</x:f>
        <x:v>1.866666666666667</x:v>
      </x:c>
      <x:c r="O512" s="9" t="n">
        <x:f>N512*'Parameters'!$C$19</x:f>
        <x:v>2.3333333333333335</x:v>
      </x:c>
      <x:c r="P512" s="9" t="n">
        <x:f>M512*(1-0.40)-N512</x:f>
        <x:v>3.7333333333333334</x:v>
      </x:c>
      <x:c r="Q512" s="9" t="n">
        <x:f>'Physical_Arcs'!T32</x:f>
        <x:v>4.666666666666667</x:v>
      </x:c>
      <x:c r="R512" s="9" t="n">
        <x:f>Q512*'Parameters'!$C$18</x:f>
        <x:v>0.9333333333333335</x:v>
      </x:c>
      <x:c r="S512" s="9" t="n">
        <x:f>R512*'Parameters'!$C$19</x:f>
        <x:v>1.1666666666666667</x:v>
      </x:c>
      <x:c r="T512" s="9" t="n">
        <x:f>Q512*(1-0.40)-R512</x:f>
        <x:v>1.8666666666666667</x:v>
      </x:c>
    </x:row>
    <x:row r="513" ht="21" customHeight="1">
      <x:c r="A513" s="3" t="n">
        <x:v>8</x:v>
      </x:c>
      <x:c r="B513" s="3" t="str">
        <x:v>01:20</x:v>
      </x:c>
      <x:c r="C513" s="3" t="n">
        <x:v>2</x:v>
      </x:c>
      <x:c r="D513" s="3" t="n">
        <x:v>32</x:v>
      </x:c>
      <x:c r="E513" s="3" t="n">
        <x:v>5</x:v>
      </x:c>
      <x:c r="F513" s="3" t="n">
        <x:v>3</x:v>
      </x:c>
      <x:c r="G513" s="9" t="n">
        <x:v>0.14</x:v>
      </x:c>
      <x:c r="H513" s="9" t="n">
        <x:v>1.089544</x:v>
      </x:c>
      <x:c r="I513" s="9" t="n">
        <x:f>'Physical_Arcs'!R33</x:f>
        <x:v>11.13888888888889</x:v>
      </x:c>
      <x:c r="J513" s="9" t="n">
        <x:f>I513*'Parameters'!$C$18</x:f>
        <x:v>2.227777777777778</x:v>
      </x:c>
      <x:c r="K513" s="9" t="n">
        <x:f>J513*'Parameters'!$C$19</x:f>
        <x:v>2.7847222222222223</x:v>
      </x:c>
      <x:c r="L513" s="9" t="n">
        <x:f>I513*(1-0.40)-J513</x:f>
        <x:v>4.455555555555556</x:v>
      </x:c>
      <x:c r="M513" s="9" t="n">
        <x:f>'Physical_Arcs'!S33</x:f>
        <x:v>11.13888888888889</x:v>
      </x:c>
      <x:c r="N513" s="9" t="n">
        <x:f>M513*'Parameters'!$C$18</x:f>
        <x:v>2.227777777777778</x:v>
      </x:c>
      <x:c r="O513" s="9" t="n">
        <x:f>N513*'Parameters'!$C$19</x:f>
        <x:v>2.7847222222222223</x:v>
      </x:c>
      <x:c r="P513" s="9" t="n">
        <x:f>M513*(1-0.40)-N513</x:f>
        <x:v>4.455555555555556</x:v>
      </x:c>
      <x:c r="Q513" s="9" t="n">
        <x:f>'Physical_Arcs'!T33</x:f>
        <x:v>5.583333333333333</x:v>
      </x:c>
      <x:c r="R513" s="9" t="n">
        <x:f>Q513*'Parameters'!$C$18</x:f>
        <x:v>1.1166666666666667</x:v>
      </x:c>
      <x:c r="S513" s="9" t="n">
        <x:f>R513*'Parameters'!$C$19</x:f>
        <x:v>1.3958333333333335</x:v>
      </x:c>
      <x:c r="T513" s="9" t="n">
        <x:f>Q513*(1-0.40)-R513</x:f>
        <x:v>2.233333333333333</x:v>
      </x:c>
    </x:row>
    <x:row r="514" ht="21" customHeight="1">
      <x:c r="A514" s="3" t="n">
        <x:v>8</x:v>
      </x:c>
      <x:c r="B514" s="3" t="str">
        <x:v>01:20</x:v>
      </x:c>
      <x:c r="C514" s="3" t="n">
        <x:v>2</x:v>
      </x:c>
      <x:c r="D514" s="3" t="n">
        <x:v>33</x:v>
      </x:c>
      <x:c r="E514" s="3" t="n">
        <x:v>5</x:v>
      </x:c>
      <x:c r="F514" s="3" t="n">
        <x:v>10</x:v>
      </x:c>
      <x:c r="G514" s="9" t="n">
        <x:v>0.14</x:v>
      </x:c>
      <x:c r="H514" s="9" t="n">
        <x:v>1.103596</x:v>
      </x:c>
      <x:c r="I514" s="9" t="n">
        <x:f>'Physical_Arcs'!R34</x:f>
        <x:v>4.611111111111111</x:v>
      </x:c>
      <x:c r="J514" s="9" t="n">
        <x:f>I514*'Parameters'!$C$18</x:f>
        <x:v>0.9222222222222222</x:v>
      </x:c>
      <x:c r="K514" s="9" t="n">
        <x:f>J514*'Parameters'!$C$19</x:f>
        <x:v>1.1527777777777777</x:v>
      </x:c>
      <x:c r="L514" s="9" t="n">
        <x:f>I514*(1-0.40)-J514</x:f>
        <x:v>1.844444444444444</x:v>
      </x:c>
      <x:c r="M514" s="9" t="n">
        <x:f>'Physical_Arcs'!S34</x:f>
        <x:v>4.611111111111111</x:v>
      </x:c>
      <x:c r="N514" s="9" t="n">
        <x:f>M514*'Parameters'!$C$18</x:f>
        <x:v>0.9222222222222222</x:v>
      </x:c>
      <x:c r="O514" s="9" t="n">
        <x:f>N514*'Parameters'!$C$19</x:f>
        <x:v>1.1527777777777777</x:v>
      </x:c>
      <x:c r="P514" s="9" t="n">
        <x:f>M514*(1-0.40)-N514</x:f>
        <x:v>1.844444444444444</x:v>
      </x:c>
      <x:c r="Q514" s="9" t="n">
        <x:f>'Physical_Arcs'!T34</x:f>
        <x:v>2.3055555555555554</x:v>
      </x:c>
      <x:c r="R514" s="9" t="n">
        <x:f>Q514*'Parameters'!$C$18</x:f>
        <x:v>0.4611111111111111</x:v>
      </x:c>
      <x:c r="S514" s="9" t="n">
        <x:f>R514*'Parameters'!$C$19</x:f>
        <x:v>0.5763888888888888</x:v>
      </x:c>
      <x:c r="T514" s="9" t="n">
        <x:f>Q514*(1-0.40)-R514</x:f>
        <x:v>0.922222222222222</x:v>
      </x:c>
    </x:row>
    <x:row r="515" ht="21" customHeight="1">
      <x:c r="A515" s="3" t="n">
        <x:v>8</x:v>
      </x:c>
      <x:c r="B515" s="3" t="str">
        <x:v>01:20</x:v>
      </x:c>
      <x:c r="C515" s="3" t="n">
        <x:v>2</x:v>
      </x:c>
      <x:c r="D515" s="3" t="n">
        <x:v>34</x:v>
      </x:c>
      <x:c r="E515" s="3" t="n">
        <x:v>6</x:v>
      </x:c>
      <x:c r="F515" s="3" t="n">
        <x:v>7</x:v>
      </x:c>
      <x:c r="G515" s="9" t="n">
        <x:v>0.14</x:v>
      </x:c>
      <x:c r="H515" s="9" t="n">
        <x:v>0.973887</x:v>
      </x:c>
      <x:c r="I515" s="9" t="n">
        <x:f>'Physical_Arcs'!R35</x:f>
        <x:v>17.02777777777778</x:v>
      </x:c>
      <x:c r="J515" s="9" t="n">
        <x:f>I515*'Parameters'!$C$18</x:f>
        <x:v>3.405555555555556</x:v>
      </x:c>
      <x:c r="K515" s="9" t="n">
        <x:f>J515*'Parameters'!$C$19</x:f>
        <x:v>4.256944444444445</x:v>
      </x:c>
      <x:c r="L515" s="9" t="n">
        <x:f>I515*(1-0.40)-J515</x:f>
        <x:v>6.811111111111111</x:v>
      </x:c>
      <x:c r="M515" s="9" t="n">
        <x:f>'Physical_Arcs'!S35</x:f>
        <x:v>17.02777777777778</x:v>
      </x:c>
      <x:c r="N515" s="9" t="n">
        <x:f>M515*'Parameters'!$C$18</x:f>
        <x:v>3.405555555555556</x:v>
      </x:c>
      <x:c r="O515" s="9" t="n">
        <x:f>N515*'Parameters'!$C$19</x:f>
        <x:v>4.256944444444445</x:v>
      </x:c>
      <x:c r="P515" s="9" t="n">
        <x:f>M515*(1-0.40)-N515</x:f>
        <x:v>6.811111111111111</x:v>
      </x:c>
      <x:c r="Q515" s="9" t="n">
        <x:f>'Physical_Arcs'!T35</x:f>
        <x:v>17.02777777777778</x:v>
      </x:c>
      <x:c r="R515" s="9" t="n">
        <x:f>Q515*'Parameters'!$C$18</x:f>
        <x:v>3.405555555555556</x:v>
      </x:c>
      <x:c r="S515" s="9" t="n">
        <x:f>R515*'Parameters'!$C$19</x:f>
        <x:v>4.256944444444445</x:v>
      </x:c>
      <x:c r="T515" s="9" t="n">
        <x:f>Q515*(1-0.40)-R515</x:f>
        <x:v>6.811111111111111</x:v>
      </x:c>
    </x:row>
    <x:row r="516" ht="21" customHeight="1">
      <x:c r="A516" s="3" t="n">
        <x:v>8</x:v>
      </x:c>
      <x:c r="B516" s="3" t="str">
        <x:v>01:20</x:v>
      </x:c>
      <x:c r="C516" s="3" t="n">
        <x:v>2</x:v>
      </x:c>
      <x:c r="D516" s="3" t="n">
        <x:v>35</x:v>
      </x:c>
      <x:c r="E516" s="3" t="n">
        <x:v>6</x:v>
      </x:c>
      <x:c r="F516" s="3" t="n">
        <x:v>10</x:v>
      </x:c>
      <x:c r="G516" s="9" t="n">
        <x:v>0.14</x:v>
      </x:c>
      <x:c r="H516" s="9" t="n">
        <x:v>1.009062</x:v>
      </x:c>
      <x:c r="I516" s="9" t="n">
        <x:f>'Physical_Arcs'!R36</x:f>
        <x:v>4.055555555555555</x:v>
      </x:c>
      <x:c r="J516" s="9" t="n">
        <x:f>I516*'Parameters'!$C$18</x:f>
        <x:v>0.8111111111111111</x:v>
      </x:c>
      <x:c r="K516" s="9" t="n">
        <x:f>J516*'Parameters'!$C$19</x:f>
        <x:v>1.0138888888888888</x:v>
      </x:c>
      <x:c r="L516" s="9" t="n">
        <x:f>I516*(1-0.40)-J516</x:f>
        <x:v>1.622222222222222</x:v>
      </x:c>
      <x:c r="M516" s="9" t="n">
        <x:f>'Physical_Arcs'!S36</x:f>
        <x:v>4.055555555555555</x:v>
      </x:c>
      <x:c r="N516" s="9" t="n">
        <x:f>M516*'Parameters'!$C$18</x:f>
        <x:v>0.8111111111111111</x:v>
      </x:c>
      <x:c r="O516" s="9" t="n">
        <x:f>N516*'Parameters'!$C$19</x:f>
        <x:v>1.0138888888888888</x:v>
      </x:c>
      <x:c r="P516" s="9" t="n">
        <x:f>M516*(1-0.40)-N516</x:f>
        <x:v>1.622222222222222</x:v>
      </x:c>
      <x:c r="Q516" s="9" t="n">
        <x:f>'Physical_Arcs'!T36</x:f>
        <x:v>2.0277777777777777</x:v>
      </x:c>
      <x:c r="R516" s="9" t="n">
        <x:f>Q516*'Parameters'!$C$18</x:f>
        <x:v>0.40555555555555556</x:v>
      </x:c>
      <x:c r="S516" s="9" t="n">
        <x:f>R516*'Parameters'!$C$19</x:f>
        <x:v>0.5069444444444444</x:v>
      </x:c>
      <x:c r="T516" s="9" t="n">
        <x:f>Q516*(1-0.40)-R516</x:f>
        <x:v>0.811111111111111</x:v>
      </x:c>
    </x:row>
    <x:row r="517" ht="21" customHeight="1">
      <x:c r="A517" s="3" t="n">
        <x:v>8</x:v>
      </x:c>
      <x:c r="B517" s="3" t="str">
        <x:v>01:20</x:v>
      </x:c>
      <x:c r="C517" s="3" t="n">
        <x:v>2</x:v>
      </x:c>
      <x:c r="D517" s="3" t="n">
        <x:v>36</x:v>
      </x:c>
      <x:c r="E517" s="3" t="n">
        <x:v>6</x:v>
      </x:c>
      <x:c r="F517" s="3" t="n">
        <x:v>8</x:v>
      </x:c>
      <x:c r="G517" s="9" t="n">
        <x:v>0.14</x:v>
      </x:c>
      <x:c r="H517" s="9" t="n">
        <x:v>1.132129</x:v>
      </x:c>
      <x:c r="I517" s="9" t="n">
        <x:f>'Physical_Arcs'!R37</x:f>
        <x:v>6.972222222222222</x:v>
      </x:c>
      <x:c r="J517" s="9" t="n">
        <x:f>I517*'Parameters'!$C$18</x:f>
        <x:v>1.3944444444444446</x:v>
      </x:c>
      <x:c r="K517" s="9" t="n">
        <x:f>J517*'Parameters'!$C$19</x:f>
        <x:v>1.7430555555555558</x:v>
      </x:c>
      <x:c r="L517" s="9" t="n">
        <x:f>I517*(1-0.40)-J517</x:f>
        <x:v>2.7888888888888888</x:v>
      </x:c>
      <x:c r="M517" s="9" t="n">
        <x:f>'Physical_Arcs'!S37</x:f>
        <x:v>6.972222222222222</x:v>
      </x:c>
      <x:c r="N517" s="9" t="n">
        <x:f>M517*'Parameters'!$C$18</x:f>
        <x:v>1.3944444444444446</x:v>
      </x:c>
      <x:c r="O517" s="9" t="n">
        <x:f>N517*'Parameters'!$C$19</x:f>
        <x:v>1.7430555555555558</x:v>
      </x:c>
      <x:c r="P517" s="9" t="n">
        <x:f>M517*(1-0.40)-N517</x:f>
        <x:v>2.7888888888888888</x:v>
      </x:c>
      <x:c r="Q517" s="9" t="n">
        <x:f>'Physical_Arcs'!T37</x:f>
        <x:v>3.5</x:v>
      </x:c>
      <x:c r="R517" s="9" t="n">
        <x:f>Q517*'Parameters'!$C$18</x:f>
        <x:v>0.7000000000000001</x:v>
      </x:c>
      <x:c r="S517" s="9" t="n">
        <x:f>R517*'Parameters'!$C$19</x:f>
        <x:v>0.8750000000000001</x:v>
      </x:c>
      <x:c r="T517" s="9" t="n">
        <x:f>Q517*(1-0.40)-R517</x:f>
        <x:v>1.4</x:v>
      </x:c>
    </x:row>
    <x:row r="518" ht="21" customHeight="1">
      <x:c r="A518" s="3" t="n">
        <x:v>8</x:v>
      </x:c>
      <x:c r="B518" s="3" t="str">
        <x:v>01:20</x:v>
      </x:c>
      <x:c r="C518" s="3" t="n">
        <x:v>2</x:v>
      </x:c>
      <x:c r="D518" s="3" t="n">
        <x:v>37</x:v>
      </x:c>
      <x:c r="E518" s="3" t="n">
        <x:v>6</x:v>
      </x:c>
      <x:c r="F518" s="3" t="n">
        <x:v>1</x:v>
      </x:c>
      <x:c r="G518" s="9" t="n">
        <x:v>0.14</x:v>
      </x:c>
      <x:c r="H518" s="9" t="n">
        <x:v>1.020746</x:v>
      </x:c>
      <x:c r="I518" s="9" t="n">
        <x:f>'Physical_Arcs'!R38</x:f>
        <x:v>6.305555555555555</x:v>
      </x:c>
      <x:c r="J518" s="9" t="n">
        <x:f>I518*'Parameters'!$C$18</x:f>
        <x:v>1.261111111111111</x:v>
      </x:c>
      <x:c r="K518" s="9" t="n">
        <x:f>J518*'Parameters'!$C$19</x:f>
        <x:v>1.5763888888888888</x:v>
      </x:c>
      <x:c r="L518" s="9" t="n">
        <x:f>I518*(1-0.40)-J518</x:f>
        <x:v>2.522222222222222</x:v>
      </x:c>
      <x:c r="M518" s="9" t="n">
        <x:f>'Physical_Arcs'!S38</x:f>
        <x:v>6.305555555555555</x:v>
      </x:c>
      <x:c r="N518" s="9" t="n">
        <x:f>M518*'Parameters'!$C$18</x:f>
        <x:v>1.261111111111111</x:v>
      </x:c>
      <x:c r="O518" s="9" t="n">
        <x:f>N518*'Parameters'!$C$19</x:f>
        <x:v>1.5763888888888888</x:v>
      </x:c>
      <x:c r="P518" s="9" t="n">
        <x:f>M518*(1-0.40)-N518</x:f>
        <x:v>2.522222222222222</x:v>
      </x:c>
      <x:c r="Q518" s="9" t="n">
        <x:f>'Physical_Arcs'!T38</x:f>
        <x:v>3.1666666666666665</x:v>
      </x:c>
      <x:c r="R518" s="9" t="n">
        <x:f>Q518*'Parameters'!$C$18</x:f>
        <x:v>0.6333333333333333</x:v>
      </x:c>
      <x:c r="S518" s="9" t="n">
        <x:f>R518*'Parameters'!$C$19</x:f>
        <x:v>0.7916666666666666</x:v>
      </x:c>
      <x:c r="T518" s="9" t="n">
        <x:f>Q518*(1-0.40)-R518</x:f>
        <x:v>1.2666666666666666</x:v>
      </x:c>
    </x:row>
    <x:row r="519" ht="21" customHeight="1">
      <x:c r="A519" s="3" t="n">
        <x:v>8</x:v>
      </x:c>
      <x:c r="B519" s="3" t="str">
        <x:v>01:20</x:v>
      </x:c>
      <x:c r="C519" s="3" t="n">
        <x:v>2</x:v>
      </x:c>
      <x:c r="D519" s="3" t="n">
        <x:v>38</x:v>
      </x:c>
      <x:c r="E519" s="3" t="n">
        <x:v>6</x:v>
      </x:c>
      <x:c r="F519" s="3" t="n">
        <x:v>3</x:v>
      </x:c>
      <x:c r="G519" s="9" t="n">
        <x:v>0.14</x:v>
      </x:c>
      <x:c r="H519" s="9" t="n">
        <x:v>1.149081</x:v>
      </x:c>
      <x:c r="I519" s="9" t="n">
        <x:f>'Physical_Arcs'!R39</x:f>
        <x:v>1.9166666666666667</x:v>
      </x:c>
      <x:c r="J519" s="9" t="n">
        <x:f>I519*'Parameters'!$C$18</x:f>
        <x:v>0.38333333333333336</x:v>
      </x:c>
      <x:c r="K519" s="9" t="n">
        <x:f>J519*'Parameters'!$C$19</x:f>
        <x:v>0.4791666666666667</x:v>
      </x:c>
      <x:c r="L519" s="9" t="n">
        <x:f>I519*(1-0.40)-J519</x:f>
        <x:v>0.7666666666666666</x:v>
      </x:c>
      <x:c r="M519" s="9" t="n">
        <x:f>'Physical_Arcs'!S39</x:f>
        <x:v>1.9166666666666667</x:v>
      </x:c>
      <x:c r="N519" s="9" t="n">
        <x:f>M519*'Parameters'!$C$18</x:f>
        <x:v>0.38333333333333336</x:v>
      </x:c>
      <x:c r="O519" s="9" t="n">
        <x:f>N519*'Parameters'!$C$19</x:f>
        <x:v>0.4791666666666667</x:v>
      </x:c>
      <x:c r="P519" s="9" t="n">
        <x:f>M519*(1-0.40)-N519</x:f>
        <x:v>0.7666666666666666</x:v>
      </x:c>
      <x:c r="Q519" s="9" t="n">
        <x:f>'Physical_Arcs'!T39</x:f>
        <x:v>0.9722222222222222</x:v>
      </x:c>
      <x:c r="R519" s="9" t="n">
        <x:f>Q519*'Parameters'!$C$18</x:f>
        <x:v>0.19444444444444445</x:v>
      </x:c>
      <x:c r="S519" s="9" t="n">
        <x:f>R519*'Parameters'!$C$19</x:f>
        <x:v>0.24305555555555555</x:v>
      </x:c>
      <x:c r="T519" s="9" t="n">
        <x:f>Q519*(1-0.40)-R519</x:f>
        <x:v>0.38888888888888884</x:v>
      </x:c>
    </x:row>
    <x:row r="520" ht="21" customHeight="1">
      <x:c r="A520" s="3" t="n">
        <x:v>8</x:v>
      </x:c>
      <x:c r="B520" s="3" t="str">
        <x:v>01:20</x:v>
      </x:c>
      <x:c r="C520" s="3" t="n">
        <x:v>2</x:v>
      </x:c>
      <x:c r="D520" s="3" t="n">
        <x:v>39</x:v>
      </x:c>
      <x:c r="E520" s="3" t="n">
        <x:v>7</x:v>
      </x:c>
      <x:c r="F520" s="3" t="n">
        <x:v>8</x:v>
      </x:c>
      <x:c r="G520" s="9" t="n">
        <x:v>0.14</x:v>
      </x:c>
      <x:c r="H520" s="9" t="n">
        <x:v>1.003268</x:v>
      </x:c>
      <x:c r="I520" s="9" t="n">
        <x:f>'Physical_Arcs'!R40</x:f>
        <x:v>17.02777777777778</x:v>
      </x:c>
      <x:c r="J520" s="9" t="n">
        <x:f>I520*'Parameters'!$C$18</x:f>
        <x:v>3.405555555555556</x:v>
      </x:c>
      <x:c r="K520" s="9" t="n">
        <x:f>J520*'Parameters'!$C$19</x:f>
        <x:v>4.256944444444445</x:v>
      </x:c>
      <x:c r="L520" s="9" t="n">
        <x:f>I520*(1-0.40)-J520</x:f>
        <x:v>6.811111111111111</x:v>
      </x:c>
      <x:c r="M520" s="9" t="n">
        <x:f>'Physical_Arcs'!S40</x:f>
        <x:v>17.02777777777778</x:v>
      </x:c>
      <x:c r="N520" s="9" t="n">
        <x:f>M520*'Parameters'!$C$18</x:f>
        <x:v>3.405555555555556</x:v>
      </x:c>
      <x:c r="O520" s="9" t="n">
        <x:f>N520*'Parameters'!$C$19</x:f>
        <x:v>4.256944444444445</x:v>
      </x:c>
      <x:c r="P520" s="9" t="n">
        <x:f>M520*(1-0.40)-N520</x:f>
        <x:v>6.811111111111111</x:v>
      </x:c>
      <x:c r="Q520" s="9" t="n">
        <x:f>'Physical_Arcs'!T40</x:f>
        <x:v>17.02777777777778</x:v>
      </x:c>
      <x:c r="R520" s="9" t="n">
        <x:f>Q520*'Parameters'!$C$18</x:f>
        <x:v>3.405555555555556</x:v>
      </x:c>
      <x:c r="S520" s="9" t="n">
        <x:f>R520*'Parameters'!$C$19</x:f>
        <x:v>4.256944444444445</x:v>
      </x:c>
      <x:c r="T520" s="9" t="n">
        <x:f>Q520*(1-0.40)-R520</x:f>
        <x:v>6.811111111111111</x:v>
      </x:c>
    </x:row>
    <x:row r="521" ht="21" customHeight="1">
      <x:c r="A521" s="3" t="n">
        <x:v>8</x:v>
      </x:c>
      <x:c r="B521" s="3" t="str">
        <x:v>01:20</x:v>
      </x:c>
      <x:c r="C521" s="3" t="n">
        <x:v>2</x:v>
      </x:c>
      <x:c r="D521" s="3" t="n">
        <x:v>40</x:v>
      </x:c>
      <x:c r="E521" s="3" t="n">
        <x:v>7</x:v>
      </x:c>
      <x:c r="F521" s="3" t="n">
        <x:v>1</x:v>
      </x:c>
      <x:c r="G521" s="9" t="n">
        <x:v>0.14</x:v>
      </x:c>
      <x:c r="H521" s="9" t="n">
        <x:v>1.057592</x:v>
      </x:c>
      <x:c r="I521" s="9" t="n">
        <x:f>'Physical_Arcs'!R41</x:f>
        <x:v>7.972222222222222</x:v>
      </x:c>
      <x:c r="J521" s="9" t="n">
        <x:f>I521*'Parameters'!$C$18</x:f>
        <x:v>1.5944444444444446</x:v>
      </x:c>
      <x:c r="K521" s="9" t="n">
        <x:f>J521*'Parameters'!$C$19</x:f>
        <x:v>1.9930555555555558</x:v>
      </x:c>
      <x:c r="L521" s="9" t="n">
        <x:f>I521*(1-0.40)-J521</x:f>
        <x:v>3.1888888888888887</x:v>
      </x:c>
      <x:c r="M521" s="9" t="n">
        <x:f>'Physical_Arcs'!S41</x:f>
        <x:v>7.972222222222222</x:v>
      </x:c>
      <x:c r="N521" s="9" t="n">
        <x:f>M521*'Parameters'!$C$18</x:f>
        <x:v>1.5944444444444446</x:v>
      </x:c>
      <x:c r="O521" s="9" t="n">
        <x:f>N521*'Parameters'!$C$19</x:f>
        <x:v>1.9930555555555558</x:v>
      </x:c>
      <x:c r="P521" s="9" t="n">
        <x:f>M521*(1-0.40)-N521</x:f>
        <x:v>3.1888888888888887</x:v>
      </x:c>
      <x:c r="Q521" s="9" t="n">
        <x:f>'Physical_Arcs'!T41</x:f>
        <x:v>4</x:v>
      </x:c>
      <x:c r="R521" s="9" t="n">
        <x:f>Q521*'Parameters'!$C$18</x:f>
        <x:v>0.8</x:v>
      </x:c>
      <x:c r="S521" s="9" t="n">
        <x:f>R521*'Parameters'!$C$19</x:f>
        <x:v>1</x:v>
      </x:c>
      <x:c r="T521" s="9" t="n">
        <x:f>Q521*(1-0.40)-R521</x:f>
        <x:v>1.5999999999999999</x:v>
      </x:c>
    </x:row>
    <x:row r="522" ht="21" customHeight="1">
      <x:c r="A522" s="3" t="n">
        <x:v>8</x:v>
      </x:c>
      <x:c r="B522" s="3" t="str">
        <x:v>01:20</x:v>
      </x:c>
      <x:c r="C522" s="3" t="n">
        <x:v>2</x:v>
      </x:c>
      <x:c r="D522" s="3" t="n">
        <x:v>41</x:v>
      </x:c>
      <x:c r="E522" s="3" t="n">
        <x:v>7</x:v>
      </x:c>
      <x:c r="F522" s="3" t="n">
        <x:v>9</x:v>
      </x:c>
      <x:c r="G522" s="9" t="n">
        <x:v>0.14</x:v>
      </x:c>
      <x:c r="H522" s="9" t="n">
        <x:v>1.14801</x:v>
      </x:c>
      <x:c r="I522" s="9" t="n">
        <x:f>'Physical_Arcs'!R42</x:f>
        <x:v>8.88888888888889</x:v>
      </x:c>
      <x:c r="J522" s="9" t="n">
        <x:f>I522*'Parameters'!$C$18</x:f>
        <x:v>1.777777777777778</x:v>
      </x:c>
      <x:c r="K522" s="9" t="n">
        <x:f>J522*'Parameters'!$C$19</x:f>
        <x:v>2.2222222222222223</x:v>
      </x:c>
      <x:c r="L522" s="9" t="n">
        <x:f>I522*(1-0.40)-J522</x:f>
        <x:v>3.5555555555555554</x:v>
      </x:c>
      <x:c r="M522" s="9" t="n">
        <x:f>'Physical_Arcs'!S42</x:f>
        <x:v>8.88888888888889</x:v>
      </x:c>
      <x:c r="N522" s="9" t="n">
        <x:f>M522*'Parameters'!$C$18</x:f>
        <x:v>1.777777777777778</x:v>
      </x:c>
      <x:c r="O522" s="9" t="n">
        <x:f>N522*'Parameters'!$C$19</x:f>
        <x:v>2.2222222222222223</x:v>
      </x:c>
      <x:c r="P522" s="9" t="n">
        <x:f>M522*(1-0.40)-N522</x:f>
        <x:v>3.5555555555555554</x:v>
      </x:c>
      <x:c r="Q522" s="9" t="n">
        <x:f>'Physical_Arcs'!T42</x:f>
        <x:v>4.444444444444445</x:v>
      </x:c>
      <x:c r="R522" s="9" t="n">
        <x:f>Q522*'Parameters'!$C$18</x:f>
        <x:v>0.888888888888889</x:v>
      </x:c>
      <x:c r="S522" s="9" t="n">
        <x:f>R522*'Parameters'!$C$19</x:f>
        <x:v>1.1111111111111112</x:v>
      </x:c>
      <x:c r="T522" s="9" t="n">
        <x:f>Q522*(1-0.40)-R522</x:f>
        <x:v>1.7777777777777777</x:v>
      </x:c>
    </x:row>
    <x:row r="523" ht="21" customHeight="1">
      <x:c r="A523" s="3" t="n">
        <x:v>8</x:v>
      </x:c>
      <x:c r="B523" s="3" t="str">
        <x:v>01:20</x:v>
      </x:c>
      <x:c r="C523" s="3" t="n">
        <x:v>2</x:v>
      </x:c>
      <x:c r="D523" s="3" t="n">
        <x:v>42</x:v>
      </x:c>
      <x:c r="E523" s="3" t="n">
        <x:v>7</x:v>
      </x:c>
      <x:c r="F523" s="3" t="n">
        <x:v>2</x:v>
      </x:c>
      <x:c r="G523" s="9" t="n">
        <x:v>0.14</x:v>
      </x:c>
      <x:c r="H523" s="9" t="n">
        <x:v>0.989237</x:v>
      </x:c>
      <x:c r="I523" s="9" t="n">
        <x:f>'Physical_Arcs'!R43</x:f>
        <x:v>9</x:v>
      </x:c>
      <x:c r="J523" s="9" t="n">
        <x:f>I523*'Parameters'!$C$18</x:f>
        <x:v>1.8</x:v>
      </x:c>
      <x:c r="K523" s="9" t="n">
        <x:f>J523*'Parameters'!$C$19</x:f>
        <x:v>2.25</x:v>
      </x:c>
      <x:c r="L523" s="9" t="n">
        <x:f>I523*(1-0.40)-J523</x:f>
        <x:v>3.5999999999999996</x:v>
      </x:c>
      <x:c r="M523" s="9" t="n">
        <x:f>'Physical_Arcs'!S43</x:f>
        <x:v>9</x:v>
      </x:c>
      <x:c r="N523" s="9" t="n">
        <x:f>M523*'Parameters'!$C$18</x:f>
        <x:v>1.8</x:v>
      </x:c>
      <x:c r="O523" s="9" t="n">
        <x:f>N523*'Parameters'!$C$19</x:f>
        <x:v>2.25</x:v>
      </x:c>
      <x:c r="P523" s="9" t="n">
        <x:f>M523*(1-0.40)-N523</x:f>
        <x:v>3.5999999999999996</x:v>
      </x:c>
      <x:c r="Q523" s="9" t="n">
        <x:f>'Physical_Arcs'!T43</x:f>
        <x:v>4.5</x:v>
      </x:c>
      <x:c r="R523" s="9" t="n">
        <x:f>Q523*'Parameters'!$C$18</x:f>
        <x:v>0.9</x:v>
      </x:c>
      <x:c r="S523" s="9" t="n">
        <x:f>R523*'Parameters'!$C$19</x:f>
        <x:v>1.125</x:v>
      </x:c>
      <x:c r="T523" s="9" t="n">
        <x:f>Q523*(1-0.40)-R523</x:f>
        <x:v>1.7999999999999998</x:v>
      </x:c>
    </x:row>
    <x:row r="524" ht="21" customHeight="1">
      <x:c r="A524" s="3" t="n">
        <x:v>8</x:v>
      </x:c>
      <x:c r="B524" s="3" t="str">
        <x:v>01:20</x:v>
      </x:c>
      <x:c r="C524" s="3" t="n">
        <x:v>2</x:v>
      </x:c>
      <x:c r="D524" s="3" t="n">
        <x:v>43</x:v>
      </x:c>
      <x:c r="E524" s="3" t="n">
        <x:v>7</x:v>
      </x:c>
      <x:c r="F524" s="3" t="n">
        <x:v>3</x:v>
      </x:c>
      <x:c r="G524" s="9" t="n">
        <x:v>0.14</x:v>
      </x:c>
      <x:c r="H524" s="9" t="n">
        <x:v>1.050432</x:v>
      </x:c>
      <x:c r="I524" s="9" t="n">
        <x:f>'Physical_Arcs'!R44</x:f>
        <x:v>7.638888888888889</x:v>
      </x:c>
      <x:c r="J524" s="9" t="n">
        <x:f>I524*'Parameters'!$C$18</x:f>
        <x:v>1.527777777777778</x:v>
      </x:c>
      <x:c r="K524" s="9" t="n">
        <x:f>J524*'Parameters'!$C$19</x:f>
        <x:v>1.9097222222222223</x:v>
      </x:c>
      <x:c r="L524" s="9" t="n">
        <x:f>I524*(1-0.40)-J524</x:f>
        <x:v>3.0555555555555554</x:v>
      </x:c>
      <x:c r="M524" s="9" t="n">
        <x:f>'Physical_Arcs'!S44</x:f>
        <x:v>7.638888888888889</x:v>
      </x:c>
      <x:c r="N524" s="9" t="n">
        <x:f>M524*'Parameters'!$C$18</x:f>
        <x:v>1.527777777777778</x:v>
      </x:c>
      <x:c r="O524" s="9" t="n">
        <x:f>N524*'Parameters'!$C$19</x:f>
        <x:v>1.9097222222222223</x:v>
      </x:c>
      <x:c r="P524" s="9" t="n">
        <x:f>M524*(1-0.40)-N524</x:f>
        <x:v>3.0555555555555554</x:v>
      </x:c>
      <x:c r="Q524" s="9" t="n">
        <x:f>'Physical_Arcs'!T44</x:f>
        <x:v>3.8333333333333335</x:v>
      </x:c>
      <x:c r="R524" s="9" t="n">
        <x:f>Q524*'Parameters'!$C$18</x:f>
        <x:v>0.7666666666666667</x:v>
      </x:c>
      <x:c r="S524" s="9" t="n">
        <x:f>R524*'Parameters'!$C$19</x:f>
        <x:v>0.9583333333333334</x:v>
      </x:c>
      <x:c r="T524" s="9" t="n">
        <x:f>Q524*(1-0.40)-R524</x:f>
        <x:v>1.5333333333333332</x:v>
      </x:c>
    </x:row>
    <x:row r="525" ht="21" customHeight="1">
      <x:c r="A525" s="3" t="n">
        <x:v>8</x:v>
      </x:c>
      <x:c r="B525" s="3" t="str">
        <x:v>01:20</x:v>
      </x:c>
      <x:c r="C525" s="3" t="n">
        <x:v>2</x:v>
      </x:c>
      <x:c r="D525" s="3" t="n">
        <x:v>44</x:v>
      </x:c>
      <x:c r="E525" s="3" t="n">
        <x:v>8</x:v>
      </x:c>
      <x:c r="F525" s="3" t="n">
        <x:v>9</x:v>
      </x:c>
      <x:c r="G525" s="9" t="n">
        <x:v>0.14</x:v>
      </x:c>
      <x:c r="H525" s="9" t="n">
        <x:v>0.868101</x:v>
      </x:c>
      <x:c r="I525" s="9" t="n">
        <x:f>'Physical_Arcs'!R45</x:f>
        <x:v>17.02777777777778</x:v>
      </x:c>
      <x:c r="J525" s="9" t="n">
        <x:f>I525*'Parameters'!$C$18</x:f>
        <x:v>3.405555555555556</x:v>
      </x:c>
      <x:c r="K525" s="9" t="n">
        <x:f>J525*'Parameters'!$C$19</x:f>
        <x:v>4.256944444444445</x:v>
      </x:c>
      <x:c r="L525" s="9" t="n">
        <x:f>I525*(1-0.40)-J525</x:f>
        <x:v>6.811111111111111</x:v>
      </x:c>
      <x:c r="M525" s="9" t="n">
        <x:f>'Physical_Arcs'!S45</x:f>
        <x:v>17.02777777777778</x:v>
      </x:c>
      <x:c r="N525" s="9" t="n">
        <x:f>M525*'Parameters'!$C$18</x:f>
        <x:v>3.405555555555556</x:v>
      </x:c>
      <x:c r="O525" s="9" t="n">
        <x:f>N525*'Parameters'!$C$19</x:f>
        <x:v>4.256944444444445</x:v>
      </x:c>
      <x:c r="P525" s="9" t="n">
        <x:f>M525*(1-0.40)-N525</x:f>
        <x:v>6.811111111111111</x:v>
      </x:c>
      <x:c r="Q525" s="9" t="n">
        <x:f>'Physical_Arcs'!T45</x:f>
        <x:v>17.02777777777778</x:v>
      </x:c>
      <x:c r="R525" s="9" t="n">
        <x:f>Q525*'Parameters'!$C$18</x:f>
        <x:v>3.405555555555556</x:v>
      </x:c>
      <x:c r="S525" s="9" t="n">
        <x:f>R525*'Parameters'!$C$19</x:f>
        <x:v>4.256944444444445</x:v>
      </x:c>
      <x:c r="T525" s="9" t="n">
        <x:f>Q525*(1-0.40)-R525</x:f>
        <x:v>6.811111111111111</x:v>
      </x:c>
    </x:row>
    <x:row r="526" ht="21" customHeight="1">
      <x:c r="A526" s="3" t="n">
        <x:v>8</x:v>
      </x:c>
      <x:c r="B526" s="3" t="str">
        <x:v>01:20</x:v>
      </x:c>
      <x:c r="C526" s="3" t="n">
        <x:v>2</x:v>
      </x:c>
      <x:c r="D526" s="3" t="n">
        <x:v>45</x:v>
      </x:c>
      <x:c r="E526" s="3" t="n">
        <x:v>8</x:v>
      </x:c>
      <x:c r="F526" s="3" t="n">
        <x:v>3</x:v>
      </x:c>
      <x:c r="G526" s="9" t="n">
        <x:v>0.14</x:v>
      </x:c>
      <x:c r="H526" s="9" t="n">
        <x:v>0.944958</x:v>
      </x:c>
      <x:c r="I526" s="9" t="n">
        <x:f>'Physical_Arcs'!R46</x:f>
        <x:v>5.388888888888889</x:v>
      </x:c>
      <x:c r="J526" s="9" t="n">
        <x:f>I526*'Parameters'!$C$18</x:f>
        <x:v>1.077777777777778</x:v>
      </x:c>
      <x:c r="K526" s="9" t="n">
        <x:f>J526*'Parameters'!$C$19</x:f>
        <x:v>1.3472222222222223</x:v>
      </x:c>
      <x:c r="L526" s="9" t="n">
        <x:f>I526*(1-0.40)-J526</x:f>
        <x:v>2.1555555555555554</x:v>
      </x:c>
      <x:c r="M526" s="9" t="n">
        <x:f>'Physical_Arcs'!S46</x:f>
        <x:v>5.388888888888889</x:v>
      </x:c>
      <x:c r="N526" s="9" t="n">
        <x:f>M526*'Parameters'!$C$18</x:f>
        <x:v>1.077777777777778</x:v>
      </x:c>
      <x:c r="O526" s="9" t="n">
        <x:f>N526*'Parameters'!$C$19</x:f>
        <x:v>1.3472222222222223</x:v>
      </x:c>
      <x:c r="P526" s="9" t="n">
        <x:f>M526*(1-0.40)-N526</x:f>
        <x:v>2.1555555555555554</x:v>
      </x:c>
      <x:c r="Q526" s="9" t="n">
        <x:f>'Physical_Arcs'!T46</x:f>
        <x:v>2.6944444444444446</x:v>
      </x:c>
      <x:c r="R526" s="9" t="n">
        <x:f>Q526*'Parameters'!$C$18</x:f>
        <x:v>0.538888888888889</x:v>
      </x:c>
      <x:c r="S526" s="9" t="n">
        <x:f>R526*'Parameters'!$C$19</x:f>
        <x:v>0.6736111111111112</x:v>
      </x:c>
      <x:c r="T526" s="9" t="n">
        <x:f>Q526*(1-0.40)-R526</x:f>
        <x:v>1.0777777777777777</x:v>
      </x:c>
    </x:row>
    <x:row r="527" ht="21" customHeight="1">
      <x:c r="A527" s="3" t="n">
        <x:v>8</x:v>
      </x:c>
      <x:c r="B527" s="3" t="str">
        <x:v>01:20</x:v>
      </x:c>
      <x:c r="C527" s="3" t="n">
        <x:v>2</x:v>
      </x:c>
      <x:c r="D527" s="3" t="n">
        <x:v>46</x:v>
      </x:c>
      <x:c r="E527" s="3" t="n">
        <x:v>8</x:v>
      </x:c>
      <x:c r="F527" s="3" t="n">
        <x:v>7</x:v>
      </x:c>
      <x:c r="G527" s="9" t="n">
        <x:v>0.14</x:v>
      </x:c>
      <x:c r="H527" s="9" t="n">
        <x:v>0.866232</x:v>
      </x:c>
      <x:c r="I527" s="9" t="n">
        <x:f>'Physical_Arcs'!R47</x:f>
        <x:v>5.388888888888889</x:v>
      </x:c>
      <x:c r="J527" s="9" t="n">
        <x:f>I527*'Parameters'!$C$18</x:f>
        <x:v>1.077777777777778</x:v>
      </x:c>
      <x:c r="K527" s="9" t="n">
        <x:f>J527*'Parameters'!$C$19</x:f>
        <x:v>1.3472222222222223</x:v>
      </x:c>
      <x:c r="L527" s="9" t="n">
        <x:f>I527*(1-0.40)-J527</x:f>
        <x:v>2.1555555555555554</x:v>
      </x:c>
      <x:c r="M527" s="9" t="n">
        <x:f>'Physical_Arcs'!S47</x:f>
        <x:v>5.388888888888889</x:v>
      </x:c>
      <x:c r="N527" s="9" t="n">
        <x:f>M527*'Parameters'!$C$18</x:f>
        <x:v>1.077777777777778</x:v>
      </x:c>
      <x:c r="O527" s="9" t="n">
        <x:f>N527*'Parameters'!$C$19</x:f>
        <x:v>1.3472222222222223</x:v>
      </x:c>
      <x:c r="P527" s="9" t="n">
        <x:f>M527*(1-0.40)-N527</x:f>
        <x:v>2.1555555555555554</x:v>
      </x:c>
      <x:c r="Q527" s="9" t="n">
        <x:f>'Physical_Arcs'!T47</x:f>
        <x:v>2.6944444444444446</x:v>
      </x:c>
      <x:c r="R527" s="9" t="n">
        <x:f>Q527*'Parameters'!$C$18</x:f>
        <x:v>0.538888888888889</x:v>
      </x:c>
      <x:c r="S527" s="9" t="n">
        <x:f>R527*'Parameters'!$C$19</x:f>
        <x:v>0.6736111111111112</x:v>
      </x:c>
      <x:c r="T527" s="9" t="n">
        <x:f>Q527*(1-0.40)-R527</x:f>
        <x:v>1.0777777777777777</x:v>
      </x:c>
    </x:row>
    <x:row r="528" ht="21" customHeight="1">
      <x:c r="A528" s="3" t="n">
        <x:v>8</x:v>
      </x:c>
      <x:c r="B528" s="3" t="str">
        <x:v>01:20</x:v>
      </x:c>
      <x:c r="C528" s="3" t="n">
        <x:v>2</x:v>
      </x:c>
      <x:c r="D528" s="3" t="n">
        <x:v>47</x:v>
      </x:c>
      <x:c r="E528" s="3" t="n">
        <x:v>8</x:v>
      </x:c>
      <x:c r="F528" s="3" t="n">
        <x:v>2</x:v>
      </x:c>
      <x:c r="G528" s="9" t="n">
        <x:v>0.14</x:v>
      </x:c>
      <x:c r="H528" s="9" t="n">
        <x:v>1.135644</x:v>
      </x:c>
      <x:c r="I528" s="9" t="n">
        <x:f>'Physical_Arcs'!R48</x:f>
        <x:v>8.083333333333334</x:v>
      </x:c>
      <x:c r="J528" s="9" t="n">
        <x:f>I528*'Parameters'!$C$18</x:f>
        <x:v>1.616666666666667</x:v>
      </x:c>
      <x:c r="K528" s="9" t="n">
        <x:f>J528*'Parameters'!$C$19</x:f>
        <x:v>2.0208333333333335</x:v>
      </x:c>
      <x:c r="L528" s="9" t="n">
        <x:f>I528*(1-0.40)-J528</x:f>
        <x:v>3.2333333333333334</x:v>
      </x:c>
      <x:c r="M528" s="9" t="n">
        <x:f>'Physical_Arcs'!S48</x:f>
        <x:v>8.083333333333334</x:v>
      </x:c>
      <x:c r="N528" s="9" t="n">
        <x:f>M528*'Parameters'!$C$18</x:f>
        <x:v>1.616666666666667</x:v>
      </x:c>
      <x:c r="O528" s="9" t="n">
        <x:f>N528*'Parameters'!$C$19</x:f>
        <x:v>2.0208333333333335</x:v>
      </x:c>
      <x:c r="P528" s="9" t="n">
        <x:f>M528*(1-0.40)-N528</x:f>
        <x:v>3.2333333333333334</x:v>
      </x:c>
      <x:c r="Q528" s="9" t="n">
        <x:f>'Physical_Arcs'!T48</x:f>
        <x:v>4.055555555555555</x:v>
      </x:c>
      <x:c r="R528" s="9" t="n">
        <x:f>Q528*'Parameters'!$C$18</x:f>
        <x:v>0.8111111111111111</x:v>
      </x:c>
      <x:c r="S528" s="9" t="n">
        <x:f>R528*'Parameters'!$C$19</x:f>
        <x:v>1.0138888888888888</x:v>
      </x:c>
      <x:c r="T528" s="9" t="n">
        <x:f>Q528*(1-0.40)-R528</x:f>
        <x:v>1.622222222222222</x:v>
      </x:c>
    </x:row>
    <x:row r="529" ht="21" customHeight="1">
      <x:c r="A529" s="3" t="n">
        <x:v>8</x:v>
      </x:c>
      <x:c r="B529" s="3" t="str">
        <x:v>01:20</x:v>
      </x:c>
      <x:c r="C529" s="3" t="n">
        <x:v>2</x:v>
      </x:c>
      <x:c r="D529" s="3" t="n">
        <x:v>48</x:v>
      </x:c>
      <x:c r="E529" s="3" t="n">
        <x:v>8</x:v>
      </x:c>
      <x:c r="F529" s="3" t="n">
        <x:v>6</x:v>
      </x:c>
      <x:c r="G529" s="9" t="n">
        <x:v>0.14</x:v>
      </x:c>
      <x:c r="H529" s="9" t="n">
        <x:v>0.850778</x:v>
      </x:c>
      <x:c r="I529" s="9" t="n">
        <x:f>'Physical_Arcs'!R49</x:f>
        <x:v>10.555555555555555</x:v>
      </x:c>
      <x:c r="J529" s="9" t="n">
        <x:f>I529*'Parameters'!$C$18</x:f>
        <x:v>2.111111111111111</x:v>
      </x:c>
      <x:c r="K529" s="9" t="n">
        <x:f>J529*'Parameters'!$C$19</x:f>
        <x:v>2.638888888888889</x:v>
      </x:c>
      <x:c r="L529" s="9" t="n">
        <x:f>I529*(1-0.40)-J529</x:f>
        <x:v>4.222222222222221</x:v>
      </x:c>
      <x:c r="M529" s="9" t="n">
        <x:f>'Physical_Arcs'!S49</x:f>
        <x:v>10.555555555555555</x:v>
      </x:c>
      <x:c r="N529" s="9" t="n">
        <x:f>M529*'Parameters'!$C$18</x:f>
        <x:v>2.111111111111111</x:v>
      </x:c>
      <x:c r="O529" s="9" t="n">
        <x:f>N529*'Parameters'!$C$19</x:f>
        <x:v>2.638888888888889</x:v>
      </x:c>
      <x:c r="P529" s="9" t="n">
        <x:f>M529*(1-0.40)-N529</x:f>
        <x:v>4.222222222222221</x:v>
      </x:c>
      <x:c r="Q529" s="9" t="n">
        <x:f>'Physical_Arcs'!T49</x:f>
        <x:v>5.277777777777778</x:v>
      </x:c>
      <x:c r="R529" s="9" t="n">
        <x:f>Q529*'Parameters'!$C$18</x:f>
        <x:v>1.0555555555555556</x:v>
      </x:c>
      <x:c r="S529" s="9" t="n">
        <x:f>R529*'Parameters'!$C$19</x:f>
        <x:v>1.3194444444444444</x:v>
      </x:c>
      <x:c r="T529" s="9" t="n">
        <x:f>Q529*(1-0.40)-R529</x:f>
        <x:v>2.1111111111111107</x:v>
      </x:c>
    </x:row>
    <x:row r="530" ht="21" customHeight="1">
      <x:c r="A530" s="3" t="n">
        <x:v>8</x:v>
      </x:c>
      <x:c r="B530" s="3" t="str">
        <x:v>01:20</x:v>
      </x:c>
      <x:c r="C530" s="3" t="n">
        <x:v>2</x:v>
      </x:c>
      <x:c r="D530" s="3" t="n">
        <x:v>49</x:v>
      </x:c>
      <x:c r="E530" s="3" t="n">
        <x:v>8</x:v>
      </x:c>
      <x:c r="F530" s="3" t="n">
        <x:v>4</x:v>
      </x:c>
      <x:c r="G530" s="9" t="n">
        <x:v>0.14</x:v>
      </x:c>
      <x:c r="H530" s="9" t="n">
        <x:v>0.904949</x:v>
      </x:c>
      <x:c r="I530" s="9" t="n">
        <x:f>'Physical_Arcs'!R50</x:f>
        <x:v>1.5833333333333333</x:v>
      </x:c>
      <x:c r="J530" s="9" t="n">
        <x:f>I530*'Parameters'!$C$18</x:f>
        <x:v>0.31666666666666665</x:v>
      </x:c>
      <x:c r="K530" s="9" t="n">
        <x:f>J530*'Parameters'!$C$19</x:f>
        <x:v>0.3958333333333333</x:v>
      </x:c>
      <x:c r="L530" s="9" t="n">
        <x:f>I530*(1-0.40)-J530</x:f>
        <x:v>0.6333333333333333</x:v>
      </x:c>
      <x:c r="M530" s="9" t="n">
        <x:f>'Physical_Arcs'!S50</x:f>
        <x:v>1.5833333333333333</x:v>
      </x:c>
      <x:c r="N530" s="9" t="n">
        <x:f>M530*'Parameters'!$C$18</x:f>
        <x:v>0.31666666666666665</x:v>
      </x:c>
      <x:c r="O530" s="9" t="n">
        <x:f>N530*'Parameters'!$C$19</x:f>
        <x:v>0.3958333333333333</x:v>
      </x:c>
      <x:c r="P530" s="9" t="n">
        <x:f>M530*(1-0.40)-N530</x:f>
        <x:v>0.6333333333333333</x:v>
      </x:c>
      <x:c r="Q530" s="9" t="n">
        <x:f>'Physical_Arcs'!T50</x:f>
        <x:v>0.8055555555555556</x:v>
      </x:c>
      <x:c r="R530" s="9" t="n">
        <x:f>Q530*'Parameters'!$C$18</x:f>
        <x:v>0.16111111111111112</x:v>
      </x:c>
      <x:c r="S530" s="9" t="n">
        <x:f>R530*'Parameters'!$C$19</x:f>
        <x:v>0.2013888888888889</x:v>
      </x:c>
      <x:c r="T530" s="9" t="n">
        <x:f>Q530*(1-0.40)-R530</x:f>
        <x:v>0.3222222222222222</x:v>
      </x:c>
    </x:row>
    <x:row r="531" ht="21" customHeight="1">
      <x:c r="A531" s="3" t="n">
        <x:v>8</x:v>
      </x:c>
      <x:c r="B531" s="3" t="str">
        <x:v>01:20</x:v>
      </x:c>
      <x:c r="C531" s="3" t="n">
        <x:v>2</x:v>
      </x:c>
      <x:c r="D531" s="3" t="n">
        <x:v>50</x:v>
      </x:c>
      <x:c r="E531" s="3" t="n">
        <x:v>8</x:v>
      </x:c>
      <x:c r="F531" s="3" t="n">
        <x:v>5</x:v>
      </x:c>
      <x:c r="G531" s="9" t="n">
        <x:v>0.14</x:v>
      </x:c>
      <x:c r="H531" s="9" t="n">
        <x:v>0.990416</x:v>
      </x:c>
      <x:c r="I531" s="9" t="n">
        <x:f>'Physical_Arcs'!R51</x:f>
        <x:v>10.777777777777779</x:v>
      </x:c>
      <x:c r="J531" s="9" t="n">
        <x:f>I531*'Parameters'!$C$18</x:f>
        <x:v>2.155555555555556</x:v>
      </x:c>
      <x:c r="K531" s="9" t="n">
        <x:f>J531*'Parameters'!$C$19</x:f>
        <x:v>2.6944444444444446</x:v>
      </x:c>
      <x:c r="L531" s="9" t="n">
        <x:f>I531*(1-0.40)-J531</x:f>
        <x:v>4.311111111111111</x:v>
      </x:c>
      <x:c r="M531" s="9" t="n">
        <x:f>'Physical_Arcs'!S51</x:f>
        <x:v>10.777777777777779</x:v>
      </x:c>
      <x:c r="N531" s="9" t="n">
        <x:f>M531*'Parameters'!$C$18</x:f>
        <x:v>2.155555555555556</x:v>
      </x:c>
      <x:c r="O531" s="9" t="n">
        <x:f>N531*'Parameters'!$C$19</x:f>
        <x:v>2.6944444444444446</x:v>
      </x:c>
      <x:c r="P531" s="9" t="n">
        <x:f>M531*(1-0.40)-N531</x:f>
        <x:v>4.311111111111111</x:v>
      </x:c>
      <x:c r="Q531" s="9" t="n">
        <x:f>'Physical_Arcs'!T51</x:f>
        <x:v>5.388888888888889</x:v>
      </x:c>
      <x:c r="R531" s="9" t="n">
        <x:f>Q531*'Parameters'!$C$18</x:f>
        <x:v>1.077777777777778</x:v>
      </x:c>
      <x:c r="S531" s="9" t="n">
        <x:f>R531*'Parameters'!$C$19</x:f>
        <x:v>1.3472222222222223</x:v>
      </x:c>
      <x:c r="T531" s="9" t="n">
        <x:f>Q531*(1-0.40)-R531</x:f>
        <x:v>2.1555555555555554</x:v>
      </x:c>
    </x:row>
    <x:row r="532" ht="21" customHeight="1">
      <x:c r="A532" s="3" t="n">
        <x:v>8</x:v>
      </x:c>
      <x:c r="B532" s="3" t="str">
        <x:v>01:20</x:v>
      </x:c>
      <x:c r="C532" s="3" t="n">
        <x:v>2</x:v>
      </x:c>
      <x:c r="D532" s="3" t="n">
        <x:v>51</x:v>
      </x:c>
      <x:c r="E532" s="3" t="n">
        <x:v>8</x:v>
      </x:c>
      <x:c r="F532" s="3" t="n">
        <x:v>1</x:v>
      </x:c>
      <x:c r="G532" s="9" t="n">
        <x:v>0.14</x:v>
      </x:c>
      <x:c r="H532" s="9" t="n">
        <x:v>1.039066</x:v>
      </x:c>
      <x:c r="I532" s="9" t="n">
        <x:f>'Physical_Arcs'!R52</x:f>
        <x:v>8.88888888888889</x:v>
      </x:c>
      <x:c r="J532" s="9" t="n">
        <x:f>I532*'Parameters'!$C$18</x:f>
        <x:v>1.777777777777778</x:v>
      </x:c>
      <x:c r="K532" s="9" t="n">
        <x:f>J532*'Parameters'!$C$19</x:f>
        <x:v>2.2222222222222223</x:v>
      </x:c>
      <x:c r="L532" s="9" t="n">
        <x:f>I532*(1-0.40)-J532</x:f>
        <x:v>3.5555555555555554</x:v>
      </x:c>
      <x:c r="M532" s="9" t="n">
        <x:f>'Physical_Arcs'!S52</x:f>
        <x:v>8.88888888888889</x:v>
      </x:c>
      <x:c r="N532" s="9" t="n">
        <x:f>M532*'Parameters'!$C$18</x:f>
        <x:v>1.777777777777778</x:v>
      </x:c>
      <x:c r="O532" s="9" t="n">
        <x:f>N532*'Parameters'!$C$19</x:f>
        <x:v>2.2222222222222223</x:v>
      </x:c>
      <x:c r="P532" s="9" t="n">
        <x:f>M532*(1-0.40)-N532</x:f>
        <x:v>3.5555555555555554</x:v>
      </x:c>
      <x:c r="Q532" s="9" t="n">
        <x:f>'Physical_Arcs'!T52</x:f>
        <x:v>4.444444444444445</x:v>
      </x:c>
      <x:c r="R532" s="9" t="n">
        <x:f>Q532*'Parameters'!$C$18</x:f>
        <x:v>0.888888888888889</x:v>
      </x:c>
      <x:c r="S532" s="9" t="n">
        <x:f>R532*'Parameters'!$C$19</x:f>
        <x:v>1.1111111111111112</x:v>
      </x:c>
      <x:c r="T532" s="9" t="n">
        <x:f>Q532*(1-0.40)-R532</x:f>
        <x:v>1.7777777777777777</x:v>
      </x:c>
    </x:row>
    <x:row r="533" ht="21" customHeight="1">
      <x:c r="A533" s="3" t="n">
        <x:v>8</x:v>
      </x:c>
      <x:c r="B533" s="3" t="str">
        <x:v>01:20</x:v>
      </x:c>
      <x:c r="C533" s="3" t="n">
        <x:v>2</x:v>
      </x:c>
      <x:c r="D533" s="3" t="n">
        <x:v>52</x:v>
      </x:c>
      <x:c r="E533" s="3" t="n">
        <x:v>9</x:v>
      </x:c>
      <x:c r="F533" s="3" t="n">
        <x:v>10</x:v>
      </x:c>
      <x:c r="G533" s="9" t="n">
        <x:v>0.14</x:v>
      </x:c>
      <x:c r="H533" s="9" t="n">
        <x:v>0.954096</x:v>
      </x:c>
      <x:c r="I533" s="9" t="n">
        <x:f>'Physical_Arcs'!R53</x:f>
        <x:v>17.02777777777778</x:v>
      </x:c>
      <x:c r="J533" s="9" t="n">
        <x:f>I533*'Parameters'!$C$18</x:f>
        <x:v>3.405555555555556</x:v>
      </x:c>
      <x:c r="K533" s="9" t="n">
        <x:f>J533*'Parameters'!$C$19</x:f>
        <x:v>4.256944444444445</x:v>
      </x:c>
      <x:c r="L533" s="9" t="n">
        <x:f>I533*(1-0.40)-J533</x:f>
        <x:v>6.811111111111111</x:v>
      </x:c>
      <x:c r="M533" s="9" t="n">
        <x:f>'Physical_Arcs'!S53</x:f>
        <x:v>17.02777777777778</x:v>
      </x:c>
      <x:c r="N533" s="9" t="n">
        <x:f>M533*'Parameters'!$C$18</x:f>
        <x:v>3.405555555555556</x:v>
      </x:c>
      <x:c r="O533" s="9" t="n">
        <x:f>N533*'Parameters'!$C$19</x:f>
        <x:v>4.256944444444445</x:v>
      </x:c>
      <x:c r="P533" s="9" t="n">
        <x:f>M533*(1-0.40)-N533</x:f>
        <x:v>6.811111111111111</x:v>
      </x:c>
      <x:c r="Q533" s="9" t="n">
        <x:f>'Physical_Arcs'!T53</x:f>
        <x:v>17.02777777777778</x:v>
      </x:c>
      <x:c r="R533" s="9" t="n">
        <x:f>Q533*'Parameters'!$C$18</x:f>
        <x:v>3.405555555555556</x:v>
      </x:c>
      <x:c r="S533" s="9" t="n">
        <x:f>R533*'Parameters'!$C$19</x:f>
        <x:v>4.256944444444445</x:v>
      </x:c>
      <x:c r="T533" s="9" t="n">
        <x:f>Q533*(1-0.40)-R533</x:f>
        <x:v>6.811111111111111</x:v>
      </x:c>
    </x:row>
    <x:row r="534" ht="21" customHeight="1">
      <x:c r="A534" s="3" t="n">
        <x:v>8</x:v>
      </x:c>
      <x:c r="B534" s="3" t="str">
        <x:v>01:20</x:v>
      </x:c>
      <x:c r="C534" s="3" t="n">
        <x:v>2</x:v>
      </x:c>
      <x:c r="D534" s="3" t="n">
        <x:v>53</x:v>
      </x:c>
      <x:c r="E534" s="3" t="n">
        <x:v>9</x:v>
      </x:c>
      <x:c r="F534" s="3" t="n">
        <x:v>6</x:v>
      </x:c>
      <x:c r="G534" s="9" t="n">
        <x:v>0.14</x:v>
      </x:c>
      <x:c r="H534" s="9" t="n">
        <x:v>1.125574</x:v>
      </x:c>
      <x:c r="I534" s="9" t="n">
        <x:f>'Physical_Arcs'!R54</x:f>
        <x:v>9.666666666666666</x:v>
      </x:c>
      <x:c r="J534" s="9" t="n">
        <x:f>I534*'Parameters'!$C$18</x:f>
        <x:v>1.9333333333333333</x:v>
      </x:c>
      <x:c r="K534" s="9" t="n">
        <x:f>J534*'Parameters'!$C$19</x:f>
        <x:v>2.4166666666666665</x:v>
      </x:c>
      <x:c r="L534" s="9" t="n">
        <x:f>I534*(1-0.40)-J534</x:f>
        <x:v>3.8666666666666663</x:v>
      </x:c>
      <x:c r="M534" s="9" t="n">
        <x:f>'Physical_Arcs'!S54</x:f>
        <x:v>9.666666666666666</x:v>
      </x:c>
      <x:c r="N534" s="9" t="n">
        <x:f>M534*'Parameters'!$C$18</x:f>
        <x:v>1.9333333333333333</x:v>
      </x:c>
      <x:c r="O534" s="9" t="n">
        <x:f>N534*'Parameters'!$C$19</x:f>
        <x:v>2.4166666666666665</x:v>
      </x:c>
      <x:c r="P534" s="9" t="n">
        <x:f>M534*(1-0.40)-N534</x:f>
        <x:v>3.8666666666666663</x:v>
      </x:c>
      <x:c r="Q534" s="9" t="n">
        <x:f>'Physical_Arcs'!T54</x:f>
        <x:v>4.833333333333333</x:v>
      </x:c>
      <x:c r="R534" s="9" t="n">
        <x:f>Q534*'Parameters'!$C$18</x:f>
        <x:v>0.9666666666666667</x:v>
      </x:c>
      <x:c r="S534" s="9" t="n">
        <x:f>R534*'Parameters'!$C$19</x:f>
        <x:v>1.2083333333333333</x:v>
      </x:c>
      <x:c r="T534" s="9" t="n">
        <x:f>Q534*(1-0.40)-R534</x:f>
        <x:v>1.9333333333333331</x:v>
      </x:c>
    </x:row>
    <x:row r="535" ht="21" customHeight="1">
      <x:c r="A535" s="3" t="n">
        <x:v>8</x:v>
      </x:c>
      <x:c r="B535" s="3" t="str">
        <x:v>01:20</x:v>
      </x:c>
      <x:c r="C535" s="3" t="n">
        <x:v>2</x:v>
      </x:c>
      <x:c r="D535" s="3" t="n">
        <x:v>54</x:v>
      </x:c>
      <x:c r="E535" s="3" t="n">
        <x:v>9</x:v>
      </x:c>
      <x:c r="F535" s="3" t="n">
        <x:v>2</x:v>
      </x:c>
      <x:c r="G535" s="9" t="n">
        <x:v>0.14</x:v>
      </x:c>
      <x:c r="H535" s="9" t="n">
        <x:v>0.854534</x:v>
      </x:c>
      <x:c r="I535" s="9" t="n">
        <x:f>'Physical_Arcs'!R55</x:f>
        <x:v>9.88888888888889</x:v>
      </x:c>
      <x:c r="J535" s="9" t="n">
        <x:f>I535*'Parameters'!$C$18</x:f>
        <x:v>1.9777777777777779</x:v>
      </x:c>
      <x:c r="K535" s="9" t="n">
        <x:f>J535*'Parameters'!$C$19</x:f>
        <x:v>2.4722222222222223</x:v>
      </x:c>
      <x:c r="L535" s="9" t="n">
        <x:f>I535*(1-0.40)-J535</x:f>
        <x:v>3.9555555555555557</x:v>
      </x:c>
      <x:c r="M535" s="9" t="n">
        <x:f>'Physical_Arcs'!S55</x:f>
        <x:v>9.88888888888889</x:v>
      </x:c>
      <x:c r="N535" s="9" t="n">
        <x:f>M535*'Parameters'!$C$18</x:f>
        <x:v>1.9777777777777779</x:v>
      </x:c>
      <x:c r="O535" s="9" t="n">
        <x:f>N535*'Parameters'!$C$19</x:f>
        <x:v>2.4722222222222223</x:v>
      </x:c>
      <x:c r="P535" s="9" t="n">
        <x:f>M535*(1-0.40)-N535</x:f>
        <x:v>3.9555555555555557</x:v>
      </x:c>
      <x:c r="Q535" s="9" t="n">
        <x:f>'Physical_Arcs'!T55</x:f>
        <x:v>4.944444444444445</x:v>
      </x:c>
      <x:c r="R535" s="9" t="n">
        <x:f>Q535*'Parameters'!$C$18</x:f>
        <x:v>0.9888888888888889</x:v>
      </x:c>
      <x:c r="S535" s="9" t="n">
        <x:f>R535*'Parameters'!$C$19</x:f>
        <x:v>1.2361111111111112</x:v>
      </x:c>
      <x:c r="T535" s="9" t="n">
        <x:f>Q535*(1-0.40)-R535</x:f>
        <x:v>1.9777777777777779</x:v>
      </x:c>
    </x:row>
    <x:row r="536" ht="21" customHeight="1">
      <x:c r="A536" s="3" t="n">
        <x:v>8</x:v>
      </x:c>
      <x:c r="B536" s="3" t="str">
        <x:v>01:20</x:v>
      </x:c>
      <x:c r="C536" s="3" t="n">
        <x:v>2</x:v>
      </x:c>
      <x:c r="D536" s="3" t="n">
        <x:v>55</x:v>
      </x:c>
      <x:c r="E536" s="3" t="n">
        <x:v>9</x:v>
      </x:c>
      <x:c r="F536" s="3" t="n">
        <x:v>7</x:v>
      </x:c>
      <x:c r="G536" s="9" t="n">
        <x:v>0.14</x:v>
      </x:c>
      <x:c r="H536" s="9" t="n">
        <x:v>0.900033</x:v>
      </x:c>
      <x:c r="I536" s="9" t="n">
        <x:f>'Physical_Arcs'!R56</x:f>
        <x:v>4.166666666666667</x:v>
      </x:c>
      <x:c r="J536" s="9" t="n">
        <x:f>I536*'Parameters'!$C$18</x:f>
        <x:v>0.8333333333333335</x:v>
      </x:c>
      <x:c r="K536" s="9" t="n">
        <x:f>J536*'Parameters'!$C$19</x:f>
        <x:v>1.041666666666667</x:v>
      </x:c>
      <x:c r="L536" s="9" t="n">
        <x:f>I536*(1-0.40)-J536</x:f>
        <x:v>1.6666666666666665</x:v>
      </x:c>
      <x:c r="M536" s="9" t="n">
        <x:f>'Physical_Arcs'!S56</x:f>
        <x:v>4.166666666666667</x:v>
      </x:c>
      <x:c r="N536" s="9" t="n">
        <x:f>M536*'Parameters'!$C$18</x:f>
        <x:v>0.8333333333333335</x:v>
      </x:c>
      <x:c r="O536" s="9" t="n">
        <x:f>N536*'Parameters'!$C$19</x:f>
        <x:v>1.041666666666667</x:v>
      </x:c>
      <x:c r="P536" s="9" t="n">
        <x:f>M536*(1-0.40)-N536</x:f>
        <x:v>1.6666666666666665</x:v>
      </x:c>
      <x:c r="Q536" s="9" t="n">
        <x:f>'Physical_Arcs'!T56</x:f>
        <x:v>2.0833333333333335</x:v>
      </x:c>
      <x:c r="R536" s="9" t="n">
        <x:f>Q536*'Parameters'!$C$18</x:f>
        <x:v>0.41666666666666674</x:v>
      </x:c>
      <x:c r="S536" s="9" t="n">
        <x:f>R536*'Parameters'!$C$19</x:f>
        <x:v>0.5208333333333335</x:v>
      </x:c>
      <x:c r="T536" s="9" t="n">
        <x:f>Q536*(1-0.40)-R536</x:f>
        <x:v>0.8333333333333333</x:v>
      </x:c>
    </x:row>
    <x:row r="537" ht="21" customHeight="1">
      <x:c r="A537" s="3" t="n">
        <x:v>8</x:v>
      </x:c>
      <x:c r="B537" s="3" t="str">
        <x:v>01:20</x:v>
      </x:c>
      <x:c r="C537" s="3" t="n">
        <x:v>2</x:v>
      </x:c>
      <x:c r="D537" s="3" t="n">
        <x:v>56</x:v>
      </x:c>
      <x:c r="E537" s="3" t="n">
        <x:v>9</x:v>
      </x:c>
      <x:c r="F537" s="3" t="n">
        <x:v>3</x:v>
      </x:c>
      <x:c r="G537" s="9" t="n">
        <x:v>0.14</x:v>
      </x:c>
      <x:c r="H537" s="9" t="n">
        <x:v>0.893428</x:v>
      </x:c>
      <x:c r="I537" s="9" t="n">
        <x:f>'Physical_Arcs'!R57</x:f>
        <x:v>3.7222222222222223</x:v>
      </x:c>
      <x:c r="J537" s="9" t="n">
        <x:f>I537*'Parameters'!$C$18</x:f>
        <x:v>0.7444444444444445</x:v>
      </x:c>
      <x:c r="K537" s="9" t="n">
        <x:f>J537*'Parameters'!$C$19</x:f>
        <x:v>0.9305555555555556</x:v>
      </x:c>
      <x:c r="L537" s="9" t="n">
        <x:f>I537*(1-0.40)-J537</x:f>
        <x:v>1.488888888888889</x:v>
      </x:c>
      <x:c r="M537" s="9" t="n">
        <x:f>'Physical_Arcs'!S57</x:f>
        <x:v>3.7222222222222223</x:v>
      </x:c>
      <x:c r="N537" s="9" t="n">
        <x:f>M537*'Parameters'!$C$18</x:f>
        <x:v>0.7444444444444445</x:v>
      </x:c>
      <x:c r="O537" s="9" t="n">
        <x:f>N537*'Parameters'!$C$19</x:f>
        <x:v>0.9305555555555556</x:v>
      </x:c>
      <x:c r="P537" s="9" t="n">
        <x:f>M537*(1-0.40)-N537</x:f>
        <x:v>1.488888888888889</x:v>
      </x:c>
      <x:c r="Q537" s="9" t="n">
        <x:f>'Physical_Arcs'!T57</x:f>
        <x:v>1.8611111111111112</x:v>
      </x:c>
      <x:c r="R537" s="9" t="n">
        <x:f>Q537*'Parameters'!$C$18</x:f>
        <x:v>0.37222222222222223</x:v>
      </x:c>
      <x:c r="S537" s="9" t="n">
        <x:f>R537*'Parameters'!$C$19</x:f>
        <x:v>0.4652777777777778</x:v>
      </x:c>
      <x:c r="T537" s="9" t="n">
        <x:f>Q537*(1-0.40)-R537</x:f>
        <x:v>0.7444444444444445</x:v>
      </x:c>
    </x:row>
    <x:row r="538" ht="21" customHeight="1">
      <x:c r="A538" s="3" t="n">
        <x:v>8</x:v>
      </x:c>
      <x:c r="B538" s="3" t="str">
        <x:v>01:20</x:v>
      </x:c>
      <x:c r="C538" s="3" t="n">
        <x:v>2</x:v>
      </x:c>
      <x:c r="D538" s="3" t="n">
        <x:v>57</x:v>
      </x:c>
      <x:c r="E538" s="3" t="n">
        <x:v>10</x:v>
      </x:c>
      <x:c r="F538" s="3" t="n">
        <x:v>1</x:v>
      </x:c>
      <x:c r="G538" s="9" t="n">
        <x:v>0.14</x:v>
      </x:c>
      <x:c r="H538" s="9" t="n">
        <x:v>1.027979</x:v>
      </x:c>
      <x:c r="I538" s="9" t="n">
        <x:f>'Physical_Arcs'!R58</x:f>
        <x:v>17.02777777777778</x:v>
      </x:c>
      <x:c r="J538" s="9" t="n">
        <x:f>I538*'Parameters'!$C$18</x:f>
        <x:v>3.405555555555556</x:v>
      </x:c>
      <x:c r="K538" s="9" t="n">
        <x:f>J538*'Parameters'!$C$19</x:f>
        <x:v>4.256944444444445</x:v>
      </x:c>
      <x:c r="L538" s="9" t="n">
        <x:f>I538*(1-0.40)-J538</x:f>
        <x:v>6.811111111111111</x:v>
      </x:c>
      <x:c r="M538" s="9" t="n">
        <x:f>'Physical_Arcs'!S58</x:f>
        <x:v>17.02777777777778</x:v>
      </x:c>
      <x:c r="N538" s="9" t="n">
        <x:f>M538*'Parameters'!$C$18</x:f>
        <x:v>3.405555555555556</x:v>
      </x:c>
      <x:c r="O538" s="9" t="n">
        <x:f>N538*'Parameters'!$C$19</x:f>
        <x:v>4.256944444444445</x:v>
      </x:c>
      <x:c r="P538" s="9" t="n">
        <x:f>M538*(1-0.40)-N538</x:f>
        <x:v>6.811111111111111</x:v>
      </x:c>
      <x:c r="Q538" s="9" t="n">
        <x:f>'Physical_Arcs'!T58</x:f>
        <x:v>17.02777777777778</x:v>
      </x:c>
      <x:c r="R538" s="9" t="n">
        <x:f>Q538*'Parameters'!$C$18</x:f>
        <x:v>3.405555555555556</x:v>
      </x:c>
      <x:c r="S538" s="9" t="n">
        <x:f>R538*'Parameters'!$C$19</x:f>
        <x:v>4.256944444444445</x:v>
      </x:c>
      <x:c r="T538" s="9" t="n">
        <x:f>Q538*(1-0.40)-R538</x:f>
        <x:v>6.811111111111111</x:v>
      </x:c>
    </x:row>
    <x:row r="539" ht="21" customHeight="1">
      <x:c r="A539" s="3" t="n">
        <x:v>8</x:v>
      </x:c>
      <x:c r="B539" s="3" t="str">
        <x:v>01:20</x:v>
      </x:c>
      <x:c r="C539" s="3" t="n">
        <x:v>2</x:v>
      </x:c>
      <x:c r="D539" s="3" t="n">
        <x:v>58</x:v>
      </x:c>
      <x:c r="E539" s="3" t="n">
        <x:v>10</x:v>
      </x:c>
      <x:c r="F539" s="3" t="n">
        <x:v>6</x:v>
      </x:c>
      <x:c r="G539" s="9" t="n">
        <x:v>0.14</x:v>
      </x:c>
      <x:c r="H539" s="9" t="n">
        <x:v>0.952676</x:v>
      </x:c>
      <x:c r="I539" s="9" t="n">
        <x:f>'Physical_Arcs'!R59</x:f>
        <x:v>6.305555555555555</x:v>
      </x:c>
      <x:c r="J539" s="9" t="n">
        <x:f>I539*'Parameters'!$C$18</x:f>
        <x:v>1.261111111111111</x:v>
      </x:c>
      <x:c r="K539" s="9" t="n">
        <x:f>J539*'Parameters'!$C$19</x:f>
        <x:v>1.5763888888888888</x:v>
      </x:c>
      <x:c r="L539" s="9" t="n">
        <x:f>I539*(1-0.40)-J539</x:f>
        <x:v>2.522222222222222</x:v>
      </x:c>
      <x:c r="M539" s="9" t="n">
        <x:f>'Physical_Arcs'!S59</x:f>
        <x:v>6.305555555555555</x:v>
      </x:c>
      <x:c r="N539" s="9" t="n">
        <x:f>M539*'Parameters'!$C$18</x:f>
        <x:v>1.261111111111111</x:v>
      </x:c>
      <x:c r="O539" s="9" t="n">
        <x:f>N539*'Parameters'!$C$19</x:f>
        <x:v>1.5763888888888888</x:v>
      </x:c>
      <x:c r="P539" s="9" t="n">
        <x:f>M539*(1-0.40)-N539</x:f>
        <x:v>2.522222222222222</x:v>
      </x:c>
      <x:c r="Q539" s="9" t="n">
        <x:f>'Physical_Arcs'!T59</x:f>
        <x:v>3.1666666666666665</x:v>
      </x:c>
      <x:c r="R539" s="9" t="n">
        <x:f>Q539*'Parameters'!$C$18</x:f>
        <x:v>0.6333333333333333</x:v>
      </x:c>
      <x:c r="S539" s="9" t="n">
        <x:f>R539*'Parameters'!$C$19</x:f>
        <x:v>0.7916666666666666</x:v>
      </x:c>
      <x:c r="T539" s="9" t="n">
        <x:f>Q539*(1-0.40)-R539</x:f>
        <x:v>1.2666666666666666</x:v>
      </x:c>
    </x:row>
    <x:row r="540" ht="21" customHeight="1">
      <x:c r="A540" s="3" t="n">
        <x:v>8</x:v>
      </x:c>
      <x:c r="B540" s="3" t="str">
        <x:v>01:20</x:v>
      </x:c>
      <x:c r="C540" s="3" t="n">
        <x:v>2</x:v>
      </x:c>
      <x:c r="D540" s="3" t="n">
        <x:v>59</x:v>
      </x:c>
      <x:c r="E540" s="3" t="n">
        <x:v>10</x:v>
      </x:c>
      <x:c r="F540" s="3" t="n">
        <x:v>4</x:v>
      </x:c>
      <x:c r="G540" s="9" t="n">
        <x:v>0.14</x:v>
      </x:c>
      <x:c r="H540" s="9" t="n">
        <x:v>1.114542</x:v>
      </x:c>
      <x:c r="I540" s="9" t="n">
        <x:f>'Physical_Arcs'!R60</x:f>
        <x:v>1.5833333333333333</x:v>
      </x:c>
      <x:c r="J540" s="9" t="n">
        <x:f>I540*'Parameters'!$C$18</x:f>
        <x:v>0.31666666666666665</x:v>
      </x:c>
      <x:c r="K540" s="9" t="n">
        <x:f>J540*'Parameters'!$C$19</x:f>
        <x:v>0.3958333333333333</x:v>
      </x:c>
      <x:c r="L540" s="9" t="n">
        <x:f>I540*(1-0.40)-J540</x:f>
        <x:v>0.6333333333333333</x:v>
      </x:c>
      <x:c r="M540" s="9" t="n">
        <x:f>'Physical_Arcs'!S60</x:f>
        <x:v>1.5833333333333333</x:v>
      </x:c>
      <x:c r="N540" s="9" t="n">
        <x:f>M540*'Parameters'!$C$18</x:f>
        <x:v>0.31666666666666665</x:v>
      </x:c>
      <x:c r="O540" s="9" t="n">
        <x:f>N540*'Parameters'!$C$19</x:f>
        <x:v>0.3958333333333333</x:v>
      </x:c>
      <x:c r="P540" s="9" t="n">
        <x:f>M540*(1-0.40)-N540</x:f>
        <x:v>0.6333333333333333</x:v>
      </x:c>
      <x:c r="Q540" s="9" t="n">
        <x:f>'Physical_Arcs'!T60</x:f>
        <x:v>0.8055555555555556</x:v>
      </x:c>
      <x:c r="R540" s="9" t="n">
        <x:f>Q540*'Parameters'!$C$18</x:f>
        <x:v>0.16111111111111112</x:v>
      </x:c>
      <x:c r="S540" s="9" t="n">
        <x:f>R540*'Parameters'!$C$19</x:f>
        <x:v>0.2013888888888889</x:v>
      </x:c>
      <x:c r="T540" s="9" t="n">
        <x:f>Q540*(1-0.40)-R540</x:f>
        <x:v>0.3222222222222222</x:v>
      </x:c>
    </x:row>
    <x:row r="541" ht="21" customHeight="1">
      <x:c r="A541" s="3" t="n">
        <x:v>8</x:v>
      </x:c>
      <x:c r="B541" s="3" t="str">
        <x:v>01:20</x:v>
      </x:c>
      <x:c r="C541" s="3" t="n">
        <x:v>2</x:v>
      </x:c>
      <x:c r="D541" s="3" t="n">
        <x:v>60</x:v>
      </x:c>
      <x:c r="E541" s="3" t="n">
        <x:v>10</x:v>
      </x:c>
      <x:c r="F541" s="3" t="n">
        <x:v>9</x:v>
      </x:c>
      <x:c r="G541" s="9" t="n">
        <x:v>0.14</x:v>
      </x:c>
      <x:c r="H541" s="9" t="n">
        <x:v>1.092245</x:v>
      </x:c>
      <x:c r="I541" s="9" t="n">
        <x:f>'Physical_Arcs'!R61</x:f>
        <x:v>10.333333333333334</x:v>
      </x:c>
      <x:c r="J541" s="9" t="n">
        <x:f>I541*'Parameters'!$C$18</x:f>
        <x:v>2.066666666666667</x:v>
      </x:c>
      <x:c r="K541" s="9" t="n">
        <x:f>J541*'Parameters'!$C$19</x:f>
        <x:v>2.5833333333333335</x:v>
      </x:c>
      <x:c r="L541" s="9" t="n">
        <x:f>I541*(1-0.40)-J541</x:f>
        <x:v>4.133333333333333</x:v>
      </x:c>
      <x:c r="M541" s="9" t="n">
        <x:f>'Physical_Arcs'!S61</x:f>
        <x:v>10.333333333333334</x:v>
      </x:c>
      <x:c r="N541" s="9" t="n">
        <x:f>M541*'Parameters'!$C$18</x:f>
        <x:v>2.066666666666667</x:v>
      </x:c>
      <x:c r="O541" s="9" t="n">
        <x:f>N541*'Parameters'!$C$19</x:f>
        <x:v>2.5833333333333335</x:v>
      </x:c>
      <x:c r="P541" s="9" t="n">
        <x:f>M541*(1-0.40)-N541</x:f>
        <x:v>4.133333333333333</x:v>
      </x:c>
      <x:c r="Q541" s="9" t="n">
        <x:f>'Physical_Arcs'!T61</x:f>
        <x:v>5.166666666666667</x:v>
      </x:c>
      <x:c r="R541" s="9" t="n">
        <x:f>Q541*'Parameters'!$C$18</x:f>
        <x:v>1.0333333333333334</x:v>
      </x:c>
      <x:c r="S541" s="9" t="n">
        <x:f>R541*'Parameters'!$C$19</x:f>
        <x:v>1.2916666666666667</x:v>
      </x:c>
      <x:c r="T541" s="9" t="n">
        <x:f>Q541*(1-0.40)-R541</x:f>
        <x:v>2.0666666666666664</x:v>
      </x:c>
    </x:row>
    <x:row r="542" ht="21" customHeight="1">
      <x:c r="A542" s="3" t="n">
        <x:v>9</x:v>
      </x:c>
      <x:c r="B542" s="3" t="str">
        <x:v>01:30</x:v>
      </x:c>
      <x:c r="C542" s="3" t="n">
        <x:v>2</x:v>
      </x:c>
      <x:c r="D542" s="3" t="n">
        <x:v>1</x:v>
      </x:c>
      <x:c r="E542" s="3" t="n">
        <x:v>1</x:v>
      </x:c>
      <x:c r="F542" s="3" t="n">
        <x:v>2</x:v>
      </x:c>
      <x:c r="G542" s="9" t="n">
        <x:v>0.14</x:v>
      </x:c>
      <x:c r="H542" s="9" t="n">
        <x:v>0.914787</x:v>
      </x:c>
      <x:c r="I542" s="9" t="n">
        <x:f>'Physical_Arcs'!R2</x:f>
        <x:v>17.02777777777778</x:v>
      </x:c>
      <x:c r="J542" s="9" t="n">
        <x:f>I542*'Parameters'!$C$18</x:f>
        <x:v>3.405555555555556</x:v>
      </x:c>
      <x:c r="K542" s="9" t="n">
        <x:f>J542*'Parameters'!$C$19</x:f>
        <x:v>4.256944444444445</x:v>
      </x:c>
      <x:c r="L542" s="9" t="n">
        <x:f>I542*(1-0.40)-J542</x:f>
        <x:v>6.811111111111111</x:v>
      </x:c>
      <x:c r="M542" s="9" t="n">
        <x:f>'Physical_Arcs'!S2</x:f>
        <x:v>17.02777777777778</x:v>
      </x:c>
      <x:c r="N542" s="9" t="n">
        <x:f>M542*'Parameters'!$C$18</x:f>
        <x:v>3.405555555555556</x:v>
      </x:c>
      <x:c r="O542" s="9" t="n">
        <x:f>N542*'Parameters'!$C$19</x:f>
        <x:v>4.256944444444445</x:v>
      </x:c>
      <x:c r="P542" s="9" t="n">
        <x:f>M542*(1-0.40)-N542</x:f>
        <x:v>6.811111111111111</x:v>
      </x:c>
      <x:c r="Q542" s="9" t="n">
        <x:f>'Physical_Arcs'!T2</x:f>
        <x:v>17.02777777777778</x:v>
      </x:c>
      <x:c r="R542" s="9" t="n">
        <x:f>Q542*'Parameters'!$C$18</x:f>
        <x:v>3.405555555555556</x:v>
      </x:c>
      <x:c r="S542" s="9" t="n">
        <x:f>R542*'Parameters'!$C$19</x:f>
        <x:v>4.256944444444445</x:v>
      </x:c>
      <x:c r="T542" s="9" t="n">
        <x:f>Q542*(1-0.40)-R542</x:f>
        <x:v>6.811111111111111</x:v>
      </x:c>
    </x:row>
    <x:row r="543" ht="21" customHeight="1">
      <x:c r="A543" s="3" t="n">
        <x:v>9</x:v>
      </x:c>
      <x:c r="B543" s="3" t="str">
        <x:v>01:30</x:v>
      </x:c>
      <x:c r="C543" s="3" t="n">
        <x:v>2</x:v>
      </x:c>
      <x:c r="D543" s="3" t="n">
        <x:v>2</x:v>
      </x:c>
      <x:c r="E543" s="3" t="n">
        <x:v>1</x:v>
      </x:c>
      <x:c r="F543" s="3" t="n">
        <x:v>10</x:v>
      </x:c>
      <x:c r="G543" s="9" t="n">
        <x:v>0.14</x:v>
      </x:c>
      <x:c r="H543" s="9" t="n">
        <x:v>1.003995</x:v>
      </x:c>
      <x:c r="I543" s="9" t="n">
        <x:f>'Physical_Arcs'!R3</x:f>
        <x:v>3.2777777777777777</x:v>
      </x:c>
      <x:c r="J543" s="9" t="n">
        <x:f>I543*'Parameters'!$C$18</x:f>
        <x:v>0.6555555555555556</x:v>
      </x:c>
      <x:c r="K543" s="9" t="n">
        <x:f>J543*'Parameters'!$C$19</x:f>
        <x:v>0.8194444444444444</x:v>
      </x:c>
      <x:c r="L543" s="9" t="n">
        <x:f>I543*(1-0.40)-J543</x:f>
        <x:v>1.311111111111111</x:v>
      </x:c>
      <x:c r="M543" s="9" t="n">
        <x:f>'Physical_Arcs'!S3</x:f>
        <x:v>3.2777777777777777</x:v>
      </x:c>
      <x:c r="N543" s="9" t="n">
        <x:f>M543*'Parameters'!$C$18</x:f>
        <x:v>0.6555555555555556</x:v>
      </x:c>
      <x:c r="O543" s="9" t="n">
        <x:f>N543*'Parameters'!$C$19</x:f>
        <x:v>0.8194444444444444</x:v>
      </x:c>
      <x:c r="P543" s="9" t="n">
        <x:f>M543*(1-0.40)-N543</x:f>
        <x:v>1.311111111111111</x:v>
      </x:c>
      <x:c r="Q543" s="9" t="n">
        <x:f>'Physical_Arcs'!T3</x:f>
        <x:v>1.6388888888888888</x:v>
      </x:c>
      <x:c r="R543" s="9" t="n">
        <x:f>Q543*'Parameters'!$C$18</x:f>
        <x:v>0.3277777777777778</x:v>
      </x:c>
      <x:c r="S543" s="9" t="n">
        <x:f>R543*'Parameters'!$C$19</x:f>
        <x:v>0.4097222222222222</x:v>
      </x:c>
      <x:c r="T543" s="9" t="n">
        <x:f>Q543*(1-0.40)-R543</x:f>
        <x:v>0.6555555555555554</x:v>
      </x:c>
    </x:row>
    <x:row r="544" ht="21" customHeight="1">
      <x:c r="A544" s="3" t="n">
        <x:v>9</x:v>
      </x:c>
      <x:c r="B544" s="3" t="str">
        <x:v>01:30</x:v>
      </x:c>
      <x:c r="C544" s="3" t="n">
        <x:v>2</x:v>
      </x:c>
      <x:c r="D544" s="3" t="n">
        <x:v>3</x:v>
      </x:c>
      <x:c r="E544" s="3" t="n">
        <x:v>1</x:v>
      </x:c>
      <x:c r="F544" s="3" t="n">
        <x:v>8</x:v>
      </x:c>
      <x:c r="G544" s="9" t="n">
        <x:v>0.14</x:v>
      </x:c>
      <x:c r="H544" s="9" t="n">
        <x:v>0.923863</x:v>
      </x:c>
      <x:c r="I544" s="9" t="n">
        <x:f>'Physical_Arcs'!R4</x:f>
        <x:v>6.083333333333333</x:v>
      </x:c>
      <x:c r="J544" s="9" t="n">
        <x:f>I544*'Parameters'!$C$18</x:f>
        <x:v>1.2166666666666668</x:v>
      </x:c>
      <x:c r="K544" s="9" t="n">
        <x:f>J544*'Parameters'!$C$19</x:f>
        <x:v>1.5208333333333335</x:v>
      </x:c>
      <x:c r="L544" s="9" t="n">
        <x:f>I544*(1-0.40)-J544</x:f>
        <x:v>2.4333333333333327</x:v>
      </x:c>
      <x:c r="M544" s="9" t="n">
        <x:f>'Physical_Arcs'!S4</x:f>
        <x:v>6.083333333333333</x:v>
      </x:c>
      <x:c r="N544" s="9" t="n">
        <x:f>M544*'Parameters'!$C$18</x:f>
        <x:v>1.2166666666666668</x:v>
      </x:c>
      <x:c r="O544" s="9" t="n">
        <x:f>N544*'Parameters'!$C$19</x:f>
        <x:v>1.5208333333333335</x:v>
      </x:c>
      <x:c r="P544" s="9" t="n">
        <x:f>M544*(1-0.40)-N544</x:f>
        <x:v>2.4333333333333327</x:v>
      </x:c>
      <x:c r="Q544" s="9" t="n">
        <x:f>'Physical_Arcs'!T4</x:f>
        <x:v>3.0555555555555554</x:v>
      </x:c>
      <x:c r="R544" s="9" t="n">
        <x:f>Q544*'Parameters'!$C$18</x:f>
        <x:v>0.6111111111111112</x:v>
      </x:c>
      <x:c r="S544" s="9" t="n">
        <x:f>R544*'Parameters'!$C$19</x:f>
        <x:v>0.763888888888889</x:v>
      </x:c>
      <x:c r="T544" s="9" t="n">
        <x:f>Q544*(1-0.40)-R544</x:f>
        <x:v>1.2222222222222219</x:v>
      </x:c>
    </x:row>
    <x:row r="545" ht="21" customHeight="1">
      <x:c r="A545" s="3" t="n">
        <x:v>9</x:v>
      </x:c>
      <x:c r="B545" s="3" t="str">
        <x:v>01:30</x:v>
      </x:c>
      <x:c r="C545" s="3" t="n">
        <x:v>2</x:v>
      </x:c>
      <x:c r="D545" s="3" t="n">
        <x:v>4</x:v>
      </x:c>
      <x:c r="E545" s="3" t="n">
        <x:v>1</x:v>
      </x:c>
      <x:c r="F545" s="3" t="n">
        <x:v>7</x:v>
      </x:c>
      <x:c r="G545" s="9" t="n">
        <x:v>0.14</x:v>
      </x:c>
      <x:c r="H545" s="9" t="n">
        <x:v>1.111072</x:v>
      </x:c>
      <x:c r="I545" s="9" t="n">
        <x:f>'Physical_Arcs'!R5</x:f>
        <x:v>9</x:v>
      </x:c>
      <x:c r="J545" s="9" t="n">
        <x:f>I545*'Parameters'!$C$18</x:f>
        <x:v>1.8</x:v>
      </x:c>
      <x:c r="K545" s="9" t="n">
        <x:f>J545*'Parameters'!$C$19</x:f>
        <x:v>2.25</x:v>
      </x:c>
      <x:c r="L545" s="9" t="n">
        <x:f>I545*(1-0.40)-J545</x:f>
        <x:v>3.5999999999999996</x:v>
      </x:c>
      <x:c r="M545" s="9" t="n">
        <x:f>'Physical_Arcs'!S5</x:f>
        <x:v>9</x:v>
      </x:c>
      <x:c r="N545" s="9" t="n">
        <x:f>M545*'Parameters'!$C$18</x:f>
        <x:v>1.8</x:v>
      </x:c>
      <x:c r="O545" s="9" t="n">
        <x:f>N545*'Parameters'!$C$19</x:f>
        <x:v>2.25</x:v>
      </x:c>
      <x:c r="P545" s="9" t="n">
        <x:f>M545*(1-0.40)-N545</x:f>
        <x:v>3.5999999999999996</x:v>
      </x:c>
      <x:c r="Q545" s="9" t="n">
        <x:f>'Physical_Arcs'!T5</x:f>
        <x:v>4.5</x:v>
      </x:c>
      <x:c r="R545" s="9" t="n">
        <x:f>Q545*'Parameters'!$C$18</x:f>
        <x:v>0.9</x:v>
      </x:c>
      <x:c r="S545" s="9" t="n">
        <x:f>R545*'Parameters'!$C$19</x:f>
        <x:v>1.125</x:v>
      </x:c>
      <x:c r="T545" s="9" t="n">
        <x:f>Q545*(1-0.40)-R545</x:f>
        <x:v>1.7999999999999998</x:v>
      </x:c>
    </x:row>
    <x:row r="546" ht="21" customHeight="1">
      <x:c r="A546" s="3" t="n">
        <x:v>9</x:v>
      </x:c>
      <x:c r="B546" s="3" t="str">
        <x:v>01:30</x:v>
      </x:c>
      <x:c r="C546" s="3" t="n">
        <x:v>2</x:v>
      </x:c>
      <x:c r="D546" s="3" t="n">
        <x:v>5</x:v>
      </x:c>
      <x:c r="E546" s="3" t="n">
        <x:v>1</x:v>
      </x:c>
      <x:c r="F546" s="3" t="n">
        <x:v>4</x:v>
      </x:c>
      <x:c r="G546" s="9" t="n">
        <x:v>0.14</x:v>
      </x:c>
      <x:c r="H546" s="9" t="n">
        <x:v>1.001665</x:v>
      </x:c>
      <x:c r="I546" s="9" t="n">
        <x:f>'Physical_Arcs'!R6</x:f>
        <x:v>4.166666666666667</x:v>
      </x:c>
      <x:c r="J546" s="9" t="n">
        <x:f>I546*'Parameters'!$C$18</x:f>
        <x:v>0.8333333333333335</x:v>
      </x:c>
      <x:c r="K546" s="9" t="n">
        <x:f>J546*'Parameters'!$C$19</x:f>
        <x:v>1.041666666666667</x:v>
      </x:c>
      <x:c r="L546" s="9" t="n">
        <x:f>I546*(1-0.40)-J546</x:f>
        <x:v>1.6666666666666665</x:v>
      </x:c>
      <x:c r="M546" s="9" t="n">
        <x:f>'Physical_Arcs'!S6</x:f>
        <x:v>4.166666666666667</x:v>
      </x:c>
      <x:c r="N546" s="9" t="n">
        <x:f>M546*'Parameters'!$C$18</x:f>
        <x:v>0.8333333333333335</x:v>
      </x:c>
      <x:c r="O546" s="9" t="n">
        <x:f>N546*'Parameters'!$C$19</x:f>
        <x:v>1.041666666666667</x:v>
      </x:c>
      <x:c r="P546" s="9" t="n">
        <x:f>M546*(1-0.40)-N546</x:f>
        <x:v>1.6666666666666665</x:v>
      </x:c>
      <x:c r="Q546" s="9" t="n">
        <x:f>'Physical_Arcs'!T6</x:f>
        <x:v>2.0833333333333335</x:v>
      </x:c>
      <x:c r="R546" s="9" t="n">
        <x:f>Q546*'Parameters'!$C$18</x:f>
        <x:v>0.41666666666666674</x:v>
      </x:c>
      <x:c r="S546" s="9" t="n">
        <x:f>R546*'Parameters'!$C$19</x:f>
        <x:v>0.5208333333333335</x:v>
      </x:c>
      <x:c r="T546" s="9" t="n">
        <x:f>Q546*(1-0.40)-R546</x:f>
        <x:v>0.8333333333333333</x:v>
      </x:c>
    </x:row>
    <x:row r="547" ht="21" customHeight="1">
      <x:c r="A547" s="3" t="n">
        <x:v>9</x:v>
      </x:c>
      <x:c r="B547" s="3" t="str">
        <x:v>01:30</x:v>
      </x:c>
      <x:c r="C547" s="3" t="n">
        <x:v>2</x:v>
      </x:c>
      <x:c r="D547" s="3" t="n">
        <x:v>6</x:v>
      </x:c>
      <x:c r="E547" s="3" t="n">
        <x:v>1</x:v>
      </x:c>
      <x:c r="F547" s="3" t="n">
        <x:v>9</x:v>
      </x:c>
      <x:c r="G547" s="9" t="n">
        <x:v>0.14</x:v>
      </x:c>
      <x:c r="H547" s="9" t="n">
        <x:v>0.942884</x:v>
      </x:c>
      <x:c r="I547" s="9" t="n">
        <x:f>'Physical_Arcs'!R7</x:f>
        <x:v>11.027777777777779</x:v>
      </x:c>
      <x:c r="J547" s="9" t="n">
        <x:f>I547*'Parameters'!$C$18</x:f>
        <x:v>2.2055555555555557</x:v>
      </x:c>
      <x:c r="K547" s="9" t="n">
        <x:f>J547*'Parameters'!$C$19</x:f>
        <x:v>2.7569444444444446</x:v>
      </x:c>
      <x:c r="L547" s="9" t="n">
        <x:f>I547*(1-0.40)-J547</x:f>
        <x:v>4.411111111111111</x:v>
      </x:c>
      <x:c r="M547" s="9" t="n">
        <x:f>'Physical_Arcs'!S7</x:f>
        <x:v>11.027777777777779</x:v>
      </x:c>
      <x:c r="N547" s="9" t="n">
        <x:f>M547*'Parameters'!$C$18</x:f>
        <x:v>2.2055555555555557</x:v>
      </x:c>
      <x:c r="O547" s="9" t="n">
        <x:f>N547*'Parameters'!$C$19</x:f>
        <x:v>2.7569444444444446</x:v>
      </x:c>
      <x:c r="P547" s="9" t="n">
        <x:f>M547*(1-0.40)-N547</x:f>
        <x:v>4.411111111111111</x:v>
      </x:c>
      <x:c r="Q547" s="9" t="n">
        <x:f>'Physical_Arcs'!T7</x:f>
        <x:v>5.527777777777778</x:v>
      </x:c>
      <x:c r="R547" s="9" t="n">
        <x:f>Q547*'Parameters'!$C$18</x:f>
        <x:v>1.1055555555555556</x:v>
      </x:c>
      <x:c r="S547" s="9" t="n">
        <x:f>R547*'Parameters'!$C$19</x:f>
        <x:v>1.3819444444444446</x:v>
      </x:c>
      <x:c r="T547" s="9" t="n">
        <x:f>Q547*(1-0.40)-R547</x:f>
        <x:v>2.211111111111111</x:v>
      </x:c>
    </x:row>
    <x:row r="548" ht="21" customHeight="1">
      <x:c r="A548" s="3" t="n">
        <x:v>9</x:v>
      </x:c>
      <x:c r="B548" s="3" t="str">
        <x:v>01:30</x:v>
      </x:c>
      <x:c r="C548" s="3" t="n">
        <x:v>2</x:v>
      </x:c>
      <x:c r="D548" s="3" t="n">
        <x:v>7</x:v>
      </x:c>
      <x:c r="E548" s="3" t="n">
        <x:v>1</x:v>
      </x:c>
      <x:c r="F548" s="3" t="n">
        <x:v>5</x:v>
      </x:c>
      <x:c r="G548" s="9" t="n">
        <x:v>0.14</x:v>
      </x:c>
      <x:c r="H548" s="9" t="n">
        <x:v>1.038222</x:v>
      </x:c>
      <x:c r="I548" s="9" t="n">
        <x:f>'Physical_Arcs'!R8</x:f>
        <x:v>7.972222222222222</x:v>
      </x:c>
      <x:c r="J548" s="9" t="n">
        <x:f>I548*'Parameters'!$C$18</x:f>
        <x:v>1.5944444444444446</x:v>
      </x:c>
      <x:c r="K548" s="9" t="n">
        <x:f>J548*'Parameters'!$C$19</x:f>
        <x:v>1.9930555555555558</x:v>
      </x:c>
      <x:c r="L548" s="9" t="n">
        <x:f>I548*(1-0.40)-J548</x:f>
        <x:v>3.1888888888888887</x:v>
      </x:c>
      <x:c r="M548" s="9" t="n">
        <x:f>'Physical_Arcs'!S8</x:f>
        <x:v>7.972222222222222</x:v>
      </x:c>
      <x:c r="N548" s="9" t="n">
        <x:f>M548*'Parameters'!$C$18</x:f>
        <x:v>1.5944444444444446</x:v>
      </x:c>
      <x:c r="O548" s="9" t="n">
        <x:f>N548*'Parameters'!$C$19</x:f>
        <x:v>1.9930555555555558</x:v>
      </x:c>
      <x:c r="P548" s="9" t="n">
        <x:f>M548*(1-0.40)-N548</x:f>
        <x:v>3.1888888888888887</x:v>
      </x:c>
      <x:c r="Q548" s="9" t="n">
        <x:f>'Physical_Arcs'!T8</x:f>
        <x:v>4</x:v>
      </x:c>
      <x:c r="R548" s="9" t="n">
        <x:f>Q548*'Parameters'!$C$18</x:f>
        <x:v>0.8</x:v>
      </x:c>
      <x:c r="S548" s="9" t="n">
        <x:f>R548*'Parameters'!$C$19</x:f>
        <x:v>1</x:v>
      </x:c>
      <x:c r="T548" s="9" t="n">
        <x:f>Q548*(1-0.40)-R548</x:f>
        <x:v>1.5999999999999999</x:v>
      </x:c>
    </x:row>
    <x:row r="549" ht="21" customHeight="1">
      <x:c r="A549" s="3" t="n">
        <x:v>9</x:v>
      </x:c>
      <x:c r="B549" s="3" t="str">
        <x:v>01:30</x:v>
      </x:c>
      <x:c r="C549" s="3" t="n">
        <x:v>2</x:v>
      </x:c>
      <x:c r="D549" s="3" t="n">
        <x:v>8</x:v>
      </x:c>
      <x:c r="E549" s="3" t="n">
        <x:v>1</x:v>
      </x:c>
      <x:c r="F549" s="3" t="n">
        <x:v>3</x:v>
      </x:c>
      <x:c r="G549" s="9" t="n">
        <x:v>0.14</x:v>
      </x:c>
      <x:c r="H549" s="9" t="n">
        <x:v>1.122297</x:v>
      </x:c>
      <x:c r="I549" s="9" t="n">
        <x:f>'Physical_Arcs'!R9</x:f>
        <x:v>4.166666666666667</x:v>
      </x:c>
      <x:c r="J549" s="9" t="n">
        <x:f>I549*'Parameters'!$C$18</x:f>
        <x:v>0.8333333333333335</x:v>
      </x:c>
      <x:c r="K549" s="9" t="n">
        <x:f>J549*'Parameters'!$C$19</x:f>
        <x:v>1.041666666666667</x:v>
      </x:c>
      <x:c r="L549" s="9" t="n">
        <x:f>I549*(1-0.40)-J549</x:f>
        <x:v>1.6666666666666665</x:v>
      </x:c>
      <x:c r="M549" s="9" t="n">
        <x:f>'Physical_Arcs'!S9</x:f>
        <x:v>4.166666666666667</x:v>
      </x:c>
      <x:c r="N549" s="9" t="n">
        <x:f>M549*'Parameters'!$C$18</x:f>
        <x:v>0.8333333333333335</x:v>
      </x:c>
      <x:c r="O549" s="9" t="n">
        <x:f>N549*'Parameters'!$C$19</x:f>
        <x:v>1.041666666666667</x:v>
      </x:c>
      <x:c r="P549" s="9" t="n">
        <x:f>M549*(1-0.40)-N549</x:f>
        <x:v>1.6666666666666665</x:v>
      </x:c>
      <x:c r="Q549" s="9" t="n">
        <x:f>'Physical_Arcs'!T9</x:f>
        <x:v>2.0833333333333335</x:v>
      </x:c>
      <x:c r="R549" s="9" t="n">
        <x:f>Q549*'Parameters'!$C$18</x:f>
        <x:v>0.41666666666666674</x:v>
      </x:c>
      <x:c r="S549" s="9" t="n">
        <x:f>R549*'Parameters'!$C$19</x:f>
        <x:v>0.5208333333333335</x:v>
      </x:c>
      <x:c r="T549" s="9" t="n">
        <x:f>Q549*(1-0.40)-R549</x:f>
        <x:v>0.8333333333333333</x:v>
      </x:c>
    </x:row>
    <x:row r="550" ht="21" customHeight="1">
      <x:c r="A550" s="3" t="n">
        <x:v>9</x:v>
      </x:c>
      <x:c r="B550" s="3" t="str">
        <x:v>01:30</x:v>
      </x:c>
      <x:c r="C550" s="3" t="n">
        <x:v>2</x:v>
      </x:c>
      <x:c r="D550" s="3" t="n">
        <x:v>9</x:v>
      </x:c>
      <x:c r="E550" s="3" t="n">
        <x:v>1</x:v>
      </x:c>
      <x:c r="F550" s="3" t="n">
        <x:v>6</x:v>
      </x:c>
      <x:c r="G550" s="9" t="n">
        <x:v>0.14</x:v>
      </x:c>
      <x:c r="H550" s="9" t="n">
        <x:v>1.132682</x:v>
      </x:c>
      <x:c r="I550" s="9" t="n">
        <x:f>'Physical_Arcs'!R10</x:f>
        <x:v>2.138888888888889</x:v>
      </x:c>
      <x:c r="J550" s="9" t="n">
        <x:f>I550*'Parameters'!$C$18</x:f>
        <x:v>0.4277777777777778</x:v>
      </x:c>
      <x:c r="K550" s="9" t="n">
        <x:f>J550*'Parameters'!$C$19</x:f>
        <x:v>0.5347222222222223</x:v>
      </x:c>
      <x:c r="L550" s="9" t="n">
        <x:f>I550*(1-0.40)-J550</x:f>
        <x:v>0.8555555555555554</x:v>
      </x:c>
      <x:c r="M550" s="9" t="n">
        <x:f>'Physical_Arcs'!S10</x:f>
        <x:v>2.138888888888889</x:v>
      </x:c>
      <x:c r="N550" s="9" t="n">
        <x:f>M550*'Parameters'!$C$18</x:f>
        <x:v>0.4277777777777778</x:v>
      </x:c>
      <x:c r="O550" s="9" t="n">
        <x:f>N550*'Parameters'!$C$19</x:f>
        <x:v>0.5347222222222223</x:v>
      </x:c>
      <x:c r="P550" s="9" t="n">
        <x:f>M550*(1-0.40)-N550</x:f>
        <x:v>0.8555555555555554</x:v>
      </x:c>
      <x:c r="Q550" s="9" t="n">
        <x:f>'Physical_Arcs'!T10</x:f>
        <x:v>1.0833333333333333</x:v>
      </x:c>
      <x:c r="R550" s="9" t="n">
        <x:f>Q550*'Parameters'!$C$18</x:f>
        <x:v>0.21666666666666667</x:v>
      </x:c>
      <x:c r="S550" s="9" t="n">
        <x:f>R550*'Parameters'!$C$19</x:f>
        <x:v>0.27083333333333337</x:v>
      </x:c>
      <x:c r="T550" s="9" t="n">
        <x:f>Q550*(1-0.40)-R550</x:f>
        <x:v>0.43333333333333324</x:v>
      </x:c>
    </x:row>
    <x:row r="551" ht="21" customHeight="1">
      <x:c r="A551" s="3" t="n">
        <x:v>9</x:v>
      </x:c>
      <x:c r="B551" s="3" t="str">
        <x:v>01:30</x:v>
      </x:c>
      <x:c r="C551" s="3" t="n">
        <x:v>2</x:v>
      </x:c>
      <x:c r="D551" s="3" t="n">
        <x:v>10</x:v>
      </x:c>
      <x:c r="E551" s="3" t="n">
        <x:v>2</x:v>
      </x:c>
      <x:c r="F551" s="3" t="n">
        <x:v>3</x:v>
      </x:c>
      <x:c r="G551" s="9" t="n">
        <x:v>0.14</x:v>
      </x:c>
      <x:c r="H551" s="9" t="n">
        <x:v>0.871154</x:v>
      </x:c>
      <x:c r="I551" s="9" t="n">
        <x:f>'Physical_Arcs'!R11</x:f>
        <x:v>17.02777777777778</x:v>
      </x:c>
      <x:c r="J551" s="9" t="n">
        <x:f>I551*'Parameters'!$C$18</x:f>
        <x:v>3.405555555555556</x:v>
      </x:c>
      <x:c r="K551" s="9" t="n">
        <x:f>J551*'Parameters'!$C$19</x:f>
        <x:v>4.256944444444445</x:v>
      </x:c>
      <x:c r="L551" s="9" t="n">
        <x:f>I551*(1-0.40)-J551</x:f>
        <x:v>6.811111111111111</x:v>
      </x:c>
      <x:c r="M551" s="9" t="n">
        <x:f>'Physical_Arcs'!S11</x:f>
        <x:v>17.02777777777778</x:v>
      </x:c>
      <x:c r="N551" s="9" t="n">
        <x:f>M551*'Parameters'!$C$18</x:f>
        <x:v>3.405555555555556</x:v>
      </x:c>
      <x:c r="O551" s="9" t="n">
        <x:f>N551*'Parameters'!$C$19</x:f>
        <x:v>4.256944444444445</x:v>
      </x:c>
      <x:c r="P551" s="9" t="n">
        <x:f>M551*(1-0.40)-N551</x:f>
        <x:v>6.811111111111111</x:v>
      </x:c>
      <x:c r="Q551" s="9" t="n">
        <x:f>'Physical_Arcs'!T11</x:f>
        <x:v>17.02777777777778</x:v>
      </x:c>
      <x:c r="R551" s="9" t="n">
        <x:f>Q551*'Parameters'!$C$18</x:f>
        <x:v>3.405555555555556</x:v>
      </x:c>
      <x:c r="S551" s="9" t="n">
        <x:f>R551*'Parameters'!$C$19</x:f>
        <x:v>4.256944444444445</x:v>
      </x:c>
      <x:c r="T551" s="9" t="n">
        <x:f>Q551*(1-0.40)-R551</x:f>
        <x:v>6.811111111111111</x:v>
      </x:c>
    </x:row>
    <x:row r="552" ht="21" customHeight="1">
      <x:c r="A552" s="3" t="n">
        <x:v>9</x:v>
      </x:c>
      <x:c r="B552" s="3" t="str">
        <x:v>01:30</x:v>
      </x:c>
      <x:c r="C552" s="3" t="n">
        <x:v>2</x:v>
      </x:c>
      <x:c r="D552" s="3" t="n">
        <x:v>11</x:v>
      </x:c>
      <x:c r="E552" s="3" t="n">
        <x:v>2</x:v>
      </x:c>
      <x:c r="F552" s="3" t="n">
        <x:v>4</x:v>
      </x:c>
      <x:c r="G552" s="9" t="n">
        <x:v>0.14</x:v>
      </x:c>
      <x:c r="H552" s="9" t="n">
        <x:v>1.147412</x:v>
      </x:c>
      <x:c r="I552" s="9" t="n">
        <x:f>'Physical_Arcs'!R12</x:f>
        <x:v>7.972222222222222</x:v>
      </x:c>
      <x:c r="J552" s="9" t="n">
        <x:f>I552*'Parameters'!$C$18</x:f>
        <x:v>1.5944444444444446</x:v>
      </x:c>
      <x:c r="K552" s="9" t="n">
        <x:f>J552*'Parameters'!$C$19</x:f>
        <x:v>1.9930555555555558</x:v>
      </x:c>
      <x:c r="L552" s="9" t="n">
        <x:f>I552*(1-0.40)-J552</x:f>
        <x:v>3.1888888888888887</x:v>
      </x:c>
      <x:c r="M552" s="9" t="n">
        <x:f>'Physical_Arcs'!S12</x:f>
        <x:v>7.972222222222222</x:v>
      </x:c>
      <x:c r="N552" s="9" t="n">
        <x:f>M552*'Parameters'!$C$18</x:f>
        <x:v>1.5944444444444446</x:v>
      </x:c>
      <x:c r="O552" s="9" t="n">
        <x:f>N552*'Parameters'!$C$19</x:f>
        <x:v>1.9930555555555558</x:v>
      </x:c>
      <x:c r="P552" s="9" t="n">
        <x:f>M552*(1-0.40)-N552</x:f>
        <x:v>3.1888888888888887</x:v>
      </x:c>
      <x:c r="Q552" s="9" t="n">
        <x:f>'Physical_Arcs'!T12</x:f>
        <x:v>4</x:v>
      </x:c>
      <x:c r="R552" s="9" t="n">
        <x:f>Q552*'Parameters'!$C$18</x:f>
        <x:v>0.8</x:v>
      </x:c>
      <x:c r="S552" s="9" t="n">
        <x:f>R552*'Parameters'!$C$19</x:f>
        <x:v>1</x:v>
      </x:c>
      <x:c r="T552" s="9" t="n">
        <x:f>Q552*(1-0.40)-R552</x:f>
        <x:v>1.5999999999999999</x:v>
      </x:c>
    </x:row>
    <x:row r="553" ht="21" customHeight="1">
      <x:c r="A553" s="3" t="n">
        <x:v>9</x:v>
      </x:c>
      <x:c r="B553" s="3" t="str">
        <x:v>01:30</x:v>
      </x:c>
      <x:c r="C553" s="3" t="n">
        <x:v>2</x:v>
      </x:c>
      <x:c r="D553" s="3" t="n">
        <x:v>12</x:v>
      </x:c>
      <x:c r="E553" s="3" t="n">
        <x:v>2</x:v>
      </x:c>
      <x:c r="F553" s="3" t="n">
        <x:v>7</x:v>
      </x:c>
      <x:c r="G553" s="9" t="n">
        <x:v>0.14</x:v>
      </x:c>
      <x:c r="H553" s="9" t="n">
        <x:v>0.96729</x:v>
      </x:c>
      <x:c r="I553" s="9" t="n">
        <x:f>'Physical_Arcs'!R13</x:f>
        <x:v>4.611111111111111</x:v>
      </x:c>
      <x:c r="J553" s="9" t="n">
        <x:f>I553*'Parameters'!$C$18</x:f>
        <x:v>0.9222222222222222</x:v>
      </x:c>
      <x:c r="K553" s="9" t="n">
        <x:f>J553*'Parameters'!$C$19</x:f>
        <x:v>1.1527777777777777</x:v>
      </x:c>
      <x:c r="L553" s="9" t="n">
        <x:f>I553*(1-0.40)-J553</x:f>
        <x:v>1.844444444444444</x:v>
      </x:c>
      <x:c r="M553" s="9" t="n">
        <x:f>'Physical_Arcs'!S13</x:f>
        <x:v>4.611111111111111</x:v>
      </x:c>
      <x:c r="N553" s="9" t="n">
        <x:f>M553*'Parameters'!$C$18</x:f>
        <x:v>0.9222222222222222</x:v>
      </x:c>
      <x:c r="O553" s="9" t="n">
        <x:f>N553*'Parameters'!$C$19</x:f>
        <x:v>1.1527777777777777</x:v>
      </x:c>
      <x:c r="P553" s="9" t="n">
        <x:f>M553*(1-0.40)-N553</x:f>
        <x:v>1.844444444444444</x:v>
      </x:c>
      <x:c r="Q553" s="9" t="n">
        <x:f>'Physical_Arcs'!T13</x:f>
        <x:v>2.3055555555555554</x:v>
      </x:c>
      <x:c r="R553" s="9" t="n">
        <x:f>Q553*'Parameters'!$C$18</x:f>
        <x:v>0.4611111111111111</x:v>
      </x:c>
      <x:c r="S553" s="9" t="n">
        <x:f>R553*'Parameters'!$C$19</x:f>
        <x:v>0.5763888888888888</x:v>
      </x:c>
      <x:c r="T553" s="9" t="n">
        <x:f>Q553*(1-0.40)-R553</x:f>
        <x:v>0.922222222222222</x:v>
      </x:c>
    </x:row>
    <x:row r="554" ht="21" customHeight="1">
      <x:c r="A554" s="3" t="n">
        <x:v>9</x:v>
      </x:c>
      <x:c r="B554" s="3" t="str">
        <x:v>01:30</x:v>
      </x:c>
      <x:c r="C554" s="3" t="n">
        <x:v>2</x:v>
      </x:c>
      <x:c r="D554" s="3" t="n">
        <x:v>13</x:v>
      </x:c>
      <x:c r="E554" s="3" t="n">
        <x:v>2</x:v>
      </x:c>
      <x:c r="F554" s="3" t="n">
        <x:v>9</x:v>
      </x:c>
      <x:c r="G554" s="9" t="n">
        <x:v>0.14</x:v>
      </x:c>
      <x:c r="H554" s="9" t="n">
        <x:v>1.117625</x:v>
      </x:c>
      <x:c r="I554" s="9" t="n">
        <x:f>'Physical_Arcs'!R14</x:f>
        <x:v>8.666666666666666</x:v>
      </x:c>
      <x:c r="J554" s="9" t="n">
        <x:f>I554*'Parameters'!$C$18</x:f>
        <x:v>1.7333333333333334</x:v>
      </x:c>
      <x:c r="K554" s="9" t="n">
        <x:f>J554*'Parameters'!$C$19</x:f>
        <x:v>2.166666666666667</x:v>
      </x:c>
      <x:c r="L554" s="9" t="n">
        <x:f>I554*(1-0.40)-J554</x:f>
        <x:v>3.466666666666666</x:v>
      </x:c>
      <x:c r="M554" s="9" t="n">
        <x:f>'Physical_Arcs'!S14</x:f>
        <x:v>8.666666666666666</x:v>
      </x:c>
      <x:c r="N554" s="9" t="n">
        <x:f>M554*'Parameters'!$C$18</x:f>
        <x:v>1.7333333333333334</x:v>
      </x:c>
      <x:c r="O554" s="9" t="n">
        <x:f>N554*'Parameters'!$C$19</x:f>
        <x:v>2.166666666666667</x:v>
      </x:c>
      <x:c r="P554" s="9" t="n">
        <x:f>M554*(1-0.40)-N554</x:f>
        <x:v>3.466666666666666</x:v>
      </x:c>
      <x:c r="Q554" s="9" t="n">
        <x:f>'Physical_Arcs'!T14</x:f>
        <x:v>4.333333333333333</x:v>
      </x:c>
      <x:c r="R554" s="9" t="n">
        <x:f>Q554*'Parameters'!$C$18</x:f>
        <x:v>0.8666666666666667</x:v>
      </x:c>
      <x:c r="S554" s="9" t="n">
        <x:f>R554*'Parameters'!$C$19</x:f>
        <x:v>1.0833333333333335</x:v>
      </x:c>
      <x:c r="T554" s="9" t="n">
        <x:f>Q554*(1-0.40)-R554</x:f>
        <x:v>1.733333333333333</x:v>
      </x:c>
    </x:row>
    <x:row r="555" ht="21" customHeight="1">
      <x:c r="A555" s="3" t="n">
        <x:v>9</x:v>
      </x:c>
      <x:c r="B555" s="3" t="str">
        <x:v>01:30</x:v>
      </x:c>
      <x:c r="C555" s="3" t="n">
        <x:v>2</x:v>
      </x:c>
      <x:c r="D555" s="3" t="n">
        <x:v>14</x:v>
      </x:c>
      <x:c r="E555" s="3" t="n">
        <x:v>2</x:v>
      </x:c>
      <x:c r="F555" s="3" t="n">
        <x:v>8</x:v>
      </x:c>
      <x:c r="G555" s="9" t="n">
        <x:v>0.14</x:v>
      </x:c>
      <x:c r="H555" s="9" t="n">
        <x:v>1.144902</x:v>
      </x:c>
      <x:c r="I555" s="9" t="n">
        <x:f>'Physical_Arcs'!R15</x:f>
        <x:v>7.75</x:v>
      </x:c>
      <x:c r="J555" s="9" t="n">
        <x:f>I555*'Parameters'!$C$18</x:f>
        <x:v>1.55</x:v>
      </x:c>
      <x:c r="K555" s="9" t="n">
        <x:f>J555*'Parameters'!$C$19</x:f>
        <x:v>1.9375</x:v>
      </x:c>
      <x:c r="L555" s="9" t="n">
        <x:f>I555*(1-0.40)-J555</x:f>
        <x:v>3.0999999999999996</x:v>
      </x:c>
      <x:c r="M555" s="9" t="n">
        <x:f>'Physical_Arcs'!S15</x:f>
        <x:v>7.75</x:v>
      </x:c>
      <x:c r="N555" s="9" t="n">
        <x:f>M555*'Parameters'!$C$18</x:f>
        <x:v>1.55</x:v>
      </x:c>
      <x:c r="O555" s="9" t="n">
        <x:f>N555*'Parameters'!$C$19</x:f>
        <x:v>1.9375</x:v>
      </x:c>
      <x:c r="P555" s="9" t="n">
        <x:f>M555*(1-0.40)-N555</x:f>
        <x:v>3.0999999999999996</x:v>
      </x:c>
      <x:c r="Q555" s="9" t="n">
        <x:f>'Physical_Arcs'!T15</x:f>
        <x:v>3.888888888888889</x:v>
      </x:c>
      <x:c r="R555" s="9" t="n">
        <x:f>Q555*'Parameters'!$C$18</x:f>
        <x:v>0.7777777777777778</x:v>
      </x:c>
      <x:c r="S555" s="9" t="n">
        <x:f>R555*'Parameters'!$C$19</x:f>
        <x:v>0.9722222222222222</x:v>
      </x:c>
      <x:c r="T555" s="9" t="n">
        <x:f>Q555*(1-0.40)-R555</x:f>
        <x:v>1.5555555555555554</x:v>
      </x:c>
    </x:row>
    <x:row r="556" ht="21" customHeight="1">
      <x:c r="A556" s="3" t="n">
        <x:v>9</x:v>
      </x:c>
      <x:c r="B556" s="3" t="str">
        <x:v>01:30</x:v>
      </x:c>
      <x:c r="C556" s="3" t="n">
        <x:v>2</x:v>
      </x:c>
      <x:c r="D556" s="3" t="n">
        <x:v>15</x:v>
      </x:c>
      <x:c r="E556" s="3" t="n">
        <x:v>2</x:v>
      </x:c>
      <x:c r="F556" s="3" t="n">
        <x:v>10</x:v>
      </x:c>
      <x:c r="G556" s="9" t="n">
        <x:v>0.14</x:v>
      </x:c>
      <x:c r="H556" s="9" t="n">
        <x:v>1.146684</x:v>
      </x:c>
      <x:c r="I556" s="9" t="n">
        <x:f>'Physical_Arcs'!R16</x:f>
        <x:v>7.416666666666667</x:v>
      </x:c>
      <x:c r="J556" s="9" t="n">
        <x:f>I556*'Parameters'!$C$18</x:f>
        <x:v>1.4833333333333334</x:v>
      </x:c>
      <x:c r="K556" s="9" t="n">
        <x:f>J556*'Parameters'!$C$19</x:f>
        <x:v>1.8541666666666667</x:v>
      </x:c>
      <x:c r="L556" s="9" t="n">
        <x:f>I556*(1-0.40)-J556</x:f>
        <x:v>2.966666666666667</x:v>
      </x:c>
      <x:c r="M556" s="9" t="n">
        <x:f>'Physical_Arcs'!S16</x:f>
        <x:v>7.416666666666667</x:v>
      </x:c>
      <x:c r="N556" s="9" t="n">
        <x:f>M556*'Parameters'!$C$18</x:f>
        <x:v>1.4833333333333334</x:v>
      </x:c>
      <x:c r="O556" s="9" t="n">
        <x:f>N556*'Parameters'!$C$19</x:f>
        <x:v>1.8541666666666667</x:v>
      </x:c>
      <x:c r="P556" s="9" t="n">
        <x:f>M556*(1-0.40)-N556</x:f>
        <x:v>2.966666666666667</x:v>
      </x:c>
      <x:c r="Q556" s="9" t="n">
        <x:f>'Physical_Arcs'!T16</x:f>
        <x:v>3.7222222222222223</x:v>
      </x:c>
      <x:c r="R556" s="9" t="n">
        <x:f>Q556*'Parameters'!$C$18</x:f>
        <x:v>0.7444444444444445</x:v>
      </x:c>
      <x:c r="S556" s="9" t="n">
        <x:f>R556*'Parameters'!$C$19</x:f>
        <x:v>0.9305555555555556</x:v>
      </x:c>
      <x:c r="T556" s="9" t="n">
        <x:f>Q556*(1-0.40)-R556</x:f>
        <x:v>1.488888888888889</x:v>
      </x:c>
    </x:row>
    <x:row r="557" ht="21" customHeight="1">
      <x:c r="A557" s="3" t="n">
        <x:v>9</x:v>
      </x:c>
      <x:c r="B557" s="3" t="str">
        <x:v>01:30</x:v>
      </x:c>
      <x:c r="C557" s="3" t="n">
        <x:v>2</x:v>
      </x:c>
      <x:c r="D557" s="3" t="n">
        <x:v>16</x:v>
      </x:c>
      <x:c r="E557" s="3" t="n">
        <x:v>3</x:v>
      </x:c>
      <x:c r="F557" s="3" t="n">
        <x:v>4</x:v>
      </x:c>
      <x:c r="G557" s="9" t="n">
        <x:v>0.14</x:v>
      </x:c>
      <x:c r="H557" s="9" t="n">
        <x:v>1.017658</x:v>
      </x:c>
      <x:c r="I557" s="9" t="n">
        <x:f>'Physical_Arcs'!R17</x:f>
        <x:v>17.02777777777778</x:v>
      </x:c>
      <x:c r="J557" s="9" t="n">
        <x:f>I557*'Parameters'!$C$18</x:f>
        <x:v>3.405555555555556</x:v>
      </x:c>
      <x:c r="K557" s="9" t="n">
        <x:f>J557*'Parameters'!$C$19</x:f>
        <x:v>4.256944444444445</x:v>
      </x:c>
      <x:c r="L557" s="9" t="n">
        <x:f>I557*(1-0.40)-J557</x:f>
        <x:v>6.811111111111111</x:v>
      </x:c>
      <x:c r="M557" s="9" t="n">
        <x:f>'Physical_Arcs'!S17</x:f>
        <x:v>17.02777777777778</x:v>
      </x:c>
      <x:c r="N557" s="9" t="n">
        <x:f>M557*'Parameters'!$C$18</x:f>
        <x:v>3.405555555555556</x:v>
      </x:c>
      <x:c r="O557" s="9" t="n">
        <x:f>N557*'Parameters'!$C$19</x:f>
        <x:v>4.256944444444445</x:v>
      </x:c>
      <x:c r="P557" s="9" t="n">
        <x:f>M557*(1-0.40)-N557</x:f>
        <x:v>6.811111111111111</x:v>
      </x:c>
      <x:c r="Q557" s="9" t="n">
        <x:f>'Physical_Arcs'!T17</x:f>
        <x:v>17.02777777777778</x:v>
      </x:c>
      <x:c r="R557" s="9" t="n">
        <x:f>Q557*'Parameters'!$C$18</x:f>
        <x:v>3.405555555555556</x:v>
      </x:c>
      <x:c r="S557" s="9" t="n">
        <x:f>R557*'Parameters'!$C$19</x:f>
        <x:v>4.256944444444445</x:v>
      </x:c>
      <x:c r="T557" s="9" t="n">
        <x:f>Q557*(1-0.40)-R557</x:f>
        <x:v>6.811111111111111</x:v>
      </x:c>
    </x:row>
    <x:row r="558" ht="21" customHeight="1">
      <x:c r="A558" s="3" t="n">
        <x:v>9</x:v>
      </x:c>
      <x:c r="B558" s="3" t="str">
        <x:v>01:30</x:v>
      </x:c>
      <x:c r="C558" s="3" t="n">
        <x:v>2</x:v>
      </x:c>
      <x:c r="D558" s="3" t="n">
        <x:v>17</x:v>
      </x:c>
      <x:c r="E558" s="3" t="n">
        <x:v>3</x:v>
      </x:c>
      <x:c r="F558" s="3" t="n">
        <x:v>2</x:v>
      </x:c>
      <x:c r="G558" s="9" t="n">
        <x:v>0.14</x:v>
      </x:c>
      <x:c r="H558" s="9" t="n">
        <x:v>0.875995</x:v>
      </x:c>
      <x:c r="I558" s="9" t="n">
        <x:f>'Physical_Arcs'!R18</x:f>
        <x:v>10.666666666666666</x:v>
      </x:c>
      <x:c r="J558" s="9" t="n">
        <x:f>I558*'Parameters'!$C$18</x:f>
        <x:v>2.1333333333333333</x:v>
      </x:c>
      <x:c r="K558" s="9" t="n">
        <x:f>J558*'Parameters'!$C$19</x:f>
        <x:v>2.6666666666666665</x:v>
      </x:c>
      <x:c r="L558" s="9" t="n">
        <x:f>I558*(1-0.40)-J558</x:f>
        <x:v>4.266666666666666</x:v>
      </x:c>
      <x:c r="M558" s="9" t="n">
        <x:f>'Physical_Arcs'!S18</x:f>
        <x:v>10.666666666666666</x:v>
      </x:c>
      <x:c r="N558" s="9" t="n">
        <x:f>M558*'Parameters'!$C$18</x:f>
        <x:v>2.1333333333333333</x:v>
      </x:c>
      <x:c r="O558" s="9" t="n">
        <x:f>N558*'Parameters'!$C$19</x:f>
        <x:v>2.6666666666666665</x:v>
      </x:c>
      <x:c r="P558" s="9" t="n">
        <x:f>M558*(1-0.40)-N558</x:f>
        <x:v>4.266666666666666</x:v>
      </x:c>
      <x:c r="Q558" s="9" t="n">
        <x:f>'Physical_Arcs'!T18</x:f>
        <x:v>5.333333333333333</x:v>
      </x:c>
      <x:c r="R558" s="9" t="n">
        <x:f>Q558*'Parameters'!$C$18</x:f>
        <x:v>1.0666666666666667</x:v>
      </x:c>
      <x:c r="S558" s="9" t="n">
        <x:f>R558*'Parameters'!$C$19</x:f>
        <x:v>1.3333333333333333</x:v>
      </x:c>
      <x:c r="T558" s="9" t="n">
        <x:f>Q558*(1-0.40)-R558</x:f>
        <x:v>2.133333333333333</x:v>
      </x:c>
    </x:row>
    <x:row r="559" ht="21" customHeight="1">
      <x:c r="A559" s="3" t="n">
        <x:v>9</x:v>
      </x:c>
      <x:c r="B559" s="3" t="str">
        <x:v>01:30</x:v>
      </x:c>
      <x:c r="C559" s="3" t="n">
        <x:v>2</x:v>
      </x:c>
      <x:c r="D559" s="3" t="n">
        <x:v>18</x:v>
      </x:c>
      <x:c r="E559" s="3" t="n">
        <x:v>3</x:v>
      </x:c>
      <x:c r="F559" s="3" t="n">
        <x:v>1</x:v>
      </x:c>
      <x:c r="G559" s="9" t="n">
        <x:v>0.14</x:v>
      </x:c>
      <x:c r="H559" s="9" t="n">
        <x:v>1.015397</x:v>
      </x:c>
      <x:c r="I559" s="9" t="n">
        <x:f>'Physical_Arcs'!R19</x:f>
        <x:v>5.166666666666667</x:v>
      </x:c>
      <x:c r="J559" s="9" t="n">
        <x:f>I559*'Parameters'!$C$18</x:f>
        <x:v>1.0333333333333334</x:v>
      </x:c>
      <x:c r="K559" s="9" t="n">
        <x:f>J559*'Parameters'!$C$19</x:f>
        <x:v>1.2916666666666667</x:v>
      </x:c>
      <x:c r="L559" s="9" t="n">
        <x:f>I559*(1-0.40)-J559</x:f>
        <x:v>2.0666666666666664</x:v>
      </x:c>
      <x:c r="M559" s="9" t="n">
        <x:f>'Physical_Arcs'!S19</x:f>
        <x:v>5.166666666666667</x:v>
      </x:c>
      <x:c r="N559" s="9" t="n">
        <x:f>M559*'Parameters'!$C$18</x:f>
        <x:v>1.0333333333333334</x:v>
      </x:c>
      <x:c r="O559" s="9" t="n">
        <x:f>N559*'Parameters'!$C$19</x:f>
        <x:v>1.2916666666666667</x:v>
      </x:c>
      <x:c r="P559" s="9" t="n">
        <x:f>M559*(1-0.40)-N559</x:f>
        <x:v>2.0666666666666664</x:v>
      </x:c>
      <x:c r="Q559" s="9" t="n">
        <x:f>'Physical_Arcs'!T19</x:f>
        <x:v>2.5833333333333335</x:v>
      </x:c>
      <x:c r="R559" s="9" t="n">
        <x:f>Q559*'Parameters'!$C$18</x:f>
        <x:v>0.5166666666666667</x:v>
      </x:c>
      <x:c r="S559" s="9" t="n">
        <x:f>R559*'Parameters'!$C$19</x:f>
        <x:v>0.6458333333333334</x:v>
      </x:c>
      <x:c r="T559" s="9" t="n">
        <x:f>Q559*(1-0.40)-R559</x:f>
        <x:v>1.0333333333333332</x:v>
      </x:c>
    </x:row>
    <x:row r="560" ht="21" customHeight="1">
      <x:c r="A560" s="3" t="n">
        <x:v>9</x:v>
      </x:c>
      <x:c r="B560" s="3" t="str">
        <x:v>01:30</x:v>
      </x:c>
      <x:c r="C560" s="3" t="n">
        <x:v>2</x:v>
      </x:c>
      <x:c r="D560" s="3" t="n">
        <x:v>19</x:v>
      </x:c>
      <x:c r="E560" s="3" t="n">
        <x:v>3</x:v>
      </x:c>
      <x:c r="F560" s="3" t="n">
        <x:v>7</x:v>
      </x:c>
      <x:c r="G560" s="9" t="n">
        <x:v>0.14</x:v>
      </x:c>
      <x:c r="H560" s="9" t="n">
        <x:v>0.996008</x:v>
      </x:c>
      <x:c r="I560" s="9" t="n">
        <x:f>'Physical_Arcs'!R20</x:f>
        <x:v>5.75</x:v>
      </x:c>
      <x:c r="J560" s="9" t="n">
        <x:f>I560*'Parameters'!$C$18</x:f>
        <x:v>1.1500000000000001</x:v>
      </x:c>
      <x:c r="K560" s="9" t="n">
        <x:f>J560*'Parameters'!$C$19</x:f>
        <x:v>1.4375000000000002</x:v>
      </x:c>
      <x:c r="L560" s="9" t="n">
        <x:f>I560*(1-0.40)-J560</x:f>
        <x:v>2.3</x:v>
      </x:c>
      <x:c r="M560" s="9" t="n">
        <x:f>'Physical_Arcs'!S20</x:f>
        <x:v>5.75</x:v>
      </x:c>
      <x:c r="N560" s="9" t="n">
        <x:f>M560*'Parameters'!$C$18</x:f>
        <x:v>1.1500000000000001</x:v>
      </x:c>
      <x:c r="O560" s="9" t="n">
        <x:f>N560*'Parameters'!$C$19</x:f>
        <x:v>1.4375000000000002</x:v>
      </x:c>
      <x:c r="P560" s="9" t="n">
        <x:f>M560*(1-0.40)-N560</x:f>
        <x:v>2.3</x:v>
      </x:c>
      <x:c r="Q560" s="9" t="n">
        <x:f>'Physical_Arcs'!T20</x:f>
        <x:v>2.888888888888889</x:v>
      </x:c>
      <x:c r="R560" s="9" t="n">
        <x:f>Q560*'Parameters'!$C$18</x:f>
        <x:v>0.5777777777777778</x:v>
      </x:c>
      <x:c r="S560" s="9" t="n">
        <x:f>R560*'Parameters'!$C$19</x:f>
        <x:v>0.7222222222222223</x:v>
      </x:c>
      <x:c r="T560" s="9" t="n">
        <x:f>Q560*(1-0.40)-R560</x:f>
        <x:v>1.1555555555555554</x:v>
      </x:c>
    </x:row>
    <x:row r="561" ht="21" customHeight="1">
      <x:c r="A561" s="3" t="n">
        <x:v>9</x:v>
      </x:c>
      <x:c r="B561" s="3" t="str">
        <x:v>01:30</x:v>
      </x:c>
      <x:c r="C561" s="3" t="n">
        <x:v>2</x:v>
      </x:c>
      <x:c r="D561" s="3" t="n">
        <x:v>20</x:v>
      </x:c>
      <x:c r="E561" s="3" t="n">
        <x:v>3</x:v>
      </x:c>
      <x:c r="F561" s="3" t="n">
        <x:v>10</x:v>
      </x:c>
      <x:c r="G561" s="9" t="n">
        <x:v>0.14</x:v>
      </x:c>
      <x:c r="H561" s="9" t="n">
        <x:v>1.118855</x:v>
      </x:c>
      <x:c r="I561" s="9" t="n">
        <x:f>'Physical_Arcs'!R21</x:f>
        <x:v>5.166666666666667</x:v>
      </x:c>
      <x:c r="J561" s="9" t="n">
        <x:f>I561*'Parameters'!$C$18</x:f>
        <x:v>1.0333333333333334</x:v>
      </x:c>
      <x:c r="K561" s="9" t="n">
        <x:f>J561*'Parameters'!$C$19</x:f>
        <x:v>1.2916666666666667</x:v>
      </x:c>
      <x:c r="L561" s="9" t="n">
        <x:f>I561*(1-0.40)-J561</x:f>
        <x:v>2.0666666666666664</x:v>
      </x:c>
      <x:c r="M561" s="9" t="n">
        <x:f>'Physical_Arcs'!S21</x:f>
        <x:v>5.166666666666667</x:v>
      </x:c>
      <x:c r="N561" s="9" t="n">
        <x:f>M561*'Parameters'!$C$18</x:f>
        <x:v>1.0333333333333334</x:v>
      </x:c>
      <x:c r="O561" s="9" t="n">
        <x:f>N561*'Parameters'!$C$19</x:f>
        <x:v>1.2916666666666667</x:v>
      </x:c>
      <x:c r="P561" s="9" t="n">
        <x:f>M561*(1-0.40)-N561</x:f>
        <x:v>2.0666666666666664</x:v>
      </x:c>
      <x:c r="Q561" s="9" t="n">
        <x:f>'Physical_Arcs'!T21</x:f>
        <x:v>2.5833333333333335</x:v>
      </x:c>
      <x:c r="R561" s="9" t="n">
        <x:f>Q561*'Parameters'!$C$18</x:f>
        <x:v>0.5166666666666667</x:v>
      </x:c>
      <x:c r="S561" s="9" t="n">
        <x:f>R561*'Parameters'!$C$19</x:f>
        <x:v>0.6458333333333334</x:v>
      </x:c>
      <x:c r="T561" s="9" t="n">
        <x:f>Q561*(1-0.40)-R561</x:f>
        <x:v>1.0333333333333332</x:v>
      </x:c>
    </x:row>
    <x:row r="562" ht="21" customHeight="1">
      <x:c r="A562" s="3" t="n">
        <x:v>9</x:v>
      </x:c>
      <x:c r="B562" s="3" t="str">
        <x:v>01:30</x:v>
      </x:c>
      <x:c r="C562" s="3" t="n">
        <x:v>2</x:v>
      </x:c>
      <x:c r="D562" s="3" t="n">
        <x:v>21</x:v>
      </x:c>
      <x:c r="E562" s="3" t="n">
        <x:v>3</x:v>
      </x:c>
      <x:c r="F562" s="3" t="n">
        <x:v>9</x:v>
      </x:c>
      <x:c r="G562" s="9" t="n">
        <x:v>0.14</x:v>
      </x:c>
      <x:c r="H562" s="9" t="n">
        <x:v>0.947299</x:v>
      </x:c>
      <x:c r="I562" s="9" t="n">
        <x:f>'Physical_Arcs'!R22</x:f>
        <x:v>9.333333333333334</x:v>
      </x:c>
      <x:c r="J562" s="9" t="n">
        <x:f>I562*'Parameters'!$C$18</x:f>
        <x:v>1.866666666666667</x:v>
      </x:c>
      <x:c r="K562" s="9" t="n">
        <x:f>J562*'Parameters'!$C$19</x:f>
        <x:v>2.3333333333333335</x:v>
      </x:c>
      <x:c r="L562" s="9" t="n">
        <x:f>I562*(1-0.40)-J562</x:f>
        <x:v>3.7333333333333334</x:v>
      </x:c>
      <x:c r="M562" s="9" t="n">
        <x:f>'Physical_Arcs'!S22</x:f>
        <x:v>9.333333333333334</x:v>
      </x:c>
      <x:c r="N562" s="9" t="n">
        <x:f>M562*'Parameters'!$C$18</x:f>
        <x:v>1.866666666666667</x:v>
      </x:c>
      <x:c r="O562" s="9" t="n">
        <x:f>N562*'Parameters'!$C$19</x:f>
        <x:v>2.3333333333333335</x:v>
      </x:c>
      <x:c r="P562" s="9" t="n">
        <x:f>M562*(1-0.40)-N562</x:f>
        <x:v>3.7333333333333334</x:v>
      </x:c>
      <x:c r="Q562" s="9" t="n">
        <x:f>'Physical_Arcs'!T22</x:f>
        <x:v>4.666666666666667</x:v>
      </x:c>
      <x:c r="R562" s="9" t="n">
        <x:f>Q562*'Parameters'!$C$18</x:f>
        <x:v>0.9333333333333335</x:v>
      </x:c>
      <x:c r="S562" s="9" t="n">
        <x:f>R562*'Parameters'!$C$19</x:f>
        <x:v>1.1666666666666667</x:v>
      </x:c>
      <x:c r="T562" s="9" t="n">
        <x:f>Q562*(1-0.40)-R562</x:f>
        <x:v>1.8666666666666667</x:v>
      </x:c>
    </x:row>
    <x:row r="563" ht="21" customHeight="1">
      <x:c r="A563" s="3" t="n">
        <x:v>9</x:v>
      </x:c>
      <x:c r="B563" s="3" t="str">
        <x:v>01:30</x:v>
      </x:c>
      <x:c r="C563" s="3" t="n">
        <x:v>2</x:v>
      </x:c>
      <x:c r="D563" s="3" t="n">
        <x:v>22</x:v>
      </x:c>
      <x:c r="E563" s="3" t="n">
        <x:v>4</x:v>
      </x:c>
      <x:c r="F563" s="3" t="n">
        <x:v>5</x:v>
      </x:c>
      <x:c r="G563" s="9" t="n">
        <x:v>0.14</x:v>
      </x:c>
      <x:c r="H563" s="9" t="n">
        <x:v>0.958485</x:v>
      </x:c>
      <x:c r="I563" s="9" t="n">
        <x:f>'Physical_Arcs'!R23</x:f>
        <x:v>17.02777777777778</x:v>
      </x:c>
      <x:c r="J563" s="9" t="n">
        <x:f>I563*'Parameters'!$C$18</x:f>
        <x:v>3.405555555555556</x:v>
      </x:c>
      <x:c r="K563" s="9" t="n">
        <x:f>J563*'Parameters'!$C$19</x:f>
        <x:v>4.256944444444445</x:v>
      </x:c>
      <x:c r="L563" s="9" t="n">
        <x:f>I563*(1-0.40)-J563</x:f>
        <x:v>6.811111111111111</x:v>
      </x:c>
      <x:c r="M563" s="9" t="n">
        <x:f>'Physical_Arcs'!S23</x:f>
        <x:v>17.02777777777778</x:v>
      </x:c>
      <x:c r="N563" s="9" t="n">
        <x:f>M563*'Parameters'!$C$18</x:f>
        <x:v>3.405555555555556</x:v>
      </x:c>
      <x:c r="O563" s="9" t="n">
        <x:f>N563*'Parameters'!$C$19</x:f>
        <x:v>4.256944444444445</x:v>
      </x:c>
      <x:c r="P563" s="9" t="n">
        <x:f>M563*(1-0.40)-N563</x:f>
        <x:v>6.811111111111111</x:v>
      </x:c>
      <x:c r="Q563" s="9" t="n">
        <x:f>'Physical_Arcs'!T23</x:f>
        <x:v>17.02777777777778</x:v>
      </x:c>
      <x:c r="R563" s="9" t="n">
        <x:f>Q563*'Parameters'!$C$18</x:f>
        <x:v>3.405555555555556</x:v>
      </x:c>
      <x:c r="S563" s="9" t="n">
        <x:f>R563*'Parameters'!$C$19</x:f>
        <x:v>4.256944444444445</x:v>
      </x:c>
      <x:c r="T563" s="9" t="n">
        <x:f>Q563*(1-0.40)-R563</x:f>
        <x:v>6.811111111111111</x:v>
      </x:c>
    </x:row>
    <x:row r="564" ht="21" customHeight="1">
      <x:c r="A564" s="3" t="n">
        <x:v>9</x:v>
      </x:c>
      <x:c r="B564" s="3" t="str">
        <x:v>01:30</x:v>
      </x:c>
      <x:c r="C564" s="3" t="n">
        <x:v>2</x:v>
      </x:c>
      <x:c r="D564" s="3" t="n">
        <x:v>23</x:v>
      </x:c>
      <x:c r="E564" s="3" t="n">
        <x:v>4</x:v>
      </x:c>
      <x:c r="F564" s="3" t="n">
        <x:v>3</x:v>
      </x:c>
      <x:c r="G564" s="9" t="n">
        <x:v>0.14</x:v>
      </x:c>
      <x:c r="H564" s="9" t="n">
        <x:v>0.944916</x:v>
      </x:c>
      <x:c r="I564" s="9" t="n">
        <x:f>'Physical_Arcs'!R24</x:f>
        <x:v>9.333333333333334</x:v>
      </x:c>
      <x:c r="J564" s="9" t="n">
        <x:f>I564*'Parameters'!$C$18</x:f>
        <x:v>1.866666666666667</x:v>
      </x:c>
      <x:c r="K564" s="9" t="n">
        <x:f>J564*'Parameters'!$C$19</x:f>
        <x:v>2.3333333333333335</x:v>
      </x:c>
      <x:c r="L564" s="9" t="n">
        <x:f>I564*(1-0.40)-J564</x:f>
        <x:v>3.7333333333333334</x:v>
      </x:c>
      <x:c r="M564" s="9" t="n">
        <x:f>'Physical_Arcs'!S24</x:f>
        <x:v>9.333333333333334</x:v>
      </x:c>
      <x:c r="N564" s="9" t="n">
        <x:f>M564*'Parameters'!$C$18</x:f>
        <x:v>1.866666666666667</x:v>
      </x:c>
      <x:c r="O564" s="9" t="n">
        <x:f>N564*'Parameters'!$C$19</x:f>
        <x:v>2.3333333333333335</x:v>
      </x:c>
      <x:c r="P564" s="9" t="n">
        <x:f>M564*(1-0.40)-N564</x:f>
        <x:v>3.7333333333333334</x:v>
      </x:c>
      <x:c r="Q564" s="9" t="n">
        <x:f>'Physical_Arcs'!T24</x:f>
        <x:v>4.666666666666667</x:v>
      </x:c>
      <x:c r="R564" s="9" t="n">
        <x:f>Q564*'Parameters'!$C$18</x:f>
        <x:v>0.9333333333333335</x:v>
      </x:c>
      <x:c r="S564" s="9" t="n">
        <x:f>R564*'Parameters'!$C$19</x:f>
        <x:v>1.1666666666666667</x:v>
      </x:c>
      <x:c r="T564" s="9" t="n">
        <x:f>Q564*(1-0.40)-R564</x:f>
        <x:v>1.8666666666666667</x:v>
      </x:c>
    </x:row>
    <x:row r="565" ht="21" customHeight="1">
      <x:c r="A565" s="3" t="n">
        <x:v>9</x:v>
      </x:c>
      <x:c r="B565" s="3" t="str">
        <x:v>01:30</x:v>
      </x:c>
      <x:c r="C565" s="3" t="n">
        <x:v>2</x:v>
      </x:c>
      <x:c r="D565" s="3" t="n">
        <x:v>24</x:v>
      </x:c>
      <x:c r="E565" s="3" t="n">
        <x:v>4</x:v>
      </x:c>
      <x:c r="F565" s="3" t="n">
        <x:v>10</x:v>
      </x:c>
      <x:c r="G565" s="9" t="n">
        <x:v>0.14</x:v>
      </x:c>
      <x:c r="H565" s="9" t="n">
        <x:v>0.875461</x:v>
      </x:c>
      <x:c r="I565" s="9" t="n">
        <x:f>'Physical_Arcs'!R25</x:f>
        <x:v>7.194444444444445</x:v>
      </x:c>
      <x:c r="J565" s="9" t="n">
        <x:f>I565*'Parameters'!$C$18</x:f>
        <x:v>1.438888888888889</x:v>
      </x:c>
      <x:c r="K565" s="9" t="n">
        <x:f>J565*'Parameters'!$C$19</x:f>
        <x:v>1.7986111111111114</x:v>
      </x:c>
      <x:c r="L565" s="9" t="n">
        <x:f>I565*(1-0.40)-J565</x:f>
        <x:v>2.8777777777777773</x:v>
      </x:c>
      <x:c r="M565" s="9" t="n">
        <x:f>'Physical_Arcs'!S25</x:f>
        <x:v>7.194444444444445</x:v>
      </x:c>
      <x:c r="N565" s="9" t="n">
        <x:f>M565*'Parameters'!$C$18</x:f>
        <x:v>1.438888888888889</x:v>
      </x:c>
      <x:c r="O565" s="9" t="n">
        <x:f>N565*'Parameters'!$C$19</x:f>
        <x:v>1.7986111111111114</x:v>
      </x:c>
      <x:c r="P565" s="9" t="n">
        <x:f>M565*(1-0.40)-N565</x:f>
        <x:v>2.8777777777777773</x:v>
      </x:c>
      <x:c r="Q565" s="9" t="n">
        <x:f>'Physical_Arcs'!T25</x:f>
        <x:v>3.611111111111111</x:v>
      </x:c>
      <x:c r="R565" s="9" t="n">
        <x:f>Q565*'Parameters'!$C$18</x:f>
        <x:v>0.7222222222222223</x:v>
      </x:c>
      <x:c r="S565" s="9" t="n">
        <x:f>R565*'Parameters'!$C$19</x:f>
        <x:v>0.9027777777777779</x:v>
      </x:c>
      <x:c r="T565" s="9" t="n">
        <x:f>Q565*(1-0.40)-R565</x:f>
        <x:v>1.4444444444444442</x:v>
      </x:c>
    </x:row>
    <x:row r="566" ht="21" customHeight="1">
      <x:c r="A566" s="3" t="n">
        <x:v>9</x:v>
      </x:c>
      <x:c r="B566" s="3" t="str">
        <x:v>01:30</x:v>
      </x:c>
      <x:c r="C566" s="3" t="n">
        <x:v>2</x:v>
      </x:c>
      <x:c r="D566" s="3" t="n">
        <x:v>25</x:v>
      </x:c>
      <x:c r="E566" s="3" t="n">
        <x:v>4</x:v>
      </x:c>
      <x:c r="F566" s="3" t="n">
        <x:v>8</x:v>
      </x:c>
      <x:c r="G566" s="9" t="n">
        <x:v>0.14</x:v>
      </x:c>
      <x:c r="H566" s="9" t="n">
        <x:v>0.993326</x:v>
      </x:c>
      <x:c r="I566" s="9" t="n">
        <x:f>'Physical_Arcs'!R26</x:f>
        <x:v>5.277777777777778</x:v>
      </x:c>
      <x:c r="J566" s="9" t="n">
        <x:f>I566*'Parameters'!$C$18</x:f>
        <x:v>1.0555555555555556</x:v>
      </x:c>
      <x:c r="K566" s="9" t="n">
        <x:f>J566*'Parameters'!$C$19</x:f>
        <x:v>1.3194444444444444</x:v>
      </x:c>
      <x:c r="L566" s="9" t="n">
        <x:f>I566*(1-0.40)-J566</x:f>
        <x:v>2.1111111111111107</x:v>
      </x:c>
      <x:c r="M566" s="9" t="n">
        <x:f>'Physical_Arcs'!S26</x:f>
        <x:v>5.277777777777778</x:v>
      </x:c>
      <x:c r="N566" s="9" t="n">
        <x:f>M566*'Parameters'!$C$18</x:f>
        <x:v>1.0555555555555556</x:v>
      </x:c>
      <x:c r="O566" s="9" t="n">
        <x:f>N566*'Parameters'!$C$19</x:f>
        <x:v>1.3194444444444444</x:v>
      </x:c>
      <x:c r="P566" s="9" t="n">
        <x:f>M566*(1-0.40)-N566</x:f>
        <x:v>2.1111111111111107</x:v>
      </x:c>
      <x:c r="Q566" s="9" t="n">
        <x:f>'Physical_Arcs'!T26</x:f>
        <x:v>2.638888888888889</x:v>
      </x:c>
      <x:c r="R566" s="9" t="n">
        <x:f>Q566*'Parameters'!$C$18</x:f>
        <x:v>0.5277777777777778</x:v>
      </x:c>
      <x:c r="S566" s="9" t="n">
        <x:f>R566*'Parameters'!$C$19</x:f>
        <x:v>0.6597222222222222</x:v>
      </x:c>
      <x:c r="T566" s="9" t="n">
        <x:f>Q566*(1-0.40)-R566</x:f>
        <x:v>1.0555555555555554</x:v>
      </x:c>
    </x:row>
    <x:row r="567" ht="21" customHeight="1">
      <x:c r="A567" s="3" t="n">
        <x:v>9</x:v>
      </x:c>
      <x:c r="B567" s="3" t="str">
        <x:v>01:30</x:v>
      </x:c>
      <x:c r="C567" s="3" t="n">
        <x:v>2</x:v>
      </x:c>
      <x:c r="D567" s="3" t="n">
        <x:v>26</x:v>
      </x:c>
      <x:c r="E567" s="3" t="n">
        <x:v>4</x:v>
      </x:c>
      <x:c r="F567" s="3" t="n">
        <x:v>7</x:v>
      </x:c>
      <x:c r="G567" s="9" t="n">
        <x:v>0.14</x:v>
      </x:c>
      <x:c r="H567" s="9" t="n">
        <x:v>1.099203</x:v>
      </x:c>
      <x:c r="I567" s="9" t="n">
        <x:f>'Physical_Arcs'!R27</x:f>
        <x:v>6.527777777777778</x:v>
      </x:c>
      <x:c r="J567" s="9" t="n">
        <x:f>I567*'Parameters'!$C$18</x:f>
        <x:v>1.3055555555555556</x:v>
      </x:c>
      <x:c r="K567" s="9" t="n">
        <x:f>J567*'Parameters'!$C$19</x:f>
        <x:v>1.6319444444444444</x:v>
      </x:c>
      <x:c r="L567" s="9" t="n">
        <x:f>I567*(1-0.40)-J567</x:f>
        <x:v>2.6111111111111107</x:v>
      </x:c>
      <x:c r="M567" s="9" t="n">
        <x:f>'Physical_Arcs'!S27</x:f>
        <x:v>6.527777777777778</x:v>
      </x:c>
      <x:c r="N567" s="9" t="n">
        <x:f>M567*'Parameters'!$C$18</x:f>
        <x:v>1.3055555555555556</x:v>
      </x:c>
      <x:c r="O567" s="9" t="n">
        <x:f>N567*'Parameters'!$C$19</x:f>
        <x:v>1.6319444444444444</x:v>
      </x:c>
      <x:c r="P567" s="9" t="n">
        <x:f>M567*(1-0.40)-N567</x:f>
        <x:v>2.6111111111111107</x:v>
      </x:c>
      <x:c r="Q567" s="9" t="n">
        <x:f>'Physical_Arcs'!T27</x:f>
        <x:v>3.2777777777777777</x:v>
      </x:c>
      <x:c r="R567" s="9" t="n">
        <x:f>Q567*'Parameters'!$C$18</x:f>
        <x:v>0.6555555555555556</x:v>
      </x:c>
      <x:c r="S567" s="9" t="n">
        <x:f>R567*'Parameters'!$C$19</x:f>
        <x:v>0.8194444444444444</x:v>
      </x:c>
      <x:c r="T567" s="9" t="n">
        <x:f>Q567*(1-0.40)-R567</x:f>
        <x:v>1.311111111111111</x:v>
      </x:c>
    </x:row>
    <x:row r="568" ht="21" customHeight="1">
      <x:c r="A568" s="3" t="n">
        <x:v>9</x:v>
      </x:c>
      <x:c r="B568" s="3" t="str">
        <x:v>01:30</x:v>
      </x:c>
      <x:c r="C568" s="3" t="n">
        <x:v>2</x:v>
      </x:c>
      <x:c r="D568" s="3" t="n">
        <x:v>27</x:v>
      </x:c>
      <x:c r="E568" s="3" t="n">
        <x:v>4</x:v>
      </x:c>
      <x:c r="F568" s="3" t="n">
        <x:v>2</x:v>
      </x:c>
      <x:c r="G568" s="9" t="n">
        <x:v>0.14</x:v>
      </x:c>
      <x:c r="H568" s="9" t="n">
        <x:v>0.861111</x:v>
      </x:c>
      <x:c r="I568" s="9" t="n">
        <x:f>'Physical_Arcs'!R28</x:f>
        <x:v>4.944444444444445</x:v>
      </x:c>
      <x:c r="J568" s="9" t="n">
        <x:f>I568*'Parameters'!$C$18</x:f>
        <x:v>0.9888888888888889</x:v>
      </x:c>
      <x:c r="K568" s="9" t="n">
        <x:f>J568*'Parameters'!$C$19</x:f>
        <x:v>1.2361111111111112</x:v>
      </x:c>
      <x:c r="L568" s="9" t="n">
        <x:f>I568*(1-0.40)-J568</x:f>
        <x:v>1.9777777777777779</x:v>
      </x:c>
      <x:c r="M568" s="9" t="n">
        <x:f>'Physical_Arcs'!S28</x:f>
        <x:v>4.944444444444445</x:v>
      </x:c>
      <x:c r="N568" s="9" t="n">
        <x:f>M568*'Parameters'!$C$18</x:f>
        <x:v>0.9888888888888889</x:v>
      </x:c>
      <x:c r="O568" s="9" t="n">
        <x:f>N568*'Parameters'!$C$19</x:f>
        <x:v>1.2361111111111112</x:v>
      </x:c>
      <x:c r="P568" s="9" t="n">
        <x:f>M568*(1-0.40)-N568</x:f>
        <x:v>1.9777777777777779</x:v>
      </x:c>
      <x:c r="Q568" s="9" t="n">
        <x:f>'Physical_Arcs'!T28</x:f>
        <x:v>2.4722222222222223</x:v>
      </x:c>
      <x:c r="R568" s="9" t="n">
        <x:f>Q568*'Parameters'!$C$18</x:f>
        <x:v>0.49444444444444446</x:v>
      </x:c>
      <x:c r="S568" s="9" t="n">
        <x:f>R568*'Parameters'!$C$19</x:f>
        <x:v>0.6180555555555556</x:v>
      </x:c>
      <x:c r="T568" s="9" t="n">
        <x:f>Q568*(1-0.40)-R568</x:f>
        <x:v>0.9888888888888889</x:v>
      </x:c>
    </x:row>
    <x:row r="569" ht="21" customHeight="1">
      <x:c r="A569" s="3" t="n">
        <x:v>9</x:v>
      </x:c>
      <x:c r="B569" s="3" t="str">
        <x:v>01:30</x:v>
      </x:c>
      <x:c r="C569" s="3" t="n">
        <x:v>2</x:v>
      </x:c>
      <x:c r="D569" s="3" t="n">
        <x:v>28</x:v>
      </x:c>
      <x:c r="E569" s="3" t="n">
        <x:v>4</x:v>
      </x:c>
      <x:c r="F569" s="3" t="n">
        <x:v>6</x:v>
      </x:c>
      <x:c r="G569" s="9" t="n">
        <x:v>0.14</x:v>
      </x:c>
      <x:c r="H569" s="9" t="n">
        <x:v>1.137214</x:v>
      </x:c>
      <x:c r="I569" s="9" t="n">
        <x:f>'Physical_Arcs'!R29</x:f>
        <x:v>3.388888888888889</x:v>
      </x:c>
      <x:c r="J569" s="9" t="n">
        <x:f>I569*'Parameters'!$C$18</x:f>
        <x:v>0.6777777777777778</x:v>
      </x:c>
      <x:c r="K569" s="9" t="n">
        <x:f>J569*'Parameters'!$C$19</x:f>
        <x:v>0.8472222222222223</x:v>
      </x:c>
      <x:c r="L569" s="9" t="n">
        <x:f>I569*(1-0.40)-J569</x:f>
        <x:v>1.3555555555555554</x:v>
      </x:c>
      <x:c r="M569" s="9" t="n">
        <x:f>'Physical_Arcs'!S29</x:f>
        <x:v>3.388888888888889</x:v>
      </x:c>
      <x:c r="N569" s="9" t="n">
        <x:f>M569*'Parameters'!$C$18</x:f>
        <x:v>0.6777777777777778</x:v>
      </x:c>
      <x:c r="O569" s="9" t="n">
        <x:f>N569*'Parameters'!$C$19</x:f>
        <x:v>0.8472222222222223</x:v>
      </x:c>
      <x:c r="P569" s="9" t="n">
        <x:f>M569*(1-0.40)-N569</x:f>
        <x:v>1.3555555555555554</x:v>
      </x:c>
      <x:c r="Q569" s="9" t="n">
        <x:f>'Physical_Arcs'!T29</x:f>
        <x:v>1.6944444444444444</x:v>
      </x:c>
      <x:c r="R569" s="9" t="n">
        <x:f>Q569*'Parameters'!$C$18</x:f>
        <x:v>0.3388888888888889</x:v>
      </x:c>
      <x:c r="S569" s="9" t="n">
        <x:f>R569*'Parameters'!$C$19</x:f>
        <x:v>0.42361111111111116</x:v>
      </x:c>
      <x:c r="T569" s="9" t="n">
        <x:f>Q569*(1-0.40)-R569</x:f>
        <x:v>0.6777777777777777</x:v>
      </x:c>
    </x:row>
    <x:row r="570" ht="21" customHeight="1">
      <x:c r="A570" s="3" t="n">
        <x:v>9</x:v>
      </x:c>
      <x:c r="B570" s="3" t="str">
        <x:v>01:30</x:v>
      </x:c>
      <x:c r="C570" s="3" t="n">
        <x:v>2</x:v>
      </x:c>
      <x:c r="D570" s="3" t="n">
        <x:v>29</x:v>
      </x:c>
      <x:c r="E570" s="3" t="n">
        <x:v>5</x:v>
      </x:c>
      <x:c r="F570" s="3" t="n">
        <x:v>6</x:v>
      </x:c>
      <x:c r="G570" s="9" t="n">
        <x:v>0.14</x:v>
      </x:c>
      <x:c r="H570" s="9" t="n">
        <x:v>0.949994</x:v>
      </x:c>
      <x:c r="I570" s="9" t="n">
        <x:f>'Physical_Arcs'!R30</x:f>
        <x:v>17.02777777777778</x:v>
      </x:c>
      <x:c r="J570" s="9" t="n">
        <x:f>I570*'Parameters'!$C$18</x:f>
        <x:v>3.405555555555556</x:v>
      </x:c>
      <x:c r="K570" s="9" t="n">
        <x:f>J570*'Parameters'!$C$19</x:f>
        <x:v>4.256944444444445</x:v>
      </x:c>
      <x:c r="L570" s="9" t="n">
        <x:f>I570*(1-0.40)-J570</x:f>
        <x:v>6.811111111111111</x:v>
      </x:c>
      <x:c r="M570" s="9" t="n">
        <x:f>'Physical_Arcs'!S30</x:f>
        <x:v>17.02777777777778</x:v>
      </x:c>
      <x:c r="N570" s="9" t="n">
        <x:f>M570*'Parameters'!$C$18</x:f>
        <x:v>3.405555555555556</x:v>
      </x:c>
      <x:c r="O570" s="9" t="n">
        <x:f>N570*'Parameters'!$C$19</x:f>
        <x:v>4.256944444444445</x:v>
      </x:c>
      <x:c r="P570" s="9" t="n">
        <x:f>M570*(1-0.40)-N570</x:f>
        <x:v>6.811111111111111</x:v>
      </x:c>
      <x:c r="Q570" s="9" t="n">
        <x:f>'Physical_Arcs'!T30</x:f>
        <x:v>17.02777777777778</x:v>
      </x:c>
      <x:c r="R570" s="9" t="n">
        <x:f>Q570*'Parameters'!$C$18</x:f>
        <x:v>3.405555555555556</x:v>
      </x:c>
      <x:c r="S570" s="9" t="n">
        <x:f>R570*'Parameters'!$C$19</x:f>
        <x:v>4.256944444444445</x:v>
      </x:c>
      <x:c r="T570" s="9" t="n">
        <x:f>Q570*(1-0.40)-R570</x:f>
        <x:v>6.811111111111111</x:v>
      </x:c>
    </x:row>
    <x:row r="571" ht="21" customHeight="1">
      <x:c r="A571" s="3" t="n">
        <x:v>9</x:v>
      </x:c>
      <x:c r="B571" s="3" t="str">
        <x:v>01:30</x:v>
      </x:c>
      <x:c r="C571" s="3" t="n">
        <x:v>2</x:v>
      </x:c>
      <x:c r="D571" s="3" t="n">
        <x:v>30</x:v>
      </x:c>
      <x:c r="E571" s="3" t="n">
        <x:v>5</x:v>
      </x:c>
      <x:c r="F571" s="3" t="n">
        <x:v>2</x:v>
      </x:c>
      <x:c r="G571" s="9" t="n">
        <x:v>0.14</x:v>
      </x:c>
      <x:c r="H571" s="9" t="n">
        <x:v>0.882396</x:v>
      </x:c>
      <x:c r="I571" s="9" t="n">
        <x:f>'Physical_Arcs'!R31</x:f>
        <x:v>2.9444444444444446</x:v>
      </x:c>
      <x:c r="J571" s="9" t="n">
        <x:f>I571*'Parameters'!$C$18</x:f>
        <x:v>0.5888888888888889</x:v>
      </x:c>
      <x:c r="K571" s="9" t="n">
        <x:f>J571*'Parameters'!$C$19</x:f>
        <x:v>0.7361111111111112</x:v>
      </x:c>
      <x:c r="L571" s="9" t="n">
        <x:f>I571*(1-0.40)-J571</x:f>
        <x:v>1.177777777777778</x:v>
      </x:c>
      <x:c r="M571" s="9" t="n">
        <x:f>'Physical_Arcs'!S31</x:f>
        <x:v>2.9444444444444446</x:v>
      </x:c>
      <x:c r="N571" s="9" t="n">
        <x:f>M571*'Parameters'!$C$18</x:f>
        <x:v>0.5888888888888889</x:v>
      </x:c>
      <x:c r="O571" s="9" t="n">
        <x:f>N571*'Parameters'!$C$19</x:f>
        <x:v>0.7361111111111112</x:v>
      </x:c>
      <x:c r="P571" s="9" t="n">
        <x:f>M571*(1-0.40)-N571</x:f>
        <x:v>1.177777777777778</x:v>
      </x:c>
      <x:c r="Q571" s="9" t="n">
        <x:f>'Physical_Arcs'!T31</x:f>
        <x:v>1.4722222222222223</x:v>
      </x:c>
      <x:c r="R571" s="9" t="n">
        <x:f>Q571*'Parameters'!$C$18</x:f>
        <x:v>0.29444444444444445</x:v>
      </x:c>
      <x:c r="S571" s="9" t="n">
        <x:f>R571*'Parameters'!$C$19</x:f>
        <x:v>0.3680555555555556</x:v>
      </x:c>
      <x:c r="T571" s="9" t="n">
        <x:f>Q571*(1-0.40)-R571</x:f>
        <x:v>0.588888888888889</x:v>
      </x:c>
    </x:row>
    <x:row r="572" ht="21" customHeight="1">
      <x:c r="A572" s="3" t="n">
        <x:v>9</x:v>
      </x:c>
      <x:c r="B572" s="3" t="str">
        <x:v>01:30</x:v>
      </x:c>
      <x:c r="C572" s="3" t="n">
        <x:v>2</x:v>
      </x:c>
      <x:c r="D572" s="3" t="n">
        <x:v>31</x:v>
      </x:c>
      <x:c r="E572" s="3" t="n">
        <x:v>5</x:v>
      </x:c>
      <x:c r="F572" s="3" t="n">
        <x:v>8</x:v>
      </x:c>
      <x:c r="G572" s="9" t="n">
        <x:v>0.14</x:v>
      </x:c>
      <x:c r="H572" s="9" t="n">
        <x:v>0.986718</x:v>
      </x:c>
      <x:c r="I572" s="9" t="n">
        <x:f>'Physical_Arcs'!R32</x:f>
        <x:v>9.333333333333334</x:v>
      </x:c>
      <x:c r="J572" s="9" t="n">
        <x:f>I572*'Parameters'!$C$18</x:f>
        <x:v>1.866666666666667</x:v>
      </x:c>
      <x:c r="K572" s="9" t="n">
        <x:f>J572*'Parameters'!$C$19</x:f>
        <x:v>2.3333333333333335</x:v>
      </x:c>
      <x:c r="L572" s="9" t="n">
        <x:f>I572*(1-0.40)-J572</x:f>
        <x:v>3.7333333333333334</x:v>
      </x:c>
      <x:c r="M572" s="9" t="n">
        <x:f>'Physical_Arcs'!S32</x:f>
        <x:v>9.333333333333334</x:v>
      </x:c>
      <x:c r="N572" s="9" t="n">
        <x:f>M572*'Parameters'!$C$18</x:f>
        <x:v>1.866666666666667</x:v>
      </x:c>
      <x:c r="O572" s="9" t="n">
        <x:f>N572*'Parameters'!$C$19</x:f>
        <x:v>2.3333333333333335</x:v>
      </x:c>
      <x:c r="P572" s="9" t="n">
        <x:f>M572*(1-0.40)-N572</x:f>
        <x:v>3.7333333333333334</x:v>
      </x:c>
      <x:c r="Q572" s="9" t="n">
        <x:f>'Physical_Arcs'!T32</x:f>
        <x:v>4.666666666666667</x:v>
      </x:c>
      <x:c r="R572" s="9" t="n">
        <x:f>Q572*'Parameters'!$C$18</x:f>
        <x:v>0.9333333333333335</x:v>
      </x:c>
      <x:c r="S572" s="9" t="n">
        <x:f>R572*'Parameters'!$C$19</x:f>
        <x:v>1.1666666666666667</x:v>
      </x:c>
      <x:c r="T572" s="9" t="n">
        <x:f>Q572*(1-0.40)-R572</x:f>
        <x:v>1.8666666666666667</x:v>
      </x:c>
    </x:row>
    <x:row r="573" ht="21" customHeight="1">
      <x:c r="A573" s="3" t="n">
        <x:v>9</x:v>
      </x:c>
      <x:c r="B573" s="3" t="str">
        <x:v>01:30</x:v>
      </x:c>
      <x:c r="C573" s="3" t="n">
        <x:v>2</x:v>
      </x:c>
      <x:c r="D573" s="3" t="n">
        <x:v>32</x:v>
      </x:c>
      <x:c r="E573" s="3" t="n">
        <x:v>5</x:v>
      </x:c>
      <x:c r="F573" s="3" t="n">
        <x:v>3</x:v>
      </x:c>
      <x:c r="G573" s="9" t="n">
        <x:v>0.14</x:v>
      </x:c>
      <x:c r="H573" s="9" t="n">
        <x:v>1.089544</x:v>
      </x:c>
      <x:c r="I573" s="9" t="n">
        <x:f>'Physical_Arcs'!R33</x:f>
        <x:v>11.13888888888889</x:v>
      </x:c>
      <x:c r="J573" s="9" t="n">
        <x:f>I573*'Parameters'!$C$18</x:f>
        <x:v>2.227777777777778</x:v>
      </x:c>
      <x:c r="K573" s="9" t="n">
        <x:f>J573*'Parameters'!$C$19</x:f>
        <x:v>2.7847222222222223</x:v>
      </x:c>
      <x:c r="L573" s="9" t="n">
        <x:f>I573*(1-0.40)-J573</x:f>
        <x:v>4.455555555555556</x:v>
      </x:c>
      <x:c r="M573" s="9" t="n">
        <x:f>'Physical_Arcs'!S33</x:f>
        <x:v>11.13888888888889</x:v>
      </x:c>
      <x:c r="N573" s="9" t="n">
        <x:f>M573*'Parameters'!$C$18</x:f>
        <x:v>2.227777777777778</x:v>
      </x:c>
      <x:c r="O573" s="9" t="n">
        <x:f>N573*'Parameters'!$C$19</x:f>
        <x:v>2.7847222222222223</x:v>
      </x:c>
      <x:c r="P573" s="9" t="n">
        <x:f>M573*(1-0.40)-N573</x:f>
        <x:v>4.455555555555556</x:v>
      </x:c>
      <x:c r="Q573" s="9" t="n">
        <x:f>'Physical_Arcs'!T33</x:f>
        <x:v>5.583333333333333</x:v>
      </x:c>
      <x:c r="R573" s="9" t="n">
        <x:f>Q573*'Parameters'!$C$18</x:f>
        <x:v>1.1166666666666667</x:v>
      </x:c>
      <x:c r="S573" s="9" t="n">
        <x:f>R573*'Parameters'!$C$19</x:f>
        <x:v>1.3958333333333335</x:v>
      </x:c>
      <x:c r="T573" s="9" t="n">
        <x:f>Q573*(1-0.40)-R573</x:f>
        <x:v>2.233333333333333</x:v>
      </x:c>
    </x:row>
    <x:row r="574" ht="21" customHeight="1">
      <x:c r="A574" s="3" t="n">
        <x:v>9</x:v>
      </x:c>
      <x:c r="B574" s="3" t="str">
        <x:v>01:30</x:v>
      </x:c>
      <x:c r="C574" s="3" t="n">
        <x:v>2</x:v>
      </x:c>
      <x:c r="D574" s="3" t="n">
        <x:v>33</x:v>
      </x:c>
      <x:c r="E574" s="3" t="n">
        <x:v>5</x:v>
      </x:c>
      <x:c r="F574" s="3" t="n">
        <x:v>10</x:v>
      </x:c>
      <x:c r="G574" s="9" t="n">
        <x:v>0.14</x:v>
      </x:c>
      <x:c r="H574" s="9" t="n">
        <x:v>1.103596</x:v>
      </x:c>
      <x:c r="I574" s="9" t="n">
        <x:f>'Physical_Arcs'!R34</x:f>
        <x:v>4.611111111111111</x:v>
      </x:c>
      <x:c r="J574" s="9" t="n">
        <x:f>I574*'Parameters'!$C$18</x:f>
        <x:v>0.9222222222222222</x:v>
      </x:c>
      <x:c r="K574" s="9" t="n">
        <x:f>J574*'Parameters'!$C$19</x:f>
        <x:v>1.1527777777777777</x:v>
      </x:c>
      <x:c r="L574" s="9" t="n">
        <x:f>I574*(1-0.40)-J574</x:f>
        <x:v>1.844444444444444</x:v>
      </x:c>
      <x:c r="M574" s="9" t="n">
        <x:f>'Physical_Arcs'!S34</x:f>
        <x:v>4.611111111111111</x:v>
      </x:c>
      <x:c r="N574" s="9" t="n">
        <x:f>M574*'Parameters'!$C$18</x:f>
        <x:v>0.9222222222222222</x:v>
      </x:c>
      <x:c r="O574" s="9" t="n">
        <x:f>N574*'Parameters'!$C$19</x:f>
        <x:v>1.1527777777777777</x:v>
      </x:c>
      <x:c r="P574" s="9" t="n">
        <x:f>M574*(1-0.40)-N574</x:f>
        <x:v>1.844444444444444</x:v>
      </x:c>
      <x:c r="Q574" s="9" t="n">
        <x:f>'Physical_Arcs'!T34</x:f>
        <x:v>2.3055555555555554</x:v>
      </x:c>
      <x:c r="R574" s="9" t="n">
        <x:f>Q574*'Parameters'!$C$18</x:f>
        <x:v>0.4611111111111111</x:v>
      </x:c>
      <x:c r="S574" s="9" t="n">
        <x:f>R574*'Parameters'!$C$19</x:f>
        <x:v>0.5763888888888888</x:v>
      </x:c>
      <x:c r="T574" s="9" t="n">
        <x:f>Q574*(1-0.40)-R574</x:f>
        <x:v>0.922222222222222</x:v>
      </x:c>
    </x:row>
    <x:row r="575" ht="21" customHeight="1">
      <x:c r="A575" s="3" t="n">
        <x:v>9</x:v>
      </x:c>
      <x:c r="B575" s="3" t="str">
        <x:v>01:30</x:v>
      </x:c>
      <x:c r="C575" s="3" t="n">
        <x:v>2</x:v>
      </x:c>
      <x:c r="D575" s="3" t="n">
        <x:v>34</x:v>
      </x:c>
      <x:c r="E575" s="3" t="n">
        <x:v>6</x:v>
      </x:c>
      <x:c r="F575" s="3" t="n">
        <x:v>7</x:v>
      </x:c>
      <x:c r="G575" s="9" t="n">
        <x:v>0.14</x:v>
      </x:c>
      <x:c r="H575" s="9" t="n">
        <x:v>0.973887</x:v>
      </x:c>
      <x:c r="I575" s="9" t="n">
        <x:f>'Physical_Arcs'!R35</x:f>
        <x:v>17.02777777777778</x:v>
      </x:c>
      <x:c r="J575" s="9" t="n">
        <x:f>I575*'Parameters'!$C$18</x:f>
        <x:v>3.405555555555556</x:v>
      </x:c>
      <x:c r="K575" s="9" t="n">
        <x:f>J575*'Parameters'!$C$19</x:f>
        <x:v>4.256944444444445</x:v>
      </x:c>
      <x:c r="L575" s="9" t="n">
        <x:f>I575*(1-0.40)-J575</x:f>
        <x:v>6.811111111111111</x:v>
      </x:c>
      <x:c r="M575" s="9" t="n">
        <x:f>'Physical_Arcs'!S35</x:f>
        <x:v>17.02777777777778</x:v>
      </x:c>
      <x:c r="N575" s="9" t="n">
        <x:f>M575*'Parameters'!$C$18</x:f>
        <x:v>3.405555555555556</x:v>
      </x:c>
      <x:c r="O575" s="9" t="n">
        <x:f>N575*'Parameters'!$C$19</x:f>
        <x:v>4.256944444444445</x:v>
      </x:c>
      <x:c r="P575" s="9" t="n">
        <x:f>M575*(1-0.40)-N575</x:f>
        <x:v>6.811111111111111</x:v>
      </x:c>
      <x:c r="Q575" s="9" t="n">
        <x:f>'Physical_Arcs'!T35</x:f>
        <x:v>17.02777777777778</x:v>
      </x:c>
      <x:c r="R575" s="9" t="n">
        <x:f>Q575*'Parameters'!$C$18</x:f>
        <x:v>3.405555555555556</x:v>
      </x:c>
      <x:c r="S575" s="9" t="n">
        <x:f>R575*'Parameters'!$C$19</x:f>
        <x:v>4.256944444444445</x:v>
      </x:c>
      <x:c r="T575" s="9" t="n">
        <x:f>Q575*(1-0.40)-R575</x:f>
        <x:v>6.811111111111111</x:v>
      </x:c>
    </x:row>
    <x:row r="576" ht="21" customHeight="1">
      <x:c r="A576" s="3" t="n">
        <x:v>9</x:v>
      </x:c>
      <x:c r="B576" s="3" t="str">
        <x:v>01:30</x:v>
      </x:c>
      <x:c r="C576" s="3" t="n">
        <x:v>2</x:v>
      </x:c>
      <x:c r="D576" s="3" t="n">
        <x:v>35</x:v>
      </x:c>
      <x:c r="E576" s="3" t="n">
        <x:v>6</x:v>
      </x:c>
      <x:c r="F576" s="3" t="n">
        <x:v>10</x:v>
      </x:c>
      <x:c r="G576" s="9" t="n">
        <x:v>0.14</x:v>
      </x:c>
      <x:c r="H576" s="9" t="n">
        <x:v>1.009062</x:v>
      </x:c>
      <x:c r="I576" s="9" t="n">
        <x:f>'Physical_Arcs'!R36</x:f>
        <x:v>4.055555555555555</x:v>
      </x:c>
      <x:c r="J576" s="9" t="n">
        <x:f>I576*'Parameters'!$C$18</x:f>
        <x:v>0.8111111111111111</x:v>
      </x:c>
      <x:c r="K576" s="9" t="n">
        <x:f>J576*'Parameters'!$C$19</x:f>
        <x:v>1.0138888888888888</x:v>
      </x:c>
      <x:c r="L576" s="9" t="n">
        <x:f>I576*(1-0.40)-J576</x:f>
        <x:v>1.622222222222222</x:v>
      </x:c>
      <x:c r="M576" s="9" t="n">
        <x:f>'Physical_Arcs'!S36</x:f>
        <x:v>4.055555555555555</x:v>
      </x:c>
      <x:c r="N576" s="9" t="n">
        <x:f>M576*'Parameters'!$C$18</x:f>
        <x:v>0.8111111111111111</x:v>
      </x:c>
      <x:c r="O576" s="9" t="n">
        <x:f>N576*'Parameters'!$C$19</x:f>
        <x:v>1.0138888888888888</x:v>
      </x:c>
      <x:c r="P576" s="9" t="n">
        <x:f>M576*(1-0.40)-N576</x:f>
        <x:v>1.622222222222222</x:v>
      </x:c>
      <x:c r="Q576" s="9" t="n">
        <x:f>'Physical_Arcs'!T36</x:f>
        <x:v>2.0277777777777777</x:v>
      </x:c>
      <x:c r="R576" s="9" t="n">
        <x:f>Q576*'Parameters'!$C$18</x:f>
        <x:v>0.40555555555555556</x:v>
      </x:c>
      <x:c r="S576" s="9" t="n">
        <x:f>R576*'Parameters'!$C$19</x:f>
        <x:v>0.5069444444444444</x:v>
      </x:c>
      <x:c r="T576" s="9" t="n">
        <x:f>Q576*(1-0.40)-R576</x:f>
        <x:v>0.811111111111111</x:v>
      </x:c>
    </x:row>
    <x:row r="577" ht="21" customHeight="1">
      <x:c r="A577" s="3" t="n">
        <x:v>9</x:v>
      </x:c>
      <x:c r="B577" s="3" t="str">
        <x:v>01:30</x:v>
      </x:c>
      <x:c r="C577" s="3" t="n">
        <x:v>2</x:v>
      </x:c>
      <x:c r="D577" s="3" t="n">
        <x:v>36</x:v>
      </x:c>
      <x:c r="E577" s="3" t="n">
        <x:v>6</x:v>
      </x:c>
      <x:c r="F577" s="3" t="n">
        <x:v>8</x:v>
      </x:c>
      <x:c r="G577" s="9" t="n">
        <x:v>0.14</x:v>
      </x:c>
      <x:c r="H577" s="9" t="n">
        <x:v>1.132129</x:v>
      </x:c>
      <x:c r="I577" s="9" t="n">
        <x:f>'Physical_Arcs'!R37</x:f>
        <x:v>6.972222222222222</x:v>
      </x:c>
      <x:c r="J577" s="9" t="n">
        <x:f>I577*'Parameters'!$C$18</x:f>
        <x:v>1.3944444444444446</x:v>
      </x:c>
      <x:c r="K577" s="9" t="n">
        <x:f>J577*'Parameters'!$C$19</x:f>
        <x:v>1.7430555555555558</x:v>
      </x:c>
      <x:c r="L577" s="9" t="n">
        <x:f>I577*(1-0.40)-J577</x:f>
        <x:v>2.7888888888888888</x:v>
      </x:c>
      <x:c r="M577" s="9" t="n">
        <x:f>'Physical_Arcs'!S37</x:f>
        <x:v>6.972222222222222</x:v>
      </x:c>
      <x:c r="N577" s="9" t="n">
        <x:f>M577*'Parameters'!$C$18</x:f>
        <x:v>1.3944444444444446</x:v>
      </x:c>
      <x:c r="O577" s="9" t="n">
        <x:f>N577*'Parameters'!$C$19</x:f>
        <x:v>1.7430555555555558</x:v>
      </x:c>
      <x:c r="P577" s="9" t="n">
        <x:f>M577*(1-0.40)-N577</x:f>
        <x:v>2.7888888888888888</x:v>
      </x:c>
      <x:c r="Q577" s="9" t="n">
        <x:f>'Physical_Arcs'!T37</x:f>
        <x:v>3.5</x:v>
      </x:c>
      <x:c r="R577" s="9" t="n">
        <x:f>Q577*'Parameters'!$C$18</x:f>
        <x:v>0.7000000000000001</x:v>
      </x:c>
      <x:c r="S577" s="9" t="n">
        <x:f>R577*'Parameters'!$C$19</x:f>
        <x:v>0.8750000000000001</x:v>
      </x:c>
      <x:c r="T577" s="9" t="n">
        <x:f>Q577*(1-0.40)-R577</x:f>
        <x:v>1.4</x:v>
      </x:c>
    </x:row>
    <x:row r="578" ht="21" customHeight="1">
      <x:c r="A578" s="3" t="n">
        <x:v>9</x:v>
      </x:c>
      <x:c r="B578" s="3" t="str">
        <x:v>01:30</x:v>
      </x:c>
      <x:c r="C578" s="3" t="n">
        <x:v>2</x:v>
      </x:c>
      <x:c r="D578" s="3" t="n">
        <x:v>37</x:v>
      </x:c>
      <x:c r="E578" s="3" t="n">
        <x:v>6</x:v>
      </x:c>
      <x:c r="F578" s="3" t="n">
        <x:v>1</x:v>
      </x:c>
      <x:c r="G578" s="9" t="n">
        <x:v>0.14</x:v>
      </x:c>
      <x:c r="H578" s="9" t="n">
        <x:v>1.020746</x:v>
      </x:c>
      <x:c r="I578" s="9" t="n">
        <x:f>'Physical_Arcs'!R38</x:f>
        <x:v>6.305555555555555</x:v>
      </x:c>
      <x:c r="J578" s="9" t="n">
        <x:f>I578*'Parameters'!$C$18</x:f>
        <x:v>1.261111111111111</x:v>
      </x:c>
      <x:c r="K578" s="9" t="n">
        <x:f>J578*'Parameters'!$C$19</x:f>
        <x:v>1.5763888888888888</x:v>
      </x:c>
      <x:c r="L578" s="9" t="n">
        <x:f>I578*(1-0.40)-J578</x:f>
        <x:v>2.522222222222222</x:v>
      </x:c>
      <x:c r="M578" s="9" t="n">
        <x:f>'Physical_Arcs'!S38</x:f>
        <x:v>6.305555555555555</x:v>
      </x:c>
      <x:c r="N578" s="9" t="n">
        <x:f>M578*'Parameters'!$C$18</x:f>
        <x:v>1.261111111111111</x:v>
      </x:c>
      <x:c r="O578" s="9" t="n">
        <x:f>N578*'Parameters'!$C$19</x:f>
        <x:v>1.5763888888888888</x:v>
      </x:c>
      <x:c r="P578" s="9" t="n">
        <x:f>M578*(1-0.40)-N578</x:f>
        <x:v>2.522222222222222</x:v>
      </x:c>
      <x:c r="Q578" s="9" t="n">
        <x:f>'Physical_Arcs'!T38</x:f>
        <x:v>3.1666666666666665</x:v>
      </x:c>
      <x:c r="R578" s="9" t="n">
        <x:f>Q578*'Parameters'!$C$18</x:f>
        <x:v>0.6333333333333333</x:v>
      </x:c>
      <x:c r="S578" s="9" t="n">
        <x:f>R578*'Parameters'!$C$19</x:f>
        <x:v>0.7916666666666666</x:v>
      </x:c>
      <x:c r="T578" s="9" t="n">
        <x:f>Q578*(1-0.40)-R578</x:f>
        <x:v>1.2666666666666666</x:v>
      </x:c>
    </x:row>
    <x:row r="579" ht="21" customHeight="1">
      <x:c r="A579" s="3" t="n">
        <x:v>9</x:v>
      </x:c>
      <x:c r="B579" s="3" t="str">
        <x:v>01:30</x:v>
      </x:c>
      <x:c r="C579" s="3" t="n">
        <x:v>2</x:v>
      </x:c>
      <x:c r="D579" s="3" t="n">
        <x:v>38</x:v>
      </x:c>
      <x:c r="E579" s="3" t="n">
        <x:v>6</x:v>
      </x:c>
      <x:c r="F579" s="3" t="n">
        <x:v>3</x:v>
      </x:c>
      <x:c r="G579" s="9" t="n">
        <x:v>0.14</x:v>
      </x:c>
      <x:c r="H579" s="9" t="n">
        <x:v>1.149081</x:v>
      </x:c>
      <x:c r="I579" s="9" t="n">
        <x:f>'Physical_Arcs'!R39</x:f>
        <x:v>1.9166666666666667</x:v>
      </x:c>
      <x:c r="J579" s="9" t="n">
        <x:f>I579*'Parameters'!$C$18</x:f>
        <x:v>0.38333333333333336</x:v>
      </x:c>
      <x:c r="K579" s="9" t="n">
        <x:f>J579*'Parameters'!$C$19</x:f>
        <x:v>0.4791666666666667</x:v>
      </x:c>
      <x:c r="L579" s="9" t="n">
        <x:f>I579*(1-0.40)-J579</x:f>
        <x:v>0.7666666666666666</x:v>
      </x:c>
      <x:c r="M579" s="9" t="n">
        <x:f>'Physical_Arcs'!S39</x:f>
        <x:v>1.9166666666666667</x:v>
      </x:c>
      <x:c r="N579" s="9" t="n">
        <x:f>M579*'Parameters'!$C$18</x:f>
        <x:v>0.38333333333333336</x:v>
      </x:c>
      <x:c r="O579" s="9" t="n">
        <x:f>N579*'Parameters'!$C$19</x:f>
        <x:v>0.4791666666666667</x:v>
      </x:c>
      <x:c r="P579" s="9" t="n">
        <x:f>M579*(1-0.40)-N579</x:f>
        <x:v>0.7666666666666666</x:v>
      </x:c>
      <x:c r="Q579" s="9" t="n">
        <x:f>'Physical_Arcs'!T39</x:f>
        <x:v>0.9722222222222222</x:v>
      </x:c>
      <x:c r="R579" s="9" t="n">
        <x:f>Q579*'Parameters'!$C$18</x:f>
        <x:v>0.19444444444444445</x:v>
      </x:c>
      <x:c r="S579" s="9" t="n">
        <x:f>R579*'Parameters'!$C$19</x:f>
        <x:v>0.24305555555555555</x:v>
      </x:c>
      <x:c r="T579" s="9" t="n">
        <x:f>Q579*(1-0.40)-R579</x:f>
        <x:v>0.38888888888888884</x:v>
      </x:c>
    </x:row>
    <x:row r="580" ht="21" customHeight="1">
      <x:c r="A580" s="3" t="n">
        <x:v>9</x:v>
      </x:c>
      <x:c r="B580" s="3" t="str">
        <x:v>01:30</x:v>
      </x:c>
      <x:c r="C580" s="3" t="n">
        <x:v>2</x:v>
      </x:c>
      <x:c r="D580" s="3" t="n">
        <x:v>39</x:v>
      </x:c>
      <x:c r="E580" s="3" t="n">
        <x:v>7</x:v>
      </x:c>
      <x:c r="F580" s="3" t="n">
        <x:v>8</x:v>
      </x:c>
      <x:c r="G580" s="9" t="n">
        <x:v>0.14</x:v>
      </x:c>
      <x:c r="H580" s="9" t="n">
        <x:v>1.003268</x:v>
      </x:c>
      <x:c r="I580" s="9" t="n">
        <x:f>'Physical_Arcs'!R40</x:f>
        <x:v>17.02777777777778</x:v>
      </x:c>
      <x:c r="J580" s="9" t="n">
        <x:f>I580*'Parameters'!$C$18</x:f>
        <x:v>3.405555555555556</x:v>
      </x:c>
      <x:c r="K580" s="9" t="n">
        <x:f>J580*'Parameters'!$C$19</x:f>
        <x:v>4.256944444444445</x:v>
      </x:c>
      <x:c r="L580" s="9" t="n">
        <x:f>I580*(1-0.40)-J580</x:f>
        <x:v>6.811111111111111</x:v>
      </x:c>
      <x:c r="M580" s="9" t="n">
        <x:f>'Physical_Arcs'!S40</x:f>
        <x:v>17.02777777777778</x:v>
      </x:c>
      <x:c r="N580" s="9" t="n">
        <x:f>M580*'Parameters'!$C$18</x:f>
        <x:v>3.405555555555556</x:v>
      </x:c>
      <x:c r="O580" s="9" t="n">
        <x:f>N580*'Parameters'!$C$19</x:f>
        <x:v>4.256944444444445</x:v>
      </x:c>
      <x:c r="P580" s="9" t="n">
        <x:f>M580*(1-0.40)-N580</x:f>
        <x:v>6.811111111111111</x:v>
      </x:c>
      <x:c r="Q580" s="9" t="n">
        <x:f>'Physical_Arcs'!T40</x:f>
        <x:v>17.02777777777778</x:v>
      </x:c>
      <x:c r="R580" s="9" t="n">
        <x:f>Q580*'Parameters'!$C$18</x:f>
        <x:v>3.405555555555556</x:v>
      </x:c>
      <x:c r="S580" s="9" t="n">
        <x:f>R580*'Parameters'!$C$19</x:f>
        <x:v>4.256944444444445</x:v>
      </x:c>
      <x:c r="T580" s="9" t="n">
        <x:f>Q580*(1-0.40)-R580</x:f>
        <x:v>6.811111111111111</x:v>
      </x:c>
    </x:row>
    <x:row r="581" ht="21" customHeight="1">
      <x:c r="A581" s="3" t="n">
        <x:v>9</x:v>
      </x:c>
      <x:c r="B581" s="3" t="str">
        <x:v>01:30</x:v>
      </x:c>
      <x:c r="C581" s="3" t="n">
        <x:v>2</x:v>
      </x:c>
      <x:c r="D581" s="3" t="n">
        <x:v>40</x:v>
      </x:c>
      <x:c r="E581" s="3" t="n">
        <x:v>7</x:v>
      </x:c>
      <x:c r="F581" s="3" t="n">
        <x:v>1</x:v>
      </x:c>
      <x:c r="G581" s="9" t="n">
        <x:v>0.14</x:v>
      </x:c>
      <x:c r="H581" s="9" t="n">
        <x:v>1.057592</x:v>
      </x:c>
      <x:c r="I581" s="9" t="n">
        <x:f>'Physical_Arcs'!R41</x:f>
        <x:v>7.972222222222222</x:v>
      </x:c>
      <x:c r="J581" s="9" t="n">
        <x:f>I581*'Parameters'!$C$18</x:f>
        <x:v>1.5944444444444446</x:v>
      </x:c>
      <x:c r="K581" s="9" t="n">
        <x:f>J581*'Parameters'!$C$19</x:f>
        <x:v>1.9930555555555558</x:v>
      </x:c>
      <x:c r="L581" s="9" t="n">
        <x:f>I581*(1-0.40)-J581</x:f>
        <x:v>3.1888888888888887</x:v>
      </x:c>
      <x:c r="M581" s="9" t="n">
        <x:f>'Physical_Arcs'!S41</x:f>
        <x:v>7.972222222222222</x:v>
      </x:c>
      <x:c r="N581" s="9" t="n">
        <x:f>M581*'Parameters'!$C$18</x:f>
        <x:v>1.5944444444444446</x:v>
      </x:c>
      <x:c r="O581" s="9" t="n">
        <x:f>N581*'Parameters'!$C$19</x:f>
        <x:v>1.9930555555555558</x:v>
      </x:c>
      <x:c r="P581" s="9" t="n">
        <x:f>M581*(1-0.40)-N581</x:f>
        <x:v>3.1888888888888887</x:v>
      </x:c>
      <x:c r="Q581" s="9" t="n">
        <x:f>'Physical_Arcs'!T41</x:f>
        <x:v>4</x:v>
      </x:c>
      <x:c r="R581" s="9" t="n">
        <x:f>Q581*'Parameters'!$C$18</x:f>
        <x:v>0.8</x:v>
      </x:c>
      <x:c r="S581" s="9" t="n">
        <x:f>R581*'Parameters'!$C$19</x:f>
        <x:v>1</x:v>
      </x:c>
      <x:c r="T581" s="9" t="n">
        <x:f>Q581*(1-0.40)-R581</x:f>
        <x:v>1.5999999999999999</x:v>
      </x:c>
    </x:row>
    <x:row r="582" ht="21" customHeight="1">
      <x:c r="A582" s="3" t="n">
        <x:v>9</x:v>
      </x:c>
      <x:c r="B582" s="3" t="str">
        <x:v>01:30</x:v>
      </x:c>
      <x:c r="C582" s="3" t="n">
        <x:v>2</x:v>
      </x:c>
      <x:c r="D582" s="3" t="n">
        <x:v>41</x:v>
      </x:c>
      <x:c r="E582" s="3" t="n">
        <x:v>7</x:v>
      </x:c>
      <x:c r="F582" s="3" t="n">
        <x:v>9</x:v>
      </x:c>
      <x:c r="G582" s="9" t="n">
        <x:v>0.14</x:v>
      </x:c>
      <x:c r="H582" s="9" t="n">
        <x:v>1.14801</x:v>
      </x:c>
      <x:c r="I582" s="9" t="n">
        <x:f>'Physical_Arcs'!R42</x:f>
        <x:v>8.88888888888889</x:v>
      </x:c>
      <x:c r="J582" s="9" t="n">
        <x:f>I582*'Parameters'!$C$18</x:f>
        <x:v>1.777777777777778</x:v>
      </x:c>
      <x:c r="K582" s="9" t="n">
        <x:f>J582*'Parameters'!$C$19</x:f>
        <x:v>2.2222222222222223</x:v>
      </x:c>
      <x:c r="L582" s="9" t="n">
        <x:f>I582*(1-0.40)-J582</x:f>
        <x:v>3.5555555555555554</x:v>
      </x:c>
      <x:c r="M582" s="9" t="n">
        <x:f>'Physical_Arcs'!S42</x:f>
        <x:v>8.88888888888889</x:v>
      </x:c>
      <x:c r="N582" s="9" t="n">
        <x:f>M582*'Parameters'!$C$18</x:f>
        <x:v>1.777777777777778</x:v>
      </x:c>
      <x:c r="O582" s="9" t="n">
        <x:f>N582*'Parameters'!$C$19</x:f>
        <x:v>2.2222222222222223</x:v>
      </x:c>
      <x:c r="P582" s="9" t="n">
        <x:f>M582*(1-0.40)-N582</x:f>
        <x:v>3.5555555555555554</x:v>
      </x:c>
      <x:c r="Q582" s="9" t="n">
        <x:f>'Physical_Arcs'!T42</x:f>
        <x:v>4.444444444444445</x:v>
      </x:c>
      <x:c r="R582" s="9" t="n">
        <x:f>Q582*'Parameters'!$C$18</x:f>
        <x:v>0.888888888888889</x:v>
      </x:c>
      <x:c r="S582" s="9" t="n">
        <x:f>R582*'Parameters'!$C$19</x:f>
        <x:v>1.1111111111111112</x:v>
      </x:c>
      <x:c r="T582" s="9" t="n">
        <x:f>Q582*(1-0.40)-R582</x:f>
        <x:v>1.7777777777777777</x:v>
      </x:c>
    </x:row>
    <x:row r="583" ht="21" customHeight="1">
      <x:c r="A583" s="3" t="n">
        <x:v>9</x:v>
      </x:c>
      <x:c r="B583" s="3" t="str">
        <x:v>01:30</x:v>
      </x:c>
      <x:c r="C583" s="3" t="n">
        <x:v>2</x:v>
      </x:c>
      <x:c r="D583" s="3" t="n">
        <x:v>42</x:v>
      </x:c>
      <x:c r="E583" s="3" t="n">
        <x:v>7</x:v>
      </x:c>
      <x:c r="F583" s="3" t="n">
        <x:v>2</x:v>
      </x:c>
      <x:c r="G583" s="9" t="n">
        <x:v>0.14</x:v>
      </x:c>
      <x:c r="H583" s="9" t="n">
        <x:v>0.989237</x:v>
      </x:c>
      <x:c r="I583" s="9" t="n">
        <x:f>'Physical_Arcs'!R43</x:f>
        <x:v>9</x:v>
      </x:c>
      <x:c r="J583" s="9" t="n">
        <x:f>I583*'Parameters'!$C$18</x:f>
        <x:v>1.8</x:v>
      </x:c>
      <x:c r="K583" s="9" t="n">
        <x:f>J583*'Parameters'!$C$19</x:f>
        <x:v>2.25</x:v>
      </x:c>
      <x:c r="L583" s="9" t="n">
        <x:f>I583*(1-0.40)-J583</x:f>
        <x:v>3.5999999999999996</x:v>
      </x:c>
      <x:c r="M583" s="9" t="n">
        <x:f>'Physical_Arcs'!S43</x:f>
        <x:v>9</x:v>
      </x:c>
      <x:c r="N583" s="9" t="n">
        <x:f>M583*'Parameters'!$C$18</x:f>
        <x:v>1.8</x:v>
      </x:c>
      <x:c r="O583" s="9" t="n">
        <x:f>N583*'Parameters'!$C$19</x:f>
        <x:v>2.25</x:v>
      </x:c>
      <x:c r="P583" s="9" t="n">
        <x:f>M583*(1-0.40)-N583</x:f>
        <x:v>3.5999999999999996</x:v>
      </x:c>
      <x:c r="Q583" s="9" t="n">
        <x:f>'Physical_Arcs'!T43</x:f>
        <x:v>4.5</x:v>
      </x:c>
      <x:c r="R583" s="9" t="n">
        <x:f>Q583*'Parameters'!$C$18</x:f>
        <x:v>0.9</x:v>
      </x:c>
      <x:c r="S583" s="9" t="n">
        <x:f>R583*'Parameters'!$C$19</x:f>
        <x:v>1.125</x:v>
      </x:c>
      <x:c r="T583" s="9" t="n">
        <x:f>Q583*(1-0.40)-R583</x:f>
        <x:v>1.7999999999999998</x:v>
      </x:c>
    </x:row>
    <x:row r="584" ht="21" customHeight="1">
      <x:c r="A584" s="3" t="n">
        <x:v>9</x:v>
      </x:c>
      <x:c r="B584" s="3" t="str">
        <x:v>01:30</x:v>
      </x:c>
      <x:c r="C584" s="3" t="n">
        <x:v>2</x:v>
      </x:c>
      <x:c r="D584" s="3" t="n">
        <x:v>43</x:v>
      </x:c>
      <x:c r="E584" s="3" t="n">
        <x:v>7</x:v>
      </x:c>
      <x:c r="F584" s="3" t="n">
        <x:v>3</x:v>
      </x:c>
      <x:c r="G584" s="9" t="n">
        <x:v>0.14</x:v>
      </x:c>
      <x:c r="H584" s="9" t="n">
        <x:v>1.050432</x:v>
      </x:c>
      <x:c r="I584" s="9" t="n">
        <x:f>'Physical_Arcs'!R44</x:f>
        <x:v>7.638888888888889</x:v>
      </x:c>
      <x:c r="J584" s="9" t="n">
        <x:f>I584*'Parameters'!$C$18</x:f>
        <x:v>1.527777777777778</x:v>
      </x:c>
      <x:c r="K584" s="9" t="n">
        <x:f>J584*'Parameters'!$C$19</x:f>
        <x:v>1.9097222222222223</x:v>
      </x:c>
      <x:c r="L584" s="9" t="n">
        <x:f>I584*(1-0.40)-J584</x:f>
        <x:v>3.0555555555555554</x:v>
      </x:c>
      <x:c r="M584" s="9" t="n">
        <x:f>'Physical_Arcs'!S44</x:f>
        <x:v>7.638888888888889</x:v>
      </x:c>
      <x:c r="N584" s="9" t="n">
        <x:f>M584*'Parameters'!$C$18</x:f>
        <x:v>1.527777777777778</x:v>
      </x:c>
      <x:c r="O584" s="9" t="n">
        <x:f>N584*'Parameters'!$C$19</x:f>
        <x:v>1.9097222222222223</x:v>
      </x:c>
      <x:c r="P584" s="9" t="n">
        <x:f>M584*(1-0.40)-N584</x:f>
        <x:v>3.0555555555555554</x:v>
      </x:c>
      <x:c r="Q584" s="9" t="n">
        <x:f>'Physical_Arcs'!T44</x:f>
        <x:v>3.8333333333333335</x:v>
      </x:c>
      <x:c r="R584" s="9" t="n">
        <x:f>Q584*'Parameters'!$C$18</x:f>
        <x:v>0.7666666666666667</x:v>
      </x:c>
      <x:c r="S584" s="9" t="n">
        <x:f>R584*'Parameters'!$C$19</x:f>
        <x:v>0.9583333333333334</x:v>
      </x:c>
      <x:c r="T584" s="9" t="n">
        <x:f>Q584*(1-0.40)-R584</x:f>
        <x:v>1.5333333333333332</x:v>
      </x:c>
    </x:row>
    <x:row r="585" ht="21" customHeight="1">
      <x:c r="A585" s="3" t="n">
        <x:v>9</x:v>
      </x:c>
      <x:c r="B585" s="3" t="str">
        <x:v>01:30</x:v>
      </x:c>
      <x:c r="C585" s="3" t="n">
        <x:v>2</x:v>
      </x:c>
      <x:c r="D585" s="3" t="n">
        <x:v>44</x:v>
      </x:c>
      <x:c r="E585" s="3" t="n">
        <x:v>8</x:v>
      </x:c>
      <x:c r="F585" s="3" t="n">
        <x:v>9</x:v>
      </x:c>
      <x:c r="G585" s="9" t="n">
        <x:v>0.14</x:v>
      </x:c>
      <x:c r="H585" s="9" t="n">
        <x:v>0.868101</x:v>
      </x:c>
      <x:c r="I585" s="9" t="n">
        <x:f>'Physical_Arcs'!R45</x:f>
        <x:v>17.02777777777778</x:v>
      </x:c>
      <x:c r="J585" s="9" t="n">
        <x:f>I585*'Parameters'!$C$18</x:f>
        <x:v>3.405555555555556</x:v>
      </x:c>
      <x:c r="K585" s="9" t="n">
        <x:f>J585*'Parameters'!$C$19</x:f>
        <x:v>4.256944444444445</x:v>
      </x:c>
      <x:c r="L585" s="9" t="n">
        <x:f>I585*(1-0.40)-J585</x:f>
        <x:v>6.811111111111111</x:v>
      </x:c>
      <x:c r="M585" s="9" t="n">
        <x:f>'Physical_Arcs'!S45</x:f>
        <x:v>17.02777777777778</x:v>
      </x:c>
      <x:c r="N585" s="9" t="n">
        <x:f>M585*'Parameters'!$C$18</x:f>
        <x:v>3.405555555555556</x:v>
      </x:c>
      <x:c r="O585" s="9" t="n">
        <x:f>N585*'Parameters'!$C$19</x:f>
        <x:v>4.256944444444445</x:v>
      </x:c>
      <x:c r="P585" s="9" t="n">
        <x:f>M585*(1-0.40)-N585</x:f>
        <x:v>6.811111111111111</x:v>
      </x:c>
      <x:c r="Q585" s="9" t="n">
        <x:f>'Physical_Arcs'!T45</x:f>
        <x:v>17.02777777777778</x:v>
      </x:c>
      <x:c r="R585" s="9" t="n">
        <x:f>Q585*'Parameters'!$C$18</x:f>
        <x:v>3.405555555555556</x:v>
      </x:c>
      <x:c r="S585" s="9" t="n">
        <x:f>R585*'Parameters'!$C$19</x:f>
        <x:v>4.256944444444445</x:v>
      </x:c>
      <x:c r="T585" s="9" t="n">
        <x:f>Q585*(1-0.40)-R585</x:f>
        <x:v>6.811111111111111</x:v>
      </x:c>
    </x:row>
    <x:row r="586" ht="21" customHeight="1">
      <x:c r="A586" s="3" t="n">
        <x:v>9</x:v>
      </x:c>
      <x:c r="B586" s="3" t="str">
        <x:v>01:30</x:v>
      </x:c>
      <x:c r="C586" s="3" t="n">
        <x:v>2</x:v>
      </x:c>
      <x:c r="D586" s="3" t="n">
        <x:v>45</x:v>
      </x:c>
      <x:c r="E586" s="3" t="n">
        <x:v>8</x:v>
      </x:c>
      <x:c r="F586" s="3" t="n">
        <x:v>3</x:v>
      </x:c>
      <x:c r="G586" s="9" t="n">
        <x:v>0.14</x:v>
      </x:c>
      <x:c r="H586" s="9" t="n">
        <x:v>0.944958</x:v>
      </x:c>
      <x:c r="I586" s="9" t="n">
        <x:f>'Physical_Arcs'!R46</x:f>
        <x:v>5.388888888888889</x:v>
      </x:c>
      <x:c r="J586" s="9" t="n">
        <x:f>I586*'Parameters'!$C$18</x:f>
        <x:v>1.077777777777778</x:v>
      </x:c>
      <x:c r="K586" s="9" t="n">
        <x:f>J586*'Parameters'!$C$19</x:f>
        <x:v>1.3472222222222223</x:v>
      </x:c>
      <x:c r="L586" s="9" t="n">
        <x:f>I586*(1-0.40)-J586</x:f>
        <x:v>2.1555555555555554</x:v>
      </x:c>
      <x:c r="M586" s="9" t="n">
        <x:f>'Physical_Arcs'!S46</x:f>
        <x:v>5.388888888888889</x:v>
      </x:c>
      <x:c r="N586" s="9" t="n">
        <x:f>M586*'Parameters'!$C$18</x:f>
        <x:v>1.077777777777778</x:v>
      </x:c>
      <x:c r="O586" s="9" t="n">
        <x:f>N586*'Parameters'!$C$19</x:f>
        <x:v>1.3472222222222223</x:v>
      </x:c>
      <x:c r="P586" s="9" t="n">
        <x:f>M586*(1-0.40)-N586</x:f>
        <x:v>2.1555555555555554</x:v>
      </x:c>
      <x:c r="Q586" s="9" t="n">
        <x:f>'Physical_Arcs'!T46</x:f>
        <x:v>2.6944444444444446</x:v>
      </x:c>
      <x:c r="R586" s="9" t="n">
        <x:f>Q586*'Parameters'!$C$18</x:f>
        <x:v>0.538888888888889</x:v>
      </x:c>
      <x:c r="S586" s="9" t="n">
        <x:f>R586*'Parameters'!$C$19</x:f>
        <x:v>0.6736111111111112</x:v>
      </x:c>
      <x:c r="T586" s="9" t="n">
        <x:f>Q586*(1-0.40)-R586</x:f>
        <x:v>1.0777777777777777</x:v>
      </x:c>
    </x:row>
    <x:row r="587" ht="21" customHeight="1">
      <x:c r="A587" s="3" t="n">
        <x:v>9</x:v>
      </x:c>
      <x:c r="B587" s="3" t="str">
        <x:v>01:30</x:v>
      </x:c>
      <x:c r="C587" s="3" t="n">
        <x:v>2</x:v>
      </x:c>
      <x:c r="D587" s="3" t="n">
        <x:v>46</x:v>
      </x:c>
      <x:c r="E587" s="3" t="n">
        <x:v>8</x:v>
      </x:c>
      <x:c r="F587" s="3" t="n">
        <x:v>7</x:v>
      </x:c>
      <x:c r="G587" s="9" t="n">
        <x:v>0.14</x:v>
      </x:c>
      <x:c r="H587" s="9" t="n">
        <x:v>0.866232</x:v>
      </x:c>
      <x:c r="I587" s="9" t="n">
        <x:f>'Physical_Arcs'!R47</x:f>
        <x:v>5.388888888888889</x:v>
      </x:c>
      <x:c r="J587" s="9" t="n">
        <x:f>I587*'Parameters'!$C$18</x:f>
        <x:v>1.077777777777778</x:v>
      </x:c>
      <x:c r="K587" s="9" t="n">
        <x:f>J587*'Parameters'!$C$19</x:f>
        <x:v>1.3472222222222223</x:v>
      </x:c>
      <x:c r="L587" s="9" t="n">
        <x:f>I587*(1-0.40)-J587</x:f>
        <x:v>2.1555555555555554</x:v>
      </x:c>
      <x:c r="M587" s="9" t="n">
        <x:f>'Physical_Arcs'!S47</x:f>
        <x:v>5.388888888888889</x:v>
      </x:c>
      <x:c r="N587" s="9" t="n">
        <x:f>M587*'Parameters'!$C$18</x:f>
        <x:v>1.077777777777778</x:v>
      </x:c>
      <x:c r="O587" s="9" t="n">
        <x:f>N587*'Parameters'!$C$19</x:f>
        <x:v>1.3472222222222223</x:v>
      </x:c>
      <x:c r="P587" s="9" t="n">
        <x:f>M587*(1-0.40)-N587</x:f>
        <x:v>2.1555555555555554</x:v>
      </x:c>
      <x:c r="Q587" s="9" t="n">
        <x:f>'Physical_Arcs'!T47</x:f>
        <x:v>2.6944444444444446</x:v>
      </x:c>
      <x:c r="R587" s="9" t="n">
        <x:f>Q587*'Parameters'!$C$18</x:f>
        <x:v>0.538888888888889</x:v>
      </x:c>
      <x:c r="S587" s="9" t="n">
        <x:f>R587*'Parameters'!$C$19</x:f>
        <x:v>0.6736111111111112</x:v>
      </x:c>
      <x:c r="T587" s="9" t="n">
        <x:f>Q587*(1-0.40)-R587</x:f>
        <x:v>1.0777777777777777</x:v>
      </x:c>
    </x:row>
    <x:row r="588" ht="21" customHeight="1">
      <x:c r="A588" s="3" t="n">
        <x:v>9</x:v>
      </x:c>
      <x:c r="B588" s="3" t="str">
        <x:v>01:30</x:v>
      </x:c>
      <x:c r="C588" s="3" t="n">
        <x:v>2</x:v>
      </x:c>
      <x:c r="D588" s="3" t="n">
        <x:v>47</x:v>
      </x:c>
      <x:c r="E588" s="3" t="n">
        <x:v>8</x:v>
      </x:c>
      <x:c r="F588" s="3" t="n">
        <x:v>2</x:v>
      </x:c>
      <x:c r="G588" s="9" t="n">
        <x:v>0.14</x:v>
      </x:c>
      <x:c r="H588" s="9" t="n">
        <x:v>1.135644</x:v>
      </x:c>
      <x:c r="I588" s="9" t="n">
        <x:f>'Physical_Arcs'!R48</x:f>
        <x:v>8.083333333333334</x:v>
      </x:c>
      <x:c r="J588" s="9" t="n">
        <x:f>I588*'Parameters'!$C$18</x:f>
        <x:v>1.616666666666667</x:v>
      </x:c>
      <x:c r="K588" s="9" t="n">
        <x:f>J588*'Parameters'!$C$19</x:f>
        <x:v>2.0208333333333335</x:v>
      </x:c>
      <x:c r="L588" s="9" t="n">
        <x:f>I588*(1-0.40)-J588</x:f>
        <x:v>3.2333333333333334</x:v>
      </x:c>
      <x:c r="M588" s="9" t="n">
        <x:f>'Physical_Arcs'!S48</x:f>
        <x:v>8.083333333333334</x:v>
      </x:c>
      <x:c r="N588" s="9" t="n">
        <x:f>M588*'Parameters'!$C$18</x:f>
        <x:v>1.616666666666667</x:v>
      </x:c>
      <x:c r="O588" s="9" t="n">
        <x:f>N588*'Parameters'!$C$19</x:f>
        <x:v>2.0208333333333335</x:v>
      </x:c>
      <x:c r="P588" s="9" t="n">
        <x:f>M588*(1-0.40)-N588</x:f>
        <x:v>3.2333333333333334</x:v>
      </x:c>
      <x:c r="Q588" s="9" t="n">
        <x:f>'Physical_Arcs'!T48</x:f>
        <x:v>4.055555555555555</x:v>
      </x:c>
      <x:c r="R588" s="9" t="n">
        <x:f>Q588*'Parameters'!$C$18</x:f>
        <x:v>0.8111111111111111</x:v>
      </x:c>
      <x:c r="S588" s="9" t="n">
        <x:f>R588*'Parameters'!$C$19</x:f>
        <x:v>1.0138888888888888</x:v>
      </x:c>
      <x:c r="T588" s="9" t="n">
        <x:f>Q588*(1-0.40)-R588</x:f>
        <x:v>1.622222222222222</x:v>
      </x:c>
    </x:row>
    <x:row r="589" ht="21" customHeight="1">
      <x:c r="A589" s="3" t="n">
        <x:v>9</x:v>
      </x:c>
      <x:c r="B589" s="3" t="str">
        <x:v>01:30</x:v>
      </x:c>
      <x:c r="C589" s="3" t="n">
        <x:v>2</x:v>
      </x:c>
      <x:c r="D589" s="3" t="n">
        <x:v>48</x:v>
      </x:c>
      <x:c r="E589" s="3" t="n">
        <x:v>8</x:v>
      </x:c>
      <x:c r="F589" s="3" t="n">
        <x:v>6</x:v>
      </x:c>
      <x:c r="G589" s="9" t="n">
        <x:v>0.14</x:v>
      </x:c>
      <x:c r="H589" s="9" t="n">
        <x:v>0.850778</x:v>
      </x:c>
      <x:c r="I589" s="9" t="n">
        <x:f>'Physical_Arcs'!R49</x:f>
        <x:v>10.555555555555555</x:v>
      </x:c>
      <x:c r="J589" s="9" t="n">
        <x:f>I589*'Parameters'!$C$18</x:f>
        <x:v>2.111111111111111</x:v>
      </x:c>
      <x:c r="K589" s="9" t="n">
        <x:f>J589*'Parameters'!$C$19</x:f>
        <x:v>2.638888888888889</x:v>
      </x:c>
      <x:c r="L589" s="9" t="n">
        <x:f>I589*(1-0.40)-J589</x:f>
        <x:v>4.222222222222221</x:v>
      </x:c>
      <x:c r="M589" s="9" t="n">
        <x:f>'Physical_Arcs'!S49</x:f>
        <x:v>10.555555555555555</x:v>
      </x:c>
      <x:c r="N589" s="9" t="n">
        <x:f>M589*'Parameters'!$C$18</x:f>
        <x:v>2.111111111111111</x:v>
      </x:c>
      <x:c r="O589" s="9" t="n">
        <x:f>N589*'Parameters'!$C$19</x:f>
        <x:v>2.638888888888889</x:v>
      </x:c>
      <x:c r="P589" s="9" t="n">
        <x:f>M589*(1-0.40)-N589</x:f>
        <x:v>4.222222222222221</x:v>
      </x:c>
      <x:c r="Q589" s="9" t="n">
        <x:f>'Physical_Arcs'!T49</x:f>
        <x:v>5.277777777777778</x:v>
      </x:c>
      <x:c r="R589" s="9" t="n">
        <x:f>Q589*'Parameters'!$C$18</x:f>
        <x:v>1.0555555555555556</x:v>
      </x:c>
      <x:c r="S589" s="9" t="n">
        <x:f>R589*'Parameters'!$C$19</x:f>
        <x:v>1.3194444444444444</x:v>
      </x:c>
      <x:c r="T589" s="9" t="n">
        <x:f>Q589*(1-0.40)-R589</x:f>
        <x:v>2.1111111111111107</x:v>
      </x:c>
    </x:row>
    <x:row r="590" ht="21" customHeight="1">
      <x:c r="A590" s="3" t="n">
        <x:v>9</x:v>
      </x:c>
      <x:c r="B590" s="3" t="str">
        <x:v>01:30</x:v>
      </x:c>
      <x:c r="C590" s="3" t="n">
        <x:v>2</x:v>
      </x:c>
      <x:c r="D590" s="3" t="n">
        <x:v>49</x:v>
      </x:c>
      <x:c r="E590" s="3" t="n">
        <x:v>8</x:v>
      </x:c>
      <x:c r="F590" s="3" t="n">
        <x:v>4</x:v>
      </x:c>
      <x:c r="G590" s="9" t="n">
        <x:v>0.14</x:v>
      </x:c>
      <x:c r="H590" s="9" t="n">
        <x:v>0.904949</x:v>
      </x:c>
      <x:c r="I590" s="9" t="n">
        <x:f>'Physical_Arcs'!R50</x:f>
        <x:v>1.5833333333333333</x:v>
      </x:c>
      <x:c r="J590" s="9" t="n">
        <x:f>I590*'Parameters'!$C$18</x:f>
        <x:v>0.31666666666666665</x:v>
      </x:c>
      <x:c r="K590" s="9" t="n">
        <x:f>J590*'Parameters'!$C$19</x:f>
        <x:v>0.3958333333333333</x:v>
      </x:c>
      <x:c r="L590" s="9" t="n">
        <x:f>I590*(1-0.40)-J590</x:f>
        <x:v>0.6333333333333333</x:v>
      </x:c>
      <x:c r="M590" s="9" t="n">
        <x:f>'Physical_Arcs'!S50</x:f>
        <x:v>1.5833333333333333</x:v>
      </x:c>
      <x:c r="N590" s="9" t="n">
        <x:f>M590*'Parameters'!$C$18</x:f>
        <x:v>0.31666666666666665</x:v>
      </x:c>
      <x:c r="O590" s="9" t="n">
        <x:f>N590*'Parameters'!$C$19</x:f>
        <x:v>0.3958333333333333</x:v>
      </x:c>
      <x:c r="P590" s="9" t="n">
        <x:f>M590*(1-0.40)-N590</x:f>
        <x:v>0.6333333333333333</x:v>
      </x:c>
      <x:c r="Q590" s="9" t="n">
        <x:f>'Physical_Arcs'!T50</x:f>
        <x:v>0.8055555555555556</x:v>
      </x:c>
      <x:c r="R590" s="9" t="n">
        <x:f>Q590*'Parameters'!$C$18</x:f>
        <x:v>0.16111111111111112</x:v>
      </x:c>
      <x:c r="S590" s="9" t="n">
        <x:f>R590*'Parameters'!$C$19</x:f>
        <x:v>0.2013888888888889</x:v>
      </x:c>
      <x:c r="T590" s="9" t="n">
        <x:f>Q590*(1-0.40)-R590</x:f>
        <x:v>0.3222222222222222</x:v>
      </x:c>
    </x:row>
    <x:row r="591" ht="21" customHeight="1">
      <x:c r="A591" s="3" t="n">
        <x:v>9</x:v>
      </x:c>
      <x:c r="B591" s="3" t="str">
        <x:v>01:30</x:v>
      </x:c>
      <x:c r="C591" s="3" t="n">
        <x:v>2</x:v>
      </x:c>
      <x:c r="D591" s="3" t="n">
        <x:v>50</x:v>
      </x:c>
      <x:c r="E591" s="3" t="n">
        <x:v>8</x:v>
      </x:c>
      <x:c r="F591" s="3" t="n">
        <x:v>5</x:v>
      </x:c>
      <x:c r="G591" s="9" t="n">
        <x:v>0.14</x:v>
      </x:c>
      <x:c r="H591" s="9" t="n">
        <x:v>0.990416</x:v>
      </x:c>
      <x:c r="I591" s="9" t="n">
        <x:f>'Physical_Arcs'!R51</x:f>
        <x:v>10.777777777777779</x:v>
      </x:c>
      <x:c r="J591" s="9" t="n">
        <x:f>I591*'Parameters'!$C$18</x:f>
        <x:v>2.155555555555556</x:v>
      </x:c>
      <x:c r="K591" s="9" t="n">
        <x:f>J591*'Parameters'!$C$19</x:f>
        <x:v>2.6944444444444446</x:v>
      </x:c>
      <x:c r="L591" s="9" t="n">
        <x:f>I591*(1-0.40)-J591</x:f>
        <x:v>4.311111111111111</x:v>
      </x:c>
      <x:c r="M591" s="9" t="n">
        <x:f>'Physical_Arcs'!S51</x:f>
        <x:v>10.777777777777779</x:v>
      </x:c>
      <x:c r="N591" s="9" t="n">
        <x:f>M591*'Parameters'!$C$18</x:f>
        <x:v>2.155555555555556</x:v>
      </x:c>
      <x:c r="O591" s="9" t="n">
        <x:f>N591*'Parameters'!$C$19</x:f>
        <x:v>2.6944444444444446</x:v>
      </x:c>
      <x:c r="P591" s="9" t="n">
        <x:f>M591*(1-0.40)-N591</x:f>
        <x:v>4.311111111111111</x:v>
      </x:c>
      <x:c r="Q591" s="9" t="n">
        <x:f>'Physical_Arcs'!T51</x:f>
        <x:v>5.388888888888889</x:v>
      </x:c>
      <x:c r="R591" s="9" t="n">
        <x:f>Q591*'Parameters'!$C$18</x:f>
        <x:v>1.077777777777778</x:v>
      </x:c>
      <x:c r="S591" s="9" t="n">
        <x:f>R591*'Parameters'!$C$19</x:f>
        <x:v>1.3472222222222223</x:v>
      </x:c>
      <x:c r="T591" s="9" t="n">
        <x:f>Q591*(1-0.40)-R591</x:f>
        <x:v>2.1555555555555554</x:v>
      </x:c>
    </x:row>
    <x:row r="592" ht="21" customHeight="1">
      <x:c r="A592" s="3" t="n">
        <x:v>9</x:v>
      </x:c>
      <x:c r="B592" s="3" t="str">
        <x:v>01:30</x:v>
      </x:c>
      <x:c r="C592" s="3" t="n">
        <x:v>2</x:v>
      </x:c>
      <x:c r="D592" s="3" t="n">
        <x:v>51</x:v>
      </x:c>
      <x:c r="E592" s="3" t="n">
        <x:v>8</x:v>
      </x:c>
      <x:c r="F592" s="3" t="n">
        <x:v>1</x:v>
      </x:c>
      <x:c r="G592" s="9" t="n">
        <x:v>0.14</x:v>
      </x:c>
      <x:c r="H592" s="9" t="n">
        <x:v>1.039066</x:v>
      </x:c>
      <x:c r="I592" s="9" t="n">
        <x:f>'Physical_Arcs'!R52</x:f>
        <x:v>8.88888888888889</x:v>
      </x:c>
      <x:c r="J592" s="9" t="n">
        <x:f>I592*'Parameters'!$C$18</x:f>
        <x:v>1.777777777777778</x:v>
      </x:c>
      <x:c r="K592" s="9" t="n">
        <x:f>J592*'Parameters'!$C$19</x:f>
        <x:v>2.2222222222222223</x:v>
      </x:c>
      <x:c r="L592" s="9" t="n">
        <x:f>I592*(1-0.40)-J592</x:f>
        <x:v>3.5555555555555554</x:v>
      </x:c>
      <x:c r="M592" s="9" t="n">
        <x:f>'Physical_Arcs'!S52</x:f>
        <x:v>8.88888888888889</x:v>
      </x:c>
      <x:c r="N592" s="9" t="n">
        <x:f>M592*'Parameters'!$C$18</x:f>
        <x:v>1.777777777777778</x:v>
      </x:c>
      <x:c r="O592" s="9" t="n">
        <x:f>N592*'Parameters'!$C$19</x:f>
        <x:v>2.2222222222222223</x:v>
      </x:c>
      <x:c r="P592" s="9" t="n">
        <x:f>M592*(1-0.40)-N592</x:f>
        <x:v>3.5555555555555554</x:v>
      </x:c>
      <x:c r="Q592" s="9" t="n">
        <x:f>'Physical_Arcs'!T52</x:f>
        <x:v>4.444444444444445</x:v>
      </x:c>
      <x:c r="R592" s="9" t="n">
        <x:f>Q592*'Parameters'!$C$18</x:f>
        <x:v>0.888888888888889</x:v>
      </x:c>
      <x:c r="S592" s="9" t="n">
        <x:f>R592*'Parameters'!$C$19</x:f>
        <x:v>1.1111111111111112</x:v>
      </x:c>
      <x:c r="T592" s="9" t="n">
        <x:f>Q592*(1-0.40)-R592</x:f>
        <x:v>1.7777777777777777</x:v>
      </x:c>
    </x:row>
    <x:row r="593" ht="21" customHeight="1">
      <x:c r="A593" s="3" t="n">
        <x:v>9</x:v>
      </x:c>
      <x:c r="B593" s="3" t="str">
        <x:v>01:30</x:v>
      </x:c>
      <x:c r="C593" s="3" t="n">
        <x:v>2</x:v>
      </x:c>
      <x:c r="D593" s="3" t="n">
        <x:v>52</x:v>
      </x:c>
      <x:c r="E593" s="3" t="n">
        <x:v>9</x:v>
      </x:c>
      <x:c r="F593" s="3" t="n">
        <x:v>10</x:v>
      </x:c>
      <x:c r="G593" s="9" t="n">
        <x:v>0.14</x:v>
      </x:c>
      <x:c r="H593" s="9" t="n">
        <x:v>0.954096</x:v>
      </x:c>
      <x:c r="I593" s="9" t="n">
        <x:f>'Physical_Arcs'!R53</x:f>
        <x:v>17.02777777777778</x:v>
      </x:c>
      <x:c r="J593" s="9" t="n">
        <x:f>I593*'Parameters'!$C$18</x:f>
        <x:v>3.405555555555556</x:v>
      </x:c>
      <x:c r="K593" s="9" t="n">
        <x:f>J593*'Parameters'!$C$19</x:f>
        <x:v>4.256944444444445</x:v>
      </x:c>
      <x:c r="L593" s="9" t="n">
        <x:f>I593*(1-0.40)-J593</x:f>
        <x:v>6.811111111111111</x:v>
      </x:c>
      <x:c r="M593" s="9" t="n">
        <x:f>'Physical_Arcs'!S53</x:f>
        <x:v>17.02777777777778</x:v>
      </x:c>
      <x:c r="N593" s="9" t="n">
        <x:f>M593*'Parameters'!$C$18</x:f>
        <x:v>3.405555555555556</x:v>
      </x:c>
      <x:c r="O593" s="9" t="n">
        <x:f>N593*'Parameters'!$C$19</x:f>
        <x:v>4.256944444444445</x:v>
      </x:c>
      <x:c r="P593" s="9" t="n">
        <x:f>M593*(1-0.40)-N593</x:f>
        <x:v>6.811111111111111</x:v>
      </x:c>
      <x:c r="Q593" s="9" t="n">
        <x:f>'Physical_Arcs'!T53</x:f>
        <x:v>17.02777777777778</x:v>
      </x:c>
      <x:c r="R593" s="9" t="n">
        <x:f>Q593*'Parameters'!$C$18</x:f>
        <x:v>3.405555555555556</x:v>
      </x:c>
      <x:c r="S593" s="9" t="n">
        <x:f>R593*'Parameters'!$C$19</x:f>
        <x:v>4.256944444444445</x:v>
      </x:c>
      <x:c r="T593" s="9" t="n">
        <x:f>Q593*(1-0.40)-R593</x:f>
        <x:v>6.811111111111111</x:v>
      </x:c>
    </x:row>
    <x:row r="594" ht="21" customHeight="1">
      <x:c r="A594" s="3" t="n">
        <x:v>9</x:v>
      </x:c>
      <x:c r="B594" s="3" t="str">
        <x:v>01:30</x:v>
      </x:c>
      <x:c r="C594" s="3" t="n">
        <x:v>2</x:v>
      </x:c>
      <x:c r="D594" s="3" t="n">
        <x:v>53</x:v>
      </x:c>
      <x:c r="E594" s="3" t="n">
        <x:v>9</x:v>
      </x:c>
      <x:c r="F594" s="3" t="n">
        <x:v>6</x:v>
      </x:c>
      <x:c r="G594" s="9" t="n">
        <x:v>0.14</x:v>
      </x:c>
      <x:c r="H594" s="9" t="n">
        <x:v>1.125574</x:v>
      </x:c>
      <x:c r="I594" s="9" t="n">
        <x:f>'Physical_Arcs'!R54</x:f>
        <x:v>9.666666666666666</x:v>
      </x:c>
      <x:c r="J594" s="9" t="n">
        <x:f>I594*'Parameters'!$C$18</x:f>
        <x:v>1.9333333333333333</x:v>
      </x:c>
      <x:c r="K594" s="9" t="n">
        <x:f>J594*'Parameters'!$C$19</x:f>
        <x:v>2.4166666666666665</x:v>
      </x:c>
      <x:c r="L594" s="9" t="n">
        <x:f>I594*(1-0.40)-J594</x:f>
        <x:v>3.8666666666666663</x:v>
      </x:c>
      <x:c r="M594" s="9" t="n">
        <x:f>'Physical_Arcs'!S54</x:f>
        <x:v>9.666666666666666</x:v>
      </x:c>
      <x:c r="N594" s="9" t="n">
        <x:f>M594*'Parameters'!$C$18</x:f>
        <x:v>1.9333333333333333</x:v>
      </x:c>
      <x:c r="O594" s="9" t="n">
        <x:f>N594*'Parameters'!$C$19</x:f>
        <x:v>2.4166666666666665</x:v>
      </x:c>
      <x:c r="P594" s="9" t="n">
        <x:f>M594*(1-0.40)-N594</x:f>
        <x:v>3.8666666666666663</x:v>
      </x:c>
      <x:c r="Q594" s="9" t="n">
        <x:f>'Physical_Arcs'!T54</x:f>
        <x:v>4.833333333333333</x:v>
      </x:c>
      <x:c r="R594" s="9" t="n">
        <x:f>Q594*'Parameters'!$C$18</x:f>
        <x:v>0.9666666666666667</x:v>
      </x:c>
      <x:c r="S594" s="9" t="n">
        <x:f>R594*'Parameters'!$C$19</x:f>
        <x:v>1.2083333333333333</x:v>
      </x:c>
      <x:c r="T594" s="9" t="n">
        <x:f>Q594*(1-0.40)-R594</x:f>
        <x:v>1.9333333333333331</x:v>
      </x:c>
    </x:row>
    <x:row r="595" ht="21" customHeight="1">
      <x:c r="A595" s="3" t="n">
        <x:v>9</x:v>
      </x:c>
      <x:c r="B595" s="3" t="str">
        <x:v>01:30</x:v>
      </x:c>
      <x:c r="C595" s="3" t="n">
        <x:v>2</x:v>
      </x:c>
      <x:c r="D595" s="3" t="n">
        <x:v>54</x:v>
      </x:c>
      <x:c r="E595" s="3" t="n">
        <x:v>9</x:v>
      </x:c>
      <x:c r="F595" s="3" t="n">
        <x:v>2</x:v>
      </x:c>
      <x:c r="G595" s="9" t="n">
        <x:v>0.14</x:v>
      </x:c>
      <x:c r="H595" s="9" t="n">
        <x:v>0.854534</x:v>
      </x:c>
      <x:c r="I595" s="9" t="n">
        <x:f>'Physical_Arcs'!R55</x:f>
        <x:v>9.88888888888889</x:v>
      </x:c>
      <x:c r="J595" s="9" t="n">
        <x:f>I595*'Parameters'!$C$18</x:f>
        <x:v>1.9777777777777779</x:v>
      </x:c>
      <x:c r="K595" s="9" t="n">
        <x:f>J595*'Parameters'!$C$19</x:f>
        <x:v>2.4722222222222223</x:v>
      </x:c>
      <x:c r="L595" s="9" t="n">
        <x:f>I595*(1-0.40)-J595</x:f>
        <x:v>3.9555555555555557</x:v>
      </x:c>
      <x:c r="M595" s="9" t="n">
        <x:f>'Physical_Arcs'!S55</x:f>
        <x:v>9.88888888888889</x:v>
      </x:c>
      <x:c r="N595" s="9" t="n">
        <x:f>M595*'Parameters'!$C$18</x:f>
        <x:v>1.9777777777777779</x:v>
      </x:c>
      <x:c r="O595" s="9" t="n">
        <x:f>N595*'Parameters'!$C$19</x:f>
        <x:v>2.4722222222222223</x:v>
      </x:c>
      <x:c r="P595" s="9" t="n">
        <x:f>M595*(1-0.40)-N595</x:f>
        <x:v>3.9555555555555557</x:v>
      </x:c>
      <x:c r="Q595" s="9" t="n">
        <x:f>'Physical_Arcs'!T55</x:f>
        <x:v>4.944444444444445</x:v>
      </x:c>
      <x:c r="R595" s="9" t="n">
        <x:f>Q595*'Parameters'!$C$18</x:f>
        <x:v>0.9888888888888889</x:v>
      </x:c>
      <x:c r="S595" s="9" t="n">
        <x:f>R595*'Parameters'!$C$19</x:f>
        <x:v>1.2361111111111112</x:v>
      </x:c>
      <x:c r="T595" s="9" t="n">
        <x:f>Q595*(1-0.40)-R595</x:f>
        <x:v>1.9777777777777779</x:v>
      </x:c>
    </x:row>
    <x:row r="596" ht="21" customHeight="1">
      <x:c r="A596" s="3" t="n">
        <x:v>9</x:v>
      </x:c>
      <x:c r="B596" s="3" t="str">
        <x:v>01:30</x:v>
      </x:c>
      <x:c r="C596" s="3" t="n">
        <x:v>2</x:v>
      </x:c>
      <x:c r="D596" s="3" t="n">
        <x:v>55</x:v>
      </x:c>
      <x:c r="E596" s="3" t="n">
        <x:v>9</x:v>
      </x:c>
      <x:c r="F596" s="3" t="n">
        <x:v>7</x:v>
      </x:c>
      <x:c r="G596" s="9" t="n">
        <x:v>0.14</x:v>
      </x:c>
      <x:c r="H596" s="9" t="n">
        <x:v>0.900033</x:v>
      </x:c>
      <x:c r="I596" s="9" t="n">
        <x:f>'Physical_Arcs'!R56</x:f>
        <x:v>4.166666666666667</x:v>
      </x:c>
      <x:c r="J596" s="9" t="n">
        <x:f>I596*'Parameters'!$C$18</x:f>
        <x:v>0.8333333333333335</x:v>
      </x:c>
      <x:c r="K596" s="9" t="n">
        <x:f>J596*'Parameters'!$C$19</x:f>
        <x:v>1.041666666666667</x:v>
      </x:c>
      <x:c r="L596" s="9" t="n">
        <x:f>I596*(1-0.40)-J596</x:f>
        <x:v>1.6666666666666665</x:v>
      </x:c>
      <x:c r="M596" s="9" t="n">
        <x:f>'Physical_Arcs'!S56</x:f>
        <x:v>4.166666666666667</x:v>
      </x:c>
      <x:c r="N596" s="9" t="n">
        <x:f>M596*'Parameters'!$C$18</x:f>
        <x:v>0.8333333333333335</x:v>
      </x:c>
      <x:c r="O596" s="9" t="n">
        <x:f>N596*'Parameters'!$C$19</x:f>
        <x:v>1.041666666666667</x:v>
      </x:c>
      <x:c r="P596" s="9" t="n">
        <x:f>M596*(1-0.40)-N596</x:f>
        <x:v>1.6666666666666665</x:v>
      </x:c>
      <x:c r="Q596" s="9" t="n">
        <x:f>'Physical_Arcs'!T56</x:f>
        <x:v>2.0833333333333335</x:v>
      </x:c>
      <x:c r="R596" s="9" t="n">
        <x:f>Q596*'Parameters'!$C$18</x:f>
        <x:v>0.41666666666666674</x:v>
      </x:c>
      <x:c r="S596" s="9" t="n">
        <x:f>R596*'Parameters'!$C$19</x:f>
        <x:v>0.5208333333333335</x:v>
      </x:c>
      <x:c r="T596" s="9" t="n">
        <x:f>Q596*(1-0.40)-R596</x:f>
        <x:v>0.8333333333333333</x:v>
      </x:c>
    </x:row>
    <x:row r="597" ht="21" customHeight="1">
      <x:c r="A597" s="3" t="n">
        <x:v>9</x:v>
      </x:c>
      <x:c r="B597" s="3" t="str">
        <x:v>01:30</x:v>
      </x:c>
      <x:c r="C597" s="3" t="n">
        <x:v>2</x:v>
      </x:c>
      <x:c r="D597" s="3" t="n">
        <x:v>56</x:v>
      </x:c>
      <x:c r="E597" s="3" t="n">
        <x:v>9</x:v>
      </x:c>
      <x:c r="F597" s="3" t="n">
        <x:v>3</x:v>
      </x:c>
      <x:c r="G597" s="9" t="n">
        <x:v>0.14</x:v>
      </x:c>
      <x:c r="H597" s="9" t="n">
        <x:v>0.893428</x:v>
      </x:c>
      <x:c r="I597" s="9" t="n">
        <x:f>'Physical_Arcs'!R57</x:f>
        <x:v>3.7222222222222223</x:v>
      </x:c>
      <x:c r="J597" s="9" t="n">
        <x:f>I597*'Parameters'!$C$18</x:f>
        <x:v>0.7444444444444445</x:v>
      </x:c>
      <x:c r="K597" s="9" t="n">
        <x:f>J597*'Parameters'!$C$19</x:f>
        <x:v>0.9305555555555556</x:v>
      </x:c>
      <x:c r="L597" s="9" t="n">
        <x:f>I597*(1-0.40)-J597</x:f>
        <x:v>1.488888888888889</x:v>
      </x:c>
      <x:c r="M597" s="9" t="n">
        <x:f>'Physical_Arcs'!S57</x:f>
        <x:v>3.7222222222222223</x:v>
      </x:c>
      <x:c r="N597" s="9" t="n">
        <x:f>M597*'Parameters'!$C$18</x:f>
        <x:v>0.7444444444444445</x:v>
      </x:c>
      <x:c r="O597" s="9" t="n">
        <x:f>N597*'Parameters'!$C$19</x:f>
        <x:v>0.9305555555555556</x:v>
      </x:c>
      <x:c r="P597" s="9" t="n">
        <x:f>M597*(1-0.40)-N597</x:f>
        <x:v>1.488888888888889</x:v>
      </x:c>
      <x:c r="Q597" s="9" t="n">
        <x:f>'Physical_Arcs'!T57</x:f>
        <x:v>1.8611111111111112</x:v>
      </x:c>
      <x:c r="R597" s="9" t="n">
        <x:f>Q597*'Parameters'!$C$18</x:f>
        <x:v>0.37222222222222223</x:v>
      </x:c>
      <x:c r="S597" s="9" t="n">
        <x:f>R597*'Parameters'!$C$19</x:f>
        <x:v>0.4652777777777778</x:v>
      </x:c>
      <x:c r="T597" s="9" t="n">
        <x:f>Q597*(1-0.40)-R597</x:f>
        <x:v>0.7444444444444445</x:v>
      </x:c>
    </x:row>
    <x:row r="598" ht="21" customHeight="1">
      <x:c r="A598" s="3" t="n">
        <x:v>9</x:v>
      </x:c>
      <x:c r="B598" s="3" t="str">
        <x:v>01:30</x:v>
      </x:c>
      <x:c r="C598" s="3" t="n">
        <x:v>2</x:v>
      </x:c>
      <x:c r="D598" s="3" t="n">
        <x:v>57</x:v>
      </x:c>
      <x:c r="E598" s="3" t="n">
        <x:v>10</x:v>
      </x:c>
      <x:c r="F598" s="3" t="n">
        <x:v>1</x:v>
      </x:c>
      <x:c r="G598" s="9" t="n">
        <x:v>0.14</x:v>
      </x:c>
      <x:c r="H598" s="9" t="n">
        <x:v>1.027979</x:v>
      </x:c>
      <x:c r="I598" s="9" t="n">
        <x:f>'Physical_Arcs'!R58</x:f>
        <x:v>17.02777777777778</x:v>
      </x:c>
      <x:c r="J598" s="9" t="n">
        <x:f>I598*'Parameters'!$C$18</x:f>
        <x:v>3.405555555555556</x:v>
      </x:c>
      <x:c r="K598" s="9" t="n">
        <x:f>J598*'Parameters'!$C$19</x:f>
        <x:v>4.256944444444445</x:v>
      </x:c>
      <x:c r="L598" s="9" t="n">
        <x:f>I598*(1-0.40)-J598</x:f>
        <x:v>6.811111111111111</x:v>
      </x:c>
      <x:c r="M598" s="9" t="n">
        <x:f>'Physical_Arcs'!S58</x:f>
        <x:v>17.02777777777778</x:v>
      </x:c>
      <x:c r="N598" s="9" t="n">
        <x:f>M598*'Parameters'!$C$18</x:f>
        <x:v>3.405555555555556</x:v>
      </x:c>
      <x:c r="O598" s="9" t="n">
        <x:f>N598*'Parameters'!$C$19</x:f>
        <x:v>4.256944444444445</x:v>
      </x:c>
      <x:c r="P598" s="9" t="n">
        <x:f>M598*(1-0.40)-N598</x:f>
        <x:v>6.811111111111111</x:v>
      </x:c>
      <x:c r="Q598" s="9" t="n">
        <x:f>'Physical_Arcs'!T58</x:f>
        <x:v>17.02777777777778</x:v>
      </x:c>
      <x:c r="R598" s="9" t="n">
        <x:f>Q598*'Parameters'!$C$18</x:f>
        <x:v>3.405555555555556</x:v>
      </x:c>
      <x:c r="S598" s="9" t="n">
        <x:f>R598*'Parameters'!$C$19</x:f>
        <x:v>4.256944444444445</x:v>
      </x:c>
      <x:c r="T598" s="9" t="n">
        <x:f>Q598*(1-0.40)-R598</x:f>
        <x:v>6.811111111111111</x:v>
      </x:c>
    </x:row>
    <x:row r="599" ht="21" customHeight="1">
      <x:c r="A599" s="3" t="n">
        <x:v>9</x:v>
      </x:c>
      <x:c r="B599" s="3" t="str">
        <x:v>01:30</x:v>
      </x:c>
      <x:c r="C599" s="3" t="n">
        <x:v>2</x:v>
      </x:c>
      <x:c r="D599" s="3" t="n">
        <x:v>58</x:v>
      </x:c>
      <x:c r="E599" s="3" t="n">
        <x:v>10</x:v>
      </x:c>
      <x:c r="F599" s="3" t="n">
        <x:v>6</x:v>
      </x:c>
      <x:c r="G599" s="9" t="n">
        <x:v>0.14</x:v>
      </x:c>
      <x:c r="H599" s="9" t="n">
        <x:v>0.952676</x:v>
      </x:c>
      <x:c r="I599" s="9" t="n">
        <x:f>'Physical_Arcs'!R59</x:f>
        <x:v>6.305555555555555</x:v>
      </x:c>
      <x:c r="J599" s="9" t="n">
        <x:f>I599*'Parameters'!$C$18</x:f>
        <x:v>1.261111111111111</x:v>
      </x:c>
      <x:c r="K599" s="9" t="n">
        <x:f>J599*'Parameters'!$C$19</x:f>
        <x:v>1.5763888888888888</x:v>
      </x:c>
      <x:c r="L599" s="9" t="n">
        <x:f>I599*(1-0.40)-J599</x:f>
        <x:v>2.522222222222222</x:v>
      </x:c>
      <x:c r="M599" s="9" t="n">
        <x:f>'Physical_Arcs'!S59</x:f>
        <x:v>6.305555555555555</x:v>
      </x:c>
      <x:c r="N599" s="9" t="n">
        <x:f>M599*'Parameters'!$C$18</x:f>
        <x:v>1.261111111111111</x:v>
      </x:c>
      <x:c r="O599" s="9" t="n">
        <x:f>N599*'Parameters'!$C$19</x:f>
        <x:v>1.5763888888888888</x:v>
      </x:c>
      <x:c r="P599" s="9" t="n">
        <x:f>M599*(1-0.40)-N599</x:f>
        <x:v>2.522222222222222</x:v>
      </x:c>
      <x:c r="Q599" s="9" t="n">
        <x:f>'Physical_Arcs'!T59</x:f>
        <x:v>3.1666666666666665</x:v>
      </x:c>
      <x:c r="R599" s="9" t="n">
        <x:f>Q599*'Parameters'!$C$18</x:f>
        <x:v>0.6333333333333333</x:v>
      </x:c>
      <x:c r="S599" s="9" t="n">
        <x:f>R599*'Parameters'!$C$19</x:f>
        <x:v>0.7916666666666666</x:v>
      </x:c>
      <x:c r="T599" s="9" t="n">
        <x:f>Q599*(1-0.40)-R599</x:f>
        <x:v>1.2666666666666666</x:v>
      </x:c>
    </x:row>
    <x:row r="600" ht="21" customHeight="1">
      <x:c r="A600" s="3" t="n">
        <x:v>9</x:v>
      </x:c>
      <x:c r="B600" s="3" t="str">
        <x:v>01:30</x:v>
      </x:c>
      <x:c r="C600" s="3" t="n">
        <x:v>2</x:v>
      </x:c>
      <x:c r="D600" s="3" t="n">
        <x:v>59</x:v>
      </x:c>
      <x:c r="E600" s="3" t="n">
        <x:v>10</x:v>
      </x:c>
      <x:c r="F600" s="3" t="n">
        <x:v>4</x:v>
      </x:c>
      <x:c r="G600" s="9" t="n">
        <x:v>0.14</x:v>
      </x:c>
      <x:c r="H600" s="9" t="n">
        <x:v>1.114542</x:v>
      </x:c>
      <x:c r="I600" s="9" t="n">
        <x:f>'Physical_Arcs'!R60</x:f>
        <x:v>1.5833333333333333</x:v>
      </x:c>
      <x:c r="J600" s="9" t="n">
        <x:f>I600*'Parameters'!$C$18</x:f>
        <x:v>0.31666666666666665</x:v>
      </x:c>
      <x:c r="K600" s="9" t="n">
        <x:f>J600*'Parameters'!$C$19</x:f>
        <x:v>0.3958333333333333</x:v>
      </x:c>
      <x:c r="L600" s="9" t="n">
        <x:f>I600*(1-0.40)-J600</x:f>
        <x:v>0.6333333333333333</x:v>
      </x:c>
      <x:c r="M600" s="9" t="n">
        <x:f>'Physical_Arcs'!S60</x:f>
        <x:v>1.5833333333333333</x:v>
      </x:c>
      <x:c r="N600" s="9" t="n">
        <x:f>M600*'Parameters'!$C$18</x:f>
        <x:v>0.31666666666666665</x:v>
      </x:c>
      <x:c r="O600" s="9" t="n">
        <x:f>N600*'Parameters'!$C$19</x:f>
        <x:v>0.3958333333333333</x:v>
      </x:c>
      <x:c r="P600" s="9" t="n">
        <x:f>M600*(1-0.40)-N600</x:f>
        <x:v>0.6333333333333333</x:v>
      </x:c>
      <x:c r="Q600" s="9" t="n">
        <x:f>'Physical_Arcs'!T60</x:f>
        <x:v>0.8055555555555556</x:v>
      </x:c>
      <x:c r="R600" s="9" t="n">
        <x:f>Q600*'Parameters'!$C$18</x:f>
        <x:v>0.16111111111111112</x:v>
      </x:c>
      <x:c r="S600" s="9" t="n">
        <x:f>R600*'Parameters'!$C$19</x:f>
        <x:v>0.2013888888888889</x:v>
      </x:c>
      <x:c r="T600" s="9" t="n">
        <x:f>Q600*(1-0.40)-R600</x:f>
        <x:v>0.3222222222222222</x:v>
      </x:c>
    </x:row>
    <x:row r="601" ht="21" customHeight="1">
      <x:c r="A601" s="3" t="n">
        <x:v>9</x:v>
      </x:c>
      <x:c r="B601" s="3" t="str">
        <x:v>01:30</x:v>
      </x:c>
      <x:c r="C601" s="3" t="n">
        <x:v>2</x:v>
      </x:c>
      <x:c r="D601" s="3" t="n">
        <x:v>60</x:v>
      </x:c>
      <x:c r="E601" s="3" t="n">
        <x:v>10</x:v>
      </x:c>
      <x:c r="F601" s="3" t="n">
        <x:v>9</x:v>
      </x:c>
      <x:c r="G601" s="9" t="n">
        <x:v>0.14</x:v>
      </x:c>
      <x:c r="H601" s="9" t="n">
        <x:v>1.092245</x:v>
      </x:c>
      <x:c r="I601" s="9" t="n">
        <x:f>'Physical_Arcs'!R61</x:f>
        <x:v>10.333333333333334</x:v>
      </x:c>
      <x:c r="J601" s="9" t="n">
        <x:f>I601*'Parameters'!$C$18</x:f>
        <x:v>2.066666666666667</x:v>
      </x:c>
      <x:c r="K601" s="9" t="n">
        <x:f>J601*'Parameters'!$C$19</x:f>
        <x:v>2.5833333333333335</x:v>
      </x:c>
      <x:c r="L601" s="9" t="n">
        <x:f>I601*(1-0.40)-J601</x:f>
        <x:v>4.133333333333333</x:v>
      </x:c>
      <x:c r="M601" s="9" t="n">
        <x:f>'Physical_Arcs'!S61</x:f>
        <x:v>10.333333333333334</x:v>
      </x:c>
      <x:c r="N601" s="9" t="n">
        <x:f>M601*'Parameters'!$C$18</x:f>
        <x:v>2.066666666666667</x:v>
      </x:c>
      <x:c r="O601" s="9" t="n">
        <x:f>N601*'Parameters'!$C$19</x:f>
        <x:v>2.5833333333333335</x:v>
      </x:c>
      <x:c r="P601" s="9" t="n">
        <x:f>M601*(1-0.40)-N601</x:f>
        <x:v>4.133333333333333</x:v>
      </x:c>
      <x:c r="Q601" s="9" t="n">
        <x:f>'Physical_Arcs'!T61</x:f>
        <x:v>5.166666666666667</x:v>
      </x:c>
      <x:c r="R601" s="9" t="n">
        <x:f>Q601*'Parameters'!$C$18</x:f>
        <x:v>1.0333333333333334</x:v>
      </x:c>
      <x:c r="S601" s="9" t="n">
        <x:f>R601*'Parameters'!$C$19</x:f>
        <x:v>1.2916666666666667</x:v>
      </x:c>
      <x:c r="T601" s="9" t="n">
        <x:f>Q601*(1-0.40)-R601</x:f>
        <x:v>2.0666666666666664</x:v>
      </x:c>
    </x:row>
    <x:row r="602" ht="21" customHeight="1">
      <x:c r="A602" s="3" t="n">
        <x:v>10</x:v>
      </x:c>
      <x:c r="B602" s="3" t="str">
        <x:v>01:40</x:v>
      </x:c>
      <x:c r="C602" s="3" t="n">
        <x:v>2</x:v>
      </x:c>
      <x:c r="D602" s="3" t="n">
        <x:v>1</x:v>
      </x:c>
      <x:c r="E602" s="3" t="n">
        <x:v>1</x:v>
      </x:c>
      <x:c r="F602" s="3" t="n">
        <x:v>2</x:v>
      </x:c>
      <x:c r="G602" s="9" t="n">
        <x:v>0.14</x:v>
      </x:c>
      <x:c r="H602" s="9" t="n">
        <x:v>0.914787</x:v>
      </x:c>
      <x:c r="I602" s="9" t="n">
        <x:f>'Physical_Arcs'!R2</x:f>
        <x:v>17.02777777777778</x:v>
      </x:c>
      <x:c r="J602" s="9" t="n">
        <x:f>I602*'Parameters'!$C$18</x:f>
        <x:v>3.405555555555556</x:v>
      </x:c>
      <x:c r="K602" s="9" t="n">
        <x:f>J602*'Parameters'!$C$19</x:f>
        <x:v>4.256944444444445</x:v>
      </x:c>
      <x:c r="L602" s="9" t="n">
        <x:f>I602*(1-0.40)-J602</x:f>
        <x:v>6.811111111111111</x:v>
      </x:c>
      <x:c r="M602" s="9" t="n">
        <x:f>'Physical_Arcs'!S2</x:f>
        <x:v>17.02777777777778</x:v>
      </x:c>
      <x:c r="N602" s="9" t="n">
        <x:f>M602*'Parameters'!$C$18</x:f>
        <x:v>3.405555555555556</x:v>
      </x:c>
      <x:c r="O602" s="9" t="n">
        <x:f>N602*'Parameters'!$C$19</x:f>
        <x:v>4.256944444444445</x:v>
      </x:c>
      <x:c r="P602" s="9" t="n">
        <x:f>M602*(1-0.40)-N602</x:f>
        <x:v>6.811111111111111</x:v>
      </x:c>
      <x:c r="Q602" s="9" t="n">
        <x:f>'Physical_Arcs'!T2</x:f>
        <x:v>17.02777777777778</x:v>
      </x:c>
      <x:c r="R602" s="9" t="n">
        <x:f>Q602*'Parameters'!$C$18</x:f>
        <x:v>3.405555555555556</x:v>
      </x:c>
      <x:c r="S602" s="9" t="n">
        <x:f>R602*'Parameters'!$C$19</x:f>
        <x:v>4.256944444444445</x:v>
      </x:c>
      <x:c r="T602" s="9" t="n">
        <x:f>Q602*(1-0.40)-R602</x:f>
        <x:v>6.811111111111111</x:v>
      </x:c>
    </x:row>
    <x:row r="603" ht="21" customHeight="1">
      <x:c r="A603" s="3" t="n">
        <x:v>10</x:v>
      </x:c>
      <x:c r="B603" s="3" t="str">
        <x:v>01:40</x:v>
      </x:c>
      <x:c r="C603" s="3" t="n">
        <x:v>2</x:v>
      </x:c>
      <x:c r="D603" s="3" t="n">
        <x:v>2</x:v>
      </x:c>
      <x:c r="E603" s="3" t="n">
        <x:v>1</x:v>
      </x:c>
      <x:c r="F603" s="3" t="n">
        <x:v>10</x:v>
      </x:c>
      <x:c r="G603" s="9" t="n">
        <x:v>0.14</x:v>
      </x:c>
      <x:c r="H603" s="9" t="n">
        <x:v>1.003995</x:v>
      </x:c>
      <x:c r="I603" s="9" t="n">
        <x:f>'Physical_Arcs'!R3</x:f>
        <x:v>3.2777777777777777</x:v>
      </x:c>
      <x:c r="J603" s="9" t="n">
        <x:f>I603*'Parameters'!$C$18</x:f>
        <x:v>0.6555555555555556</x:v>
      </x:c>
      <x:c r="K603" s="9" t="n">
        <x:f>J603*'Parameters'!$C$19</x:f>
        <x:v>0.8194444444444444</x:v>
      </x:c>
      <x:c r="L603" s="9" t="n">
        <x:f>I603*(1-0.40)-J603</x:f>
        <x:v>1.311111111111111</x:v>
      </x:c>
      <x:c r="M603" s="9" t="n">
        <x:f>'Physical_Arcs'!S3</x:f>
        <x:v>3.2777777777777777</x:v>
      </x:c>
      <x:c r="N603" s="9" t="n">
        <x:f>M603*'Parameters'!$C$18</x:f>
        <x:v>0.6555555555555556</x:v>
      </x:c>
      <x:c r="O603" s="9" t="n">
        <x:f>N603*'Parameters'!$C$19</x:f>
        <x:v>0.8194444444444444</x:v>
      </x:c>
      <x:c r="P603" s="9" t="n">
        <x:f>M603*(1-0.40)-N603</x:f>
        <x:v>1.311111111111111</x:v>
      </x:c>
      <x:c r="Q603" s="9" t="n">
        <x:f>'Physical_Arcs'!T3</x:f>
        <x:v>1.6388888888888888</x:v>
      </x:c>
      <x:c r="R603" s="9" t="n">
        <x:f>Q603*'Parameters'!$C$18</x:f>
        <x:v>0.3277777777777778</x:v>
      </x:c>
      <x:c r="S603" s="9" t="n">
        <x:f>R603*'Parameters'!$C$19</x:f>
        <x:v>0.4097222222222222</x:v>
      </x:c>
      <x:c r="T603" s="9" t="n">
        <x:f>Q603*(1-0.40)-R603</x:f>
        <x:v>0.6555555555555554</x:v>
      </x:c>
    </x:row>
    <x:row r="604" ht="21" customHeight="1">
      <x:c r="A604" s="3" t="n">
        <x:v>10</x:v>
      </x:c>
      <x:c r="B604" s="3" t="str">
        <x:v>01:40</x:v>
      </x:c>
      <x:c r="C604" s="3" t="n">
        <x:v>2</x:v>
      </x:c>
      <x:c r="D604" s="3" t="n">
        <x:v>3</x:v>
      </x:c>
      <x:c r="E604" s="3" t="n">
        <x:v>1</x:v>
      </x:c>
      <x:c r="F604" s="3" t="n">
        <x:v>8</x:v>
      </x:c>
      <x:c r="G604" s="9" t="n">
        <x:v>0.14</x:v>
      </x:c>
      <x:c r="H604" s="9" t="n">
        <x:v>0.923863</x:v>
      </x:c>
      <x:c r="I604" s="9" t="n">
        <x:f>'Physical_Arcs'!R4</x:f>
        <x:v>6.083333333333333</x:v>
      </x:c>
      <x:c r="J604" s="9" t="n">
        <x:f>I604*'Parameters'!$C$18</x:f>
        <x:v>1.2166666666666668</x:v>
      </x:c>
      <x:c r="K604" s="9" t="n">
        <x:f>J604*'Parameters'!$C$19</x:f>
        <x:v>1.5208333333333335</x:v>
      </x:c>
      <x:c r="L604" s="9" t="n">
        <x:f>I604*(1-0.40)-J604</x:f>
        <x:v>2.4333333333333327</x:v>
      </x:c>
      <x:c r="M604" s="9" t="n">
        <x:f>'Physical_Arcs'!S4</x:f>
        <x:v>6.083333333333333</x:v>
      </x:c>
      <x:c r="N604" s="9" t="n">
        <x:f>M604*'Parameters'!$C$18</x:f>
        <x:v>1.2166666666666668</x:v>
      </x:c>
      <x:c r="O604" s="9" t="n">
        <x:f>N604*'Parameters'!$C$19</x:f>
        <x:v>1.5208333333333335</x:v>
      </x:c>
      <x:c r="P604" s="9" t="n">
        <x:f>M604*(1-0.40)-N604</x:f>
        <x:v>2.4333333333333327</x:v>
      </x:c>
      <x:c r="Q604" s="9" t="n">
        <x:f>'Physical_Arcs'!T4</x:f>
        <x:v>3.0555555555555554</x:v>
      </x:c>
      <x:c r="R604" s="9" t="n">
        <x:f>Q604*'Parameters'!$C$18</x:f>
        <x:v>0.6111111111111112</x:v>
      </x:c>
      <x:c r="S604" s="9" t="n">
        <x:f>R604*'Parameters'!$C$19</x:f>
        <x:v>0.763888888888889</x:v>
      </x:c>
      <x:c r="T604" s="9" t="n">
        <x:f>Q604*(1-0.40)-R604</x:f>
        <x:v>1.2222222222222219</x:v>
      </x:c>
    </x:row>
    <x:row r="605" ht="21" customHeight="1">
      <x:c r="A605" s="3" t="n">
        <x:v>10</x:v>
      </x:c>
      <x:c r="B605" s="3" t="str">
        <x:v>01:40</x:v>
      </x:c>
      <x:c r="C605" s="3" t="n">
        <x:v>2</x:v>
      </x:c>
      <x:c r="D605" s="3" t="n">
        <x:v>4</x:v>
      </x:c>
      <x:c r="E605" s="3" t="n">
        <x:v>1</x:v>
      </x:c>
      <x:c r="F605" s="3" t="n">
        <x:v>7</x:v>
      </x:c>
      <x:c r="G605" s="9" t="n">
        <x:v>0.14</x:v>
      </x:c>
      <x:c r="H605" s="9" t="n">
        <x:v>1.111072</x:v>
      </x:c>
      <x:c r="I605" s="9" t="n">
        <x:f>'Physical_Arcs'!R5</x:f>
        <x:v>9</x:v>
      </x:c>
      <x:c r="J605" s="9" t="n">
        <x:f>I605*'Parameters'!$C$18</x:f>
        <x:v>1.8</x:v>
      </x:c>
      <x:c r="K605" s="9" t="n">
        <x:f>J605*'Parameters'!$C$19</x:f>
        <x:v>2.25</x:v>
      </x:c>
      <x:c r="L605" s="9" t="n">
        <x:f>I605*(1-0.40)-J605</x:f>
        <x:v>3.5999999999999996</x:v>
      </x:c>
      <x:c r="M605" s="9" t="n">
        <x:f>'Physical_Arcs'!S5</x:f>
        <x:v>9</x:v>
      </x:c>
      <x:c r="N605" s="9" t="n">
        <x:f>M605*'Parameters'!$C$18</x:f>
        <x:v>1.8</x:v>
      </x:c>
      <x:c r="O605" s="9" t="n">
        <x:f>N605*'Parameters'!$C$19</x:f>
        <x:v>2.25</x:v>
      </x:c>
      <x:c r="P605" s="9" t="n">
        <x:f>M605*(1-0.40)-N605</x:f>
        <x:v>3.5999999999999996</x:v>
      </x:c>
      <x:c r="Q605" s="9" t="n">
        <x:f>'Physical_Arcs'!T5</x:f>
        <x:v>4.5</x:v>
      </x:c>
      <x:c r="R605" s="9" t="n">
        <x:f>Q605*'Parameters'!$C$18</x:f>
        <x:v>0.9</x:v>
      </x:c>
      <x:c r="S605" s="9" t="n">
        <x:f>R605*'Parameters'!$C$19</x:f>
        <x:v>1.125</x:v>
      </x:c>
      <x:c r="T605" s="9" t="n">
        <x:f>Q605*(1-0.40)-R605</x:f>
        <x:v>1.7999999999999998</x:v>
      </x:c>
    </x:row>
    <x:row r="606" ht="21" customHeight="1">
      <x:c r="A606" s="3" t="n">
        <x:v>10</x:v>
      </x:c>
      <x:c r="B606" s="3" t="str">
        <x:v>01:40</x:v>
      </x:c>
      <x:c r="C606" s="3" t="n">
        <x:v>2</x:v>
      </x:c>
      <x:c r="D606" s="3" t="n">
        <x:v>5</x:v>
      </x:c>
      <x:c r="E606" s="3" t="n">
        <x:v>1</x:v>
      </x:c>
      <x:c r="F606" s="3" t="n">
        <x:v>4</x:v>
      </x:c>
      <x:c r="G606" s="9" t="n">
        <x:v>0.14</x:v>
      </x:c>
      <x:c r="H606" s="9" t="n">
        <x:v>1.001665</x:v>
      </x:c>
      <x:c r="I606" s="9" t="n">
        <x:f>'Physical_Arcs'!R6</x:f>
        <x:v>4.166666666666667</x:v>
      </x:c>
      <x:c r="J606" s="9" t="n">
        <x:f>I606*'Parameters'!$C$18</x:f>
        <x:v>0.8333333333333335</x:v>
      </x:c>
      <x:c r="K606" s="9" t="n">
        <x:f>J606*'Parameters'!$C$19</x:f>
        <x:v>1.041666666666667</x:v>
      </x:c>
      <x:c r="L606" s="9" t="n">
        <x:f>I606*(1-0.40)-J606</x:f>
        <x:v>1.6666666666666665</x:v>
      </x:c>
      <x:c r="M606" s="9" t="n">
        <x:f>'Physical_Arcs'!S6</x:f>
        <x:v>4.166666666666667</x:v>
      </x:c>
      <x:c r="N606" s="9" t="n">
        <x:f>M606*'Parameters'!$C$18</x:f>
        <x:v>0.8333333333333335</x:v>
      </x:c>
      <x:c r="O606" s="9" t="n">
        <x:f>N606*'Parameters'!$C$19</x:f>
        <x:v>1.041666666666667</x:v>
      </x:c>
      <x:c r="P606" s="9" t="n">
        <x:f>M606*(1-0.40)-N606</x:f>
        <x:v>1.6666666666666665</x:v>
      </x:c>
      <x:c r="Q606" s="9" t="n">
        <x:f>'Physical_Arcs'!T6</x:f>
        <x:v>2.0833333333333335</x:v>
      </x:c>
      <x:c r="R606" s="9" t="n">
        <x:f>Q606*'Parameters'!$C$18</x:f>
        <x:v>0.41666666666666674</x:v>
      </x:c>
      <x:c r="S606" s="9" t="n">
        <x:f>R606*'Parameters'!$C$19</x:f>
        <x:v>0.5208333333333335</x:v>
      </x:c>
      <x:c r="T606" s="9" t="n">
        <x:f>Q606*(1-0.40)-R606</x:f>
        <x:v>0.8333333333333333</x:v>
      </x:c>
    </x:row>
    <x:row r="607" ht="21" customHeight="1">
      <x:c r="A607" s="3" t="n">
        <x:v>10</x:v>
      </x:c>
      <x:c r="B607" s="3" t="str">
        <x:v>01:40</x:v>
      </x:c>
      <x:c r="C607" s="3" t="n">
        <x:v>2</x:v>
      </x:c>
      <x:c r="D607" s="3" t="n">
        <x:v>6</x:v>
      </x:c>
      <x:c r="E607" s="3" t="n">
        <x:v>1</x:v>
      </x:c>
      <x:c r="F607" s="3" t="n">
        <x:v>9</x:v>
      </x:c>
      <x:c r="G607" s="9" t="n">
        <x:v>0.14</x:v>
      </x:c>
      <x:c r="H607" s="9" t="n">
        <x:v>0.942884</x:v>
      </x:c>
      <x:c r="I607" s="9" t="n">
        <x:f>'Physical_Arcs'!R7</x:f>
        <x:v>11.027777777777779</x:v>
      </x:c>
      <x:c r="J607" s="9" t="n">
        <x:f>I607*'Parameters'!$C$18</x:f>
        <x:v>2.2055555555555557</x:v>
      </x:c>
      <x:c r="K607" s="9" t="n">
        <x:f>J607*'Parameters'!$C$19</x:f>
        <x:v>2.7569444444444446</x:v>
      </x:c>
      <x:c r="L607" s="9" t="n">
        <x:f>I607*(1-0.40)-J607</x:f>
        <x:v>4.411111111111111</x:v>
      </x:c>
      <x:c r="M607" s="9" t="n">
        <x:f>'Physical_Arcs'!S7</x:f>
        <x:v>11.027777777777779</x:v>
      </x:c>
      <x:c r="N607" s="9" t="n">
        <x:f>M607*'Parameters'!$C$18</x:f>
        <x:v>2.2055555555555557</x:v>
      </x:c>
      <x:c r="O607" s="9" t="n">
        <x:f>N607*'Parameters'!$C$19</x:f>
        <x:v>2.7569444444444446</x:v>
      </x:c>
      <x:c r="P607" s="9" t="n">
        <x:f>M607*(1-0.40)-N607</x:f>
        <x:v>4.411111111111111</x:v>
      </x:c>
      <x:c r="Q607" s="9" t="n">
        <x:f>'Physical_Arcs'!T7</x:f>
        <x:v>5.527777777777778</x:v>
      </x:c>
      <x:c r="R607" s="9" t="n">
        <x:f>Q607*'Parameters'!$C$18</x:f>
        <x:v>1.1055555555555556</x:v>
      </x:c>
      <x:c r="S607" s="9" t="n">
        <x:f>R607*'Parameters'!$C$19</x:f>
        <x:v>1.3819444444444446</x:v>
      </x:c>
      <x:c r="T607" s="9" t="n">
        <x:f>Q607*(1-0.40)-R607</x:f>
        <x:v>2.211111111111111</x:v>
      </x:c>
    </x:row>
    <x:row r="608" ht="21" customHeight="1">
      <x:c r="A608" s="3" t="n">
        <x:v>10</x:v>
      </x:c>
      <x:c r="B608" s="3" t="str">
        <x:v>01:40</x:v>
      </x:c>
      <x:c r="C608" s="3" t="n">
        <x:v>2</x:v>
      </x:c>
      <x:c r="D608" s="3" t="n">
        <x:v>7</x:v>
      </x:c>
      <x:c r="E608" s="3" t="n">
        <x:v>1</x:v>
      </x:c>
      <x:c r="F608" s="3" t="n">
        <x:v>5</x:v>
      </x:c>
      <x:c r="G608" s="9" t="n">
        <x:v>0.14</x:v>
      </x:c>
      <x:c r="H608" s="9" t="n">
        <x:v>1.038222</x:v>
      </x:c>
      <x:c r="I608" s="9" t="n">
        <x:f>'Physical_Arcs'!R8</x:f>
        <x:v>7.972222222222222</x:v>
      </x:c>
      <x:c r="J608" s="9" t="n">
        <x:f>I608*'Parameters'!$C$18</x:f>
        <x:v>1.5944444444444446</x:v>
      </x:c>
      <x:c r="K608" s="9" t="n">
        <x:f>J608*'Parameters'!$C$19</x:f>
        <x:v>1.9930555555555558</x:v>
      </x:c>
      <x:c r="L608" s="9" t="n">
        <x:f>I608*(1-0.40)-J608</x:f>
        <x:v>3.1888888888888887</x:v>
      </x:c>
      <x:c r="M608" s="9" t="n">
        <x:f>'Physical_Arcs'!S8</x:f>
        <x:v>7.972222222222222</x:v>
      </x:c>
      <x:c r="N608" s="9" t="n">
        <x:f>M608*'Parameters'!$C$18</x:f>
        <x:v>1.5944444444444446</x:v>
      </x:c>
      <x:c r="O608" s="9" t="n">
        <x:f>N608*'Parameters'!$C$19</x:f>
        <x:v>1.9930555555555558</x:v>
      </x:c>
      <x:c r="P608" s="9" t="n">
        <x:f>M608*(1-0.40)-N608</x:f>
        <x:v>3.1888888888888887</x:v>
      </x:c>
      <x:c r="Q608" s="9" t="n">
        <x:f>'Physical_Arcs'!T8</x:f>
        <x:v>4</x:v>
      </x:c>
      <x:c r="R608" s="9" t="n">
        <x:f>Q608*'Parameters'!$C$18</x:f>
        <x:v>0.8</x:v>
      </x:c>
      <x:c r="S608" s="9" t="n">
        <x:f>R608*'Parameters'!$C$19</x:f>
        <x:v>1</x:v>
      </x:c>
      <x:c r="T608" s="9" t="n">
        <x:f>Q608*(1-0.40)-R608</x:f>
        <x:v>1.5999999999999999</x:v>
      </x:c>
    </x:row>
    <x:row r="609" ht="21" customHeight="1">
      <x:c r="A609" s="3" t="n">
        <x:v>10</x:v>
      </x:c>
      <x:c r="B609" s="3" t="str">
        <x:v>01:40</x:v>
      </x:c>
      <x:c r="C609" s="3" t="n">
        <x:v>2</x:v>
      </x:c>
      <x:c r="D609" s="3" t="n">
        <x:v>8</x:v>
      </x:c>
      <x:c r="E609" s="3" t="n">
        <x:v>1</x:v>
      </x:c>
      <x:c r="F609" s="3" t="n">
        <x:v>3</x:v>
      </x:c>
      <x:c r="G609" s="9" t="n">
        <x:v>0.14</x:v>
      </x:c>
      <x:c r="H609" s="9" t="n">
        <x:v>1.122297</x:v>
      </x:c>
      <x:c r="I609" s="9" t="n">
        <x:f>'Physical_Arcs'!R9</x:f>
        <x:v>4.166666666666667</x:v>
      </x:c>
      <x:c r="J609" s="9" t="n">
        <x:f>I609*'Parameters'!$C$18</x:f>
        <x:v>0.8333333333333335</x:v>
      </x:c>
      <x:c r="K609" s="9" t="n">
        <x:f>J609*'Parameters'!$C$19</x:f>
        <x:v>1.041666666666667</x:v>
      </x:c>
      <x:c r="L609" s="9" t="n">
        <x:f>I609*(1-0.40)-J609</x:f>
        <x:v>1.6666666666666665</x:v>
      </x:c>
      <x:c r="M609" s="9" t="n">
        <x:f>'Physical_Arcs'!S9</x:f>
        <x:v>4.166666666666667</x:v>
      </x:c>
      <x:c r="N609" s="9" t="n">
        <x:f>M609*'Parameters'!$C$18</x:f>
        <x:v>0.8333333333333335</x:v>
      </x:c>
      <x:c r="O609" s="9" t="n">
        <x:f>N609*'Parameters'!$C$19</x:f>
        <x:v>1.041666666666667</x:v>
      </x:c>
      <x:c r="P609" s="9" t="n">
        <x:f>M609*(1-0.40)-N609</x:f>
        <x:v>1.6666666666666665</x:v>
      </x:c>
      <x:c r="Q609" s="9" t="n">
        <x:f>'Physical_Arcs'!T9</x:f>
        <x:v>2.0833333333333335</x:v>
      </x:c>
      <x:c r="R609" s="9" t="n">
        <x:f>Q609*'Parameters'!$C$18</x:f>
        <x:v>0.41666666666666674</x:v>
      </x:c>
      <x:c r="S609" s="9" t="n">
        <x:f>R609*'Parameters'!$C$19</x:f>
        <x:v>0.5208333333333335</x:v>
      </x:c>
      <x:c r="T609" s="9" t="n">
        <x:f>Q609*(1-0.40)-R609</x:f>
        <x:v>0.8333333333333333</x:v>
      </x:c>
    </x:row>
    <x:row r="610" ht="21" customHeight="1">
      <x:c r="A610" s="3" t="n">
        <x:v>10</x:v>
      </x:c>
      <x:c r="B610" s="3" t="str">
        <x:v>01:40</x:v>
      </x:c>
      <x:c r="C610" s="3" t="n">
        <x:v>2</x:v>
      </x:c>
      <x:c r="D610" s="3" t="n">
        <x:v>9</x:v>
      </x:c>
      <x:c r="E610" s="3" t="n">
        <x:v>1</x:v>
      </x:c>
      <x:c r="F610" s="3" t="n">
        <x:v>6</x:v>
      </x:c>
      <x:c r="G610" s="9" t="n">
        <x:v>0.14</x:v>
      </x:c>
      <x:c r="H610" s="9" t="n">
        <x:v>1.132682</x:v>
      </x:c>
      <x:c r="I610" s="9" t="n">
        <x:f>'Physical_Arcs'!R10</x:f>
        <x:v>2.138888888888889</x:v>
      </x:c>
      <x:c r="J610" s="9" t="n">
        <x:f>I610*'Parameters'!$C$18</x:f>
        <x:v>0.4277777777777778</x:v>
      </x:c>
      <x:c r="K610" s="9" t="n">
        <x:f>J610*'Parameters'!$C$19</x:f>
        <x:v>0.5347222222222223</x:v>
      </x:c>
      <x:c r="L610" s="9" t="n">
        <x:f>I610*(1-0.40)-J610</x:f>
        <x:v>0.8555555555555554</x:v>
      </x:c>
      <x:c r="M610" s="9" t="n">
        <x:f>'Physical_Arcs'!S10</x:f>
        <x:v>2.138888888888889</x:v>
      </x:c>
      <x:c r="N610" s="9" t="n">
        <x:f>M610*'Parameters'!$C$18</x:f>
        <x:v>0.4277777777777778</x:v>
      </x:c>
      <x:c r="O610" s="9" t="n">
        <x:f>N610*'Parameters'!$C$19</x:f>
        <x:v>0.5347222222222223</x:v>
      </x:c>
      <x:c r="P610" s="9" t="n">
        <x:f>M610*(1-0.40)-N610</x:f>
        <x:v>0.8555555555555554</x:v>
      </x:c>
      <x:c r="Q610" s="9" t="n">
        <x:f>'Physical_Arcs'!T10</x:f>
        <x:v>1.0833333333333333</x:v>
      </x:c>
      <x:c r="R610" s="9" t="n">
        <x:f>Q610*'Parameters'!$C$18</x:f>
        <x:v>0.21666666666666667</x:v>
      </x:c>
      <x:c r="S610" s="9" t="n">
        <x:f>R610*'Parameters'!$C$19</x:f>
        <x:v>0.27083333333333337</x:v>
      </x:c>
      <x:c r="T610" s="9" t="n">
        <x:f>Q610*(1-0.40)-R610</x:f>
        <x:v>0.43333333333333324</x:v>
      </x:c>
    </x:row>
    <x:row r="611" ht="21" customHeight="1">
      <x:c r="A611" s="3" t="n">
        <x:v>10</x:v>
      </x:c>
      <x:c r="B611" s="3" t="str">
        <x:v>01:40</x:v>
      </x:c>
      <x:c r="C611" s="3" t="n">
        <x:v>2</x:v>
      </x:c>
      <x:c r="D611" s="3" t="n">
        <x:v>10</x:v>
      </x:c>
      <x:c r="E611" s="3" t="n">
        <x:v>2</x:v>
      </x:c>
      <x:c r="F611" s="3" t="n">
        <x:v>3</x:v>
      </x:c>
      <x:c r="G611" s="9" t="n">
        <x:v>0.14</x:v>
      </x:c>
      <x:c r="H611" s="9" t="n">
        <x:v>0.871154</x:v>
      </x:c>
      <x:c r="I611" s="9" t="n">
        <x:f>'Physical_Arcs'!R11</x:f>
        <x:v>17.02777777777778</x:v>
      </x:c>
      <x:c r="J611" s="9" t="n">
        <x:f>I611*'Parameters'!$C$18</x:f>
        <x:v>3.405555555555556</x:v>
      </x:c>
      <x:c r="K611" s="9" t="n">
        <x:f>J611*'Parameters'!$C$19</x:f>
        <x:v>4.256944444444445</x:v>
      </x:c>
      <x:c r="L611" s="9" t="n">
        <x:f>I611*(1-0.40)-J611</x:f>
        <x:v>6.811111111111111</x:v>
      </x:c>
      <x:c r="M611" s="9" t="n">
        <x:f>'Physical_Arcs'!S11</x:f>
        <x:v>17.02777777777778</x:v>
      </x:c>
      <x:c r="N611" s="9" t="n">
        <x:f>M611*'Parameters'!$C$18</x:f>
        <x:v>3.405555555555556</x:v>
      </x:c>
      <x:c r="O611" s="9" t="n">
        <x:f>N611*'Parameters'!$C$19</x:f>
        <x:v>4.256944444444445</x:v>
      </x:c>
      <x:c r="P611" s="9" t="n">
        <x:f>M611*(1-0.40)-N611</x:f>
        <x:v>6.811111111111111</x:v>
      </x:c>
      <x:c r="Q611" s="9" t="n">
        <x:f>'Physical_Arcs'!T11</x:f>
        <x:v>17.02777777777778</x:v>
      </x:c>
      <x:c r="R611" s="9" t="n">
        <x:f>Q611*'Parameters'!$C$18</x:f>
        <x:v>3.405555555555556</x:v>
      </x:c>
      <x:c r="S611" s="9" t="n">
        <x:f>R611*'Parameters'!$C$19</x:f>
        <x:v>4.256944444444445</x:v>
      </x:c>
      <x:c r="T611" s="9" t="n">
        <x:f>Q611*(1-0.40)-R611</x:f>
        <x:v>6.811111111111111</x:v>
      </x:c>
    </x:row>
    <x:row r="612" ht="21" customHeight="1">
      <x:c r="A612" s="3" t="n">
        <x:v>10</x:v>
      </x:c>
      <x:c r="B612" s="3" t="str">
        <x:v>01:40</x:v>
      </x:c>
      <x:c r="C612" s="3" t="n">
        <x:v>2</x:v>
      </x:c>
      <x:c r="D612" s="3" t="n">
        <x:v>11</x:v>
      </x:c>
      <x:c r="E612" s="3" t="n">
        <x:v>2</x:v>
      </x:c>
      <x:c r="F612" s="3" t="n">
        <x:v>4</x:v>
      </x:c>
      <x:c r="G612" s="9" t="n">
        <x:v>0.14</x:v>
      </x:c>
      <x:c r="H612" s="9" t="n">
        <x:v>1.147412</x:v>
      </x:c>
      <x:c r="I612" s="9" t="n">
        <x:f>'Physical_Arcs'!R12</x:f>
        <x:v>7.972222222222222</x:v>
      </x:c>
      <x:c r="J612" s="9" t="n">
        <x:f>I612*'Parameters'!$C$18</x:f>
        <x:v>1.5944444444444446</x:v>
      </x:c>
      <x:c r="K612" s="9" t="n">
        <x:f>J612*'Parameters'!$C$19</x:f>
        <x:v>1.9930555555555558</x:v>
      </x:c>
      <x:c r="L612" s="9" t="n">
        <x:f>I612*(1-0.40)-J612</x:f>
        <x:v>3.1888888888888887</x:v>
      </x:c>
      <x:c r="M612" s="9" t="n">
        <x:f>'Physical_Arcs'!S12</x:f>
        <x:v>7.972222222222222</x:v>
      </x:c>
      <x:c r="N612" s="9" t="n">
        <x:f>M612*'Parameters'!$C$18</x:f>
        <x:v>1.5944444444444446</x:v>
      </x:c>
      <x:c r="O612" s="9" t="n">
        <x:f>N612*'Parameters'!$C$19</x:f>
        <x:v>1.9930555555555558</x:v>
      </x:c>
      <x:c r="P612" s="9" t="n">
        <x:f>M612*(1-0.40)-N612</x:f>
        <x:v>3.1888888888888887</x:v>
      </x:c>
      <x:c r="Q612" s="9" t="n">
        <x:f>'Physical_Arcs'!T12</x:f>
        <x:v>4</x:v>
      </x:c>
      <x:c r="R612" s="9" t="n">
        <x:f>Q612*'Parameters'!$C$18</x:f>
        <x:v>0.8</x:v>
      </x:c>
      <x:c r="S612" s="9" t="n">
        <x:f>R612*'Parameters'!$C$19</x:f>
        <x:v>1</x:v>
      </x:c>
      <x:c r="T612" s="9" t="n">
        <x:f>Q612*(1-0.40)-R612</x:f>
        <x:v>1.5999999999999999</x:v>
      </x:c>
    </x:row>
    <x:row r="613" ht="21" customHeight="1">
      <x:c r="A613" s="3" t="n">
        <x:v>10</x:v>
      </x:c>
      <x:c r="B613" s="3" t="str">
        <x:v>01:40</x:v>
      </x:c>
      <x:c r="C613" s="3" t="n">
        <x:v>2</x:v>
      </x:c>
      <x:c r="D613" s="3" t="n">
        <x:v>12</x:v>
      </x:c>
      <x:c r="E613" s="3" t="n">
        <x:v>2</x:v>
      </x:c>
      <x:c r="F613" s="3" t="n">
        <x:v>7</x:v>
      </x:c>
      <x:c r="G613" s="9" t="n">
        <x:v>0.14</x:v>
      </x:c>
      <x:c r="H613" s="9" t="n">
        <x:v>0.96729</x:v>
      </x:c>
      <x:c r="I613" s="9" t="n">
        <x:f>'Physical_Arcs'!R13</x:f>
        <x:v>4.611111111111111</x:v>
      </x:c>
      <x:c r="J613" s="9" t="n">
        <x:f>I613*'Parameters'!$C$18</x:f>
        <x:v>0.9222222222222222</x:v>
      </x:c>
      <x:c r="K613" s="9" t="n">
        <x:f>J613*'Parameters'!$C$19</x:f>
        <x:v>1.1527777777777777</x:v>
      </x:c>
      <x:c r="L613" s="9" t="n">
        <x:f>I613*(1-0.40)-J613</x:f>
        <x:v>1.844444444444444</x:v>
      </x:c>
      <x:c r="M613" s="9" t="n">
        <x:f>'Physical_Arcs'!S13</x:f>
        <x:v>4.611111111111111</x:v>
      </x:c>
      <x:c r="N613" s="9" t="n">
        <x:f>M613*'Parameters'!$C$18</x:f>
        <x:v>0.9222222222222222</x:v>
      </x:c>
      <x:c r="O613" s="9" t="n">
        <x:f>N613*'Parameters'!$C$19</x:f>
        <x:v>1.1527777777777777</x:v>
      </x:c>
      <x:c r="P613" s="9" t="n">
        <x:f>M613*(1-0.40)-N613</x:f>
        <x:v>1.844444444444444</x:v>
      </x:c>
      <x:c r="Q613" s="9" t="n">
        <x:f>'Physical_Arcs'!T13</x:f>
        <x:v>2.3055555555555554</x:v>
      </x:c>
      <x:c r="R613" s="9" t="n">
        <x:f>Q613*'Parameters'!$C$18</x:f>
        <x:v>0.4611111111111111</x:v>
      </x:c>
      <x:c r="S613" s="9" t="n">
        <x:f>R613*'Parameters'!$C$19</x:f>
        <x:v>0.5763888888888888</x:v>
      </x:c>
      <x:c r="T613" s="9" t="n">
        <x:f>Q613*(1-0.40)-R613</x:f>
        <x:v>0.922222222222222</x:v>
      </x:c>
    </x:row>
    <x:row r="614" ht="21" customHeight="1">
      <x:c r="A614" s="3" t="n">
        <x:v>10</x:v>
      </x:c>
      <x:c r="B614" s="3" t="str">
        <x:v>01:40</x:v>
      </x:c>
      <x:c r="C614" s="3" t="n">
        <x:v>2</x:v>
      </x:c>
      <x:c r="D614" s="3" t="n">
        <x:v>13</x:v>
      </x:c>
      <x:c r="E614" s="3" t="n">
        <x:v>2</x:v>
      </x:c>
      <x:c r="F614" s="3" t="n">
        <x:v>9</x:v>
      </x:c>
      <x:c r="G614" s="9" t="n">
        <x:v>0.14</x:v>
      </x:c>
      <x:c r="H614" s="9" t="n">
        <x:v>1.117625</x:v>
      </x:c>
      <x:c r="I614" s="9" t="n">
        <x:f>'Physical_Arcs'!R14</x:f>
        <x:v>8.666666666666666</x:v>
      </x:c>
      <x:c r="J614" s="9" t="n">
        <x:f>I614*'Parameters'!$C$18</x:f>
        <x:v>1.7333333333333334</x:v>
      </x:c>
      <x:c r="K614" s="9" t="n">
        <x:f>J614*'Parameters'!$C$19</x:f>
        <x:v>2.166666666666667</x:v>
      </x:c>
      <x:c r="L614" s="9" t="n">
        <x:f>I614*(1-0.40)-J614</x:f>
        <x:v>3.466666666666666</x:v>
      </x:c>
      <x:c r="M614" s="9" t="n">
        <x:f>'Physical_Arcs'!S14</x:f>
        <x:v>8.666666666666666</x:v>
      </x:c>
      <x:c r="N614" s="9" t="n">
        <x:f>M614*'Parameters'!$C$18</x:f>
        <x:v>1.7333333333333334</x:v>
      </x:c>
      <x:c r="O614" s="9" t="n">
        <x:f>N614*'Parameters'!$C$19</x:f>
        <x:v>2.166666666666667</x:v>
      </x:c>
      <x:c r="P614" s="9" t="n">
        <x:f>M614*(1-0.40)-N614</x:f>
        <x:v>3.466666666666666</x:v>
      </x:c>
      <x:c r="Q614" s="9" t="n">
        <x:f>'Physical_Arcs'!T14</x:f>
        <x:v>4.333333333333333</x:v>
      </x:c>
      <x:c r="R614" s="9" t="n">
        <x:f>Q614*'Parameters'!$C$18</x:f>
        <x:v>0.8666666666666667</x:v>
      </x:c>
      <x:c r="S614" s="9" t="n">
        <x:f>R614*'Parameters'!$C$19</x:f>
        <x:v>1.0833333333333335</x:v>
      </x:c>
      <x:c r="T614" s="9" t="n">
        <x:f>Q614*(1-0.40)-R614</x:f>
        <x:v>1.733333333333333</x:v>
      </x:c>
    </x:row>
    <x:row r="615" ht="21" customHeight="1">
      <x:c r="A615" s="3" t="n">
        <x:v>10</x:v>
      </x:c>
      <x:c r="B615" s="3" t="str">
        <x:v>01:40</x:v>
      </x:c>
      <x:c r="C615" s="3" t="n">
        <x:v>2</x:v>
      </x:c>
      <x:c r="D615" s="3" t="n">
        <x:v>14</x:v>
      </x:c>
      <x:c r="E615" s="3" t="n">
        <x:v>2</x:v>
      </x:c>
      <x:c r="F615" s="3" t="n">
        <x:v>8</x:v>
      </x:c>
      <x:c r="G615" s="9" t="n">
        <x:v>0.14</x:v>
      </x:c>
      <x:c r="H615" s="9" t="n">
        <x:v>1.144902</x:v>
      </x:c>
      <x:c r="I615" s="9" t="n">
        <x:f>'Physical_Arcs'!R15</x:f>
        <x:v>7.75</x:v>
      </x:c>
      <x:c r="J615" s="9" t="n">
        <x:f>I615*'Parameters'!$C$18</x:f>
        <x:v>1.55</x:v>
      </x:c>
      <x:c r="K615" s="9" t="n">
        <x:f>J615*'Parameters'!$C$19</x:f>
        <x:v>1.9375</x:v>
      </x:c>
      <x:c r="L615" s="9" t="n">
        <x:f>I615*(1-0.40)-J615</x:f>
        <x:v>3.0999999999999996</x:v>
      </x:c>
      <x:c r="M615" s="9" t="n">
        <x:f>'Physical_Arcs'!S15</x:f>
        <x:v>7.75</x:v>
      </x:c>
      <x:c r="N615" s="9" t="n">
        <x:f>M615*'Parameters'!$C$18</x:f>
        <x:v>1.55</x:v>
      </x:c>
      <x:c r="O615" s="9" t="n">
        <x:f>N615*'Parameters'!$C$19</x:f>
        <x:v>1.9375</x:v>
      </x:c>
      <x:c r="P615" s="9" t="n">
        <x:f>M615*(1-0.40)-N615</x:f>
        <x:v>3.0999999999999996</x:v>
      </x:c>
      <x:c r="Q615" s="9" t="n">
        <x:f>'Physical_Arcs'!T15</x:f>
        <x:v>3.888888888888889</x:v>
      </x:c>
      <x:c r="R615" s="9" t="n">
        <x:f>Q615*'Parameters'!$C$18</x:f>
        <x:v>0.7777777777777778</x:v>
      </x:c>
      <x:c r="S615" s="9" t="n">
        <x:f>R615*'Parameters'!$C$19</x:f>
        <x:v>0.9722222222222222</x:v>
      </x:c>
      <x:c r="T615" s="9" t="n">
        <x:f>Q615*(1-0.40)-R615</x:f>
        <x:v>1.5555555555555554</x:v>
      </x:c>
    </x:row>
    <x:row r="616" ht="21" customHeight="1">
      <x:c r="A616" s="3" t="n">
        <x:v>10</x:v>
      </x:c>
      <x:c r="B616" s="3" t="str">
        <x:v>01:40</x:v>
      </x:c>
      <x:c r="C616" s="3" t="n">
        <x:v>2</x:v>
      </x:c>
      <x:c r="D616" s="3" t="n">
        <x:v>15</x:v>
      </x:c>
      <x:c r="E616" s="3" t="n">
        <x:v>2</x:v>
      </x:c>
      <x:c r="F616" s="3" t="n">
        <x:v>10</x:v>
      </x:c>
      <x:c r="G616" s="9" t="n">
        <x:v>0.14</x:v>
      </x:c>
      <x:c r="H616" s="9" t="n">
        <x:v>1.146684</x:v>
      </x:c>
      <x:c r="I616" s="9" t="n">
        <x:f>'Physical_Arcs'!R16</x:f>
        <x:v>7.416666666666667</x:v>
      </x:c>
      <x:c r="J616" s="9" t="n">
        <x:f>I616*'Parameters'!$C$18</x:f>
        <x:v>1.4833333333333334</x:v>
      </x:c>
      <x:c r="K616" s="9" t="n">
        <x:f>J616*'Parameters'!$C$19</x:f>
        <x:v>1.8541666666666667</x:v>
      </x:c>
      <x:c r="L616" s="9" t="n">
        <x:f>I616*(1-0.40)-J616</x:f>
        <x:v>2.966666666666667</x:v>
      </x:c>
      <x:c r="M616" s="9" t="n">
        <x:f>'Physical_Arcs'!S16</x:f>
        <x:v>7.416666666666667</x:v>
      </x:c>
      <x:c r="N616" s="9" t="n">
        <x:f>M616*'Parameters'!$C$18</x:f>
        <x:v>1.4833333333333334</x:v>
      </x:c>
      <x:c r="O616" s="9" t="n">
        <x:f>N616*'Parameters'!$C$19</x:f>
        <x:v>1.8541666666666667</x:v>
      </x:c>
      <x:c r="P616" s="9" t="n">
        <x:f>M616*(1-0.40)-N616</x:f>
        <x:v>2.966666666666667</x:v>
      </x:c>
      <x:c r="Q616" s="9" t="n">
        <x:f>'Physical_Arcs'!T16</x:f>
        <x:v>3.7222222222222223</x:v>
      </x:c>
      <x:c r="R616" s="9" t="n">
        <x:f>Q616*'Parameters'!$C$18</x:f>
        <x:v>0.7444444444444445</x:v>
      </x:c>
      <x:c r="S616" s="9" t="n">
        <x:f>R616*'Parameters'!$C$19</x:f>
        <x:v>0.9305555555555556</x:v>
      </x:c>
      <x:c r="T616" s="9" t="n">
        <x:f>Q616*(1-0.40)-R616</x:f>
        <x:v>1.488888888888889</x:v>
      </x:c>
    </x:row>
    <x:row r="617" ht="21" customHeight="1">
      <x:c r="A617" s="3" t="n">
        <x:v>10</x:v>
      </x:c>
      <x:c r="B617" s="3" t="str">
        <x:v>01:40</x:v>
      </x:c>
      <x:c r="C617" s="3" t="n">
        <x:v>2</x:v>
      </x:c>
      <x:c r="D617" s="3" t="n">
        <x:v>16</x:v>
      </x:c>
      <x:c r="E617" s="3" t="n">
        <x:v>3</x:v>
      </x:c>
      <x:c r="F617" s="3" t="n">
        <x:v>4</x:v>
      </x:c>
      <x:c r="G617" s="9" t="n">
        <x:v>0.14</x:v>
      </x:c>
      <x:c r="H617" s="9" t="n">
        <x:v>1.017658</x:v>
      </x:c>
      <x:c r="I617" s="9" t="n">
        <x:f>'Physical_Arcs'!R17</x:f>
        <x:v>17.02777777777778</x:v>
      </x:c>
      <x:c r="J617" s="9" t="n">
        <x:f>I617*'Parameters'!$C$18</x:f>
        <x:v>3.405555555555556</x:v>
      </x:c>
      <x:c r="K617" s="9" t="n">
        <x:f>J617*'Parameters'!$C$19</x:f>
        <x:v>4.256944444444445</x:v>
      </x:c>
      <x:c r="L617" s="9" t="n">
        <x:f>I617*(1-0.40)-J617</x:f>
        <x:v>6.811111111111111</x:v>
      </x:c>
      <x:c r="M617" s="9" t="n">
        <x:f>'Physical_Arcs'!S17</x:f>
        <x:v>17.02777777777778</x:v>
      </x:c>
      <x:c r="N617" s="9" t="n">
        <x:f>M617*'Parameters'!$C$18</x:f>
        <x:v>3.405555555555556</x:v>
      </x:c>
      <x:c r="O617" s="9" t="n">
        <x:f>N617*'Parameters'!$C$19</x:f>
        <x:v>4.256944444444445</x:v>
      </x:c>
      <x:c r="P617" s="9" t="n">
        <x:f>M617*(1-0.40)-N617</x:f>
        <x:v>6.811111111111111</x:v>
      </x:c>
      <x:c r="Q617" s="9" t="n">
        <x:f>'Physical_Arcs'!T17</x:f>
        <x:v>17.02777777777778</x:v>
      </x:c>
      <x:c r="R617" s="9" t="n">
        <x:f>Q617*'Parameters'!$C$18</x:f>
        <x:v>3.405555555555556</x:v>
      </x:c>
      <x:c r="S617" s="9" t="n">
        <x:f>R617*'Parameters'!$C$19</x:f>
        <x:v>4.256944444444445</x:v>
      </x:c>
      <x:c r="T617" s="9" t="n">
        <x:f>Q617*(1-0.40)-R617</x:f>
        <x:v>6.811111111111111</x:v>
      </x:c>
    </x:row>
    <x:row r="618" ht="21" customHeight="1">
      <x:c r="A618" s="3" t="n">
        <x:v>10</x:v>
      </x:c>
      <x:c r="B618" s="3" t="str">
        <x:v>01:40</x:v>
      </x:c>
      <x:c r="C618" s="3" t="n">
        <x:v>2</x:v>
      </x:c>
      <x:c r="D618" s="3" t="n">
        <x:v>17</x:v>
      </x:c>
      <x:c r="E618" s="3" t="n">
        <x:v>3</x:v>
      </x:c>
      <x:c r="F618" s="3" t="n">
        <x:v>2</x:v>
      </x:c>
      <x:c r="G618" s="9" t="n">
        <x:v>0.14</x:v>
      </x:c>
      <x:c r="H618" s="9" t="n">
        <x:v>0.875995</x:v>
      </x:c>
      <x:c r="I618" s="9" t="n">
        <x:f>'Physical_Arcs'!R18</x:f>
        <x:v>10.666666666666666</x:v>
      </x:c>
      <x:c r="J618" s="9" t="n">
        <x:f>I618*'Parameters'!$C$18</x:f>
        <x:v>2.1333333333333333</x:v>
      </x:c>
      <x:c r="K618" s="9" t="n">
        <x:f>J618*'Parameters'!$C$19</x:f>
        <x:v>2.6666666666666665</x:v>
      </x:c>
      <x:c r="L618" s="9" t="n">
        <x:f>I618*(1-0.40)-J618</x:f>
        <x:v>4.266666666666666</x:v>
      </x:c>
      <x:c r="M618" s="9" t="n">
        <x:f>'Physical_Arcs'!S18</x:f>
        <x:v>10.666666666666666</x:v>
      </x:c>
      <x:c r="N618" s="9" t="n">
        <x:f>M618*'Parameters'!$C$18</x:f>
        <x:v>2.1333333333333333</x:v>
      </x:c>
      <x:c r="O618" s="9" t="n">
        <x:f>N618*'Parameters'!$C$19</x:f>
        <x:v>2.6666666666666665</x:v>
      </x:c>
      <x:c r="P618" s="9" t="n">
        <x:f>M618*(1-0.40)-N618</x:f>
        <x:v>4.266666666666666</x:v>
      </x:c>
      <x:c r="Q618" s="9" t="n">
        <x:f>'Physical_Arcs'!T18</x:f>
        <x:v>5.333333333333333</x:v>
      </x:c>
      <x:c r="R618" s="9" t="n">
        <x:f>Q618*'Parameters'!$C$18</x:f>
        <x:v>1.0666666666666667</x:v>
      </x:c>
      <x:c r="S618" s="9" t="n">
        <x:f>R618*'Parameters'!$C$19</x:f>
        <x:v>1.3333333333333333</x:v>
      </x:c>
      <x:c r="T618" s="9" t="n">
        <x:f>Q618*(1-0.40)-R618</x:f>
        <x:v>2.133333333333333</x:v>
      </x:c>
    </x:row>
    <x:row r="619" ht="21" customHeight="1">
      <x:c r="A619" s="3" t="n">
        <x:v>10</x:v>
      </x:c>
      <x:c r="B619" s="3" t="str">
        <x:v>01:40</x:v>
      </x:c>
      <x:c r="C619" s="3" t="n">
        <x:v>2</x:v>
      </x:c>
      <x:c r="D619" s="3" t="n">
        <x:v>18</x:v>
      </x:c>
      <x:c r="E619" s="3" t="n">
        <x:v>3</x:v>
      </x:c>
      <x:c r="F619" s="3" t="n">
        <x:v>1</x:v>
      </x:c>
      <x:c r="G619" s="9" t="n">
        <x:v>0.14</x:v>
      </x:c>
      <x:c r="H619" s="9" t="n">
        <x:v>1.015397</x:v>
      </x:c>
      <x:c r="I619" s="9" t="n">
        <x:f>'Physical_Arcs'!R19</x:f>
        <x:v>5.166666666666667</x:v>
      </x:c>
      <x:c r="J619" s="9" t="n">
        <x:f>I619*'Parameters'!$C$18</x:f>
        <x:v>1.0333333333333334</x:v>
      </x:c>
      <x:c r="K619" s="9" t="n">
        <x:f>J619*'Parameters'!$C$19</x:f>
        <x:v>1.2916666666666667</x:v>
      </x:c>
      <x:c r="L619" s="9" t="n">
        <x:f>I619*(1-0.40)-J619</x:f>
        <x:v>2.0666666666666664</x:v>
      </x:c>
      <x:c r="M619" s="9" t="n">
        <x:f>'Physical_Arcs'!S19</x:f>
        <x:v>5.166666666666667</x:v>
      </x:c>
      <x:c r="N619" s="9" t="n">
        <x:f>M619*'Parameters'!$C$18</x:f>
        <x:v>1.0333333333333334</x:v>
      </x:c>
      <x:c r="O619" s="9" t="n">
        <x:f>N619*'Parameters'!$C$19</x:f>
        <x:v>1.2916666666666667</x:v>
      </x:c>
      <x:c r="P619" s="9" t="n">
        <x:f>M619*(1-0.40)-N619</x:f>
        <x:v>2.0666666666666664</x:v>
      </x:c>
      <x:c r="Q619" s="9" t="n">
        <x:f>'Physical_Arcs'!T19</x:f>
        <x:v>2.5833333333333335</x:v>
      </x:c>
      <x:c r="R619" s="9" t="n">
        <x:f>Q619*'Parameters'!$C$18</x:f>
        <x:v>0.5166666666666667</x:v>
      </x:c>
      <x:c r="S619" s="9" t="n">
        <x:f>R619*'Parameters'!$C$19</x:f>
        <x:v>0.6458333333333334</x:v>
      </x:c>
      <x:c r="T619" s="9" t="n">
        <x:f>Q619*(1-0.40)-R619</x:f>
        <x:v>1.0333333333333332</x:v>
      </x:c>
    </x:row>
    <x:row r="620" ht="21" customHeight="1">
      <x:c r="A620" s="3" t="n">
        <x:v>10</x:v>
      </x:c>
      <x:c r="B620" s="3" t="str">
        <x:v>01:40</x:v>
      </x:c>
      <x:c r="C620" s="3" t="n">
        <x:v>2</x:v>
      </x:c>
      <x:c r="D620" s="3" t="n">
        <x:v>19</x:v>
      </x:c>
      <x:c r="E620" s="3" t="n">
        <x:v>3</x:v>
      </x:c>
      <x:c r="F620" s="3" t="n">
        <x:v>7</x:v>
      </x:c>
      <x:c r="G620" s="9" t="n">
        <x:v>0.14</x:v>
      </x:c>
      <x:c r="H620" s="9" t="n">
        <x:v>0.996008</x:v>
      </x:c>
      <x:c r="I620" s="9" t="n">
        <x:f>'Physical_Arcs'!R20</x:f>
        <x:v>5.75</x:v>
      </x:c>
      <x:c r="J620" s="9" t="n">
        <x:f>I620*'Parameters'!$C$18</x:f>
        <x:v>1.1500000000000001</x:v>
      </x:c>
      <x:c r="K620" s="9" t="n">
        <x:f>J620*'Parameters'!$C$19</x:f>
        <x:v>1.4375000000000002</x:v>
      </x:c>
      <x:c r="L620" s="9" t="n">
        <x:f>I620*(1-0.40)-J620</x:f>
        <x:v>2.3</x:v>
      </x:c>
      <x:c r="M620" s="9" t="n">
        <x:f>'Physical_Arcs'!S20</x:f>
        <x:v>5.75</x:v>
      </x:c>
      <x:c r="N620" s="9" t="n">
        <x:f>M620*'Parameters'!$C$18</x:f>
        <x:v>1.1500000000000001</x:v>
      </x:c>
      <x:c r="O620" s="9" t="n">
        <x:f>N620*'Parameters'!$C$19</x:f>
        <x:v>1.4375000000000002</x:v>
      </x:c>
      <x:c r="P620" s="9" t="n">
        <x:f>M620*(1-0.40)-N620</x:f>
        <x:v>2.3</x:v>
      </x:c>
      <x:c r="Q620" s="9" t="n">
        <x:f>'Physical_Arcs'!T20</x:f>
        <x:v>2.888888888888889</x:v>
      </x:c>
      <x:c r="R620" s="9" t="n">
        <x:f>Q620*'Parameters'!$C$18</x:f>
        <x:v>0.5777777777777778</x:v>
      </x:c>
      <x:c r="S620" s="9" t="n">
        <x:f>R620*'Parameters'!$C$19</x:f>
        <x:v>0.7222222222222223</x:v>
      </x:c>
      <x:c r="T620" s="9" t="n">
        <x:f>Q620*(1-0.40)-R620</x:f>
        <x:v>1.1555555555555554</x:v>
      </x:c>
    </x:row>
    <x:row r="621" ht="21" customHeight="1">
      <x:c r="A621" s="3" t="n">
        <x:v>10</x:v>
      </x:c>
      <x:c r="B621" s="3" t="str">
        <x:v>01:40</x:v>
      </x:c>
      <x:c r="C621" s="3" t="n">
        <x:v>2</x:v>
      </x:c>
      <x:c r="D621" s="3" t="n">
        <x:v>20</x:v>
      </x:c>
      <x:c r="E621" s="3" t="n">
        <x:v>3</x:v>
      </x:c>
      <x:c r="F621" s="3" t="n">
        <x:v>10</x:v>
      </x:c>
      <x:c r="G621" s="9" t="n">
        <x:v>0.14</x:v>
      </x:c>
      <x:c r="H621" s="9" t="n">
        <x:v>1.118855</x:v>
      </x:c>
      <x:c r="I621" s="9" t="n">
        <x:f>'Physical_Arcs'!R21</x:f>
        <x:v>5.166666666666667</x:v>
      </x:c>
      <x:c r="J621" s="9" t="n">
        <x:f>I621*'Parameters'!$C$18</x:f>
        <x:v>1.0333333333333334</x:v>
      </x:c>
      <x:c r="K621" s="9" t="n">
        <x:f>J621*'Parameters'!$C$19</x:f>
        <x:v>1.2916666666666667</x:v>
      </x:c>
      <x:c r="L621" s="9" t="n">
        <x:f>I621*(1-0.40)-J621</x:f>
        <x:v>2.0666666666666664</x:v>
      </x:c>
      <x:c r="M621" s="9" t="n">
        <x:f>'Physical_Arcs'!S21</x:f>
        <x:v>5.166666666666667</x:v>
      </x:c>
      <x:c r="N621" s="9" t="n">
        <x:f>M621*'Parameters'!$C$18</x:f>
        <x:v>1.0333333333333334</x:v>
      </x:c>
      <x:c r="O621" s="9" t="n">
        <x:f>N621*'Parameters'!$C$19</x:f>
        <x:v>1.2916666666666667</x:v>
      </x:c>
      <x:c r="P621" s="9" t="n">
        <x:f>M621*(1-0.40)-N621</x:f>
        <x:v>2.0666666666666664</x:v>
      </x:c>
      <x:c r="Q621" s="9" t="n">
        <x:f>'Physical_Arcs'!T21</x:f>
        <x:v>2.5833333333333335</x:v>
      </x:c>
      <x:c r="R621" s="9" t="n">
        <x:f>Q621*'Parameters'!$C$18</x:f>
        <x:v>0.5166666666666667</x:v>
      </x:c>
      <x:c r="S621" s="9" t="n">
        <x:f>R621*'Parameters'!$C$19</x:f>
        <x:v>0.6458333333333334</x:v>
      </x:c>
      <x:c r="T621" s="9" t="n">
        <x:f>Q621*(1-0.40)-R621</x:f>
        <x:v>1.0333333333333332</x:v>
      </x:c>
    </x:row>
    <x:row r="622" ht="21" customHeight="1">
      <x:c r="A622" s="3" t="n">
        <x:v>10</x:v>
      </x:c>
      <x:c r="B622" s="3" t="str">
        <x:v>01:40</x:v>
      </x:c>
      <x:c r="C622" s="3" t="n">
        <x:v>2</x:v>
      </x:c>
      <x:c r="D622" s="3" t="n">
        <x:v>21</x:v>
      </x:c>
      <x:c r="E622" s="3" t="n">
        <x:v>3</x:v>
      </x:c>
      <x:c r="F622" s="3" t="n">
        <x:v>9</x:v>
      </x:c>
      <x:c r="G622" s="9" t="n">
        <x:v>0.14</x:v>
      </x:c>
      <x:c r="H622" s="9" t="n">
        <x:v>0.947299</x:v>
      </x:c>
      <x:c r="I622" s="9" t="n">
        <x:f>'Physical_Arcs'!R22</x:f>
        <x:v>9.333333333333334</x:v>
      </x:c>
      <x:c r="J622" s="9" t="n">
        <x:f>I622*'Parameters'!$C$18</x:f>
        <x:v>1.866666666666667</x:v>
      </x:c>
      <x:c r="K622" s="9" t="n">
        <x:f>J622*'Parameters'!$C$19</x:f>
        <x:v>2.3333333333333335</x:v>
      </x:c>
      <x:c r="L622" s="9" t="n">
        <x:f>I622*(1-0.40)-J622</x:f>
        <x:v>3.7333333333333334</x:v>
      </x:c>
      <x:c r="M622" s="9" t="n">
        <x:f>'Physical_Arcs'!S22</x:f>
        <x:v>9.333333333333334</x:v>
      </x:c>
      <x:c r="N622" s="9" t="n">
        <x:f>M622*'Parameters'!$C$18</x:f>
        <x:v>1.866666666666667</x:v>
      </x:c>
      <x:c r="O622" s="9" t="n">
        <x:f>N622*'Parameters'!$C$19</x:f>
        <x:v>2.3333333333333335</x:v>
      </x:c>
      <x:c r="P622" s="9" t="n">
        <x:f>M622*(1-0.40)-N622</x:f>
        <x:v>3.7333333333333334</x:v>
      </x:c>
      <x:c r="Q622" s="9" t="n">
        <x:f>'Physical_Arcs'!T22</x:f>
        <x:v>4.666666666666667</x:v>
      </x:c>
      <x:c r="R622" s="9" t="n">
        <x:f>Q622*'Parameters'!$C$18</x:f>
        <x:v>0.9333333333333335</x:v>
      </x:c>
      <x:c r="S622" s="9" t="n">
        <x:f>R622*'Parameters'!$C$19</x:f>
        <x:v>1.1666666666666667</x:v>
      </x:c>
      <x:c r="T622" s="9" t="n">
        <x:f>Q622*(1-0.40)-R622</x:f>
        <x:v>1.8666666666666667</x:v>
      </x:c>
    </x:row>
    <x:row r="623" ht="21" customHeight="1">
      <x:c r="A623" s="3" t="n">
        <x:v>10</x:v>
      </x:c>
      <x:c r="B623" s="3" t="str">
        <x:v>01:40</x:v>
      </x:c>
      <x:c r="C623" s="3" t="n">
        <x:v>2</x:v>
      </x:c>
      <x:c r="D623" s="3" t="n">
        <x:v>22</x:v>
      </x:c>
      <x:c r="E623" s="3" t="n">
        <x:v>4</x:v>
      </x:c>
      <x:c r="F623" s="3" t="n">
        <x:v>5</x:v>
      </x:c>
      <x:c r="G623" s="9" t="n">
        <x:v>0.14</x:v>
      </x:c>
      <x:c r="H623" s="9" t="n">
        <x:v>0.958485</x:v>
      </x:c>
      <x:c r="I623" s="9" t="n">
        <x:f>'Physical_Arcs'!R23</x:f>
        <x:v>17.02777777777778</x:v>
      </x:c>
      <x:c r="J623" s="9" t="n">
        <x:f>I623*'Parameters'!$C$18</x:f>
        <x:v>3.405555555555556</x:v>
      </x:c>
      <x:c r="K623" s="9" t="n">
        <x:f>J623*'Parameters'!$C$19</x:f>
        <x:v>4.256944444444445</x:v>
      </x:c>
      <x:c r="L623" s="9" t="n">
        <x:f>I623*(1-0.40)-J623</x:f>
        <x:v>6.811111111111111</x:v>
      </x:c>
      <x:c r="M623" s="9" t="n">
        <x:f>'Physical_Arcs'!S23</x:f>
        <x:v>17.02777777777778</x:v>
      </x:c>
      <x:c r="N623" s="9" t="n">
        <x:f>M623*'Parameters'!$C$18</x:f>
        <x:v>3.405555555555556</x:v>
      </x:c>
      <x:c r="O623" s="9" t="n">
        <x:f>N623*'Parameters'!$C$19</x:f>
        <x:v>4.256944444444445</x:v>
      </x:c>
      <x:c r="P623" s="9" t="n">
        <x:f>M623*(1-0.40)-N623</x:f>
        <x:v>6.811111111111111</x:v>
      </x:c>
      <x:c r="Q623" s="9" t="n">
        <x:f>'Physical_Arcs'!T23</x:f>
        <x:v>17.02777777777778</x:v>
      </x:c>
      <x:c r="R623" s="9" t="n">
        <x:f>Q623*'Parameters'!$C$18</x:f>
        <x:v>3.405555555555556</x:v>
      </x:c>
      <x:c r="S623" s="9" t="n">
        <x:f>R623*'Parameters'!$C$19</x:f>
        <x:v>4.256944444444445</x:v>
      </x:c>
      <x:c r="T623" s="9" t="n">
        <x:f>Q623*(1-0.40)-R623</x:f>
        <x:v>6.811111111111111</x:v>
      </x:c>
    </x:row>
    <x:row r="624" ht="21" customHeight="1">
      <x:c r="A624" s="3" t="n">
        <x:v>10</x:v>
      </x:c>
      <x:c r="B624" s="3" t="str">
        <x:v>01:40</x:v>
      </x:c>
      <x:c r="C624" s="3" t="n">
        <x:v>2</x:v>
      </x:c>
      <x:c r="D624" s="3" t="n">
        <x:v>23</x:v>
      </x:c>
      <x:c r="E624" s="3" t="n">
        <x:v>4</x:v>
      </x:c>
      <x:c r="F624" s="3" t="n">
        <x:v>3</x:v>
      </x:c>
      <x:c r="G624" s="9" t="n">
        <x:v>0.14</x:v>
      </x:c>
      <x:c r="H624" s="9" t="n">
        <x:v>0.944916</x:v>
      </x:c>
      <x:c r="I624" s="9" t="n">
        <x:f>'Physical_Arcs'!R24</x:f>
        <x:v>9.333333333333334</x:v>
      </x:c>
      <x:c r="J624" s="9" t="n">
        <x:f>I624*'Parameters'!$C$18</x:f>
        <x:v>1.866666666666667</x:v>
      </x:c>
      <x:c r="K624" s="9" t="n">
        <x:f>J624*'Parameters'!$C$19</x:f>
        <x:v>2.3333333333333335</x:v>
      </x:c>
      <x:c r="L624" s="9" t="n">
        <x:f>I624*(1-0.40)-J624</x:f>
        <x:v>3.7333333333333334</x:v>
      </x:c>
      <x:c r="M624" s="9" t="n">
        <x:f>'Physical_Arcs'!S24</x:f>
        <x:v>9.333333333333334</x:v>
      </x:c>
      <x:c r="N624" s="9" t="n">
        <x:f>M624*'Parameters'!$C$18</x:f>
        <x:v>1.866666666666667</x:v>
      </x:c>
      <x:c r="O624" s="9" t="n">
        <x:f>N624*'Parameters'!$C$19</x:f>
        <x:v>2.3333333333333335</x:v>
      </x:c>
      <x:c r="P624" s="9" t="n">
        <x:f>M624*(1-0.40)-N624</x:f>
        <x:v>3.7333333333333334</x:v>
      </x:c>
      <x:c r="Q624" s="9" t="n">
        <x:f>'Physical_Arcs'!T24</x:f>
        <x:v>4.666666666666667</x:v>
      </x:c>
      <x:c r="R624" s="9" t="n">
        <x:f>Q624*'Parameters'!$C$18</x:f>
        <x:v>0.9333333333333335</x:v>
      </x:c>
      <x:c r="S624" s="9" t="n">
        <x:f>R624*'Parameters'!$C$19</x:f>
        <x:v>1.1666666666666667</x:v>
      </x:c>
      <x:c r="T624" s="9" t="n">
        <x:f>Q624*(1-0.40)-R624</x:f>
        <x:v>1.8666666666666667</x:v>
      </x:c>
    </x:row>
    <x:row r="625" ht="21" customHeight="1">
      <x:c r="A625" s="3" t="n">
        <x:v>10</x:v>
      </x:c>
      <x:c r="B625" s="3" t="str">
        <x:v>01:40</x:v>
      </x:c>
      <x:c r="C625" s="3" t="n">
        <x:v>2</x:v>
      </x:c>
      <x:c r="D625" s="3" t="n">
        <x:v>24</x:v>
      </x:c>
      <x:c r="E625" s="3" t="n">
        <x:v>4</x:v>
      </x:c>
      <x:c r="F625" s="3" t="n">
        <x:v>10</x:v>
      </x:c>
      <x:c r="G625" s="9" t="n">
        <x:v>0.14</x:v>
      </x:c>
      <x:c r="H625" s="9" t="n">
        <x:v>0.875461</x:v>
      </x:c>
      <x:c r="I625" s="9" t="n">
        <x:f>'Physical_Arcs'!R25</x:f>
        <x:v>7.194444444444445</x:v>
      </x:c>
      <x:c r="J625" s="9" t="n">
        <x:f>I625*'Parameters'!$C$18</x:f>
        <x:v>1.438888888888889</x:v>
      </x:c>
      <x:c r="K625" s="9" t="n">
        <x:f>J625*'Parameters'!$C$19</x:f>
        <x:v>1.7986111111111114</x:v>
      </x:c>
      <x:c r="L625" s="9" t="n">
        <x:f>I625*(1-0.40)-J625</x:f>
        <x:v>2.8777777777777773</x:v>
      </x:c>
      <x:c r="M625" s="9" t="n">
        <x:f>'Physical_Arcs'!S25</x:f>
        <x:v>7.194444444444445</x:v>
      </x:c>
      <x:c r="N625" s="9" t="n">
        <x:f>M625*'Parameters'!$C$18</x:f>
        <x:v>1.438888888888889</x:v>
      </x:c>
      <x:c r="O625" s="9" t="n">
        <x:f>N625*'Parameters'!$C$19</x:f>
        <x:v>1.7986111111111114</x:v>
      </x:c>
      <x:c r="P625" s="9" t="n">
        <x:f>M625*(1-0.40)-N625</x:f>
        <x:v>2.8777777777777773</x:v>
      </x:c>
      <x:c r="Q625" s="9" t="n">
        <x:f>'Physical_Arcs'!T25</x:f>
        <x:v>3.611111111111111</x:v>
      </x:c>
      <x:c r="R625" s="9" t="n">
        <x:f>Q625*'Parameters'!$C$18</x:f>
        <x:v>0.7222222222222223</x:v>
      </x:c>
      <x:c r="S625" s="9" t="n">
        <x:f>R625*'Parameters'!$C$19</x:f>
        <x:v>0.9027777777777779</x:v>
      </x:c>
      <x:c r="T625" s="9" t="n">
        <x:f>Q625*(1-0.40)-R625</x:f>
        <x:v>1.4444444444444442</x:v>
      </x:c>
    </x:row>
    <x:row r="626" ht="21" customHeight="1">
      <x:c r="A626" s="3" t="n">
        <x:v>10</x:v>
      </x:c>
      <x:c r="B626" s="3" t="str">
        <x:v>01:40</x:v>
      </x:c>
      <x:c r="C626" s="3" t="n">
        <x:v>2</x:v>
      </x:c>
      <x:c r="D626" s="3" t="n">
        <x:v>25</x:v>
      </x:c>
      <x:c r="E626" s="3" t="n">
        <x:v>4</x:v>
      </x:c>
      <x:c r="F626" s="3" t="n">
        <x:v>8</x:v>
      </x:c>
      <x:c r="G626" s="9" t="n">
        <x:v>0.14</x:v>
      </x:c>
      <x:c r="H626" s="9" t="n">
        <x:v>0.993326</x:v>
      </x:c>
      <x:c r="I626" s="9" t="n">
        <x:f>'Physical_Arcs'!R26</x:f>
        <x:v>5.277777777777778</x:v>
      </x:c>
      <x:c r="J626" s="9" t="n">
        <x:f>I626*'Parameters'!$C$18</x:f>
        <x:v>1.0555555555555556</x:v>
      </x:c>
      <x:c r="K626" s="9" t="n">
        <x:f>J626*'Parameters'!$C$19</x:f>
        <x:v>1.3194444444444444</x:v>
      </x:c>
      <x:c r="L626" s="9" t="n">
        <x:f>I626*(1-0.40)-J626</x:f>
        <x:v>2.1111111111111107</x:v>
      </x:c>
      <x:c r="M626" s="9" t="n">
        <x:f>'Physical_Arcs'!S26</x:f>
        <x:v>5.277777777777778</x:v>
      </x:c>
      <x:c r="N626" s="9" t="n">
        <x:f>M626*'Parameters'!$C$18</x:f>
        <x:v>1.0555555555555556</x:v>
      </x:c>
      <x:c r="O626" s="9" t="n">
        <x:f>N626*'Parameters'!$C$19</x:f>
        <x:v>1.3194444444444444</x:v>
      </x:c>
      <x:c r="P626" s="9" t="n">
        <x:f>M626*(1-0.40)-N626</x:f>
        <x:v>2.1111111111111107</x:v>
      </x:c>
      <x:c r="Q626" s="9" t="n">
        <x:f>'Physical_Arcs'!T26</x:f>
        <x:v>2.638888888888889</x:v>
      </x:c>
      <x:c r="R626" s="9" t="n">
        <x:f>Q626*'Parameters'!$C$18</x:f>
        <x:v>0.5277777777777778</x:v>
      </x:c>
      <x:c r="S626" s="9" t="n">
        <x:f>R626*'Parameters'!$C$19</x:f>
        <x:v>0.6597222222222222</x:v>
      </x:c>
      <x:c r="T626" s="9" t="n">
        <x:f>Q626*(1-0.40)-R626</x:f>
        <x:v>1.0555555555555554</x:v>
      </x:c>
    </x:row>
    <x:row r="627" ht="21" customHeight="1">
      <x:c r="A627" s="3" t="n">
        <x:v>10</x:v>
      </x:c>
      <x:c r="B627" s="3" t="str">
        <x:v>01:40</x:v>
      </x:c>
      <x:c r="C627" s="3" t="n">
        <x:v>2</x:v>
      </x:c>
      <x:c r="D627" s="3" t="n">
        <x:v>26</x:v>
      </x:c>
      <x:c r="E627" s="3" t="n">
        <x:v>4</x:v>
      </x:c>
      <x:c r="F627" s="3" t="n">
        <x:v>7</x:v>
      </x:c>
      <x:c r="G627" s="9" t="n">
        <x:v>0.14</x:v>
      </x:c>
      <x:c r="H627" s="9" t="n">
        <x:v>1.099203</x:v>
      </x:c>
      <x:c r="I627" s="9" t="n">
        <x:f>'Physical_Arcs'!R27</x:f>
        <x:v>6.527777777777778</x:v>
      </x:c>
      <x:c r="J627" s="9" t="n">
        <x:f>I627*'Parameters'!$C$18</x:f>
        <x:v>1.3055555555555556</x:v>
      </x:c>
      <x:c r="K627" s="9" t="n">
        <x:f>J627*'Parameters'!$C$19</x:f>
        <x:v>1.6319444444444444</x:v>
      </x:c>
      <x:c r="L627" s="9" t="n">
        <x:f>I627*(1-0.40)-J627</x:f>
        <x:v>2.6111111111111107</x:v>
      </x:c>
      <x:c r="M627" s="9" t="n">
        <x:f>'Physical_Arcs'!S27</x:f>
        <x:v>6.527777777777778</x:v>
      </x:c>
      <x:c r="N627" s="9" t="n">
        <x:f>M627*'Parameters'!$C$18</x:f>
        <x:v>1.3055555555555556</x:v>
      </x:c>
      <x:c r="O627" s="9" t="n">
        <x:f>N627*'Parameters'!$C$19</x:f>
        <x:v>1.6319444444444444</x:v>
      </x:c>
      <x:c r="P627" s="9" t="n">
        <x:f>M627*(1-0.40)-N627</x:f>
        <x:v>2.6111111111111107</x:v>
      </x:c>
      <x:c r="Q627" s="9" t="n">
        <x:f>'Physical_Arcs'!T27</x:f>
        <x:v>3.2777777777777777</x:v>
      </x:c>
      <x:c r="R627" s="9" t="n">
        <x:f>Q627*'Parameters'!$C$18</x:f>
        <x:v>0.6555555555555556</x:v>
      </x:c>
      <x:c r="S627" s="9" t="n">
        <x:f>R627*'Parameters'!$C$19</x:f>
        <x:v>0.8194444444444444</x:v>
      </x:c>
      <x:c r="T627" s="9" t="n">
        <x:f>Q627*(1-0.40)-R627</x:f>
        <x:v>1.311111111111111</x:v>
      </x:c>
    </x:row>
    <x:row r="628" ht="21" customHeight="1">
      <x:c r="A628" s="3" t="n">
        <x:v>10</x:v>
      </x:c>
      <x:c r="B628" s="3" t="str">
        <x:v>01:40</x:v>
      </x:c>
      <x:c r="C628" s="3" t="n">
        <x:v>2</x:v>
      </x:c>
      <x:c r="D628" s="3" t="n">
        <x:v>27</x:v>
      </x:c>
      <x:c r="E628" s="3" t="n">
        <x:v>4</x:v>
      </x:c>
      <x:c r="F628" s="3" t="n">
        <x:v>2</x:v>
      </x:c>
      <x:c r="G628" s="9" t="n">
        <x:v>0.14</x:v>
      </x:c>
      <x:c r="H628" s="9" t="n">
        <x:v>0.861111</x:v>
      </x:c>
      <x:c r="I628" s="9" t="n">
        <x:f>'Physical_Arcs'!R28</x:f>
        <x:v>4.944444444444445</x:v>
      </x:c>
      <x:c r="J628" s="9" t="n">
        <x:f>I628*'Parameters'!$C$18</x:f>
        <x:v>0.9888888888888889</x:v>
      </x:c>
      <x:c r="K628" s="9" t="n">
        <x:f>J628*'Parameters'!$C$19</x:f>
        <x:v>1.2361111111111112</x:v>
      </x:c>
      <x:c r="L628" s="9" t="n">
        <x:f>I628*(1-0.40)-J628</x:f>
        <x:v>1.9777777777777779</x:v>
      </x:c>
      <x:c r="M628" s="9" t="n">
        <x:f>'Physical_Arcs'!S28</x:f>
        <x:v>4.944444444444445</x:v>
      </x:c>
      <x:c r="N628" s="9" t="n">
        <x:f>M628*'Parameters'!$C$18</x:f>
        <x:v>0.9888888888888889</x:v>
      </x:c>
      <x:c r="O628" s="9" t="n">
        <x:f>N628*'Parameters'!$C$19</x:f>
        <x:v>1.2361111111111112</x:v>
      </x:c>
      <x:c r="P628" s="9" t="n">
        <x:f>M628*(1-0.40)-N628</x:f>
        <x:v>1.9777777777777779</x:v>
      </x:c>
      <x:c r="Q628" s="9" t="n">
        <x:f>'Physical_Arcs'!T28</x:f>
        <x:v>2.4722222222222223</x:v>
      </x:c>
      <x:c r="R628" s="9" t="n">
        <x:f>Q628*'Parameters'!$C$18</x:f>
        <x:v>0.49444444444444446</x:v>
      </x:c>
      <x:c r="S628" s="9" t="n">
        <x:f>R628*'Parameters'!$C$19</x:f>
        <x:v>0.6180555555555556</x:v>
      </x:c>
      <x:c r="T628" s="9" t="n">
        <x:f>Q628*(1-0.40)-R628</x:f>
        <x:v>0.9888888888888889</x:v>
      </x:c>
    </x:row>
    <x:row r="629" ht="21" customHeight="1">
      <x:c r="A629" s="3" t="n">
        <x:v>10</x:v>
      </x:c>
      <x:c r="B629" s="3" t="str">
        <x:v>01:40</x:v>
      </x:c>
      <x:c r="C629" s="3" t="n">
        <x:v>2</x:v>
      </x:c>
      <x:c r="D629" s="3" t="n">
        <x:v>28</x:v>
      </x:c>
      <x:c r="E629" s="3" t="n">
        <x:v>4</x:v>
      </x:c>
      <x:c r="F629" s="3" t="n">
        <x:v>6</x:v>
      </x:c>
      <x:c r="G629" s="9" t="n">
        <x:v>0.14</x:v>
      </x:c>
      <x:c r="H629" s="9" t="n">
        <x:v>1.137214</x:v>
      </x:c>
      <x:c r="I629" s="9" t="n">
        <x:f>'Physical_Arcs'!R29</x:f>
        <x:v>3.388888888888889</x:v>
      </x:c>
      <x:c r="J629" s="9" t="n">
        <x:f>I629*'Parameters'!$C$18</x:f>
        <x:v>0.6777777777777778</x:v>
      </x:c>
      <x:c r="K629" s="9" t="n">
        <x:f>J629*'Parameters'!$C$19</x:f>
        <x:v>0.8472222222222223</x:v>
      </x:c>
      <x:c r="L629" s="9" t="n">
        <x:f>I629*(1-0.40)-J629</x:f>
        <x:v>1.3555555555555554</x:v>
      </x:c>
      <x:c r="M629" s="9" t="n">
        <x:f>'Physical_Arcs'!S29</x:f>
        <x:v>3.388888888888889</x:v>
      </x:c>
      <x:c r="N629" s="9" t="n">
        <x:f>M629*'Parameters'!$C$18</x:f>
        <x:v>0.6777777777777778</x:v>
      </x:c>
      <x:c r="O629" s="9" t="n">
        <x:f>N629*'Parameters'!$C$19</x:f>
        <x:v>0.8472222222222223</x:v>
      </x:c>
      <x:c r="P629" s="9" t="n">
        <x:f>M629*(1-0.40)-N629</x:f>
        <x:v>1.3555555555555554</x:v>
      </x:c>
      <x:c r="Q629" s="9" t="n">
        <x:f>'Physical_Arcs'!T29</x:f>
        <x:v>1.6944444444444444</x:v>
      </x:c>
      <x:c r="R629" s="9" t="n">
        <x:f>Q629*'Parameters'!$C$18</x:f>
        <x:v>0.3388888888888889</x:v>
      </x:c>
      <x:c r="S629" s="9" t="n">
        <x:f>R629*'Parameters'!$C$19</x:f>
        <x:v>0.42361111111111116</x:v>
      </x:c>
      <x:c r="T629" s="9" t="n">
        <x:f>Q629*(1-0.40)-R629</x:f>
        <x:v>0.6777777777777777</x:v>
      </x:c>
    </x:row>
    <x:row r="630" ht="21" customHeight="1">
      <x:c r="A630" s="3" t="n">
        <x:v>10</x:v>
      </x:c>
      <x:c r="B630" s="3" t="str">
        <x:v>01:40</x:v>
      </x:c>
      <x:c r="C630" s="3" t="n">
        <x:v>2</x:v>
      </x:c>
      <x:c r="D630" s="3" t="n">
        <x:v>29</x:v>
      </x:c>
      <x:c r="E630" s="3" t="n">
        <x:v>5</x:v>
      </x:c>
      <x:c r="F630" s="3" t="n">
        <x:v>6</x:v>
      </x:c>
      <x:c r="G630" s="9" t="n">
        <x:v>0.14</x:v>
      </x:c>
      <x:c r="H630" s="9" t="n">
        <x:v>0.949994</x:v>
      </x:c>
      <x:c r="I630" s="9" t="n">
        <x:f>'Physical_Arcs'!R30</x:f>
        <x:v>17.02777777777778</x:v>
      </x:c>
      <x:c r="J630" s="9" t="n">
        <x:f>I630*'Parameters'!$C$18</x:f>
        <x:v>3.405555555555556</x:v>
      </x:c>
      <x:c r="K630" s="9" t="n">
        <x:f>J630*'Parameters'!$C$19</x:f>
        <x:v>4.256944444444445</x:v>
      </x:c>
      <x:c r="L630" s="9" t="n">
        <x:f>I630*(1-0.40)-J630</x:f>
        <x:v>6.811111111111111</x:v>
      </x:c>
      <x:c r="M630" s="9" t="n">
        <x:f>'Physical_Arcs'!S30</x:f>
        <x:v>17.02777777777778</x:v>
      </x:c>
      <x:c r="N630" s="9" t="n">
        <x:f>M630*'Parameters'!$C$18</x:f>
        <x:v>3.405555555555556</x:v>
      </x:c>
      <x:c r="O630" s="9" t="n">
        <x:f>N630*'Parameters'!$C$19</x:f>
        <x:v>4.256944444444445</x:v>
      </x:c>
      <x:c r="P630" s="9" t="n">
        <x:f>M630*(1-0.40)-N630</x:f>
        <x:v>6.811111111111111</x:v>
      </x:c>
      <x:c r="Q630" s="9" t="n">
        <x:f>'Physical_Arcs'!T30</x:f>
        <x:v>17.02777777777778</x:v>
      </x:c>
      <x:c r="R630" s="9" t="n">
        <x:f>Q630*'Parameters'!$C$18</x:f>
        <x:v>3.405555555555556</x:v>
      </x:c>
      <x:c r="S630" s="9" t="n">
        <x:f>R630*'Parameters'!$C$19</x:f>
        <x:v>4.256944444444445</x:v>
      </x:c>
      <x:c r="T630" s="9" t="n">
        <x:f>Q630*(1-0.40)-R630</x:f>
        <x:v>6.811111111111111</x:v>
      </x:c>
    </x:row>
    <x:row r="631" ht="21" customHeight="1">
      <x:c r="A631" s="3" t="n">
        <x:v>10</x:v>
      </x:c>
      <x:c r="B631" s="3" t="str">
        <x:v>01:40</x:v>
      </x:c>
      <x:c r="C631" s="3" t="n">
        <x:v>2</x:v>
      </x:c>
      <x:c r="D631" s="3" t="n">
        <x:v>30</x:v>
      </x:c>
      <x:c r="E631" s="3" t="n">
        <x:v>5</x:v>
      </x:c>
      <x:c r="F631" s="3" t="n">
        <x:v>2</x:v>
      </x:c>
      <x:c r="G631" s="9" t="n">
        <x:v>0.14</x:v>
      </x:c>
      <x:c r="H631" s="9" t="n">
        <x:v>0.882396</x:v>
      </x:c>
      <x:c r="I631" s="9" t="n">
        <x:f>'Physical_Arcs'!R31</x:f>
        <x:v>2.9444444444444446</x:v>
      </x:c>
      <x:c r="J631" s="9" t="n">
        <x:f>I631*'Parameters'!$C$18</x:f>
        <x:v>0.5888888888888889</x:v>
      </x:c>
      <x:c r="K631" s="9" t="n">
        <x:f>J631*'Parameters'!$C$19</x:f>
        <x:v>0.7361111111111112</x:v>
      </x:c>
      <x:c r="L631" s="9" t="n">
        <x:f>I631*(1-0.40)-J631</x:f>
        <x:v>1.177777777777778</x:v>
      </x:c>
      <x:c r="M631" s="9" t="n">
        <x:f>'Physical_Arcs'!S31</x:f>
        <x:v>2.9444444444444446</x:v>
      </x:c>
      <x:c r="N631" s="9" t="n">
        <x:f>M631*'Parameters'!$C$18</x:f>
        <x:v>0.5888888888888889</x:v>
      </x:c>
      <x:c r="O631" s="9" t="n">
        <x:f>N631*'Parameters'!$C$19</x:f>
        <x:v>0.7361111111111112</x:v>
      </x:c>
      <x:c r="P631" s="9" t="n">
        <x:f>M631*(1-0.40)-N631</x:f>
        <x:v>1.177777777777778</x:v>
      </x:c>
      <x:c r="Q631" s="9" t="n">
        <x:f>'Physical_Arcs'!T31</x:f>
        <x:v>1.4722222222222223</x:v>
      </x:c>
      <x:c r="R631" s="9" t="n">
        <x:f>Q631*'Parameters'!$C$18</x:f>
        <x:v>0.29444444444444445</x:v>
      </x:c>
      <x:c r="S631" s="9" t="n">
        <x:f>R631*'Parameters'!$C$19</x:f>
        <x:v>0.3680555555555556</x:v>
      </x:c>
      <x:c r="T631" s="9" t="n">
        <x:f>Q631*(1-0.40)-R631</x:f>
        <x:v>0.588888888888889</x:v>
      </x:c>
    </x:row>
    <x:row r="632" ht="21" customHeight="1">
      <x:c r="A632" s="3" t="n">
        <x:v>10</x:v>
      </x:c>
      <x:c r="B632" s="3" t="str">
        <x:v>01:40</x:v>
      </x:c>
      <x:c r="C632" s="3" t="n">
        <x:v>2</x:v>
      </x:c>
      <x:c r="D632" s="3" t="n">
        <x:v>31</x:v>
      </x:c>
      <x:c r="E632" s="3" t="n">
        <x:v>5</x:v>
      </x:c>
      <x:c r="F632" s="3" t="n">
        <x:v>8</x:v>
      </x:c>
      <x:c r="G632" s="9" t="n">
        <x:v>0.14</x:v>
      </x:c>
      <x:c r="H632" s="9" t="n">
        <x:v>0.986718</x:v>
      </x:c>
      <x:c r="I632" s="9" t="n">
        <x:f>'Physical_Arcs'!R32</x:f>
        <x:v>9.333333333333334</x:v>
      </x:c>
      <x:c r="J632" s="9" t="n">
        <x:f>I632*'Parameters'!$C$18</x:f>
        <x:v>1.866666666666667</x:v>
      </x:c>
      <x:c r="K632" s="9" t="n">
        <x:f>J632*'Parameters'!$C$19</x:f>
        <x:v>2.3333333333333335</x:v>
      </x:c>
      <x:c r="L632" s="9" t="n">
        <x:f>I632*(1-0.40)-J632</x:f>
        <x:v>3.7333333333333334</x:v>
      </x:c>
      <x:c r="M632" s="9" t="n">
        <x:f>'Physical_Arcs'!S32</x:f>
        <x:v>9.333333333333334</x:v>
      </x:c>
      <x:c r="N632" s="9" t="n">
        <x:f>M632*'Parameters'!$C$18</x:f>
        <x:v>1.866666666666667</x:v>
      </x:c>
      <x:c r="O632" s="9" t="n">
        <x:f>N632*'Parameters'!$C$19</x:f>
        <x:v>2.3333333333333335</x:v>
      </x:c>
      <x:c r="P632" s="9" t="n">
        <x:f>M632*(1-0.40)-N632</x:f>
        <x:v>3.7333333333333334</x:v>
      </x:c>
      <x:c r="Q632" s="9" t="n">
        <x:f>'Physical_Arcs'!T32</x:f>
        <x:v>4.666666666666667</x:v>
      </x:c>
      <x:c r="R632" s="9" t="n">
        <x:f>Q632*'Parameters'!$C$18</x:f>
        <x:v>0.9333333333333335</x:v>
      </x:c>
      <x:c r="S632" s="9" t="n">
        <x:f>R632*'Parameters'!$C$19</x:f>
        <x:v>1.1666666666666667</x:v>
      </x:c>
      <x:c r="T632" s="9" t="n">
        <x:f>Q632*(1-0.40)-R632</x:f>
        <x:v>1.8666666666666667</x:v>
      </x:c>
    </x:row>
    <x:row r="633" ht="21" customHeight="1">
      <x:c r="A633" s="3" t="n">
        <x:v>10</x:v>
      </x:c>
      <x:c r="B633" s="3" t="str">
        <x:v>01:40</x:v>
      </x:c>
      <x:c r="C633" s="3" t="n">
        <x:v>2</x:v>
      </x:c>
      <x:c r="D633" s="3" t="n">
        <x:v>32</x:v>
      </x:c>
      <x:c r="E633" s="3" t="n">
        <x:v>5</x:v>
      </x:c>
      <x:c r="F633" s="3" t="n">
        <x:v>3</x:v>
      </x:c>
      <x:c r="G633" s="9" t="n">
        <x:v>0.14</x:v>
      </x:c>
      <x:c r="H633" s="9" t="n">
        <x:v>1.089544</x:v>
      </x:c>
      <x:c r="I633" s="9" t="n">
        <x:f>'Physical_Arcs'!R33</x:f>
        <x:v>11.13888888888889</x:v>
      </x:c>
      <x:c r="J633" s="9" t="n">
        <x:f>I633*'Parameters'!$C$18</x:f>
        <x:v>2.227777777777778</x:v>
      </x:c>
      <x:c r="K633" s="9" t="n">
        <x:f>J633*'Parameters'!$C$19</x:f>
        <x:v>2.7847222222222223</x:v>
      </x:c>
      <x:c r="L633" s="9" t="n">
        <x:f>I633*(1-0.40)-J633</x:f>
        <x:v>4.455555555555556</x:v>
      </x:c>
      <x:c r="M633" s="9" t="n">
        <x:f>'Physical_Arcs'!S33</x:f>
        <x:v>11.13888888888889</x:v>
      </x:c>
      <x:c r="N633" s="9" t="n">
        <x:f>M633*'Parameters'!$C$18</x:f>
        <x:v>2.227777777777778</x:v>
      </x:c>
      <x:c r="O633" s="9" t="n">
        <x:f>N633*'Parameters'!$C$19</x:f>
        <x:v>2.7847222222222223</x:v>
      </x:c>
      <x:c r="P633" s="9" t="n">
        <x:f>M633*(1-0.40)-N633</x:f>
        <x:v>4.455555555555556</x:v>
      </x:c>
      <x:c r="Q633" s="9" t="n">
        <x:f>'Physical_Arcs'!T33</x:f>
        <x:v>5.583333333333333</x:v>
      </x:c>
      <x:c r="R633" s="9" t="n">
        <x:f>Q633*'Parameters'!$C$18</x:f>
        <x:v>1.1166666666666667</x:v>
      </x:c>
      <x:c r="S633" s="9" t="n">
        <x:f>R633*'Parameters'!$C$19</x:f>
        <x:v>1.3958333333333335</x:v>
      </x:c>
      <x:c r="T633" s="9" t="n">
        <x:f>Q633*(1-0.40)-R633</x:f>
        <x:v>2.233333333333333</x:v>
      </x:c>
    </x:row>
    <x:row r="634" ht="21" customHeight="1">
      <x:c r="A634" s="3" t="n">
        <x:v>10</x:v>
      </x:c>
      <x:c r="B634" s="3" t="str">
        <x:v>01:40</x:v>
      </x:c>
      <x:c r="C634" s="3" t="n">
        <x:v>2</x:v>
      </x:c>
      <x:c r="D634" s="3" t="n">
        <x:v>33</x:v>
      </x:c>
      <x:c r="E634" s="3" t="n">
        <x:v>5</x:v>
      </x:c>
      <x:c r="F634" s="3" t="n">
        <x:v>10</x:v>
      </x:c>
      <x:c r="G634" s="9" t="n">
        <x:v>0.14</x:v>
      </x:c>
      <x:c r="H634" s="9" t="n">
        <x:v>1.103596</x:v>
      </x:c>
      <x:c r="I634" s="9" t="n">
        <x:f>'Physical_Arcs'!R34</x:f>
        <x:v>4.611111111111111</x:v>
      </x:c>
      <x:c r="J634" s="9" t="n">
        <x:f>I634*'Parameters'!$C$18</x:f>
        <x:v>0.9222222222222222</x:v>
      </x:c>
      <x:c r="K634" s="9" t="n">
        <x:f>J634*'Parameters'!$C$19</x:f>
        <x:v>1.1527777777777777</x:v>
      </x:c>
      <x:c r="L634" s="9" t="n">
        <x:f>I634*(1-0.40)-J634</x:f>
        <x:v>1.844444444444444</x:v>
      </x:c>
      <x:c r="M634" s="9" t="n">
        <x:f>'Physical_Arcs'!S34</x:f>
        <x:v>4.611111111111111</x:v>
      </x:c>
      <x:c r="N634" s="9" t="n">
        <x:f>M634*'Parameters'!$C$18</x:f>
        <x:v>0.9222222222222222</x:v>
      </x:c>
      <x:c r="O634" s="9" t="n">
        <x:f>N634*'Parameters'!$C$19</x:f>
        <x:v>1.1527777777777777</x:v>
      </x:c>
      <x:c r="P634" s="9" t="n">
        <x:f>M634*(1-0.40)-N634</x:f>
        <x:v>1.844444444444444</x:v>
      </x:c>
      <x:c r="Q634" s="9" t="n">
        <x:f>'Physical_Arcs'!T34</x:f>
        <x:v>2.3055555555555554</x:v>
      </x:c>
      <x:c r="R634" s="9" t="n">
        <x:f>Q634*'Parameters'!$C$18</x:f>
        <x:v>0.4611111111111111</x:v>
      </x:c>
      <x:c r="S634" s="9" t="n">
        <x:f>R634*'Parameters'!$C$19</x:f>
        <x:v>0.5763888888888888</x:v>
      </x:c>
      <x:c r="T634" s="9" t="n">
        <x:f>Q634*(1-0.40)-R634</x:f>
        <x:v>0.922222222222222</x:v>
      </x:c>
    </x:row>
    <x:row r="635" ht="21" customHeight="1">
      <x:c r="A635" s="3" t="n">
        <x:v>10</x:v>
      </x:c>
      <x:c r="B635" s="3" t="str">
        <x:v>01:40</x:v>
      </x:c>
      <x:c r="C635" s="3" t="n">
        <x:v>2</x:v>
      </x:c>
      <x:c r="D635" s="3" t="n">
        <x:v>34</x:v>
      </x:c>
      <x:c r="E635" s="3" t="n">
        <x:v>6</x:v>
      </x:c>
      <x:c r="F635" s="3" t="n">
        <x:v>7</x:v>
      </x:c>
      <x:c r="G635" s="9" t="n">
        <x:v>0.14</x:v>
      </x:c>
      <x:c r="H635" s="9" t="n">
        <x:v>0.973887</x:v>
      </x:c>
      <x:c r="I635" s="9" t="n">
        <x:f>'Physical_Arcs'!R35</x:f>
        <x:v>17.02777777777778</x:v>
      </x:c>
      <x:c r="J635" s="9" t="n">
        <x:f>I635*'Parameters'!$C$18</x:f>
        <x:v>3.405555555555556</x:v>
      </x:c>
      <x:c r="K635" s="9" t="n">
        <x:f>J635*'Parameters'!$C$19</x:f>
        <x:v>4.256944444444445</x:v>
      </x:c>
      <x:c r="L635" s="9" t="n">
        <x:f>I635*(1-0.40)-J635</x:f>
        <x:v>6.811111111111111</x:v>
      </x:c>
      <x:c r="M635" s="9" t="n">
        <x:f>'Physical_Arcs'!S35</x:f>
        <x:v>17.02777777777778</x:v>
      </x:c>
      <x:c r="N635" s="9" t="n">
        <x:f>M635*'Parameters'!$C$18</x:f>
        <x:v>3.405555555555556</x:v>
      </x:c>
      <x:c r="O635" s="9" t="n">
        <x:f>N635*'Parameters'!$C$19</x:f>
        <x:v>4.256944444444445</x:v>
      </x:c>
      <x:c r="P635" s="9" t="n">
        <x:f>M635*(1-0.40)-N635</x:f>
        <x:v>6.811111111111111</x:v>
      </x:c>
      <x:c r="Q635" s="9" t="n">
        <x:f>'Physical_Arcs'!T35</x:f>
        <x:v>17.02777777777778</x:v>
      </x:c>
      <x:c r="R635" s="9" t="n">
        <x:f>Q635*'Parameters'!$C$18</x:f>
        <x:v>3.405555555555556</x:v>
      </x:c>
      <x:c r="S635" s="9" t="n">
        <x:f>R635*'Parameters'!$C$19</x:f>
        <x:v>4.256944444444445</x:v>
      </x:c>
      <x:c r="T635" s="9" t="n">
        <x:f>Q635*(1-0.40)-R635</x:f>
        <x:v>6.811111111111111</x:v>
      </x:c>
    </x:row>
    <x:row r="636" ht="21" customHeight="1">
      <x:c r="A636" s="3" t="n">
        <x:v>10</x:v>
      </x:c>
      <x:c r="B636" s="3" t="str">
        <x:v>01:40</x:v>
      </x:c>
      <x:c r="C636" s="3" t="n">
        <x:v>2</x:v>
      </x:c>
      <x:c r="D636" s="3" t="n">
        <x:v>35</x:v>
      </x:c>
      <x:c r="E636" s="3" t="n">
        <x:v>6</x:v>
      </x:c>
      <x:c r="F636" s="3" t="n">
        <x:v>10</x:v>
      </x:c>
      <x:c r="G636" s="9" t="n">
        <x:v>0.14</x:v>
      </x:c>
      <x:c r="H636" s="9" t="n">
        <x:v>1.009062</x:v>
      </x:c>
      <x:c r="I636" s="9" t="n">
        <x:f>'Physical_Arcs'!R36</x:f>
        <x:v>4.055555555555555</x:v>
      </x:c>
      <x:c r="J636" s="9" t="n">
        <x:f>I636*'Parameters'!$C$18</x:f>
        <x:v>0.8111111111111111</x:v>
      </x:c>
      <x:c r="K636" s="9" t="n">
        <x:f>J636*'Parameters'!$C$19</x:f>
        <x:v>1.0138888888888888</x:v>
      </x:c>
      <x:c r="L636" s="9" t="n">
        <x:f>I636*(1-0.40)-J636</x:f>
        <x:v>1.622222222222222</x:v>
      </x:c>
      <x:c r="M636" s="9" t="n">
        <x:f>'Physical_Arcs'!S36</x:f>
        <x:v>4.055555555555555</x:v>
      </x:c>
      <x:c r="N636" s="9" t="n">
        <x:f>M636*'Parameters'!$C$18</x:f>
        <x:v>0.8111111111111111</x:v>
      </x:c>
      <x:c r="O636" s="9" t="n">
        <x:f>N636*'Parameters'!$C$19</x:f>
        <x:v>1.0138888888888888</x:v>
      </x:c>
      <x:c r="P636" s="9" t="n">
        <x:f>M636*(1-0.40)-N636</x:f>
        <x:v>1.622222222222222</x:v>
      </x:c>
      <x:c r="Q636" s="9" t="n">
        <x:f>'Physical_Arcs'!T36</x:f>
        <x:v>2.0277777777777777</x:v>
      </x:c>
      <x:c r="R636" s="9" t="n">
        <x:f>Q636*'Parameters'!$C$18</x:f>
        <x:v>0.40555555555555556</x:v>
      </x:c>
      <x:c r="S636" s="9" t="n">
        <x:f>R636*'Parameters'!$C$19</x:f>
        <x:v>0.5069444444444444</x:v>
      </x:c>
      <x:c r="T636" s="9" t="n">
        <x:f>Q636*(1-0.40)-R636</x:f>
        <x:v>0.811111111111111</x:v>
      </x:c>
    </x:row>
    <x:row r="637" ht="21" customHeight="1">
      <x:c r="A637" s="3" t="n">
        <x:v>10</x:v>
      </x:c>
      <x:c r="B637" s="3" t="str">
        <x:v>01:40</x:v>
      </x:c>
      <x:c r="C637" s="3" t="n">
        <x:v>2</x:v>
      </x:c>
      <x:c r="D637" s="3" t="n">
        <x:v>36</x:v>
      </x:c>
      <x:c r="E637" s="3" t="n">
        <x:v>6</x:v>
      </x:c>
      <x:c r="F637" s="3" t="n">
        <x:v>8</x:v>
      </x:c>
      <x:c r="G637" s="9" t="n">
        <x:v>0.14</x:v>
      </x:c>
      <x:c r="H637" s="9" t="n">
        <x:v>1.132129</x:v>
      </x:c>
      <x:c r="I637" s="9" t="n">
        <x:f>'Physical_Arcs'!R37</x:f>
        <x:v>6.972222222222222</x:v>
      </x:c>
      <x:c r="J637" s="9" t="n">
        <x:f>I637*'Parameters'!$C$18</x:f>
        <x:v>1.3944444444444446</x:v>
      </x:c>
      <x:c r="K637" s="9" t="n">
        <x:f>J637*'Parameters'!$C$19</x:f>
        <x:v>1.7430555555555558</x:v>
      </x:c>
      <x:c r="L637" s="9" t="n">
        <x:f>I637*(1-0.40)-J637</x:f>
        <x:v>2.7888888888888888</x:v>
      </x:c>
      <x:c r="M637" s="9" t="n">
        <x:f>'Physical_Arcs'!S37</x:f>
        <x:v>6.972222222222222</x:v>
      </x:c>
      <x:c r="N637" s="9" t="n">
        <x:f>M637*'Parameters'!$C$18</x:f>
        <x:v>1.3944444444444446</x:v>
      </x:c>
      <x:c r="O637" s="9" t="n">
        <x:f>N637*'Parameters'!$C$19</x:f>
        <x:v>1.7430555555555558</x:v>
      </x:c>
      <x:c r="P637" s="9" t="n">
        <x:f>M637*(1-0.40)-N637</x:f>
        <x:v>2.7888888888888888</x:v>
      </x:c>
      <x:c r="Q637" s="9" t="n">
        <x:f>'Physical_Arcs'!T37</x:f>
        <x:v>3.5</x:v>
      </x:c>
      <x:c r="R637" s="9" t="n">
        <x:f>Q637*'Parameters'!$C$18</x:f>
        <x:v>0.7000000000000001</x:v>
      </x:c>
      <x:c r="S637" s="9" t="n">
        <x:f>R637*'Parameters'!$C$19</x:f>
        <x:v>0.8750000000000001</x:v>
      </x:c>
      <x:c r="T637" s="9" t="n">
        <x:f>Q637*(1-0.40)-R637</x:f>
        <x:v>1.4</x:v>
      </x:c>
    </x:row>
    <x:row r="638" ht="21" customHeight="1">
      <x:c r="A638" s="3" t="n">
        <x:v>10</x:v>
      </x:c>
      <x:c r="B638" s="3" t="str">
        <x:v>01:40</x:v>
      </x:c>
      <x:c r="C638" s="3" t="n">
        <x:v>2</x:v>
      </x:c>
      <x:c r="D638" s="3" t="n">
        <x:v>37</x:v>
      </x:c>
      <x:c r="E638" s="3" t="n">
        <x:v>6</x:v>
      </x:c>
      <x:c r="F638" s="3" t="n">
        <x:v>1</x:v>
      </x:c>
      <x:c r="G638" s="9" t="n">
        <x:v>0.14</x:v>
      </x:c>
      <x:c r="H638" s="9" t="n">
        <x:v>1.020746</x:v>
      </x:c>
      <x:c r="I638" s="9" t="n">
        <x:f>'Physical_Arcs'!R38</x:f>
        <x:v>6.305555555555555</x:v>
      </x:c>
      <x:c r="J638" s="9" t="n">
        <x:f>I638*'Parameters'!$C$18</x:f>
        <x:v>1.261111111111111</x:v>
      </x:c>
      <x:c r="K638" s="9" t="n">
        <x:f>J638*'Parameters'!$C$19</x:f>
        <x:v>1.5763888888888888</x:v>
      </x:c>
      <x:c r="L638" s="9" t="n">
        <x:f>I638*(1-0.40)-J638</x:f>
        <x:v>2.522222222222222</x:v>
      </x:c>
      <x:c r="M638" s="9" t="n">
        <x:f>'Physical_Arcs'!S38</x:f>
        <x:v>6.305555555555555</x:v>
      </x:c>
      <x:c r="N638" s="9" t="n">
        <x:f>M638*'Parameters'!$C$18</x:f>
        <x:v>1.261111111111111</x:v>
      </x:c>
      <x:c r="O638" s="9" t="n">
        <x:f>N638*'Parameters'!$C$19</x:f>
        <x:v>1.5763888888888888</x:v>
      </x:c>
      <x:c r="P638" s="9" t="n">
        <x:f>M638*(1-0.40)-N638</x:f>
        <x:v>2.522222222222222</x:v>
      </x:c>
      <x:c r="Q638" s="9" t="n">
        <x:f>'Physical_Arcs'!T38</x:f>
        <x:v>3.1666666666666665</x:v>
      </x:c>
      <x:c r="R638" s="9" t="n">
        <x:f>Q638*'Parameters'!$C$18</x:f>
        <x:v>0.6333333333333333</x:v>
      </x:c>
      <x:c r="S638" s="9" t="n">
        <x:f>R638*'Parameters'!$C$19</x:f>
        <x:v>0.7916666666666666</x:v>
      </x:c>
      <x:c r="T638" s="9" t="n">
        <x:f>Q638*(1-0.40)-R638</x:f>
        <x:v>1.2666666666666666</x:v>
      </x:c>
    </x:row>
    <x:row r="639" ht="21" customHeight="1">
      <x:c r="A639" s="3" t="n">
        <x:v>10</x:v>
      </x:c>
      <x:c r="B639" s="3" t="str">
        <x:v>01:40</x:v>
      </x:c>
      <x:c r="C639" s="3" t="n">
        <x:v>2</x:v>
      </x:c>
      <x:c r="D639" s="3" t="n">
        <x:v>38</x:v>
      </x:c>
      <x:c r="E639" s="3" t="n">
        <x:v>6</x:v>
      </x:c>
      <x:c r="F639" s="3" t="n">
        <x:v>3</x:v>
      </x:c>
      <x:c r="G639" s="9" t="n">
        <x:v>0.14</x:v>
      </x:c>
      <x:c r="H639" s="9" t="n">
        <x:v>1.149081</x:v>
      </x:c>
      <x:c r="I639" s="9" t="n">
        <x:f>'Physical_Arcs'!R39</x:f>
        <x:v>1.9166666666666667</x:v>
      </x:c>
      <x:c r="J639" s="9" t="n">
        <x:f>I639*'Parameters'!$C$18</x:f>
        <x:v>0.38333333333333336</x:v>
      </x:c>
      <x:c r="K639" s="9" t="n">
        <x:f>J639*'Parameters'!$C$19</x:f>
        <x:v>0.4791666666666667</x:v>
      </x:c>
      <x:c r="L639" s="9" t="n">
        <x:f>I639*(1-0.40)-J639</x:f>
        <x:v>0.7666666666666666</x:v>
      </x:c>
      <x:c r="M639" s="9" t="n">
        <x:f>'Physical_Arcs'!S39</x:f>
        <x:v>1.9166666666666667</x:v>
      </x:c>
      <x:c r="N639" s="9" t="n">
        <x:f>M639*'Parameters'!$C$18</x:f>
        <x:v>0.38333333333333336</x:v>
      </x:c>
      <x:c r="O639" s="9" t="n">
        <x:f>N639*'Parameters'!$C$19</x:f>
        <x:v>0.4791666666666667</x:v>
      </x:c>
      <x:c r="P639" s="9" t="n">
        <x:f>M639*(1-0.40)-N639</x:f>
        <x:v>0.7666666666666666</x:v>
      </x:c>
      <x:c r="Q639" s="9" t="n">
        <x:f>'Physical_Arcs'!T39</x:f>
        <x:v>0.9722222222222222</x:v>
      </x:c>
      <x:c r="R639" s="9" t="n">
        <x:f>Q639*'Parameters'!$C$18</x:f>
        <x:v>0.19444444444444445</x:v>
      </x:c>
      <x:c r="S639" s="9" t="n">
        <x:f>R639*'Parameters'!$C$19</x:f>
        <x:v>0.24305555555555555</x:v>
      </x:c>
      <x:c r="T639" s="9" t="n">
        <x:f>Q639*(1-0.40)-R639</x:f>
        <x:v>0.38888888888888884</x:v>
      </x:c>
    </x:row>
    <x:row r="640" ht="21" customHeight="1">
      <x:c r="A640" s="3" t="n">
        <x:v>10</x:v>
      </x:c>
      <x:c r="B640" s="3" t="str">
        <x:v>01:40</x:v>
      </x:c>
      <x:c r="C640" s="3" t="n">
        <x:v>2</x:v>
      </x:c>
      <x:c r="D640" s="3" t="n">
        <x:v>39</x:v>
      </x:c>
      <x:c r="E640" s="3" t="n">
        <x:v>7</x:v>
      </x:c>
      <x:c r="F640" s="3" t="n">
        <x:v>8</x:v>
      </x:c>
      <x:c r="G640" s="9" t="n">
        <x:v>0.14</x:v>
      </x:c>
      <x:c r="H640" s="9" t="n">
        <x:v>1.003268</x:v>
      </x:c>
      <x:c r="I640" s="9" t="n">
        <x:f>'Physical_Arcs'!R40</x:f>
        <x:v>17.02777777777778</x:v>
      </x:c>
      <x:c r="J640" s="9" t="n">
        <x:f>I640*'Parameters'!$C$18</x:f>
        <x:v>3.405555555555556</x:v>
      </x:c>
      <x:c r="K640" s="9" t="n">
        <x:f>J640*'Parameters'!$C$19</x:f>
        <x:v>4.256944444444445</x:v>
      </x:c>
      <x:c r="L640" s="9" t="n">
        <x:f>I640*(1-0.40)-J640</x:f>
        <x:v>6.811111111111111</x:v>
      </x:c>
      <x:c r="M640" s="9" t="n">
        <x:f>'Physical_Arcs'!S40</x:f>
        <x:v>17.02777777777778</x:v>
      </x:c>
      <x:c r="N640" s="9" t="n">
        <x:f>M640*'Parameters'!$C$18</x:f>
        <x:v>3.405555555555556</x:v>
      </x:c>
      <x:c r="O640" s="9" t="n">
        <x:f>N640*'Parameters'!$C$19</x:f>
        <x:v>4.256944444444445</x:v>
      </x:c>
      <x:c r="P640" s="9" t="n">
        <x:f>M640*(1-0.40)-N640</x:f>
        <x:v>6.811111111111111</x:v>
      </x:c>
      <x:c r="Q640" s="9" t="n">
        <x:f>'Physical_Arcs'!T40</x:f>
        <x:v>17.02777777777778</x:v>
      </x:c>
      <x:c r="R640" s="9" t="n">
        <x:f>Q640*'Parameters'!$C$18</x:f>
        <x:v>3.405555555555556</x:v>
      </x:c>
      <x:c r="S640" s="9" t="n">
        <x:f>R640*'Parameters'!$C$19</x:f>
        <x:v>4.256944444444445</x:v>
      </x:c>
      <x:c r="T640" s="9" t="n">
        <x:f>Q640*(1-0.40)-R640</x:f>
        <x:v>6.811111111111111</x:v>
      </x:c>
    </x:row>
    <x:row r="641" ht="21" customHeight="1">
      <x:c r="A641" s="3" t="n">
        <x:v>10</x:v>
      </x:c>
      <x:c r="B641" s="3" t="str">
        <x:v>01:40</x:v>
      </x:c>
      <x:c r="C641" s="3" t="n">
        <x:v>2</x:v>
      </x:c>
      <x:c r="D641" s="3" t="n">
        <x:v>40</x:v>
      </x:c>
      <x:c r="E641" s="3" t="n">
        <x:v>7</x:v>
      </x:c>
      <x:c r="F641" s="3" t="n">
        <x:v>1</x:v>
      </x:c>
      <x:c r="G641" s="9" t="n">
        <x:v>0.14</x:v>
      </x:c>
      <x:c r="H641" s="9" t="n">
        <x:v>1.057592</x:v>
      </x:c>
      <x:c r="I641" s="9" t="n">
        <x:f>'Physical_Arcs'!R41</x:f>
        <x:v>7.972222222222222</x:v>
      </x:c>
      <x:c r="J641" s="9" t="n">
        <x:f>I641*'Parameters'!$C$18</x:f>
        <x:v>1.5944444444444446</x:v>
      </x:c>
      <x:c r="K641" s="9" t="n">
        <x:f>J641*'Parameters'!$C$19</x:f>
        <x:v>1.9930555555555558</x:v>
      </x:c>
      <x:c r="L641" s="9" t="n">
        <x:f>I641*(1-0.40)-J641</x:f>
        <x:v>3.1888888888888887</x:v>
      </x:c>
      <x:c r="M641" s="9" t="n">
        <x:f>'Physical_Arcs'!S41</x:f>
        <x:v>7.972222222222222</x:v>
      </x:c>
      <x:c r="N641" s="9" t="n">
        <x:f>M641*'Parameters'!$C$18</x:f>
        <x:v>1.5944444444444446</x:v>
      </x:c>
      <x:c r="O641" s="9" t="n">
        <x:f>N641*'Parameters'!$C$19</x:f>
        <x:v>1.9930555555555558</x:v>
      </x:c>
      <x:c r="P641" s="9" t="n">
        <x:f>M641*(1-0.40)-N641</x:f>
        <x:v>3.1888888888888887</x:v>
      </x:c>
      <x:c r="Q641" s="9" t="n">
        <x:f>'Physical_Arcs'!T41</x:f>
        <x:v>4</x:v>
      </x:c>
      <x:c r="R641" s="9" t="n">
        <x:f>Q641*'Parameters'!$C$18</x:f>
        <x:v>0.8</x:v>
      </x:c>
      <x:c r="S641" s="9" t="n">
        <x:f>R641*'Parameters'!$C$19</x:f>
        <x:v>1</x:v>
      </x:c>
      <x:c r="T641" s="9" t="n">
        <x:f>Q641*(1-0.40)-R641</x:f>
        <x:v>1.5999999999999999</x:v>
      </x:c>
    </x:row>
    <x:row r="642" ht="21" customHeight="1">
      <x:c r="A642" s="3" t="n">
        <x:v>10</x:v>
      </x:c>
      <x:c r="B642" s="3" t="str">
        <x:v>01:40</x:v>
      </x:c>
      <x:c r="C642" s="3" t="n">
        <x:v>2</x:v>
      </x:c>
      <x:c r="D642" s="3" t="n">
        <x:v>41</x:v>
      </x:c>
      <x:c r="E642" s="3" t="n">
        <x:v>7</x:v>
      </x:c>
      <x:c r="F642" s="3" t="n">
        <x:v>9</x:v>
      </x:c>
      <x:c r="G642" s="9" t="n">
        <x:v>0.14</x:v>
      </x:c>
      <x:c r="H642" s="9" t="n">
        <x:v>1.14801</x:v>
      </x:c>
      <x:c r="I642" s="9" t="n">
        <x:f>'Physical_Arcs'!R42</x:f>
        <x:v>8.88888888888889</x:v>
      </x:c>
      <x:c r="J642" s="9" t="n">
        <x:f>I642*'Parameters'!$C$18</x:f>
        <x:v>1.777777777777778</x:v>
      </x:c>
      <x:c r="K642" s="9" t="n">
        <x:f>J642*'Parameters'!$C$19</x:f>
        <x:v>2.2222222222222223</x:v>
      </x:c>
      <x:c r="L642" s="9" t="n">
        <x:f>I642*(1-0.40)-J642</x:f>
        <x:v>3.5555555555555554</x:v>
      </x:c>
      <x:c r="M642" s="9" t="n">
        <x:f>'Physical_Arcs'!S42</x:f>
        <x:v>8.88888888888889</x:v>
      </x:c>
      <x:c r="N642" s="9" t="n">
        <x:f>M642*'Parameters'!$C$18</x:f>
        <x:v>1.777777777777778</x:v>
      </x:c>
      <x:c r="O642" s="9" t="n">
        <x:f>N642*'Parameters'!$C$19</x:f>
        <x:v>2.2222222222222223</x:v>
      </x:c>
      <x:c r="P642" s="9" t="n">
        <x:f>M642*(1-0.40)-N642</x:f>
        <x:v>3.5555555555555554</x:v>
      </x:c>
      <x:c r="Q642" s="9" t="n">
        <x:f>'Physical_Arcs'!T42</x:f>
        <x:v>4.444444444444445</x:v>
      </x:c>
      <x:c r="R642" s="9" t="n">
        <x:f>Q642*'Parameters'!$C$18</x:f>
        <x:v>0.888888888888889</x:v>
      </x:c>
      <x:c r="S642" s="9" t="n">
        <x:f>R642*'Parameters'!$C$19</x:f>
        <x:v>1.1111111111111112</x:v>
      </x:c>
      <x:c r="T642" s="9" t="n">
        <x:f>Q642*(1-0.40)-R642</x:f>
        <x:v>1.7777777777777777</x:v>
      </x:c>
    </x:row>
    <x:row r="643" ht="21" customHeight="1">
      <x:c r="A643" s="3" t="n">
        <x:v>10</x:v>
      </x:c>
      <x:c r="B643" s="3" t="str">
        <x:v>01:40</x:v>
      </x:c>
      <x:c r="C643" s="3" t="n">
        <x:v>2</x:v>
      </x:c>
      <x:c r="D643" s="3" t="n">
        <x:v>42</x:v>
      </x:c>
      <x:c r="E643" s="3" t="n">
        <x:v>7</x:v>
      </x:c>
      <x:c r="F643" s="3" t="n">
        <x:v>2</x:v>
      </x:c>
      <x:c r="G643" s="9" t="n">
        <x:v>0.14</x:v>
      </x:c>
      <x:c r="H643" s="9" t="n">
        <x:v>0.989237</x:v>
      </x:c>
      <x:c r="I643" s="9" t="n">
        <x:f>'Physical_Arcs'!R43</x:f>
        <x:v>9</x:v>
      </x:c>
      <x:c r="J643" s="9" t="n">
        <x:f>I643*'Parameters'!$C$18</x:f>
        <x:v>1.8</x:v>
      </x:c>
      <x:c r="K643" s="9" t="n">
        <x:f>J643*'Parameters'!$C$19</x:f>
        <x:v>2.25</x:v>
      </x:c>
      <x:c r="L643" s="9" t="n">
        <x:f>I643*(1-0.40)-J643</x:f>
        <x:v>3.5999999999999996</x:v>
      </x:c>
      <x:c r="M643" s="9" t="n">
        <x:f>'Physical_Arcs'!S43</x:f>
        <x:v>9</x:v>
      </x:c>
      <x:c r="N643" s="9" t="n">
        <x:f>M643*'Parameters'!$C$18</x:f>
        <x:v>1.8</x:v>
      </x:c>
      <x:c r="O643" s="9" t="n">
        <x:f>N643*'Parameters'!$C$19</x:f>
        <x:v>2.25</x:v>
      </x:c>
      <x:c r="P643" s="9" t="n">
        <x:f>M643*(1-0.40)-N643</x:f>
        <x:v>3.5999999999999996</x:v>
      </x:c>
      <x:c r="Q643" s="9" t="n">
        <x:f>'Physical_Arcs'!T43</x:f>
        <x:v>4.5</x:v>
      </x:c>
      <x:c r="R643" s="9" t="n">
        <x:f>Q643*'Parameters'!$C$18</x:f>
        <x:v>0.9</x:v>
      </x:c>
      <x:c r="S643" s="9" t="n">
        <x:f>R643*'Parameters'!$C$19</x:f>
        <x:v>1.125</x:v>
      </x:c>
      <x:c r="T643" s="9" t="n">
        <x:f>Q643*(1-0.40)-R643</x:f>
        <x:v>1.7999999999999998</x:v>
      </x:c>
    </x:row>
    <x:row r="644" ht="21" customHeight="1">
      <x:c r="A644" s="3" t="n">
        <x:v>10</x:v>
      </x:c>
      <x:c r="B644" s="3" t="str">
        <x:v>01:40</x:v>
      </x:c>
      <x:c r="C644" s="3" t="n">
        <x:v>2</x:v>
      </x:c>
      <x:c r="D644" s="3" t="n">
        <x:v>43</x:v>
      </x:c>
      <x:c r="E644" s="3" t="n">
        <x:v>7</x:v>
      </x:c>
      <x:c r="F644" s="3" t="n">
        <x:v>3</x:v>
      </x:c>
      <x:c r="G644" s="9" t="n">
        <x:v>0.14</x:v>
      </x:c>
      <x:c r="H644" s="9" t="n">
        <x:v>1.050432</x:v>
      </x:c>
      <x:c r="I644" s="9" t="n">
        <x:f>'Physical_Arcs'!R44</x:f>
        <x:v>7.638888888888889</x:v>
      </x:c>
      <x:c r="J644" s="9" t="n">
        <x:f>I644*'Parameters'!$C$18</x:f>
        <x:v>1.527777777777778</x:v>
      </x:c>
      <x:c r="K644" s="9" t="n">
        <x:f>J644*'Parameters'!$C$19</x:f>
        <x:v>1.9097222222222223</x:v>
      </x:c>
      <x:c r="L644" s="9" t="n">
        <x:f>I644*(1-0.40)-J644</x:f>
        <x:v>3.0555555555555554</x:v>
      </x:c>
      <x:c r="M644" s="9" t="n">
        <x:f>'Physical_Arcs'!S44</x:f>
        <x:v>7.638888888888889</x:v>
      </x:c>
      <x:c r="N644" s="9" t="n">
        <x:f>M644*'Parameters'!$C$18</x:f>
        <x:v>1.527777777777778</x:v>
      </x:c>
      <x:c r="O644" s="9" t="n">
        <x:f>N644*'Parameters'!$C$19</x:f>
        <x:v>1.9097222222222223</x:v>
      </x:c>
      <x:c r="P644" s="9" t="n">
        <x:f>M644*(1-0.40)-N644</x:f>
        <x:v>3.0555555555555554</x:v>
      </x:c>
      <x:c r="Q644" s="9" t="n">
        <x:f>'Physical_Arcs'!T44</x:f>
        <x:v>3.8333333333333335</x:v>
      </x:c>
      <x:c r="R644" s="9" t="n">
        <x:f>Q644*'Parameters'!$C$18</x:f>
        <x:v>0.7666666666666667</x:v>
      </x:c>
      <x:c r="S644" s="9" t="n">
        <x:f>R644*'Parameters'!$C$19</x:f>
        <x:v>0.9583333333333334</x:v>
      </x:c>
      <x:c r="T644" s="9" t="n">
        <x:f>Q644*(1-0.40)-R644</x:f>
        <x:v>1.5333333333333332</x:v>
      </x:c>
    </x:row>
    <x:row r="645" ht="21" customHeight="1">
      <x:c r="A645" s="3" t="n">
        <x:v>10</x:v>
      </x:c>
      <x:c r="B645" s="3" t="str">
        <x:v>01:40</x:v>
      </x:c>
      <x:c r="C645" s="3" t="n">
        <x:v>2</x:v>
      </x:c>
      <x:c r="D645" s="3" t="n">
        <x:v>44</x:v>
      </x:c>
      <x:c r="E645" s="3" t="n">
        <x:v>8</x:v>
      </x:c>
      <x:c r="F645" s="3" t="n">
        <x:v>9</x:v>
      </x:c>
      <x:c r="G645" s="9" t="n">
        <x:v>0.14</x:v>
      </x:c>
      <x:c r="H645" s="9" t="n">
        <x:v>0.868101</x:v>
      </x:c>
      <x:c r="I645" s="9" t="n">
        <x:f>'Physical_Arcs'!R45</x:f>
        <x:v>17.02777777777778</x:v>
      </x:c>
      <x:c r="J645" s="9" t="n">
        <x:f>I645*'Parameters'!$C$18</x:f>
        <x:v>3.405555555555556</x:v>
      </x:c>
      <x:c r="K645" s="9" t="n">
        <x:f>J645*'Parameters'!$C$19</x:f>
        <x:v>4.256944444444445</x:v>
      </x:c>
      <x:c r="L645" s="9" t="n">
        <x:f>I645*(1-0.40)-J645</x:f>
        <x:v>6.811111111111111</x:v>
      </x:c>
      <x:c r="M645" s="9" t="n">
        <x:f>'Physical_Arcs'!S45</x:f>
        <x:v>17.02777777777778</x:v>
      </x:c>
      <x:c r="N645" s="9" t="n">
        <x:f>M645*'Parameters'!$C$18</x:f>
        <x:v>3.405555555555556</x:v>
      </x:c>
      <x:c r="O645" s="9" t="n">
        <x:f>N645*'Parameters'!$C$19</x:f>
        <x:v>4.256944444444445</x:v>
      </x:c>
      <x:c r="P645" s="9" t="n">
        <x:f>M645*(1-0.40)-N645</x:f>
        <x:v>6.811111111111111</x:v>
      </x:c>
      <x:c r="Q645" s="9" t="n">
        <x:f>'Physical_Arcs'!T45</x:f>
        <x:v>17.02777777777778</x:v>
      </x:c>
      <x:c r="R645" s="9" t="n">
        <x:f>Q645*'Parameters'!$C$18</x:f>
        <x:v>3.405555555555556</x:v>
      </x:c>
      <x:c r="S645" s="9" t="n">
        <x:f>R645*'Parameters'!$C$19</x:f>
        <x:v>4.256944444444445</x:v>
      </x:c>
      <x:c r="T645" s="9" t="n">
        <x:f>Q645*(1-0.40)-R645</x:f>
        <x:v>6.811111111111111</x:v>
      </x:c>
    </x:row>
    <x:row r="646" ht="21" customHeight="1">
      <x:c r="A646" s="3" t="n">
        <x:v>10</x:v>
      </x:c>
      <x:c r="B646" s="3" t="str">
        <x:v>01:40</x:v>
      </x:c>
      <x:c r="C646" s="3" t="n">
        <x:v>2</x:v>
      </x:c>
      <x:c r="D646" s="3" t="n">
        <x:v>45</x:v>
      </x:c>
      <x:c r="E646" s="3" t="n">
        <x:v>8</x:v>
      </x:c>
      <x:c r="F646" s="3" t="n">
        <x:v>3</x:v>
      </x:c>
      <x:c r="G646" s="9" t="n">
        <x:v>0.14</x:v>
      </x:c>
      <x:c r="H646" s="9" t="n">
        <x:v>0.944958</x:v>
      </x:c>
      <x:c r="I646" s="9" t="n">
        <x:f>'Physical_Arcs'!R46</x:f>
        <x:v>5.388888888888889</x:v>
      </x:c>
      <x:c r="J646" s="9" t="n">
        <x:f>I646*'Parameters'!$C$18</x:f>
        <x:v>1.077777777777778</x:v>
      </x:c>
      <x:c r="K646" s="9" t="n">
        <x:f>J646*'Parameters'!$C$19</x:f>
        <x:v>1.3472222222222223</x:v>
      </x:c>
      <x:c r="L646" s="9" t="n">
        <x:f>I646*(1-0.40)-J646</x:f>
        <x:v>2.1555555555555554</x:v>
      </x:c>
      <x:c r="M646" s="9" t="n">
        <x:f>'Physical_Arcs'!S46</x:f>
        <x:v>5.388888888888889</x:v>
      </x:c>
      <x:c r="N646" s="9" t="n">
        <x:f>M646*'Parameters'!$C$18</x:f>
        <x:v>1.077777777777778</x:v>
      </x:c>
      <x:c r="O646" s="9" t="n">
        <x:f>N646*'Parameters'!$C$19</x:f>
        <x:v>1.3472222222222223</x:v>
      </x:c>
      <x:c r="P646" s="9" t="n">
        <x:f>M646*(1-0.40)-N646</x:f>
        <x:v>2.1555555555555554</x:v>
      </x:c>
      <x:c r="Q646" s="9" t="n">
        <x:f>'Physical_Arcs'!T46</x:f>
        <x:v>2.6944444444444446</x:v>
      </x:c>
      <x:c r="R646" s="9" t="n">
        <x:f>Q646*'Parameters'!$C$18</x:f>
        <x:v>0.538888888888889</x:v>
      </x:c>
      <x:c r="S646" s="9" t="n">
        <x:f>R646*'Parameters'!$C$19</x:f>
        <x:v>0.6736111111111112</x:v>
      </x:c>
      <x:c r="T646" s="9" t="n">
        <x:f>Q646*(1-0.40)-R646</x:f>
        <x:v>1.0777777777777777</x:v>
      </x:c>
    </x:row>
    <x:row r="647" ht="21" customHeight="1">
      <x:c r="A647" s="3" t="n">
        <x:v>10</x:v>
      </x:c>
      <x:c r="B647" s="3" t="str">
        <x:v>01:40</x:v>
      </x:c>
      <x:c r="C647" s="3" t="n">
        <x:v>2</x:v>
      </x:c>
      <x:c r="D647" s="3" t="n">
        <x:v>46</x:v>
      </x:c>
      <x:c r="E647" s="3" t="n">
        <x:v>8</x:v>
      </x:c>
      <x:c r="F647" s="3" t="n">
        <x:v>7</x:v>
      </x:c>
      <x:c r="G647" s="9" t="n">
        <x:v>0.14</x:v>
      </x:c>
      <x:c r="H647" s="9" t="n">
        <x:v>0.866232</x:v>
      </x:c>
      <x:c r="I647" s="9" t="n">
        <x:f>'Physical_Arcs'!R47</x:f>
        <x:v>5.388888888888889</x:v>
      </x:c>
      <x:c r="J647" s="9" t="n">
        <x:f>I647*'Parameters'!$C$18</x:f>
        <x:v>1.077777777777778</x:v>
      </x:c>
      <x:c r="K647" s="9" t="n">
        <x:f>J647*'Parameters'!$C$19</x:f>
        <x:v>1.3472222222222223</x:v>
      </x:c>
      <x:c r="L647" s="9" t="n">
        <x:f>I647*(1-0.40)-J647</x:f>
        <x:v>2.1555555555555554</x:v>
      </x:c>
      <x:c r="M647" s="9" t="n">
        <x:f>'Physical_Arcs'!S47</x:f>
        <x:v>5.388888888888889</x:v>
      </x:c>
      <x:c r="N647" s="9" t="n">
        <x:f>M647*'Parameters'!$C$18</x:f>
        <x:v>1.077777777777778</x:v>
      </x:c>
      <x:c r="O647" s="9" t="n">
        <x:f>N647*'Parameters'!$C$19</x:f>
        <x:v>1.3472222222222223</x:v>
      </x:c>
      <x:c r="P647" s="9" t="n">
        <x:f>M647*(1-0.40)-N647</x:f>
        <x:v>2.1555555555555554</x:v>
      </x:c>
      <x:c r="Q647" s="9" t="n">
        <x:f>'Physical_Arcs'!T47</x:f>
        <x:v>2.6944444444444446</x:v>
      </x:c>
      <x:c r="R647" s="9" t="n">
        <x:f>Q647*'Parameters'!$C$18</x:f>
        <x:v>0.538888888888889</x:v>
      </x:c>
      <x:c r="S647" s="9" t="n">
        <x:f>R647*'Parameters'!$C$19</x:f>
        <x:v>0.6736111111111112</x:v>
      </x:c>
      <x:c r="T647" s="9" t="n">
        <x:f>Q647*(1-0.40)-R647</x:f>
        <x:v>1.0777777777777777</x:v>
      </x:c>
    </x:row>
    <x:row r="648" ht="21" customHeight="1">
      <x:c r="A648" s="3" t="n">
        <x:v>10</x:v>
      </x:c>
      <x:c r="B648" s="3" t="str">
        <x:v>01:40</x:v>
      </x:c>
      <x:c r="C648" s="3" t="n">
        <x:v>2</x:v>
      </x:c>
      <x:c r="D648" s="3" t="n">
        <x:v>47</x:v>
      </x:c>
      <x:c r="E648" s="3" t="n">
        <x:v>8</x:v>
      </x:c>
      <x:c r="F648" s="3" t="n">
        <x:v>2</x:v>
      </x:c>
      <x:c r="G648" s="9" t="n">
        <x:v>0.14</x:v>
      </x:c>
      <x:c r="H648" s="9" t="n">
        <x:v>1.135644</x:v>
      </x:c>
      <x:c r="I648" s="9" t="n">
        <x:f>'Physical_Arcs'!R48</x:f>
        <x:v>8.083333333333334</x:v>
      </x:c>
      <x:c r="J648" s="9" t="n">
        <x:f>I648*'Parameters'!$C$18</x:f>
        <x:v>1.616666666666667</x:v>
      </x:c>
      <x:c r="K648" s="9" t="n">
        <x:f>J648*'Parameters'!$C$19</x:f>
        <x:v>2.0208333333333335</x:v>
      </x:c>
      <x:c r="L648" s="9" t="n">
        <x:f>I648*(1-0.40)-J648</x:f>
        <x:v>3.2333333333333334</x:v>
      </x:c>
      <x:c r="M648" s="9" t="n">
        <x:f>'Physical_Arcs'!S48</x:f>
        <x:v>8.083333333333334</x:v>
      </x:c>
      <x:c r="N648" s="9" t="n">
        <x:f>M648*'Parameters'!$C$18</x:f>
        <x:v>1.616666666666667</x:v>
      </x:c>
      <x:c r="O648" s="9" t="n">
        <x:f>N648*'Parameters'!$C$19</x:f>
        <x:v>2.0208333333333335</x:v>
      </x:c>
      <x:c r="P648" s="9" t="n">
        <x:f>M648*(1-0.40)-N648</x:f>
        <x:v>3.2333333333333334</x:v>
      </x:c>
      <x:c r="Q648" s="9" t="n">
        <x:f>'Physical_Arcs'!T48</x:f>
        <x:v>4.055555555555555</x:v>
      </x:c>
      <x:c r="R648" s="9" t="n">
        <x:f>Q648*'Parameters'!$C$18</x:f>
        <x:v>0.8111111111111111</x:v>
      </x:c>
      <x:c r="S648" s="9" t="n">
        <x:f>R648*'Parameters'!$C$19</x:f>
        <x:v>1.0138888888888888</x:v>
      </x:c>
      <x:c r="T648" s="9" t="n">
        <x:f>Q648*(1-0.40)-R648</x:f>
        <x:v>1.622222222222222</x:v>
      </x:c>
    </x:row>
    <x:row r="649" ht="21" customHeight="1">
      <x:c r="A649" s="3" t="n">
        <x:v>10</x:v>
      </x:c>
      <x:c r="B649" s="3" t="str">
        <x:v>01:40</x:v>
      </x:c>
      <x:c r="C649" s="3" t="n">
        <x:v>2</x:v>
      </x:c>
      <x:c r="D649" s="3" t="n">
        <x:v>48</x:v>
      </x:c>
      <x:c r="E649" s="3" t="n">
        <x:v>8</x:v>
      </x:c>
      <x:c r="F649" s="3" t="n">
        <x:v>6</x:v>
      </x:c>
      <x:c r="G649" s="9" t="n">
        <x:v>0.14</x:v>
      </x:c>
      <x:c r="H649" s="9" t="n">
        <x:v>0.850778</x:v>
      </x:c>
      <x:c r="I649" s="9" t="n">
        <x:f>'Physical_Arcs'!R49</x:f>
        <x:v>10.555555555555555</x:v>
      </x:c>
      <x:c r="J649" s="9" t="n">
        <x:f>I649*'Parameters'!$C$18</x:f>
        <x:v>2.111111111111111</x:v>
      </x:c>
      <x:c r="K649" s="9" t="n">
        <x:f>J649*'Parameters'!$C$19</x:f>
        <x:v>2.638888888888889</x:v>
      </x:c>
      <x:c r="L649" s="9" t="n">
        <x:f>I649*(1-0.40)-J649</x:f>
        <x:v>4.222222222222221</x:v>
      </x:c>
      <x:c r="M649" s="9" t="n">
        <x:f>'Physical_Arcs'!S49</x:f>
        <x:v>10.555555555555555</x:v>
      </x:c>
      <x:c r="N649" s="9" t="n">
        <x:f>M649*'Parameters'!$C$18</x:f>
        <x:v>2.111111111111111</x:v>
      </x:c>
      <x:c r="O649" s="9" t="n">
        <x:f>N649*'Parameters'!$C$19</x:f>
        <x:v>2.638888888888889</x:v>
      </x:c>
      <x:c r="P649" s="9" t="n">
        <x:f>M649*(1-0.40)-N649</x:f>
        <x:v>4.222222222222221</x:v>
      </x:c>
      <x:c r="Q649" s="9" t="n">
        <x:f>'Physical_Arcs'!T49</x:f>
        <x:v>5.277777777777778</x:v>
      </x:c>
      <x:c r="R649" s="9" t="n">
        <x:f>Q649*'Parameters'!$C$18</x:f>
        <x:v>1.0555555555555556</x:v>
      </x:c>
      <x:c r="S649" s="9" t="n">
        <x:f>R649*'Parameters'!$C$19</x:f>
        <x:v>1.3194444444444444</x:v>
      </x:c>
      <x:c r="T649" s="9" t="n">
        <x:f>Q649*(1-0.40)-R649</x:f>
        <x:v>2.1111111111111107</x:v>
      </x:c>
    </x:row>
    <x:row r="650" ht="21" customHeight="1">
      <x:c r="A650" s="3" t="n">
        <x:v>10</x:v>
      </x:c>
      <x:c r="B650" s="3" t="str">
        <x:v>01:40</x:v>
      </x:c>
      <x:c r="C650" s="3" t="n">
        <x:v>2</x:v>
      </x:c>
      <x:c r="D650" s="3" t="n">
        <x:v>49</x:v>
      </x:c>
      <x:c r="E650" s="3" t="n">
        <x:v>8</x:v>
      </x:c>
      <x:c r="F650" s="3" t="n">
        <x:v>4</x:v>
      </x:c>
      <x:c r="G650" s="9" t="n">
        <x:v>0.14</x:v>
      </x:c>
      <x:c r="H650" s="9" t="n">
        <x:v>0.904949</x:v>
      </x:c>
      <x:c r="I650" s="9" t="n">
        <x:f>'Physical_Arcs'!R50</x:f>
        <x:v>1.5833333333333333</x:v>
      </x:c>
      <x:c r="J650" s="9" t="n">
        <x:f>I650*'Parameters'!$C$18</x:f>
        <x:v>0.31666666666666665</x:v>
      </x:c>
      <x:c r="K650" s="9" t="n">
        <x:f>J650*'Parameters'!$C$19</x:f>
        <x:v>0.3958333333333333</x:v>
      </x:c>
      <x:c r="L650" s="9" t="n">
        <x:f>I650*(1-0.40)-J650</x:f>
        <x:v>0.6333333333333333</x:v>
      </x:c>
      <x:c r="M650" s="9" t="n">
        <x:f>'Physical_Arcs'!S50</x:f>
        <x:v>1.5833333333333333</x:v>
      </x:c>
      <x:c r="N650" s="9" t="n">
        <x:f>M650*'Parameters'!$C$18</x:f>
        <x:v>0.31666666666666665</x:v>
      </x:c>
      <x:c r="O650" s="9" t="n">
        <x:f>N650*'Parameters'!$C$19</x:f>
        <x:v>0.3958333333333333</x:v>
      </x:c>
      <x:c r="P650" s="9" t="n">
        <x:f>M650*(1-0.40)-N650</x:f>
        <x:v>0.6333333333333333</x:v>
      </x:c>
      <x:c r="Q650" s="9" t="n">
        <x:f>'Physical_Arcs'!T50</x:f>
        <x:v>0.8055555555555556</x:v>
      </x:c>
      <x:c r="R650" s="9" t="n">
        <x:f>Q650*'Parameters'!$C$18</x:f>
        <x:v>0.16111111111111112</x:v>
      </x:c>
      <x:c r="S650" s="9" t="n">
        <x:f>R650*'Parameters'!$C$19</x:f>
        <x:v>0.2013888888888889</x:v>
      </x:c>
      <x:c r="T650" s="9" t="n">
        <x:f>Q650*(1-0.40)-R650</x:f>
        <x:v>0.3222222222222222</x:v>
      </x:c>
    </x:row>
    <x:row r="651" ht="21" customHeight="1">
      <x:c r="A651" s="3" t="n">
        <x:v>10</x:v>
      </x:c>
      <x:c r="B651" s="3" t="str">
        <x:v>01:40</x:v>
      </x:c>
      <x:c r="C651" s="3" t="n">
        <x:v>2</x:v>
      </x:c>
      <x:c r="D651" s="3" t="n">
        <x:v>50</x:v>
      </x:c>
      <x:c r="E651" s="3" t="n">
        <x:v>8</x:v>
      </x:c>
      <x:c r="F651" s="3" t="n">
        <x:v>5</x:v>
      </x:c>
      <x:c r="G651" s="9" t="n">
        <x:v>0.14</x:v>
      </x:c>
      <x:c r="H651" s="9" t="n">
        <x:v>0.990416</x:v>
      </x:c>
      <x:c r="I651" s="9" t="n">
        <x:f>'Physical_Arcs'!R51</x:f>
        <x:v>10.777777777777779</x:v>
      </x:c>
      <x:c r="J651" s="9" t="n">
        <x:f>I651*'Parameters'!$C$18</x:f>
        <x:v>2.155555555555556</x:v>
      </x:c>
      <x:c r="K651" s="9" t="n">
        <x:f>J651*'Parameters'!$C$19</x:f>
        <x:v>2.6944444444444446</x:v>
      </x:c>
      <x:c r="L651" s="9" t="n">
        <x:f>I651*(1-0.40)-J651</x:f>
        <x:v>4.311111111111111</x:v>
      </x:c>
      <x:c r="M651" s="9" t="n">
        <x:f>'Physical_Arcs'!S51</x:f>
        <x:v>10.777777777777779</x:v>
      </x:c>
      <x:c r="N651" s="9" t="n">
        <x:f>M651*'Parameters'!$C$18</x:f>
        <x:v>2.155555555555556</x:v>
      </x:c>
      <x:c r="O651" s="9" t="n">
        <x:f>N651*'Parameters'!$C$19</x:f>
        <x:v>2.6944444444444446</x:v>
      </x:c>
      <x:c r="P651" s="9" t="n">
        <x:f>M651*(1-0.40)-N651</x:f>
        <x:v>4.311111111111111</x:v>
      </x:c>
      <x:c r="Q651" s="9" t="n">
        <x:f>'Physical_Arcs'!T51</x:f>
        <x:v>5.388888888888889</x:v>
      </x:c>
      <x:c r="R651" s="9" t="n">
        <x:f>Q651*'Parameters'!$C$18</x:f>
        <x:v>1.077777777777778</x:v>
      </x:c>
      <x:c r="S651" s="9" t="n">
        <x:f>R651*'Parameters'!$C$19</x:f>
        <x:v>1.3472222222222223</x:v>
      </x:c>
      <x:c r="T651" s="9" t="n">
        <x:f>Q651*(1-0.40)-R651</x:f>
        <x:v>2.1555555555555554</x:v>
      </x:c>
    </x:row>
    <x:row r="652" ht="21" customHeight="1">
      <x:c r="A652" s="3" t="n">
        <x:v>10</x:v>
      </x:c>
      <x:c r="B652" s="3" t="str">
        <x:v>01:40</x:v>
      </x:c>
      <x:c r="C652" s="3" t="n">
        <x:v>2</x:v>
      </x:c>
      <x:c r="D652" s="3" t="n">
        <x:v>51</x:v>
      </x:c>
      <x:c r="E652" s="3" t="n">
        <x:v>8</x:v>
      </x:c>
      <x:c r="F652" s="3" t="n">
        <x:v>1</x:v>
      </x:c>
      <x:c r="G652" s="9" t="n">
        <x:v>0.14</x:v>
      </x:c>
      <x:c r="H652" s="9" t="n">
        <x:v>1.039066</x:v>
      </x:c>
      <x:c r="I652" s="9" t="n">
        <x:f>'Physical_Arcs'!R52</x:f>
        <x:v>8.88888888888889</x:v>
      </x:c>
      <x:c r="J652" s="9" t="n">
        <x:f>I652*'Parameters'!$C$18</x:f>
        <x:v>1.777777777777778</x:v>
      </x:c>
      <x:c r="K652" s="9" t="n">
        <x:f>J652*'Parameters'!$C$19</x:f>
        <x:v>2.2222222222222223</x:v>
      </x:c>
      <x:c r="L652" s="9" t="n">
        <x:f>I652*(1-0.40)-J652</x:f>
        <x:v>3.5555555555555554</x:v>
      </x:c>
      <x:c r="M652" s="9" t="n">
        <x:f>'Physical_Arcs'!S52</x:f>
        <x:v>8.88888888888889</x:v>
      </x:c>
      <x:c r="N652" s="9" t="n">
        <x:f>M652*'Parameters'!$C$18</x:f>
        <x:v>1.777777777777778</x:v>
      </x:c>
      <x:c r="O652" s="9" t="n">
        <x:f>N652*'Parameters'!$C$19</x:f>
        <x:v>2.2222222222222223</x:v>
      </x:c>
      <x:c r="P652" s="9" t="n">
        <x:f>M652*(1-0.40)-N652</x:f>
        <x:v>3.5555555555555554</x:v>
      </x:c>
      <x:c r="Q652" s="9" t="n">
        <x:f>'Physical_Arcs'!T52</x:f>
        <x:v>4.444444444444445</x:v>
      </x:c>
      <x:c r="R652" s="9" t="n">
        <x:f>Q652*'Parameters'!$C$18</x:f>
        <x:v>0.888888888888889</x:v>
      </x:c>
      <x:c r="S652" s="9" t="n">
        <x:f>R652*'Parameters'!$C$19</x:f>
        <x:v>1.1111111111111112</x:v>
      </x:c>
      <x:c r="T652" s="9" t="n">
        <x:f>Q652*(1-0.40)-R652</x:f>
        <x:v>1.7777777777777777</x:v>
      </x:c>
    </x:row>
    <x:row r="653" ht="21" customHeight="1">
      <x:c r="A653" s="3" t="n">
        <x:v>10</x:v>
      </x:c>
      <x:c r="B653" s="3" t="str">
        <x:v>01:40</x:v>
      </x:c>
      <x:c r="C653" s="3" t="n">
        <x:v>2</x:v>
      </x:c>
      <x:c r="D653" s="3" t="n">
        <x:v>52</x:v>
      </x:c>
      <x:c r="E653" s="3" t="n">
        <x:v>9</x:v>
      </x:c>
      <x:c r="F653" s="3" t="n">
        <x:v>10</x:v>
      </x:c>
      <x:c r="G653" s="9" t="n">
        <x:v>0.14</x:v>
      </x:c>
      <x:c r="H653" s="9" t="n">
        <x:v>0.954096</x:v>
      </x:c>
      <x:c r="I653" s="9" t="n">
        <x:f>'Physical_Arcs'!R53</x:f>
        <x:v>17.02777777777778</x:v>
      </x:c>
      <x:c r="J653" s="9" t="n">
        <x:f>I653*'Parameters'!$C$18</x:f>
        <x:v>3.405555555555556</x:v>
      </x:c>
      <x:c r="K653" s="9" t="n">
        <x:f>J653*'Parameters'!$C$19</x:f>
        <x:v>4.256944444444445</x:v>
      </x:c>
      <x:c r="L653" s="9" t="n">
        <x:f>I653*(1-0.40)-J653</x:f>
        <x:v>6.811111111111111</x:v>
      </x:c>
      <x:c r="M653" s="9" t="n">
        <x:f>'Physical_Arcs'!S53</x:f>
        <x:v>17.02777777777778</x:v>
      </x:c>
      <x:c r="N653" s="9" t="n">
        <x:f>M653*'Parameters'!$C$18</x:f>
        <x:v>3.405555555555556</x:v>
      </x:c>
      <x:c r="O653" s="9" t="n">
        <x:f>N653*'Parameters'!$C$19</x:f>
        <x:v>4.256944444444445</x:v>
      </x:c>
      <x:c r="P653" s="9" t="n">
        <x:f>M653*(1-0.40)-N653</x:f>
        <x:v>6.811111111111111</x:v>
      </x:c>
      <x:c r="Q653" s="9" t="n">
        <x:f>'Physical_Arcs'!T53</x:f>
        <x:v>17.02777777777778</x:v>
      </x:c>
      <x:c r="R653" s="9" t="n">
        <x:f>Q653*'Parameters'!$C$18</x:f>
        <x:v>3.405555555555556</x:v>
      </x:c>
      <x:c r="S653" s="9" t="n">
        <x:f>R653*'Parameters'!$C$19</x:f>
        <x:v>4.256944444444445</x:v>
      </x:c>
      <x:c r="T653" s="9" t="n">
        <x:f>Q653*(1-0.40)-R653</x:f>
        <x:v>6.811111111111111</x:v>
      </x:c>
    </x:row>
    <x:row r="654" ht="21" customHeight="1">
      <x:c r="A654" s="3" t="n">
        <x:v>10</x:v>
      </x:c>
      <x:c r="B654" s="3" t="str">
        <x:v>01:40</x:v>
      </x:c>
      <x:c r="C654" s="3" t="n">
        <x:v>2</x:v>
      </x:c>
      <x:c r="D654" s="3" t="n">
        <x:v>53</x:v>
      </x:c>
      <x:c r="E654" s="3" t="n">
        <x:v>9</x:v>
      </x:c>
      <x:c r="F654" s="3" t="n">
        <x:v>6</x:v>
      </x:c>
      <x:c r="G654" s="9" t="n">
        <x:v>0.14</x:v>
      </x:c>
      <x:c r="H654" s="9" t="n">
        <x:v>1.125574</x:v>
      </x:c>
      <x:c r="I654" s="9" t="n">
        <x:f>'Physical_Arcs'!R54</x:f>
        <x:v>9.666666666666666</x:v>
      </x:c>
      <x:c r="J654" s="9" t="n">
        <x:f>I654*'Parameters'!$C$18</x:f>
        <x:v>1.9333333333333333</x:v>
      </x:c>
      <x:c r="K654" s="9" t="n">
        <x:f>J654*'Parameters'!$C$19</x:f>
        <x:v>2.4166666666666665</x:v>
      </x:c>
      <x:c r="L654" s="9" t="n">
        <x:f>I654*(1-0.40)-J654</x:f>
        <x:v>3.8666666666666663</x:v>
      </x:c>
      <x:c r="M654" s="9" t="n">
        <x:f>'Physical_Arcs'!S54</x:f>
        <x:v>9.666666666666666</x:v>
      </x:c>
      <x:c r="N654" s="9" t="n">
        <x:f>M654*'Parameters'!$C$18</x:f>
        <x:v>1.9333333333333333</x:v>
      </x:c>
      <x:c r="O654" s="9" t="n">
        <x:f>N654*'Parameters'!$C$19</x:f>
        <x:v>2.4166666666666665</x:v>
      </x:c>
      <x:c r="P654" s="9" t="n">
        <x:f>M654*(1-0.40)-N654</x:f>
        <x:v>3.8666666666666663</x:v>
      </x:c>
      <x:c r="Q654" s="9" t="n">
        <x:f>'Physical_Arcs'!T54</x:f>
        <x:v>4.833333333333333</x:v>
      </x:c>
      <x:c r="R654" s="9" t="n">
        <x:f>Q654*'Parameters'!$C$18</x:f>
        <x:v>0.9666666666666667</x:v>
      </x:c>
      <x:c r="S654" s="9" t="n">
        <x:f>R654*'Parameters'!$C$19</x:f>
        <x:v>1.2083333333333333</x:v>
      </x:c>
      <x:c r="T654" s="9" t="n">
        <x:f>Q654*(1-0.40)-R654</x:f>
        <x:v>1.9333333333333331</x:v>
      </x:c>
    </x:row>
    <x:row r="655" ht="21" customHeight="1">
      <x:c r="A655" s="3" t="n">
        <x:v>10</x:v>
      </x:c>
      <x:c r="B655" s="3" t="str">
        <x:v>01:40</x:v>
      </x:c>
      <x:c r="C655" s="3" t="n">
        <x:v>2</x:v>
      </x:c>
      <x:c r="D655" s="3" t="n">
        <x:v>54</x:v>
      </x:c>
      <x:c r="E655" s="3" t="n">
        <x:v>9</x:v>
      </x:c>
      <x:c r="F655" s="3" t="n">
        <x:v>2</x:v>
      </x:c>
      <x:c r="G655" s="9" t="n">
        <x:v>0.14</x:v>
      </x:c>
      <x:c r="H655" s="9" t="n">
        <x:v>0.854534</x:v>
      </x:c>
      <x:c r="I655" s="9" t="n">
        <x:f>'Physical_Arcs'!R55</x:f>
        <x:v>9.88888888888889</x:v>
      </x:c>
      <x:c r="J655" s="9" t="n">
        <x:f>I655*'Parameters'!$C$18</x:f>
        <x:v>1.9777777777777779</x:v>
      </x:c>
      <x:c r="K655" s="9" t="n">
        <x:f>J655*'Parameters'!$C$19</x:f>
        <x:v>2.4722222222222223</x:v>
      </x:c>
      <x:c r="L655" s="9" t="n">
        <x:f>I655*(1-0.40)-J655</x:f>
        <x:v>3.9555555555555557</x:v>
      </x:c>
      <x:c r="M655" s="9" t="n">
        <x:f>'Physical_Arcs'!S55</x:f>
        <x:v>9.88888888888889</x:v>
      </x:c>
      <x:c r="N655" s="9" t="n">
        <x:f>M655*'Parameters'!$C$18</x:f>
        <x:v>1.9777777777777779</x:v>
      </x:c>
      <x:c r="O655" s="9" t="n">
        <x:f>N655*'Parameters'!$C$19</x:f>
        <x:v>2.4722222222222223</x:v>
      </x:c>
      <x:c r="P655" s="9" t="n">
        <x:f>M655*(1-0.40)-N655</x:f>
        <x:v>3.9555555555555557</x:v>
      </x:c>
      <x:c r="Q655" s="9" t="n">
        <x:f>'Physical_Arcs'!T55</x:f>
        <x:v>4.944444444444445</x:v>
      </x:c>
      <x:c r="R655" s="9" t="n">
        <x:f>Q655*'Parameters'!$C$18</x:f>
        <x:v>0.9888888888888889</x:v>
      </x:c>
      <x:c r="S655" s="9" t="n">
        <x:f>R655*'Parameters'!$C$19</x:f>
        <x:v>1.2361111111111112</x:v>
      </x:c>
      <x:c r="T655" s="9" t="n">
        <x:f>Q655*(1-0.40)-R655</x:f>
        <x:v>1.9777777777777779</x:v>
      </x:c>
    </x:row>
    <x:row r="656" ht="21" customHeight="1">
      <x:c r="A656" s="3" t="n">
        <x:v>10</x:v>
      </x:c>
      <x:c r="B656" s="3" t="str">
        <x:v>01:40</x:v>
      </x:c>
      <x:c r="C656" s="3" t="n">
        <x:v>2</x:v>
      </x:c>
      <x:c r="D656" s="3" t="n">
        <x:v>55</x:v>
      </x:c>
      <x:c r="E656" s="3" t="n">
        <x:v>9</x:v>
      </x:c>
      <x:c r="F656" s="3" t="n">
        <x:v>7</x:v>
      </x:c>
      <x:c r="G656" s="9" t="n">
        <x:v>0.14</x:v>
      </x:c>
      <x:c r="H656" s="9" t="n">
        <x:v>0.900033</x:v>
      </x:c>
      <x:c r="I656" s="9" t="n">
        <x:f>'Physical_Arcs'!R56</x:f>
        <x:v>4.166666666666667</x:v>
      </x:c>
      <x:c r="J656" s="9" t="n">
        <x:f>I656*'Parameters'!$C$18</x:f>
        <x:v>0.8333333333333335</x:v>
      </x:c>
      <x:c r="K656" s="9" t="n">
        <x:f>J656*'Parameters'!$C$19</x:f>
        <x:v>1.041666666666667</x:v>
      </x:c>
      <x:c r="L656" s="9" t="n">
        <x:f>I656*(1-0.40)-J656</x:f>
        <x:v>1.6666666666666665</x:v>
      </x:c>
      <x:c r="M656" s="9" t="n">
        <x:f>'Physical_Arcs'!S56</x:f>
        <x:v>4.166666666666667</x:v>
      </x:c>
      <x:c r="N656" s="9" t="n">
        <x:f>M656*'Parameters'!$C$18</x:f>
        <x:v>0.8333333333333335</x:v>
      </x:c>
      <x:c r="O656" s="9" t="n">
        <x:f>N656*'Parameters'!$C$19</x:f>
        <x:v>1.041666666666667</x:v>
      </x:c>
      <x:c r="P656" s="9" t="n">
        <x:f>M656*(1-0.40)-N656</x:f>
        <x:v>1.6666666666666665</x:v>
      </x:c>
      <x:c r="Q656" s="9" t="n">
        <x:f>'Physical_Arcs'!T56</x:f>
        <x:v>2.0833333333333335</x:v>
      </x:c>
      <x:c r="R656" s="9" t="n">
        <x:f>Q656*'Parameters'!$C$18</x:f>
        <x:v>0.41666666666666674</x:v>
      </x:c>
      <x:c r="S656" s="9" t="n">
        <x:f>R656*'Parameters'!$C$19</x:f>
        <x:v>0.5208333333333335</x:v>
      </x:c>
      <x:c r="T656" s="9" t="n">
        <x:f>Q656*(1-0.40)-R656</x:f>
        <x:v>0.8333333333333333</x:v>
      </x:c>
    </x:row>
    <x:row r="657" ht="21" customHeight="1">
      <x:c r="A657" s="3" t="n">
        <x:v>10</x:v>
      </x:c>
      <x:c r="B657" s="3" t="str">
        <x:v>01:40</x:v>
      </x:c>
      <x:c r="C657" s="3" t="n">
        <x:v>2</x:v>
      </x:c>
      <x:c r="D657" s="3" t="n">
        <x:v>56</x:v>
      </x:c>
      <x:c r="E657" s="3" t="n">
        <x:v>9</x:v>
      </x:c>
      <x:c r="F657" s="3" t="n">
        <x:v>3</x:v>
      </x:c>
      <x:c r="G657" s="9" t="n">
        <x:v>0.14</x:v>
      </x:c>
      <x:c r="H657" s="9" t="n">
        <x:v>0.893428</x:v>
      </x:c>
      <x:c r="I657" s="9" t="n">
        <x:f>'Physical_Arcs'!R57</x:f>
        <x:v>3.7222222222222223</x:v>
      </x:c>
      <x:c r="J657" s="9" t="n">
        <x:f>I657*'Parameters'!$C$18</x:f>
        <x:v>0.7444444444444445</x:v>
      </x:c>
      <x:c r="K657" s="9" t="n">
        <x:f>J657*'Parameters'!$C$19</x:f>
        <x:v>0.9305555555555556</x:v>
      </x:c>
      <x:c r="L657" s="9" t="n">
        <x:f>I657*(1-0.40)-J657</x:f>
        <x:v>1.488888888888889</x:v>
      </x:c>
      <x:c r="M657" s="9" t="n">
        <x:f>'Physical_Arcs'!S57</x:f>
        <x:v>3.7222222222222223</x:v>
      </x:c>
      <x:c r="N657" s="9" t="n">
        <x:f>M657*'Parameters'!$C$18</x:f>
        <x:v>0.7444444444444445</x:v>
      </x:c>
      <x:c r="O657" s="9" t="n">
        <x:f>N657*'Parameters'!$C$19</x:f>
        <x:v>0.9305555555555556</x:v>
      </x:c>
      <x:c r="P657" s="9" t="n">
        <x:f>M657*(1-0.40)-N657</x:f>
        <x:v>1.488888888888889</x:v>
      </x:c>
      <x:c r="Q657" s="9" t="n">
        <x:f>'Physical_Arcs'!T57</x:f>
        <x:v>1.8611111111111112</x:v>
      </x:c>
      <x:c r="R657" s="9" t="n">
        <x:f>Q657*'Parameters'!$C$18</x:f>
        <x:v>0.37222222222222223</x:v>
      </x:c>
      <x:c r="S657" s="9" t="n">
        <x:f>R657*'Parameters'!$C$19</x:f>
        <x:v>0.4652777777777778</x:v>
      </x:c>
      <x:c r="T657" s="9" t="n">
        <x:f>Q657*(1-0.40)-R657</x:f>
        <x:v>0.7444444444444445</x:v>
      </x:c>
    </x:row>
    <x:row r="658" ht="21" customHeight="1">
      <x:c r="A658" s="3" t="n">
        <x:v>10</x:v>
      </x:c>
      <x:c r="B658" s="3" t="str">
        <x:v>01:40</x:v>
      </x:c>
      <x:c r="C658" s="3" t="n">
        <x:v>2</x:v>
      </x:c>
      <x:c r="D658" s="3" t="n">
        <x:v>57</x:v>
      </x:c>
      <x:c r="E658" s="3" t="n">
        <x:v>10</x:v>
      </x:c>
      <x:c r="F658" s="3" t="n">
        <x:v>1</x:v>
      </x:c>
      <x:c r="G658" s="9" t="n">
        <x:v>0.14</x:v>
      </x:c>
      <x:c r="H658" s="9" t="n">
        <x:v>1.027979</x:v>
      </x:c>
      <x:c r="I658" s="9" t="n">
        <x:f>'Physical_Arcs'!R58</x:f>
        <x:v>17.02777777777778</x:v>
      </x:c>
      <x:c r="J658" s="9" t="n">
        <x:f>I658*'Parameters'!$C$18</x:f>
        <x:v>3.405555555555556</x:v>
      </x:c>
      <x:c r="K658" s="9" t="n">
        <x:f>J658*'Parameters'!$C$19</x:f>
        <x:v>4.256944444444445</x:v>
      </x:c>
      <x:c r="L658" s="9" t="n">
        <x:f>I658*(1-0.40)-J658</x:f>
        <x:v>6.811111111111111</x:v>
      </x:c>
      <x:c r="M658" s="9" t="n">
        <x:f>'Physical_Arcs'!S58</x:f>
        <x:v>17.02777777777778</x:v>
      </x:c>
      <x:c r="N658" s="9" t="n">
        <x:f>M658*'Parameters'!$C$18</x:f>
        <x:v>3.405555555555556</x:v>
      </x:c>
      <x:c r="O658" s="9" t="n">
        <x:f>N658*'Parameters'!$C$19</x:f>
        <x:v>4.256944444444445</x:v>
      </x:c>
      <x:c r="P658" s="9" t="n">
        <x:f>M658*(1-0.40)-N658</x:f>
        <x:v>6.811111111111111</x:v>
      </x:c>
      <x:c r="Q658" s="9" t="n">
        <x:f>'Physical_Arcs'!T58</x:f>
        <x:v>17.02777777777778</x:v>
      </x:c>
      <x:c r="R658" s="9" t="n">
        <x:f>Q658*'Parameters'!$C$18</x:f>
        <x:v>3.405555555555556</x:v>
      </x:c>
      <x:c r="S658" s="9" t="n">
        <x:f>R658*'Parameters'!$C$19</x:f>
        <x:v>4.256944444444445</x:v>
      </x:c>
      <x:c r="T658" s="9" t="n">
        <x:f>Q658*(1-0.40)-R658</x:f>
        <x:v>6.811111111111111</x:v>
      </x:c>
    </x:row>
    <x:row r="659" ht="21" customHeight="1">
      <x:c r="A659" s="3" t="n">
        <x:v>10</x:v>
      </x:c>
      <x:c r="B659" s="3" t="str">
        <x:v>01:40</x:v>
      </x:c>
      <x:c r="C659" s="3" t="n">
        <x:v>2</x:v>
      </x:c>
      <x:c r="D659" s="3" t="n">
        <x:v>58</x:v>
      </x:c>
      <x:c r="E659" s="3" t="n">
        <x:v>10</x:v>
      </x:c>
      <x:c r="F659" s="3" t="n">
        <x:v>6</x:v>
      </x:c>
      <x:c r="G659" s="9" t="n">
        <x:v>0.14</x:v>
      </x:c>
      <x:c r="H659" s="9" t="n">
        <x:v>0.952676</x:v>
      </x:c>
      <x:c r="I659" s="9" t="n">
        <x:f>'Physical_Arcs'!R59</x:f>
        <x:v>6.305555555555555</x:v>
      </x:c>
      <x:c r="J659" s="9" t="n">
        <x:f>I659*'Parameters'!$C$18</x:f>
        <x:v>1.261111111111111</x:v>
      </x:c>
      <x:c r="K659" s="9" t="n">
        <x:f>J659*'Parameters'!$C$19</x:f>
        <x:v>1.5763888888888888</x:v>
      </x:c>
      <x:c r="L659" s="9" t="n">
        <x:f>I659*(1-0.40)-J659</x:f>
        <x:v>2.522222222222222</x:v>
      </x:c>
      <x:c r="M659" s="9" t="n">
        <x:f>'Physical_Arcs'!S59</x:f>
        <x:v>6.305555555555555</x:v>
      </x:c>
      <x:c r="N659" s="9" t="n">
        <x:f>M659*'Parameters'!$C$18</x:f>
        <x:v>1.261111111111111</x:v>
      </x:c>
      <x:c r="O659" s="9" t="n">
        <x:f>N659*'Parameters'!$C$19</x:f>
        <x:v>1.5763888888888888</x:v>
      </x:c>
      <x:c r="P659" s="9" t="n">
        <x:f>M659*(1-0.40)-N659</x:f>
        <x:v>2.522222222222222</x:v>
      </x:c>
      <x:c r="Q659" s="9" t="n">
        <x:f>'Physical_Arcs'!T59</x:f>
        <x:v>3.1666666666666665</x:v>
      </x:c>
      <x:c r="R659" s="9" t="n">
        <x:f>Q659*'Parameters'!$C$18</x:f>
        <x:v>0.6333333333333333</x:v>
      </x:c>
      <x:c r="S659" s="9" t="n">
        <x:f>R659*'Parameters'!$C$19</x:f>
        <x:v>0.7916666666666666</x:v>
      </x:c>
      <x:c r="T659" s="9" t="n">
        <x:f>Q659*(1-0.40)-R659</x:f>
        <x:v>1.2666666666666666</x:v>
      </x:c>
    </x:row>
    <x:row r="660" ht="21" customHeight="1">
      <x:c r="A660" s="3" t="n">
        <x:v>10</x:v>
      </x:c>
      <x:c r="B660" s="3" t="str">
        <x:v>01:40</x:v>
      </x:c>
      <x:c r="C660" s="3" t="n">
        <x:v>2</x:v>
      </x:c>
      <x:c r="D660" s="3" t="n">
        <x:v>59</x:v>
      </x:c>
      <x:c r="E660" s="3" t="n">
        <x:v>10</x:v>
      </x:c>
      <x:c r="F660" s="3" t="n">
        <x:v>4</x:v>
      </x:c>
      <x:c r="G660" s="9" t="n">
        <x:v>0.14</x:v>
      </x:c>
      <x:c r="H660" s="9" t="n">
        <x:v>1.114542</x:v>
      </x:c>
      <x:c r="I660" s="9" t="n">
        <x:f>'Physical_Arcs'!R60</x:f>
        <x:v>1.5833333333333333</x:v>
      </x:c>
      <x:c r="J660" s="9" t="n">
        <x:f>I660*'Parameters'!$C$18</x:f>
        <x:v>0.31666666666666665</x:v>
      </x:c>
      <x:c r="K660" s="9" t="n">
        <x:f>J660*'Parameters'!$C$19</x:f>
        <x:v>0.3958333333333333</x:v>
      </x:c>
      <x:c r="L660" s="9" t="n">
        <x:f>I660*(1-0.40)-J660</x:f>
        <x:v>0.6333333333333333</x:v>
      </x:c>
      <x:c r="M660" s="9" t="n">
        <x:f>'Physical_Arcs'!S60</x:f>
        <x:v>1.5833333333333333</x:v>
      </x:c>
      <x:c r="N660" s="9" t="n">
        <x:f>M660*'Parameters'!$C$18</x:f>
        <x:v>0.31666666666666665</x:v>
      </x:c>
      <x:c r="O660" s="9" t="n">
        <x:f>N660*'Parameters'!$C$19</x:f>
        <x:v>0.3958333333333333</x:v>
      </x:c>
      <x:c r="P660" s="9" t="n">
        <x:f>M660*(1-0.40)-N660</x:f>
        <x:v>0.6333333333333333</x:v>
      </x:c>
      <x:c r="Q660" s="9" t="n">
        <x:f>'Physical_Arcs'!T60</x:f>
        <x:v>0.8055555555555556</x:v>
      </x:c>
      <x:c r="R660" s="9" t="n">
        <x:f>Q660*'Parameters'!$C$18</x:f>
        <x:v>0.16111111111111112</x:v>
      </x:c>
      <x:c r="S660" s="9" t="n">
        <x:f>R660*'Parameters'!$C$19</x:f>
        <x:v>0.2013888888888889</x:v>
      </x:c>
      <x:c r="T660" s="9" t="n">
        <x:f>Q660*(1-0.40)-R660</x:f>
        <x:v>0.3222222222222222</x:v>
      </x:c>
    </x:row>
    <x:row r="661" ht="21" customHeight="1">
      <x:c r="A661" s="3" t="n">
        <x:v>10</x:v>
      </x:c>
      <x:c r="B661" s="3" t="str">
        <x:v>01:40</x:v>
      </x:c>
      <x:c r="C661" s="3" t="n">
        <x:v>2</x:v>
      </x:c>
      <x:c r="D661" s="3" t="n">
        <x:v>60</x:v>
      </x:c>
      <x:c r="E661" s="3" t="n">
        <x:v>10</x:v>
      </x:c>
      <x:c r="F661" s="3" t="n">
        <x:v>9</x:v>
      </x:c>
      <x:c r="G661" s="9" t="n">
        <x:v>0.14</x:v>
      </x:c>
      <x:c r="H661" s="9" t="n">
        <x:v>1.092245</x:v>
      </x:c>
      <x:c r="I661" s="9" t="n">
        <x:f>'Physical_Arcs'!R61</x:f>
        <x:v>10.333333333333334</x:v>
      </x:c>
      <x:c r="J661" s="9" t="n">
        <x:f>I661*'Parameters'!$C$18</x:f>
        <x:v>2.066666666666667</x:v>
      </x:c>
      <x:c r="K661" s="9" t="n">
        <x:f>J661*'Parameters'!$C$19</x:f>
        <x:v>2.5833333333333335</x:v>
      </x:c>
      <x:c r="L661" s="9" t="n">
        <x:f>I661*(1-0.40)-J661</x:f>
        <x:v>4.133333333333333</x:v>
      </x:c>
      <x:c r="M661" s="9" t="n">
        <x:f>'Physical_Arcs'!S61</x:f>
        <x:v>10.333333333333334</x:v>
      </x:c>
      <x:c r="N661" s="9" t="n">
        <x:f>M661*'Parameters'!$C$18</x:f>
        <x:v>2.066666666666667</x:v>
      </x:c>
      <x:c r="O661" s="9" t="n">
        <x:f>N661*'Parameters'!$C$19</x:f>
        <x:v>2.5833333333333335</x:v>
      </x:c>
      <x:c r="P661" s="9" t="n">
        <x:f>M661*(1-0.40)-N661</x:f>
        <x:v>4.133333333333333</x:v>
      </x:c>
      <x:c r="Q661" s="9" t="n">
        <x:f>'Physical_Arcs'!T61</x:f>
        <x:v>5.166666666666667</x:v>
      </x:c>
      <x:c r="R661" s="9" t="n">
        <x:f>Q661*'Parameters'!$C$18</x:f>
        <x:v>1.0333333333333334</x:v>
      </x:c>
      <x:c r="S661" s="9" t="n">
        <x:f>R661*'Parameters'!$C$19</x:f>
        <x:v>1.2916666666666667</x:v>
      </x:c>
      <x:c r="T661" s="9" t="n">
        <x:f>Q661*(1-0.40)-R661</x:f>
        <x:v>2.0666666666666664</x:v>
      </x:c>
    </x:row>
    <x:row r="662" ht="21" customHeight="1">
      <x:c r="A662" s="3" t="n">
        <x:v>11</x:v>
      </x:c>
      <x:c r="B662" s="3" t="str">
        <x:v>01:50</x:v>
      </x:c>
      <x:c r="C662" s="3" t="n">
        <x:v>2</x:v>
      </x:c>
      <x:c r="D662" s="3" t="n">
        <x:v>1</x:v>
      </x:c>
      <x:c r="E662" s="3" t="n">
        <x:v>1</x:v>
      </x:c>
      <x:c r="F662" s="3" t="n">
        <x:v>2</x:v>
      </x:c>
      <x:c r="G662" s="9" t="n">
        <x:v>0.14</x:v>
      </x:c>
      <x:c r="H662" s="9" t="n">
        <x:v>0.914787</x:v>
      </x:c>
      <x:c r="I662" s="9" t="n">
        <x:f>'Physical_Arcs'!R2</x:f>
        <x:v>17.02777777777778</x:v>
      </x:c>
      <x:c r="J662" s="9" t="n">
        <x:f>I662*'Parameters'!$C$18</x:f>
        <x:v>3.405555555555556</x:v>
      </x:c>
      <x:c r="K662" s="9" t="n">
        <x:f>J662*'Parameters'!$C$19</x:f>
        <x:v>4.256944444444445</x:v>
      </x:c>
      <x:c r="L662" s="9" t="n">
        <x:f>I662*(1-0.40)-J662</x:f>
        <x:v>6.811111111111111</x:v>
      </x:c>
      <x:c r="M662" s="9" t="n">
        <x:f>'Physical_Arcs'!S2</x:f>
        <x:v>17.02777777777778</x:v>
      </x:c>
      <x:c r="N662" s="9" t="n">
        <x:f>M662*'Parameters'!$C$18</x:f>
        <x:v>3.405555555555556</x:v>
      </x:c>
      <x:c r="O662" s="9" t="n">
        <x:f>N662*'Parameters'!$C$19</x:f>
        <x:v>4.256944444444445</x:v>
      </x:c>
      <x:c r="P662" s="9" t="n">
        <x:f>M662*(1-0.40)-N662</x:f>
        <x:v>6.811111111111111</x:v>
      </x:c>
      <x:c r="Q662" s="9" t="n">
        <x:f>'Physical_Arcs'!T2</x:f>
        <x:v>17.02777777777778</x:v>
      </x:c>
      <x:c r="R662" s="9" t="n">
        <x:f>Q662*'Parameters'!$C$18</x:f>
        <x:v>3.405555555555556</x:v>
      </x:c>
      <x:c r="S662" s="9" t="n">
        <x:f>R662*'Parameters'!$C$19</x:f>
        <x:v>4.256944444444445</x:v>
      </x:c>
      <x:c r="T662" s="9" t="n">
        <x:f>Q662*(1-0.40)-R662</x:f>
        <x:v>6.811111111111111</x:v>
      </x:c>
    </x:row>
    <x:row r="663" ht="21" customHeight="1">
      <x:c r="A663" s="3" t="n">
        <x:v>11</x:v>
      </x:c>
      <x:c r="B663" s="3" t="str">
        <x:v>01:50</x:v>
      </x:c>
      <x:c r="C663" s="3" t="n">
        <x:v>2</x:v>
      </x:c>
      <x:c r="D663" s="3" t="n">
        <x:v>2</x:v>
      </x:c>
      <x:c r="E663" s="3" t="n">
        <x:v>1</x:v>
      </x:c>
      <x:c r="F663" s="3" t="n">
        <x:v>10</x:v>
      </x:c>
      <x:c r="G663" s="9" t="n">
        <x:v>0.14</x:v>
      </x:c>
      <x:c r="H663" s="9" t="n">
        <x:v>1.003995</x:v>
      </x:c>
      <x:c r="I663" s="9" t="n">
        <x:f>'Physical_Arcs'!R3</x:f>
        <x:v>3.2777777777777777</x:v>
      </x:c>
      <x:c r="J663" s="9" t="n">
        <x:f>I663*'Parameters'!$C$18</x:f>
        <x:v>0.6555555555555556</x:v>
      </x:c>
      <x:c r="K663" s="9" t="n">
        <x:f>J663*'Parameters'!$C$19</x:f>
        <x:v>0.8194444444444444</x:v>
      </x:c>
      <x:c r="L663" s="9" t="n">
        <x:f>I663*(1-0.40)-J663</x:f>
        <x:v>1.311111111111111</x:v>
      </x:c>
      <x:c r="M663" s="9" t="n">
        <x:f>'Physical_Arcs'!S3</x:f>
        <x:v>3.2777777777777777</x:v>
      </x:c>
      <x:c r="N663" s="9" t="n">
        <x:f>M663*'Parameters'!$C$18</x:f>
        <x:v>0.6555555555555556</x:v>
      </x:c>
      <x:c r="O663" s="9" t="n">
        <x:f>N663*'Parameters'!$C$19</x:f>
        <x:v>0.8194444444444444</x:v>
      </x:c>
      <x:c r="P663" s="9" t="n">
        <x:f>M663*(1-0.40)-N663</x:f>
        <x:v>1.311111111111111</x:v>
      </x:c>
      <x:c r="Q663" s="9" t="n">
        <x:f>'Physical_Arcs'!T3</x:f>
        <x:v>1.6388888888888888</x:v>
      </x:c>
      <x:c r="R663" s="9" t="n">
        <x:f>Q663*'Parameters'!$C$18</x:f>
        <x:v>0.3277777777777778</x:v>
      </x:c>
      <x:c r="S663" s="9" t="n">
        <x:f>R663*'Parameters'!$C$19</x:f>
        <x:v>0.4097222222222222</x:v>
      </x:c>
      <x:c r="T663" s="9" t="n">
        <x:f>Q663*(1-0.40)-R663</x:f>
        <x:v>0.6555555555555554</x:v>
      </x:c>
    </x:row>
    <x:row r="664" ht="21" customHeight="1">
      <x:c r="A664" s="3" t="n">
        <x:v>11</x:v>
      </x:c>
      <x:c r="B664" s="3" t="str">
        <x:v>01:50</x:v>
      </x:c>
      <x:c r="C664" s="3" t="n">
        <x:v>2</x:v>
      </x:c>
      <x:c r="D664" s="3" t="n">
        <x:v>3</x:v>
      </x:c>
      <x:c r="E664" s="3" t="n">
        <x:v>1</x:v>
      </x:c>
      <x:c r="F664" s="3" t="n">
        <x:v>8</x:v>
      </x:c>
      <x:c r="G664" s="9" t="n">
        <x:v>0.14</x:v>
      </x:c>
      <x:c r="H664" s="9" t="n">
        <x:v>0.923863</x:v>
      </x:c>
      <x:c r="I664" s="9" t="n">
        <x:f>'Physical_Arcs'!R4</x:f>
        <x:v>6.083333333333333</x:v>
      </x:c>
      <x:c r="J664" s="9" t="n">
        <x:f>I664*'Parameters'!$C$18</x:f>
        <x:v>1.2166666666666668</x:v>
      </x:c>
      <x:c r="K664" s="9" t="n">
        <x:f>J664*'Parameters'!$C$19</x:f>
        <x:v>1.5208333333333335</x:v>
      </x:c>
      <x:c r="L664" s="9" t="n">
        <x:f>I664*(1-0.40)-J664</x:f>
        <x:v>2.4333333333333327</x:v>
      </x:c>
      <x:c r="M664" s="9" t="n">
        <x:f>'Physical_Arcs'!S4</x:f>
        <x:v>6.083333333333333</x:v>
      </x:c>
      <x:c r="N664" s="9" t="n">
        <x:f>M664*'Parameters'!$C$18</x:f>
        <x:v>1.2166666666666668</x:v>
      </x:c>
      <x:c r="O664" s="9" t="n">
        <x:f>N664*'Parameters'!$C$19</x:f>
        <x:v>1.5208333333333335</x:v>
      </x:c>
      <x:c r="P664" s="9" t="n">
        <x:f>M664*(1-0.40)-N664</x:f>
        <x:v>2.4333333333333327</x:v>
      </x:c>
      <x:c r="Q664" s="9" t="n">
        <x:f>'Physical_Arcs'!T4</x:f>
        <x:v>3.0555555555555554</x:v>
      </x:c>
      <x:c r="R664" s="9" t="n">
        <x:f>Q664*'Parameters'!$C$18</x:f>
        <x:v>0.6111111111111112</x:v>
      </x:c>
      <x:c r="S664" s="9" t="n">
        <x:f>R664*'Parameters'!$C$19</x:f>
        <x:v>0.763888888888889</x:v>
      </x:c>
      <x:c r="T664" s="9" t="n">
        <x:f>Q664*(1-0.40)-R664</x:f>
        <x:v>1.2222222222222219</x:v>
      </x:c>
    </x:row>
    <x:row r="665" ht="21" customHeight="1">
      <x:c r="A665" s="3" t="n">
        <x:v>11</x:v>
      </x:c>
      <x:c r="B665" s="3" t="str">
        <x:v>01:50</x:v>
      </x:c>
      <x:c r="C665" s="3" t="n">
        <x:v>2</x:v>
      </x:c>
      <x:c r="D665" s="3" t="n">
        <x:v>4</x:v>
      </x:c>
      <x:c r="E665" s="3" t="n">
        <x:v>1</x:v>
      </x:c>
      <x:c r="F665" s="3" t="n">
        <x:v>7</x:v>
      </x:c>
      <x:c r="G665" s="9" t="n">
        <x:v>0.14</x:v>
      </x:c>
      <x:c r="H665" s="9" t="n">
        <x:v>1.111072</x:v>
      </x:c>
      <x:c r="I665" s="9" t="n">
        <x:f>'Physical_Arcs'!R5</x:f>
        <x:v>9</x:v>
      </x:c>
      <x:c r="J665" s="9" t="n">
        <x:f>I665*'Parameters'!$C$18</x:f>
        <x:v>1.8</x:v>
      </x:c>
      <x:c r="K665" s="9" t="n">
        <x:f>J665*'Parameters'!$C$19</x:f>
        <x:v>2.25</x:v>
      </x:c>
      <x:c r="L665" s="9" t="n">
        <x:f>I665*(1-0.40)-J665</x:f>
        <x:v>3.5999999999999996</x:v>
      </x:c>
      <x:c r="M665" s="9" t="n">
        <x:f>'Physical_Arcs'!S5</x:f>
        <x:v>9</x:v>
      </x:c>
      <x:c r="N665" s="9" t="n">
        <x:f>M665*'Parameters'!$C$18</x:f>
        <x:v>1.8</x:v>
      </x:c>
      <x:c r="O665" s="9" t="n">
        <x:f>N665*'Parameters'!$C$19</x:f>
        <x:v>2.25</x:v>
      </x:c>
      <x:c r="P665" s="9" t="n">
        <x:f>M665*(1-0.40)-N665</x:f>
        <x:v>3.5999999999999996</x:v>
      </x:c>
      <x:c r="Q665" s="9" t="n">
        <x:f>'Physical_Arcs'!T5</x:f>
        <x:v>4.5</x:v>
      </x:c>
      <x:c r="R665" s="9" t="n">
        <x:f>Q665*'Parameters'!$C$18</x:f>
        <x:v>0.9</x:v>
      </x:c>
      <x:c r="S665" s="9" t="n">
        <x:f>R665*'Parameters'!$C$19</x:f>
        <x:v>1.125</x:v>
      </x:c>
      <x:c r="T665" s="9" t="n">
        <x:f>Q665*(1-0.40)-R665</x:f>
        <x:v>1.7999999999999998</x:v>
      </x:c>
    </x:row>
    <x:row r="666" ht="21" customHeight="1">
      <x:c r="A666" s="3" t="n">
        <x:v>11</x:v>
      </x:c>
      <x:c r="B666" s="3" t="str">
        <x:v>01:50</x:v>
      </x:c>
      <x:c r="C666" s="3" t="n">
        <x:v>2</x:v>
      </x:c>
      <x:c r="D666" s="3" t="n">
        <x:v>5</x:v>
      </x:c>
      <x:c r="E666" s="3" t="n">
        <x:v>1</x:v>
      </x:c>
      <x:c r="F666" s="3" t="n">
        <x:v>4</x:v>
      </x:c>
      <x:c r="G666" s="9" t="n">
        <x:v>0.14</x:v>
      </x:c>
      <x:c r="H666" s="9" t="n">
        <x:v>1.001665</x:v>
      </x:c>
      <x:c r="I666" s="9" t="n">
        <x:f>'Physical_Arcs'!R6</x:f>
        <x:v>4.166666666666667</x:v>
      </x:c>
      <x:c r="J666" s="9" t="n">
        <x:f>I666*'Parameters'!$C$18</x:f>
        <x:v>0.8333333333333335</x:v>
      </x:c>
      <x:c r="K666" s="9" t="n">
        <x:f>J666*'Parameters'!$C$19</x:f>
        <x:v>1.041666666666667</x:v>
      </x:c>
      <x:c r="L666" s="9" t="n">
        <x:f>I666*(1-0.40)-J666</x:f>
        <x:v>1.6666666666666665</x:v>
      </x:c>
      <x:c r="M666" s="9" t="n">
        <x:f>'Physical_Arcs'!S6</x:f>
        <x:v>4.166666666666667</x:v>
      </x:c>
      <x:c r="N666" s="9" t="n">
        <x:f>M666*'Parameters'!$C$18</x:f>
        <x:v>0.8333333333333335</x:v>
      </x:c>
      <x:c r="O666" s="9" t="n">
        <x:f>N666*'Parameters'!$C$19</x:f>
        <x:v>1.041666666666667</x:v>
      </x:c>
      <x:c r="P666" s="9" t="n">
        <x:f>M666*(1-0.40)-N666</x:f>
        <x:v>1.6666666666666665</x:v>
      </x:c>
      <x:c r="Q666" s="9" t="n">
        <x:f>'Physical_Arcs'!T6</x:f>
        <x:v>2.0833333333333335</x:v>
      </x:c>
      <x:c r="R666" s="9" t="n">
        <x:f>Q666*'Parameters'!$C$18</x:f>
        <x:v>0.41666666666666674</x:v>
      </x:c>
      <x:c r="S666" s="9" t="n">
        <x:f>R666*'Parameters'!$C$19</x:f>
        <x:v>0.5208333333333335</x:v>
      </x:c>
      <x:c r="T666" s="9" t="n">
        <x:f>Q666*(1-0.40)-R666</x:f>
        <x:v>0.8333333333333333</x:v>
      </x:c>
    </x:row>
    <x:row r="667" ht="21" customHeight="1">
      <x:c r="A667" s="3" t="n">
        <x:v>11</x:v>
      </x:c>
      <x:c r="B667" s="3" t="str">
        <x:v>01:50</x:v>
      </x:c>
      <x:c r="C667" s="3" t="n">
        <x:v>2</x:v>
      </x:c>
      <x:c r="D667" s="3" t="n">
        <x:v>6</x:v>
      </x:c>
      <x:c r="E667" s="3" t="n">
        <x:v>1</x:v>
      </x:c>
      <x:c r="F667" s="3" t="n">
        <x:v>9</x:v>
      </x:c>
      <x:c r="G667" s="9" t="n">
        <x:v>0.14</x:v>
      </x:c>
      <x:c r="H667" s="9" t="n">
        <x:v>0.942884</x:v>
      </x:c>
      <x:c r="I667" s="9" t="n">
        <x:f>'Physical_Arcs'!R7</x:f>
        <x:v>11.027777777777779</x:v>
      </x:c>
      <x:c r="J667" s="9" t="n">
        <x:f>I667*'Parameters'!$C$18</x:f>
        <x:v>2.2055555555555557</x:v>
      </x:c>
      <x:c r="K667" s="9" t="n">
        <x:f>J667*'Parameters'!$C$19</x:f>
        <x:v>2.7569444444444446</x:v>
      </x:c>
      <x:c r="L667" s="9" t="n">
        <x:f>I667*(1-0.40)-J667</x:f>
        <x:v>4.411111111111111</x:v>
      </x:c>
      <x:c r="M667" s="9" t="n">
        <x:f>'Physical_Arcs'!S7</x:f>
        <x:v>11.027777777777779</x:v>
      </x:c>
      <x:c r="N667" s="9" t="n">
        <x:f>M667*'Parameters'!$C$18</x:f>
        <x:v>2.2055555555555557</x:v>
      </x:c>
      <x:c r="O667" s="9" t="n">
        <x:f>N667*'Parameters'!$C$19</x:f>
        <x:v>2.7569444444444446</x:v>
      </x:c>
      <x:c r="P667" s="9" t="n">
        <x:f>M667*(1-0.40)-N667</x:f>
        <x:v>4.411111111111111</x:v>
      </x:c>
      <x:c r="Q667" s="9" t="n">
        <x:f>'Physical_Arcs'!T7</x:f>
        <x:v>5.527777777777778</x:v>
      </x:c>
      <x:c r="R667" s="9" t="n">
        <x:f>Q667*'Parameters'!$C$18</x:f>
        <x:v>1.1055555555555556</x:v>
      </x:c>
      <x:c r="S667" s="9" t="n">
        <x:f>R667*'Parameters'!$C$19</x:f>
        <x:v>1.3819444444444446</x:v>
      </x:c>
      <x:c r="T667" s="9" t="n">
        <x:f>Q667*(1-0.40)-R667</x:f>
        <x:v>2.211111111111111</x:v>
      </x:c>
    </x:row>
    <x:row r="668" ht="21" customHeight="1">
      <x:c r="A668" s="3" t="n">
        <x:v>11</x:v>
      </x:c>
      <x:c r="B668" s="3" t="str">
        <x:v>01:50</x:v>
      </x:c>
      <x:c r="C668" s="3" t="n">
        <x:v>2</x:v>
      </x:c>
      <x:c r="D668" s="3" t="n">
        <x:v>7</x:v>
      </x:c>
      <x:c r="E668" s="3" t="n">
        <x:v>1</x:v>
      </x:c>
      <x:c r="F668" s="3" t="n">
        <x:v>5</x:v>
      </x:c>
      <x:c r="G668" s="9" t="n">
        <x:v>0.14</x:v>
      </x:c>
      <x:c r="H668" s="9" t="n">
        <x:v>1.038222</x:v>
      </x:c>
      <x:c r="I668" s="9" t="n">
        <x:f>'Physical_Arcs'!R8</x:f>
        <x:v>7.972222222222222</x:v>
      </x:c>
      <x:c r="J668" s="9" t="n">
        <x:f>I668*'Parameters'!$C$18</x:f>
        <x:v>1.5944444444444446</x:v>
      </x:c>
      <x:c r="K668" s="9" t="n">
        <x:f>J668*'Parameters'!$C$19</x:f>
        <x:v>1.9930555555555558</x:v>
      </x:c>
      <x:c r="L668" s="9" t="n">
        <x:f>I668*(1-0.40)-J668</x:f>
        <x:v>3.1888888888888887</x:v>
      </x:c>
      <x:c r="M668" s="9" t="n">
        <x:f>'Physical_Arcs'!S8</x:f>
        <x:v>7.972222222222222</x:v>
      </x:c>
      <x:c r="N668" s="9" t="n">
        <x:f>M668*'Parameters'!$C$18</x:f>
        <x:v>1.5944444444444446</x:v>
      </x:c>
      <x:c r="O668" s="9" t="n">
        <x:f>N668*'Parameters'!$C$19</x:f>
        <x:v>1.9930555555555558</x:v>
      </x:c>
      <x:c r="P668" s="9" t="n">
        <x:f>M668*(1-0.40)-N668</x:f>
        <x:v>3.1888888888888887</x:v>
      </x:c>
      <x:c r="Q668" s="9" t="n">
        <x:f>'Physical_Arcs'!T8</x:f>
        <x:v>4</x:v>
      </x:c>
      <x:c r="R668" s="9" t="n">
        <x:f>Q668*'Parameters'!$C$18</x:f>
        <x:v>0.8</x:v>
      </x:c>
      <x:c r="S668" s="9" t="n">
        <x:f>R668*'Parameters'!$C$19</x:f>
        <x:v>1</x:v>
      </x:c>
      <x:c r="T668" s="9" t="n">
        <x:f>Q668*(1-0.40)-R668</x:f>
        <x:v>1.5999999999999999</x:v>
      </x:c>
    </x:row>
    <x:row r="669" ht="21" customHeight="1">
      <x:c r="A669" s="3" t="n">
        <x:v>11</x:v>
      </x:c>
      <x:c r="B669" s="3" t="str">
        <x:v>01:50</x:v>
      </x:c>
      <x:c r="C669" s="3" t="n">
        <x:v>2</x:v>
      </x:c>
      <x:c r="D669" s="3" t="n">
        <x:v>8</x:v>
      </x:c>
      <x:c r="E669" s="3" t="n">
        <x:v>1</x:v>
      </x:c>
      <x:c r="F669" s="3" t="n">
        <x:v>3</x:v>
      </x:c>
      <x:c r="G669" s="9" t="n">
        <x:v>0.14</x:v>
      </x:c>
      <x:c r="H669" s="9" t="n">
        <x:v>1.122297</x:v>
      </x:c>
      <x:c r="I669" s="9" t="n">
        <x:f>'Physical_Arcs'!R9</x:f>
        <x:v>4.166666666666667</x:v>
      </x:c>
      <x:c r="J669" s="9" t="n">
        <x:f>I669*'Parameters'!$C$18</x:f>
        <x:v>0.8333333333333335</x:v>
      </x:c>
      <x:c r="K669" s="9" t="n">
        <x:f>J669*'Parameters'!$C$19</x:f>
        <x:v>1.041666666666667</x:v>
      </x:c>
      <x:c r="L669" s="9" t="n">
        <x:f>I669*(1-0.40)-J669</x:f>
        <x:v>1.6666666666666665</x:v>
      </x:c>
      <x:c r="M669" s="9" t="n">
        <x:f>'Physical_Arcs'!S9</x:f>
        <x:v>4.166666666666667</x:v>
      </x:c>
      <x:c r="N669" s="9" t="n">
        <x:f>M669*'Parameters'!$C$18</x:f>
        <x:v>0.8333333333333335</x:v>
      </x:c>
      <x:c r="O669" s="9" t="n">
        <x:f>N669*'Parameters'!$C$19</x:f>
        <x:v>1.041666666666667</x:v>
      </x:c>
      <x:c r="P669" s="9" t="n">
        <x:f>M669*(1-0.40)-N669</x:f>
        <x:v>1.6666666666666665</x:v>
      </x:c>
      <x:c r="Q669" s="9" t="n">
        <x:f>'Physical_Arcs'!T9</x:f>
        <x:v>2.0833333333333335</x:v>
      </x:c>
      <x:c r="R669" s="9" t="n">
        <x:f>Q669*'Parameters'!$C$18</x:f>
        <x:v>0.41666666666666674</x:v>
      </x:c>
      <x:c r="S669" s="9" t="n">
        <x:f>R669*'Parameters'!$C$19</x:f>
        <x:v>0.5208333333333335</x:v>
      </x:c>
      <x:c r="T669" s="9" t="n">
        <x:f>Q669*(1-0.40)-R669</x:f>
        <x:v>0.8333333333333333</x:v>
      </x:c>
    </x:row>
    <x:row r="670" ht="21" customHeight="1">
      <x:c r="A670" s="3" t="n">
        <x:v>11</x:v>
      </x:c>
      <x:c r="B670" s="3" t="str">
        <x:v>01:50</x:v>
      </x:c>
      <x:c r="C670" s="3" t="n">
        <x:v>2</x:v>
      </x:c>
      <x:c r="D670" s="3" t="n">
        <x:v>9</x:v>
      </x:c>
      <x:c r="E670" s="3" t="n">
        <x:v>1</x:v>
      </x:c>
      <x:c r="F670" s="3" t="n">
        <x:v>6</x:v>
      </x:c>
      <x:c r="G670" s="9" t="n">
        <x:v>0.14</x:v>
      </x:c>
      <x:c r="H670" s="9" t="n">
        <x:v>1.132682</x:v>
      </x:c>
      <x:c r="I670" s="9" t="n">
        <x:f>'Physical_Arcs'!R10</x:f>
        <x:v>2.138888888888889</x:v>
      </x:c>
      <x:c r="J670" s="9" t="n">
        <x:f>I670*'Parameters'!$C$18</x:f>
        <x:v>0.4277777777777778</x:v>
      </x:c>
      <x:c r="K670" s="9" t="n">
        <x:f>J670*'Parameters'!$C$19</x:f>
        <x:v>0.5347222222222223</x:v>
      </x:c>
      <x:c r="L670" s="9" t="n">
        <x:f>I670*(1-0.40)-J670</x:f>
        <x:v>0.8555555555555554</x:v>
      </x:c>
      <x:c r="M670" s="9" t="n">
        <x:f>'Physical_Arcs'!S10</x:f>
        <x:v>2.138888888888889</x:v>
      </x:c>
      <x:c r="N670" s="9" t="n">
        <x:f>M670*'Parameters'!$C$18</x:f>
        <x:v>0.4277777777777778</x:v>
      </x:c>
      <x:c r="O670" s="9" t="n">
        <x:f>N670*'Parameters'!$C$19</x:f>
        <x:v>0.5347222222222223</x:v>
      </x:c>
      <x:c r="P670" s="9" t="n">
        <x:f>M670*(1-0.40)-N670</x:f>
        <x:v>0.8555555555555554</x:v>
      </x:c>
      <x:c r="Q670" s="9" t="n">
        <x:f>'Physical_Arcs'!T10</x:f>
        <x:v>1.0833333333333333</x:v>
      </x:c>
      <x:c r="R670" s="9" t="n">
        <x:f>Q670*'Parameters'!$C$18</x:f>
        <x:v>0.21666666666666667</x:v>
      </x:c>
      <x:c r="S670" s="9" t="n">
        <x:f>R670*'Parameters'!$C$19</x:f>
        <x:v>0.27083333333333337</x:v>
      </x:c>
      <x:c r="T670" s="9" t="n">
        <x:f>Q670*(1-0.40)-R670</x:f>
        <x:v>0.43333333333333324</x:v>
      </x:c>
    </x:row>
    <x:row r="671" ht="21" customHeight="1">
      <x:c r="A671" s="3" t="n">
        <x:v>11</x:v>
      </x:c>
      <x:c r="B671" s="3" t="str">
        <x:v>01:50</x:v>
      </x:c>
      <x:c r="C671" s="3" t="n">
        <x:v>2</x:v>
      </x:c>
      <x:c r="D671" s="3" t="n">
        <x:v>10</x:v>
      </x:c>
      <x:c r="E671" s="3" t="n">
        <x:v>2</x:v>
      </x:c>
      <x:c r="F671" s="3" t="n">
        <x:v>3</x:v>
      </x:c>
      <x:c r="G671" s="9" t="n">
        <x:v>0.14</x:v>
      </x:c>
      <x:c r="H671" s="9" t="n">
        <x:v>0.871154</x:v>
      </x:c>
      <x:c r="I671" s="9" t="n">
        <x:f>'Physical_Arcs'!R11</x:f>
        <x:v>17.02777777777778</x:v>
      </x:c>
      <x:c r="J671" s="9" t="n">
        <x:f>I671*'Parameters'!$C$18</x:f>
        <x:v>3.405555555555556</x:v>
      </x:c>
      <x:c r="K671" s="9" t="n">
        <x:f>J671*'Parameters'!$C$19</x:f>
        <x:v>4.256944444444445</x:v>
      </x:c>
      <x:c r="L671" s="9" t="n">
        <x:f>I671*(1-0.40)-J671</x:f>
        <x:v>6.811111111111111</x:v>
      </x:c>
      <x:c r="M671" s="9" t="n">
        <x:f>'Physical_Arcs'!S11</x:f>
        <x:v>17.02777777777778</x:v>
      </x:c>
      <x:c r="N671" s="9" t="n">
        <x:f>M671*'Parameters'!$C$18</x:f>
        <x:v>3.405555555555556</x:v>
      </x:c>
      <x:c r="O671" s="9" t="n">
        <x:f>N671*'Parameters'!$C$19</x:f>
        <x:v>4.256944444444445</x:v>
      </x:c>
      <x:c r="P671" s="9" t="n">
        <x:f>M671*(1-0.40)-N671</x:f>
        <x:v>6.811111111111111</x:v>
      </x:c>
      <x:c r="Q671" s="9" t="n">
        <x:f>'Physical_Arcs'!T11</x:f>
        <x:v>17.02777777777778</x:v>
      </x:c>
      <x:c r="R671" s="9" t="n">
        <x:f>Q671*'Parameters'!$C$18</x:f>
        <x:v>3.405555555555556</x:v>
      </x:c>
      <x:c r="S671" s="9" t="n">
        <x:f>R671*'Parameters'!$C$19</x:f>
        <x:v>4.256944444444445</x:v>
      </x:c>
      <x:c r="T671" s="9" t="n">
        <x:f>Q671*(1-0.40)-R671</x:f>
        <x:v>6.811111111111111</x:v>
      </x:c>
    </x:row>
    <x:row r="672" ht="21" customHeight="1">
      <x:c r="A672" s="3" t="n">
        <x:v>11</x:v>
      </x:c>
      <x:c r="B672" s="3" t="str">
        <x:v>01:50</x:v>
      </x:c>
      <x:c r="C672" s="3" t="n">
        <x:v>2</x:v>
      </x:c>
      <x:c r="D672" s="3" t="n">
        <x:v>11</x:v>
      </x:c>
      <x:c r="E672" s="3" t="n">
        <x:v>2</x:v>
      </x:c>
      <x:c r="F672" s="3" t="n">
        <x:v>4</x:v>
      </x:c>
      <x:c r="G672" s="9" t="n">
        <x:v>0.14</x:v>
      </x:c>
      <x:c r="H672" s="9" t="n">
        <x:v>1.147412</x:v>
      </x:c>
      <x:c r="I672" s="9" t="n">
        <x:f>'Physical_Arcs'!R12</x:f>
        <x:v>7.972222222222222</x:v>
      </x:c>
      <x:c r="J672" s="9" t="n">
        <x:f>I672*'Parameters'!$C$18</x:f>
        <x:v>1.5944444444444446</x:v>
      </x:c>
      <x:c r="K672" s="9" t="n">
        <x:f>J672*'Parameters'!$C$19</x:f>
        <x:v>1.9930555555555558</x:v>
      </x:c>
      <x:c r="L672" s="9" t="n">
        <x:f>I672*(1-0.40)-J672</x:f>
        <x:v>3.1888888888888887</x:v>
      </x:c>
      <x:c r="M672" s="9" t="n">
        <x:f>'Physical_Arcs'!S12</x:f>
        <x:v>7.972222222222222</x:v>
      </x:c>
      <x:c r="N672" s="9" t="n">
        <x:f>M672*'Parameters'!$C$18</x:f>
        <x:v>1.5944444444444446</x:v>
      </x:c>
      <x:c r="O672" s="9" t="n">
        <x:f>N672*'Parameters'!$C$19</x:f>
        <x:v>1.9930555555555558</x:v>
      </x:c>
      <x:c r="P672" s="9" t="n">
        <x:f>M672*(1-0.40)-N672</x:f>
        <x:v>3.1888888888888887</x:v>
      </x:c>
      <x:c r="Q672" s="9" t="n">
        <x:f>'Physical_Arcs'!T12</x:f>
        <x:v>4</x:v>
      </x:c>
      <x:c r="R672" s="9" t="n">
        <x:f>Q672*'Parameters'!$C$18</x:f>
        <x:v>0.8</x:v>
      </x:c>
      <x:c r="S672" s="9" t="n">
        <x:f>R672*'Parameters'!$C$19</x:f>
        <x:v>1</x:v>
      </x:c>
      <x:c r="T672" s="9" t="n">
        <x:f>Q672*(1-0.40)-R672</x:f>
        <x:v>1.5999999999999999</x:v>
      </x:c>
    </x:row>
    <x:row r="673" ht="21" customHeight="1">
      <x:c r="A673" s="3" t="n">
        <x:v>11</x:v>
      </x:c>
      <x:c r="B673" s="3" t="str">
        <x:v>01:50</x:v>
      </x:c>
      <x:c r="C673" s="3" t="n">
        <x:v>2</x:v>
      </x:c>
      <x:c r="D673" s="3" t="n">
        <x:v>12</x:v>
      </x:c>
      <x:c r="E673" s="3" t="n">
        <x:v>2</x:v>
      </x:c>
      <x:c r="F673" s="3" t="n">
        <x:v>7</x:v>
      </x:c>
      <x:c r="G673" s="9" t="n">
        <x:v>0.14</x:v>
      </x:c>
      <x:c r="H673" s="9" t="n">
        <x:v>0.96729</x:v>
      </x:c>
      <x:c r="I673" s="9" t="n">
        <x:f>'Physical_Arcs'!R13</x:f>
        <x:v>4.611111111111111</x:v>
      </x:c>
      <x:c r="J673" s="9" t="n">
        <x:f>I673*'Parameters'!$C$18</x:f>
        <x:v>0.9222222222222222</x:v>
      </x:c>
      <x:c r="K673" s="9" t="n">
        <x:f>J673*'Parameters'!$C$19</x:f>
        <x:v>1.1527777777777777</x:v>
      </x:c>
      <x:c r="L673" s="9" t="n">
        <x:f>I673*(1-0.40)-J673</x:f>
        <x:v>1.844444444444444</x:v>
      </x:c>
      <x:c r="M673" s="9" t="n">
        <x:f>'Physical_Arcs'!S13</x:f>
        <x:v>4.611111111111111</x:v>
      </x:c>
      <x:c r="N673" s="9" t="n">
        <x:f>M673*'Parameters'!$C$18</x:f>
        <x:v>0.9222222222222222</x:v>
      </x:c>
      <x:c r="O673" s="9" t="n">
        <x:f>N673*'Parameters'!$C$19</x:f>
        <x:v>1.1527777777777777</x:v>
      </x:c>
      <x:c r="P673" s="9" t="n">
        <x:f>M673*(1-0.40)-N673</x:f>
        <x:v>1.844444444444444</x:v>
      </x:c>
      <x:c r="Q673" s="9" t="n">
        <x:f>'Physical_Arcs'!T13</x:f>
        <x:v>2.3055555555555554</x:v>
      </x:c>
      <x:c r="R673" s="9" t="n">
        <x:f>Q673*'Parameters'!$C$18</x:f>
        <x:v>0.4611111111111111</x:v>
      </x:c>
      <x:c r="S673" s="9" t="n">
        <x:f>R673*'Parameters'!$C$19</x:f>
        <x:v>0.5763888888888888</x:v>
      </x:c>
      <x:c r="T673" s="9" t="n">
        <x:f>Q673*(1-0.40)-R673</x:f>
        <x:v>0.922222222222222</x:v>
      </x:c>
    </x:row>
    <x:row r="674" ht="21" customHeight="1">
      <x:c r="A674" s="3" t="n">
        <x:v>11</x:v>
      </x:c>
      <x:c r="B674" s="3" t="str">
        <x:v>01:50</x:v>
      </x:c>
      <x:c r="C674" s="3" t="n">
        <x:v>2</x:v>
      </x:c>
      <x:c r="D674" s="3" t="n">
        <x:v>13</x:v>
      </x:c>
      <x:c r="E674" s="3" t="n">
        <x:v>2</x:v>
      </x:c>
      <x:c r="F674" s="3" t="n">
        <x:v>9</x:v>
      </x:c>
      <x:c r="G674" s="9" t="n">
        <x:v>0.14</x:v>
      </x:c>
      <x:c r="H674" s="9" t="n">
        <x:v>1.117625</x:v>
      </x:c>
      <x:c r="I674" s="9" t="n">
        <x:f>'Physical_Arcs'!R14</x:f>
        <x:v>8.666666666666666</x:v>
      </x:c>
      <x:c r="J674" s="9" t="n">
        <x:f>I674*'Parameters'!$C$18</x:f>
        <x:v>1.7333333333333334</x:v>
      </x:c>
      <x:c r="K674" s="9" t="n">
        <x:f>J674*'Parameters'!$C$19</x:f>
        <x:v>2.166666666666667</x:v>
      </x:c>
      <x:c r="L674" s="9" t="n">
        <x:f>I674*(1-0.40)-J674</x:f>
        <x:v>3.466666666666666</x:v>
      </x:c>
      <x:c r="M674" s="9" t="n">
        <x:f>'Physical_Arcs'!S14</x:f>
        <x:v>8.666666666666666</x:v>
      </x:c>
      <x:c r="N674" s="9" t="n">
        <x:f>M674*'Parameters'!$C$18</x:f>
        <x:v>1.7333333333333334</x:v>
      </x:c>
      <x:c r="O674" s="9" t="n">
        <x:f>N674*'Parameters'!$C$19</x:f>
        <x:v>2.166666666666667</x:v>
      </x:c>
      <x:c r="P674" s="9" t="n">
        <x:f>M674*(1-0.40)-N674</x:f>
        <x:v>3.466666666666666</x:v>
      </x:c>
      <x:c r="Q674" s="9" t="n">
        <x:f>'Physical_Arcs'!T14</x:f>
        <x:v>4.333333333333333</x:v>
      </x:c>
      <x:c r="R674" s="9" t="n">
        <x:f>Q674*'Parameters'!$C$18</x:f>
        <x:v>0.8666666666666667</x:v>
      </x:c>
      <x:c r="S674" s="9" t="n">
        <x:f>R674*'Parameters'!$C$19</x:f>
        <x:v>1.0833333333333335</x:v>
      </x:c>
      <x:c r="T674" s="9" t="n">
        <x:f>Q674*(1-0.40)-R674</x:f>
        <x:v>1.733333333333333</x:v>
      </x:c>
    </x:row>
    <x:row r="675" ht="21" customHeight="1">
      <x:c r="A675" s="3" t="n">
        <x:v>11</x:v>
      </x:c>
      <x:c r="B675" s="3" t="str">
        <x:v>01:50</x:v>
      </x:c>
      <x:c r="C675" s="3" t="n">
        <x:v>2</x:v>
      </x:c>
      <x:c r="D675" s="3" t="n">
        <x:v>14</x:v>
      </x:c>
      <x:c r="E675" s="3" t="n">
        <x:v>2</x:v>
      </x:c>
      <x:c r="F675" s="3" t="n">
        <x:v>8</x:v>
      </x:c>
      <x:c r="G675" s="9" t="n">
        <x:v>0.14</x:v>
      </x:c>
      <x:c r="H675" s="9" t="n">
        <x:v>1.144902</x:v>
      </x:c>
      <x:c r="I675" s="9" t="n">
        <x:f>'Physical_Arcs'!R15</x:f>
        <x:v>7.75</x:v>
      </x:c>
      <x:c r="J675" s="9" t="n">
        <x:f>I675*'Parameters'!$C$18</x:f>
        <x:v>1.55</x:v>
      </x:c>
      <x:c r="K675" s="9" t="n">
        <x:f>J675*'Parameters'!$C$19</x:f>
        <x:v>1.9375</x:v>
      </x:c>
      <x:c r="L675" s="9" t="n">
        <x:f>I675*(1-0.40)-J675</x:f>
        <x:v>3.0999999999999996</x:v>
      </x:c>
      <x:c r="M675" s="9" t="n">
        <x:f>'Physical_Arcs'!S15</x:f>
        <x:v>7.75</x:v>
      </x:c>
      <x:c r="N675" s="9" t="n">
        <x:f>M675*'Parameters'!$C$18</x:f>
        <x:v>1.55</x:v>
      </x:c>
      <x:c r="O675" s="9" t="n">
        <x:f>N675*'Parameters'!$C$19</x:f>
        <x:v>1.9375</x:v>
      </x:c>
      <x:c r="P675" s="9" t="n">
        <x:f>M675*(1-0.40)-N675</x:f>
        <x:v>3.0999999999999996</x:v>
      </x:c>
      <x:c r="Q675" s="9" t="n">
        <x:f>'Physical_Arcs'!T15</x:f>
        <x:v>3.888888888888889</x:v>
      </x:c>
      <x:c r="R675" s="9" t="n">
        <x:f>Q675*'Parameters'!$C$18</x:f>
        <x:v>0.7777777777777778</x:v>
      </x:c>
      <x:c r="S675" s="9" t="n">
        <x:f>R675*'Parameters'!$C$19</x:f>
        <x:v>0.9722222222222222</x:v>
      </x:c>
      <x:c r="T675" s="9" t="n">
        <x:f>Q675*(1-0.40)-R675</x:f>
        <x:v>1.5555555555555554</x:v>
      </x:c>
    </x:row>
    <x:row r="676" ht="21" customHeight="1">
      <x:c r="A676" s="3" t="n">
        <x:v>11</x:v>
      </x:c>
      <x:c r="B676" s="3" t="str">
        <x:v>01:50</x:v>
      </x:c>
      <x:c r="C676" s="3" t="n">
        <x:v>2</x:v>
      </x:c>
      <x:c r="D676" s="3" t="n">
        <x:v>15</x:v>
      </x:c>
      <x:c r="E676" s="3" t="n">
        <x:v>2</x:v>
      </x:c>
      <x:c r="F676" s="3" t="n">
        <x:v>10</x:v>
      </x:c>
      <x:c r="G676" s="9" t="n">
        <x:v>0.14</x:v>
      </x:c>
      <x:c r="H676" s="9" t="n">
        <x:v>1.146684</x:v>
      </x:c>
      <x:c r="I676" s="9" t="n">
        <x:f>'Physical_Arcs'!R16</x:f>
        <x:v>7.416666666666667</x:v>
      </x:c>
      <x:c r="J676" s="9" t="n">
        <x:f>I676*'Parameters'!$C$18</x:f>
        <x:v>1.4833333333333334</x:v>
      </x:c>
      <x:c r="K676" s="9" t="n">
        <x:f>J676*'Parameters'!$C$19</x:f>
        <x:v>1.8541666666666667</x:v>
      </x:c>
      <x:c r="L676" s="9" t="n">
        <x:f>I676*(1-0.40)-J676</x:f>
        <x:v>2.966666666666667</x:v>
      </x:c>
      <x:c r="M676" s="9" t="n">
        <x:f>'Physical_Arcs'!S16</x:f>
        <x:v>7.416666666666667</x:v>
      </x:c>
      <x:c r="N676" s="9" t="n">
        <x:f>M676*'Parameters'!$C$18</x:f>
        <x:v>1.4833333333333334</x:v>
      </x:c>
      <x:c r="O676" s="9" t="n">
        <x:f>N676*'Parameters'!$C$19</x:f>
        <x:v>1.8541666666666667</x:v>
      </x:c>
      <x:c r="P676" s="9" t="n">
        <x:f>M676*(1-0.40)-N676</x:f>
        <x:v>2.966666666666667</x:v>
      </x:c>
      <x:c r="Q676" s="9" t="n">
        <x:f>'Physical_Arcs'!T16</x:f>
        <x:v>3.7222222222222223</x:v>
      </x:c>
      <x:c r="R676" s="9" t="n">
        <x:f>Q676*'Parameters'!$C$18</x:f>
        <x:v>0.7444444444444445</x:v>
      </x:c>
      <x:c r="S676" s="9" t="n">
        <x:f>R676*'Parameters'!$C$19</x:f>
        <x:v>0.9305555555555556</x:v>
      </x:c>
      <x:c r="T676" s="9" t="n">
        <x:f>Q676*(1-0.40)-R676</x:f>
        <x:v>1.488888888888889</x:v>
      </x:c>
    </x:row>
    <x:row r="677" ht="21" customHeight="1">
      <x:c r="A677" s="3" t="n">
        <x:v>11</x:v>
      </x:c>
      <x:c r="B677" s="3" t="str">
        <x:v>01:50</x:v>
      </x:c>
      <x:c r="C677" s="3" t="n">
        <x:v>2</x:v>
      </x:c>
      <x:c r="D677" s="3" t="n">
        <x:v>16</x:v>
      </x:c>
      <x:c r="E677" s="3" t="n">
        <x:v>3</x:v>
      </x:c>
      <x:c r="F677" s="3" t="n">
        <x:v>4</x:v>
      </x:c>
      <x:c r="G677" s="9" t="n">
        <x:v>0.14</x:v>
      </x:c>
      <x:c r="H677" s="9" t="n">
        <x:v>1.017658</x:v>
      </x:c>
      <x:c r="I677" s="9" t="n">
        <x:f>'Physical_Arcs'!R17</x:f>
        <x:v>17.02777777777778</x:v>
      </x:c>
      <x:c r="J677" s="9" t="n">
        <x:f>I677*'Parameters'!$C$18</x:f>
        <x:v>3.405555555555556</x:v>
      </x:c>
      <x:c r="K677" s="9" t="n">
        <x:f>J677*'Parameters'!$C$19</x:f>
        <x:v>4.256944444444445</x:v>
      </x:c>
      <x:c r="L677" s="9" t="n">
        <x:f>I677*(1-0.40)-J677</x:f>
        <x:v>6.811111111111111</x:v>
      </x:c>
      <x:c r="M677" s="9" t="n">
        <x:f>'Physical_Arcs'!S17</x:f>
        <x:v>17.02777777777778</x:v>
      </x:c>
      <x:c r="N677" s="9" t="n">
        <x:f>M677*'Parameters'!$C$18</x:f>
        <x:v>3.405555555555556</x:v>
      </x:c>
      <x:c r="O677" s="9" t="n">
        <x:f>N677*'Parameters'!$C$19</x:f>
        <x:v>4.256944444444445</x:v>
      </x:c>
      <x:c r="P677" s="9" t="n">
        <x:f>M677*(1-0.40)-N677</x:f>
        <x:v>6.811111111111111</x:v>
      </x:c>
      <x:c r="Q677" s="9" t="n">
        <x:f>'Physical_Arcs'!T17</x:f>
        <x:v>17.02777777777778</x:v>
      </x:c>
      <x:c r="R677" s="9" t="n">
        <x:f>Q677*'Parameters'!$C$18</x:f>
        <x:v>3.405555555555556</x:v>
      </x:c>
      <x:c r="S677" s="9" t="n">
        <x:f>R677*'Parameters'!$C$19</x:f>
        <x:v>4.256944444444445</x:v>
      </x:c>
      <x:c r="T677" s="9" t="n">
        <x:f>Q677*(1-0.40)-R677</x:f>
        <x:v>6.811111111111111</x:v>
      </x:c>
    </x:row>
    <x:row r="678" ht="21" customHeight="1">
      <x:c r="A678" s="3" t="n">
        <x:v>11</x:v>
      </x:c>
      <x:c r="B678" s="3" t="str">
        <x:v>01:50</x:v>
      </x:c>
      <x:c r="C678" s="3" t="n">
        <x:v>2</x:v>
      </x:c>
      <x:c r="D678" s="3" t="n">
        <x:v>17</x:v>
      </x:c>
      <x:c r="E678" s="3" t="n">
        <x:v>3</x:v>
      </x:c>
      <x:c r="F678" s="3" t="n">
        <x:v>2</x:v>
      </x:c>
      <x:c r="G678" s="9" t="n">
        <x:v>0.14</x:v>
      </x:c>
      <x:c r="H678" s="9" t="n">
        <x:v>0.875995</x:v>
      </x:c>
      <x:c r="I678" s="9" t="n">
        <x:f>'Physical_Arcs'!R18</x:f>
        <x:v>10.666666666666666</x:v>
      </x:c>
      <x:c r="J678" s="9" t="n">
        <x:f>I678*'Parameters'!$C$18</x:f>
        <x:v>2.1333333333333333</x:v>
      </x:c>
      <x:c r="K678" s="9" t="n">
        <x:f>J678*'Parameters'!$C$19</x:f>
        <x:v>2.6666666666666665</x:v>
      </x:c>
      <x:c r="L678" s="9" t="n">
        <x:f>I678*(1-0.40)-J678</x:f>
        <x:v>4.266666666666666</x:v>
      </x:c>
      <x:c r="M678" s="9" t="n">
        <x:f>'Physical_Arcs'!S18</x:f>
        <x:v>10.666666666666666</x:v>
      </x:c>
      <x:c r="N678" s="9" t="n">
        <x:f>M678*'Parameters'!$C$18</x:f>
        <x:v>2.1333333333333333</x:v>
      </x:c>
      <x:c r="O678" s="9" t="n">
        <x:f>N678*'Parameters'!$C$19</x:f>
        <x:v>2.6666666666666665</x:v>
      </x:c>
      <x:c r="P678" s="9" t="n">
        <x:f>M678*(1-0.40)-N678</x:f>
        <x:v>4.266666666666666</x:v>
      </x:c>
      <x:c r="Q678" s="9" t="n">
        <x:f>'Physical_Arcs'!T18</x:f>
        <x:v>5.333333333333333</x:v>
      </x:c>
      <x:c r="R678" s="9" t="n">
        <x:f>Q678*'Parameters'!$C$18</x:f>
        <x:v>1.0666666666666667</x:v>
      </x:c>
      <x:c r="S678" s="9" t="n">
        <x:f>R678*'Parameters'!$C$19</x:f>
        <x:v>1.3333333333333333</x:v>
      </x:c>
      <x:c r="T678" s="9" t="n">
        <x:f>Q678*(1-0.40)-R678</x:f>
        <x:v>2.133333333333333</x:v>
      </x:c>
    </x:row>
    <x:row r="679" ht="21" customHeight="1">
      <x:c r="A679" s="3" t="n">
        <x:v>11</x:v>
      </x:c>
      <x:c r="B679" s="3" t="str">
        <x:v>01:50</x:v>
      </x:c>
      <x:c r="C679" s="3" t="n">
        <x:v>2</x:v>
      </x:c>
      <x:c r="D679" s="3" t="n">
        <x:v>18</x:v>
      </x:c>
      <x:c r="E679" s="3" t="n">
        <x:v>3</x:v>
      </x:c>
      <x:c r="F679" s="3" t="n">
        <x:v>1</x:v>
      </x:c>
      <x:c r="G679" s="9" t="n">
        <x:v>0.14</x:v>
      </x:c>
      <x:c r="H679" s="9" t="n">
        <x:v>1.015397</x:v>
      </x:c>
      <x:c r="I679" s="9" t="n">
        <x:f>'Physical_Arcs'!R19</x:f>
        <x:v>5.166666666666667</x:v>
      </x:c>
      <x:c r="J679" s="9" t="n">
        <x:f>I679*'Parameters'!$C$18</x:f>
        <x:v>1.0333333333333334</x:v>
      </x:c>
      <x:c r="K679" s="9" t="n">
        <x:f>J679*'Parameters'!$C$19</x:f>
        <x:v>1.2916666666666667</x:v>
      </x:c>
      <x:c r="L679" s="9" t="n">
        <x:f>I679*(1-0.40)-J679</x:f>
        <x:v>2.0666666666666664</x:v>
      </x:c>
      <x:c r="M679" s="9" t="n">
        <x:f>'Physical_Arcs'!S19</x:f>
        <x:v>5.166666666666667</x:v>
      </x:c>
      <x:c r="N679" s="9" t="n">
        <x:f>M679*'Parameters'!$C$18</x:f>
        <x:v>1.0333333333333334</x:v>
      </x:c>
      <x:c r="O679" s="9" t="n">
        <x:f>N679*'Parameters'!$C$19</x:f>
        <x:v>1.2916666666666667</x:v>
      </x:c>
      <x:c r="P679" s="9" t="n">
        <x:f>M679*(1-0.40)-N679</x:f>
        <x:v>2.0666666666666664</x:v>
      </x:c>
      <x:c r="Q679" s="9" t="n">
        <x:f>'Physical_Arcs'!T19</x:f>
        <x:v>2.5833333333333335</x:v>
      </x:c>
      <x:c r="R679" s="9" t="n">
        <x:f>Q679*'Parameters'!$C$18</x:f>
        <x:v>0.5166666666666667</x:v>
      </x:c>
      <x:c r="S679" s="9" t="n">
        <x:f>R679*'Parameters'!$C$19</x:f>
        <x:v>0.6458333333333334</x:v>
      </x:c>
      <x:c r="T679" s="9" t="n">
        <x:f>Q679*(1-0.40)-R679</x:f>
        <x:v>1.0333333333333332</x:v>
      </x:c>
    </x:row>
    <x:row r="680" ht="21" customHeight="1">
      <x:c r="A680" s="3" t="n">
        <x:v>11</x:v>
      </x:c>
      <x:c r="B680" s="3" t="str">
        <x:v>01:50</x:v>
      </x:c>
      <x:c r="C680" s="3" t="n">
        <x:v>2</x:v>
      </x:c>
      <x:c r="D680" s="3" t="n">
        <x:v>19</x:v>
      </x:c>
      <x:c r="E680" s="3" t="n">
        <x:v>3</x:v>
      </x:c>
      <x:c r="F680" s="3" t="n">
        <x:v>7</x:v>
      </x:c>
      <x:c r="G680" s="9" t="n">
        <x:v>0.14</x:v>
      </x:c>
      <x:c r="H680" s="9" t="n">
        <x:v>0.996008</x:v>
      </x:c>
      <x:c r="I680" s="9" t="n">
        <x:f>'Physical_Arcs'!R20</x:f>
        <x:v>5.75</x:v>
      </x:c>
      <x:c r="J680" s="9" t="n">
        <x:f>I680*'Parameters'!$C$18</x:f>
        <x:v>1.1500000000000001</x:v>
      </x:c>
      <x:c r="K680" s="9" t="n">
        <x:f>J680*'Parameters'!$C$19</x:f>
        <x:v>1.4375000000000002</x:v>
      </x:c>
      <x:c r="L680" s="9" t="n">
        <x:f>I680*(1-0.40)-J680</x:f>
        <x:v>2.3</x:v>
      </x:c>
      <x:c r="M680" s="9" t="n">
        <x:f>'Physical_Arcs'!S20</x:f>
        <x:v>5.75</x:v>
      </x:c>
      <x:c r="N680" s="9" t="n">
        <x:f>M680*'Parameters'!$C$18</x:f>
        <x:v>1.1500000000000001</x:v>
      </x:c>
      <x:c r="O680" s="9" t="n">
        <x:f>N680*'Parameters'!$C$19</x:f>
        <x:v>1.4375000000000002</x:v>
      </x:c>
      <x:c r="P680" s="9" t="n">
        <x:f>M680*(1-0.40)-N680</x:f>
        <x:v>2.3</x:v>
      </x:c>
      <x:c r="Q680" s="9" t="n">
        <x:f>'Physical_Arcs'!T20</x:f>
        <x:v>2.888888888888889</x:v>
      </x:c>
      <x:c r="R680" s="9" t="n">
        <x:f>Q680*'Parameters'!$C$18</x:f>
        <x:v>0.5777777777777778</x:v>
      </x:c>
      <x:c r="S680" s="9" t="n">
        <x:f>R680*'Parameters'!$C$19</x:f>
        <x:v>0.7222222222222223</x:v>
      </x:c>
      <x:c r="T680" s="9" t="n">
        <x:f>Q680*(1-0.40)-R680</x:f>
        <x:v>1.1555555555555554</x:v>
      </x:c>
    </x:row>
    <x:row r="681" ht="21" customHeight="1">
      <x:c r="A681" s="3" t="n">
        <x:v>11</x:v>
      </x:c>
      <x:c r="B681" s="3" t="str">
        <x:v>01:50</x:v>
      </x:c>
      <x:c r="C681" s="3" t="n">
        <x:v>2</x:v>
      </x:c>
      <x:c r="D681" s="3" t="n">
        <x:v>20</x:v>
      </x:c>
      <x:c r="E681" s="3" t="n">
        <x:v>3</x:v>
      </x:c>
      <x:c r="F681" s="3" t="n">
        <x:v>10</x:v>
      </x:c>
      <x:c r="G681" s="9" t="n">
        <x:v>0.14</x:v>
      </x:c>
      <x:c r="H681" s="9" t="n">
        <x:v>1.118855</x:v>
      </x:c>
      <x:c r="I681" s="9" t="n">
        <x:f>'Physical_Arcs'!R21</x:f>
        <x:v>5.166666666666667</x:v>
      </x:c>
      <x:c r="J681" s="9" t="n">
        <x:f>I681*'Parameters'!$C$18</x:f>
        <x:v>1.0333333333333334</x:v>
      </x:c>
      <x:c r="K681" s="9" t="n">
        <x:f>J681*'Parameters'!$C$19</x:f>
        <x:v>1.2916666666666667</x:v>
      </x:c>
      <x:c r="L681" s="9" t="n">
        <x:f>I681*(1-0.40)-J681</x:f>
        <x:v>2.0666666666666664</x:v>
      </x:c>
      <x:c r="M681" s="9" t="n">
        <x:f>'Physical_Arcs'!S21</x:f>
        <x:v>5.166666666666667</x:v>
      </x:c>
      <x:c r="N681" s="9" t="n">
        <x:f>M681*'Parameters'!$C$18</x:f>
        <x:v>1.0333333333333334</x:v>
      </x:c>
      <x:c r="O681" s="9" t="n">
        <x:f>N681*'Parameters'!$C$19</x:f>
        <x:v>1.2916666666666667</x:v>
      </x:c>
      <x:c r="P681" s="9" t="n">
        <x:f>M681*(1-0.40)-N681</x:f>
        <x:v>2.0666666666666664</x:v>
      </x:c>
      <x:c r="Q681" s="9" t="n">
        <x:f>'Physical_Arcs'!T21</x:f>
        <x:v>2.5833333333333335</x:v>
      </x:c>
      <x:c r="R681" s="9" t="n">
        <x:f>Q681*'Parameters'!$C$18</x:f>
        <x:v>0.5166666666666667</x:v>
      </x:c>
      <x:c r="S681" s="9" t="n">
        <x:f>R681*'Parameters'!$C$19</x:f>
        <x:v>0.6458333333333334</x:v>
      </x:c>
      <x:c r="T681" s="9" t="n">
        <x:f>Q681*(1-0.40)-R681</x:f>
        <x:v>1.0333333333333332</x:v>
      </x:c>
    </x:row>
    <x:row r="682" ht="21" customHeight="1">
      <x:c r="A682" s="3" t="n">
        <x:v>11</x:v>
      </x:c>
      <x:c r="B682" s="3" t="str">
        <x:v>01:50</x:v>
      </x:c>
      <x:c r="C682" s="3" t="n">
        <x:v>2</x:v>
      </x:c>
      <x:c r="D682" s="3" t="n">
        <x:v>21</x:v>
      </x:c>
      <x:c r="E682" s="3" t="n">
        <x:v>3</x:v>
      </x:c>
      <x:c r="F682" s="3" t="n">
        <x:v>9</x:v>
      </x:c>
      <x:c r="G682" s="9" t="n">
        <x:v>0.14</x:v>
      </x:c>
      <x:c r="H682" s="9" t="n">
        <x:v>0.947299</x:v>
      </x:c>
      <x:c r="I682" s="9" t="n">
        <x:f>'Physical_Arcs'!R22</x:f>
        <x:v>9.333333333333334</x:v>
      </x:c>
      <x:c r="J682" s="9" t="n">
        <x:f>I682*'Parameters'!$C$18</x:f>
        <x:v>1.866666666666667</x:v>
      </x:c>
      <x:c r="K682" s="9" t="n">
        <x:f>J682*'Parameters'!$C$19</x:f>
        <x:v>2.3333333333333335</x:v>
      </x:c>
      <x:c r="L682" s="9" t="n">
        <x:f>I682*(1-0.40)-J682</x:f>
        <x:v>3.7333333333333334</x:v>
      </x:c>
      <x:c r="M682" s="9" t="n">
        <x:f>'Physical_Arcs'!S22</x:f>
        <x:v>9.333333333333334</x:v>
      </x:c>
      <x:c r="N682" s="9" t="n">
        <x:f>M682*'Parameters'!$C$18</x:f>
        <x:v>1.866666666666667</x:v>
      </x:c>
      <x:c r="O682" s="9" t="n">
        <x:f>N682*'Parameters'!$C$19</x:f>
        <x:v>2.3333333333333335</x:v>
      </x:c>
      <x:c r="P682" s="9" t="n">
        <x:f>M682*(1-0.40)-N682</x:f>
        <x:v>3.7333333333333334</x:v>
      </x:c>
      <x:c r="Q682" s="9" t="n">
        <x:f>'Physical_Arcs'!T22</x:f>
        <x:v>4.666666666666667</x:v>
      </x:c>
      <x:c r="R682" s="9" t="n">
        <x:f>Q682*'Parameters'!$C$18</x:f>
        <x:v>0.9333333333333335</x:v>
      </x:c>
      <x:c r="S682" s="9" t="n">
        <x:f>R682*'Parameters'!$C$19</x:f>
        <x:v>1.1666666666666667</x:v>
      </x:c>
      <x:c r="T682" s="9" t="n">
        <x:f>Q682*(1-0.40)-R682</x:f>
        <x:v>1.8666666666666667</x:v>
      </x:c>
    </x:row>
    <x:row r="683" ht="21" customHeight="1">
      <x:c r="A683" s="3" t="n">
        <x:v>11</x:v>
      </x:c>
      <x:c r="B683" s="3" t="str">
        <x:v>01:50</x:v>
      </x:c>
      <x:c r="C683" s="3" t="n">
        <x:v>2</x:v>
      </x:c>
      <x:c r="D683" s="3" t="n">
        <x:v>22</x:v>
      </x:c>
      <x:c r="E683" s="3" t="n">
        <x:v>4</x:v>
      </x:c>
      <x:c r="F683" s="3" t="n">
        <x:v>5</x:v>
      </x:c>
      <x:c r="G683" s="9" t="n">
        <x:v>0.14</x:v>
      </x:c>
      <x:c r="H683" s="9" t="n">
        <x:v>0.958485</x:v>
      </x:c>
      <x:c r="I683" s="9" t="n">
        <x:f>'Physical_Arcs'!R23</x:f>
        <x:v>17.02777777777778</x:v>
      </x:c>
      <x:c r="J683" s="9" t="n">
        <x:f>I683*'Parameters'!$C$18</x:f>
        <x:v>3.405555555555556</x:v>
      </x:c>
      <x:c r="K683" s="9" t="n">
        <x:f>J683*'Parameters'!$C$19</x:f>
        <x:v>4.256944444444445</x:v>
      </x:c>
      <x:c r="L683" s="9" t="n">
        <x:f>I683*(1-0.40)-J683</x:f>
        <x:v>6.811111111111111</x:v>
      </x:c>
      <x:c r="M683" s="9" t="n">
        <x:f>'Physical_Arcs'!S23</x:f>
        <x:v>17.02777777777778</x:v>
      </x:c>
      <x:c r="N683" s="9" t="n">
        <x:f>M683*'Parameters'!$C$18</x:f>
        <x:v>3.405555555555556</x:v>
      </x:c>
      <x:c r="O683" s="9" t="n">
        <x:f>N683*'Parameters'!$C$19</x:f>
        <x:v>4.256944444444445</x:v>
      </x:c>
      <x:c r="P683" s="9" t="n">
        <x:f>M683*(1-0.40)-N683</x:f>
        <x:v>6.811111111111111</x:v>
      </x:c>
      <x:c r="Q683" s="9" t="n">
        <x:f>'Physical_Arcs'!T23</x:f>
        <x:v>17.02777777777778</x:v>
      </x:c>
      <x:c r="R683" s="9" t="n">
        <x:f>Q683*'Parameters'!$C$18</x:f>
        <x:v>3.405555555555556</x:v>
      </x:c>
      <x:c r="S683" s="9" t="n">
        <x:f>R683*'Parameters'!$C$19</x:f>
        <x:v>4.256944444444445</x:v>
      </x:c>
      <x:c r="T683" s="9" t="n">
        <x:f>Q683*(1-0.40)-R683</x:f>
        <x:v>6.811111111111111</x:v>
      </x:c>
    </x:row>
    <x:row r="684" ht="21" customHeight="1">
      <x:c r="A684" s="3" t="n">
        <x:v>11</x:v>
      </x:c>
      <x:c r="B684" s="3" t="str">
        <x:v>01:50</x:v>
      </x:c>
      <x:c r="C684" s="3" t="n">
        <x:v>2</x:v>
      </x:c>
      <x:c r="D684" s="3" t="n">
        <x:v>23</x:v>
      </x:c>
      <x:c r="E684" s="3" t="n">
        <x:v>4</x:v>
      </x:c>
      <x:c r="F684" s="3" t="n">
        <x:v>3</x:v>
      </x:c>
      <x:c r="G684" s="9" t="n">
        <x:v>0.14</x:v>
      </x:c>
      <x:c r="H684" s="9" t="n">
        <x:v>0.944916</x:v>
      </x:c>
      <x:c r="I684" s="9" t="n">
        <x:f>'Physical_Arcs'!R24</x:f>
        <x:v>9.333333333333334</x:v>
      </x:c>
      <x:c r="J684" s="9" t="n">
        <x:f>I684*'Parameters'!$C$18</x:f>
        <x:v>1.866666666666667</x:v>
      </x:c>
      <x:c r="K684" s="9" t="n">
        <x:f>J684*'Parameters'!$C$19</x:f>
        <x:v>2.3333333333333335</x:v>
      </x:c>
      <x:c r="L684" s="9" t="n">
        <x:f>I684*(1-0.40)-J684</x:f>
        <x:v>3.7333333333333334</x:v>
      </x:c>
      <x:c r="M684" s="9" t="n">
        <x:f>'Physical_Arcs'!S24</x:f>
        <x:v>9.333333333333334</x:v>
      </x:c>
      <x:c r="N684" s="9" t="n">
        <x:f>M684*'Parameters'!$C$18</x:f>
        <x:v>1.866666666666667</x:v>
      </x:c>
      <x:c r="O684" s="9" t="n">
        <x:f>N684*'Parameters'!$C$19</x:f>
        <x:v>2.3333333333333335</x:v>
      </x:c>
      <x:c r="P684" s="9" t="n">
        <x:f>M684*(1-0.40)-N684</x:f>
        <x:v>3.7333333333333334</x:v>
      </x:c>
      <x:c r="Q684" s="9" t="n">
        <x:f>'Physical_Arcs'!T24</x:f>
        <x:v>4.666666666666667</x:v>
      </x:c>
      <x:c r="R684" s="9" t="n">
        <x:f>Q684*'Parameters'!$C$18</x:f>
        <x:v>0.9333333333333335</x:v>
      </x:c>
      <x:c r="S684" s="9" t="n">
        <x:f>R684*'Parameters'!$C$19</x:f>
        <x:v>1.1666666666666667</x:v>
      </x:c>
      <x:c r="T684" s="9" t="n">
        <x:f>Q684*(1-0.40)-R684</x:f>
        <x:v>1.8666666666666667</x:v>
      </x:c>
    </x:row>
    <x:row r="685" ht="21" customHeight="1">
      <x:c r="A685" s="3" t="n">
        <x:v>11</x:v>
      </x:c>
      <x:c r="B685" s="3" t="str">
        <x:v>01:50</x:v>
      </x:c>
      <x:c r="C685" s="3" t="n">
        <x:v>2</x:v>
      </x:c>
      <x:c r="D685" s="3" t="n">
        <x:v>24</x:v>
      </x:c>
      <x:c r="E685" s="3" t="n">
        <x:v>4</x:v>
      </x:c>
      <x:c r="F685" s="3" t="n">
        <x:v>10</x:v>
      </x:c>
      <x:c r="G685" s="9" t="n">
        <x:v>0.14</x:v>
      </x:c>
      <x:c r="H685" s="9" t="n">
        <x:v>0.875461</x:v>
      </x:c>
      <x:c r="I685" s="9" t="n">
        <x:f>'Physical_Arcs'!R25</x:f>
        <x:v>7.194444444444445</x:v>
      </x:c>
      <x:c r="J685" s="9" t="n">
        <x:f>I685*'Parameters'!$C$18</x:f>
        <x:v>1.438888888888889</x:v>
      </x:c>
      <x:c r="K685" s="9" t="n">
        <x:f>J685*'Parameters'!$C$19</x:f>
        <x:v>1.7986111111111114</x:v>
      </x:c>
      <x:c r="L685" s="9" t="n">
        <x:f>I685*(1-0.40)-J685</x:f>
        <x:v>2.8777777777777773</x:v>
      </x:c>
      <x:c r="M685" s="9" t="n">
        <x:f>'Physical_Arcs'!S25</x:f>
        <x:v>7.194444444444445</x:v>
      </x:c>
      <x:c r="N685" s="9" t="n">
        <x:f>M685*'Parameters'!$C$18</x:f>
        <x:v>1.438888888888889</x:v>
      </x:c>
      <x:c r="O685" s="9" t="n">
        <x:f>N685*'Parameters'!$C$19</x:f>
        <x:v>1.7986111111111114</x:v>
      </x:c>
      <x:c r="P685" s="9" t="n">
        <x:f>M685*(1-0.40)-N685</x:f>
        <x:v>2.8777777777777773</x:v>
      </x:c>
      <x:c r="Q685" s="9" t="n">
        <x:f>'Physical_Arcs'!T25</x:f>
        <x:v>3.611111111111111</x:v>
      </x:c>
      <x:c r="R685" s="9" t="n">
        <x:f>Q685*'Parameters'!$C$18</x:f>
        <x:v>0.7222222222222223</x:v>
      </x:c>
      <x:c r="S685" s="9" t="n">
        <x:f>R685*'Parameters'!$C$19</x:f>
        <x:v>0.9027777777777779</x:v>
      </x:c>
      <x:c r="T685" s="9" t="n">
        <x:f>Q685*(1-0.40)-R685</x:f>
        <x:v>1.4444444444444442</x:v>
      </x:c>
    </x:row>
    <x:row r="686" ht="21" customHeight="1">
      <x:c r="A686" s="3" t="n">
        <x:v>11</x:v>
      </x:c>
      <x:c r="B686" s="3" t="str">
        <x:v>01:50</x:v>
      </x:c>
      <x:c r="C686" s="3" t="n">
        <x:v>2</x:v>
      </x:c>
      <x:c r="D686" s="3" t="n">
        <x:v>25</x:v>
      </x:c>
      <x:c r="E686" s="3" t="n">
        <x:v>4</x:v>
      </x:c>
      <x:c r="F686" s="3" t="n">
        <x:v>8</x:v>
      </x:c>
      <x:c r="G686" s="9" t="n">
        <x:v>0.14</x:v>
      </x:c>
      <x:c r="H686" s="9" t="n">
        <x:v>0.993326</x:v>
      </x:c>
      <x:c r="I686" s="9" t="n">
        <x:f>'Physical_Arcs'!R26</x:f>
        <x:v>5.277777777777778</x:v>
      </x:c>
      <x:c r="J686" s="9" t="n">
        <x:f>I686*'Parameters'!$C$18</x:f>
        <x:v>1.0555555555555556</x:v>
      </x:c>
      <x:c r="K686" s="9" t="n">
        <x:f>J686*'Parameters'!$C$19</x:f>
        <x:v>1.3194444444444444</x:v>
      </x:c>
      <x:c r="L686" s="9" t="n">
        <x:f>I686*(1-0.40)-J686</x:f>
        <x:v>2.1111111111111107</x:v>
      </x:c>
      <x:c r="M686" s="9" t="n">
        <x:f>'Physical_Arcs'!S26</x:f>
        <x:v>5.277777777777778</x:v>
      </x:c>
      <x:c r="N686" s="9" t="n">
        <x:f>M686*'Parameters'!$C$18</x:f>
        <x:v>1.0555555555555556</x:v>
      </x:c>
      <x:c r="O686" s="9" t="n">
        <x:f>N686*'Parameters'!$C$19</x:f>
        <x:v>1.3194444444444444</x:v>
      </x:c>
      <x:c r="P686" s="9" t="n">
        <x:f>M686*(1-0.40)-N686</x:f>
        <x:v>2.1111111111111107</x:v>
      </x:c>
      <x:c r="Q686" s="9" t="n">
        <x:f>'Physical_Arcs'!T26</x:f>
        <x:v>2.638888888888889</x:v>
      </x:c>
      <x:c r="R686" s="9" t="n">
        <x:f>Q686*'Parameters'!$C$18</x:f>
        <x:v>0.5277777777777778</x:v>
      </x:c>
      <x:c r="S686" s="9" t="n">
        <x:f>R686*'Parameters'!$C$19</x:f>
        <x:v>0.6597222222222222</x:v>
      </x:c>
      <x:c r="T686" s="9" t="n">
        <x:f>Q686*(1-0.40)-R686</x:f>
        <x:v>1.0555555555555554</x:v>
      </x:c>
    </x:row>
    <x:row r="687" ht="21" customHeight="1">
      <x:c r="A687" s="3" t="n">
        <x:v>11</x:v>
      </x:c>
      <x:c r="B687" s="3" t="str">
        <x:v>01:50</x:v>
      </x:c>
      <x:c r="C687" s="3" t="n">
        <x:v>2</x:v>
      </x:c>
      <x:c r="D687" s="3" t="n">
        <x:v>26</x:v>
      </x:c>
      <x:c r="E687" s="3" t="n">
        <x:v>4</x:v>
      </x:c>
      <x:c r="F687" s="3" t="n">
        <x:v>7</x:v>
      </x:c>
      <x:c r="G687" s="9" t="n">
        <x:v>0.14</x:v>
      </x:c>
      <x:c r="H687" s="9" t="n">
        <x:v>1.099203</x:v>
      </x:c>
      <x:c r="I687" s="9" t="n">
        <x:f>'Physical_Arcs'!R27</x:f>
        <x:v>6.527777777777778</x:v>
      </x:c>
      <x:c r="J687" s="9" t="n">
        <x:f>I687*'Parameters'!$C$18</x:f>
        <x:v>1.3055555555555556</x:v>
      </x:c>
      <x:c r="K687" s="9" t="n">
        <x:f>J687*'Parameters'!$C$19</x:f>
        <x:v>1.6319444444444444</x:v>
      </x:c>
      <x:c r="L687" s="9" t="n">
        <x:f>I687*(1-0.40)-J687</x:f>
        <x:v>2.6111111111111107</x:v>
      </x:c>
      <x:c r="M687" s="9" t="n">
        <x:f>'Physical_Arcs'!S27</x:f>
        <x:v>6.527777777777778</x:v>
      </x:c>
      <x:c r="N687" s="9" t="n">
        <x:f>M687*'Parameters'!$C$18</x:f>
        <x:v>1.3055555555555556</x:v>
      </x:c>
      <x:c r="O687" s="9" t="n">
        <x:f>N687*'Parameters'!$C$19</x:f>
        <x:v>1.6319444444444444</x:v>
      </x:c>
      <x:c r="P687" s="9" t="n">
        <x:f>M687*(1-0.40)-N687</x:f>
        <x:v>2.6111111111111107</x:v>
      </x:c>
      <x:c r="Q687" s="9" t="n">
        <x:f>'Physical_Arcs'!T27</x:f>
        <x:v>3.2777777777777777</x:v>
      </x:c>
      <x:c r="R687" s="9" t="n">
        <x:f>Q687*'Parameters'!$C$18</x:f>
        <x:v>0.6555555555555556</x:v>
      </x:c>
      <x:c r="S687" s="9" t="n">
        <x:f>R687*'Parameters'!$C$19</x:f>
        <x:v>0.8194444444444444</x:v>
      </x:c>
      <x:c r="T687" s="9" t="n">
        <x:f>Q687*(1-0.40)-R687</x:f>
        <x:v>1.311111111111111</x:v>
      </x:c>
    </x:row>
    <x:row r="688" ht="21" customHeight="1">
      <x:c r="A688" s="3" t="n">
        <x:v>11</x:v>
      </x:c>
      <x:c r="B688" s="3" t="str">
        <x:v>01:50</x:v>
      </x:c>
      <x:c r="C688" s="3" t="n">
        <x:v>2</x:v>
      </x:c>
      <x:c r="D688" s="3" t="n">
        <x:v>27</x:v>
      </x:c>
      <x:c r="E688" s="3" t="n">
        <x:v>4</x:v>
      </x:c>
      <x:c r="F688" s="3" t="n">
        <x:v>2</x:v>
      </x:c>
      <x:c r="G688" s="9" t="n">
        <x:v>0.14</x:v>
      </x:c>
      <x:c r="H688" s="9" t="n">
        <x:v>0.861111</x:v>
      </x:c>
      <x:c r="I688" s="9" t="n">
        <x:f>'Physical_Arcs'!R28</x:f>
        <x:v>4.944444444444445</x:v>
      </x:c>
      <x:c r="J688" s="9" t="n">
        <x:f>I688*'Parameters'!$C$18</x:f>
        <x:v>0.9888888888888889</x:v>
      </x:c>
      <x:c r="K688" s="9" t="n">
        <x:f>J688*'Parameters'!$C$19</x:f>
        <x:v>1.2361111111111112</x:v>
      </x:c>
      <x:c r="L688" s="9" t="n">
        <x:f>I688*(1-0.40)-J688</x:f>
        <x:v>1.9777777777777779</x:v>
      </x:c>
      <x:c r="M688" s="9" t="n">
        <x:f>'Physical_Arcs'!S28</x:f>
        <x:v>4.944444444444445</x:v>
      </x:c>
      <x:c r="N688" s="9" t="n">
        <x:f>M688*'Parameters'!$C$18</x:f>
        <x:v>0.9888888888888889</x:v>
      </x:c>
      <x:c r="O688" s="9" t="n">
        <x:f>N688*'Parameters'!$C$19</x:f>
        <x:v>1.2361111111111112</x:v>
      </x:c>
      <x:c r="P688" s="9" t="n">
        <x:f>M688*(1-0.40)-N688</x:f>
        <x:v>1.9777777777777779</x:v>
      </x:c>
      <x:c r="Q688" s="9" t="n">
        <x:f>'Physical_Arcs'!T28</x:f>
        <x:v>2.4722222222222223</x:v>
      </x:c>
      <x:c r="R688" s="9" t="n">
        <x:f>Q688*'Parameters'!$C$18</x:f>
        <x:v>0.49444444444444446</x:v>
      </x:c>
      <x:c r="S688" s="9" t="n">
        <x:f>R688*'Parameters'!$C$19</x:f>
        <x:v>0.6180555555555556</x:v>
      </x:c>
      <x:c r="T688" s="9" t="n">
        <x:f>Q688*(1-0.40)-R688</x:f>
        <x:v>0.9888888888888889</x:v>
      </x:c>
    </x:row>
    <x:row r="689" ht="21" customHeight="1">
      <x:c r="A689" s="3" t="n">
        <x:v>11</x:v>
      </x:c>
      <x:c r="B689" s="3" t="str">
        <x:v>01:50</x:v>
      </x:c>
      <x:c r="C689" s="3" t="n">
        <x:v>2</x:v>
      </x:c>
      <x:c r="D689" s="3" t="n">
        <x:v>28</x:v>
      </x:c>
      <x:c r="E689" s="3" t="n">
        <x:v>4</x:v>
      </x:c>
      <x:c r="F689" s="3" t="n">
        <x:v>6</x:v>
      </x:c>
      <x:c r="G689" s="9" t="n">
        <x:v>0.14</x:v>
      </x:c>
      <x:c r="H689" s="9" t="n">
        <x:v>1.137214</x:v>
      </x:c>
      <x:c r="I689" s="9" t="n">
        <x:f>'Physical_Arcs'!R29</x:f>
        <x:v>3.388888888888889</x:v>
      </x:c>
      <x:c r="J689" s="9" t="n">
        <x:f>I689*'Parameters'!$C$18</x:f>
        <x:v>0.6777777777777778</x:v>
      </x:c>
      <x:c r="K689" s="9" t="n">
        <x:f>J689*'Parameters'!$C$19</x:f>
        <x:v>0.8472222222222223</x:v>
      </x:c>
      <x:c r="L689" s="9" t="n">
        <x:f>I689*(1-0.40)-J689</x:f>
        <x:v>1.3555555555555554</x:v>
      </x:c>
      <x:c r="M689" s="9" t="n">
        <x:f>'Physical_Arcs'!S29</x:f>
        <x:v>3.388888888888889</x:v>
      </x:c>
      <x:c r="N689" s="9" t="n">
        <x:f>M689*'Parameters'!$C$18</x:f>
        <x:v>0.6777777777777778</x:v>
      </x:c>
      <x:c r="O689" s="9" t="n">
        <x:f>N689*'Parameters'!$C$19</x:f>
        <x:v>0.8472222222222223</x:v>
      </x:c>
      <x:c r="P689" s="9" t="n">
        <x:f>M689*(1-0.40)-N689</x:f>
        <x:v>1.3555555555555554</x:v>
      </x:c>
      <x:c r="Q689" s="9" t="n">
        <x:f>'Physical_Arcs'!T29</x:f>
        <x:v>1.6944444444444444</x:v>
      </x:c>
      <x:c r="R689" s="9" t="n">
        <x:f>Q689*'Parameters'!$C$18</x:f>
        <x:v>0.3388888888888889</x:v>
      </x:c>
      <x:c r="S689" s="9" t="n">
        <x:f>R689*'Parameters'!$C$19</x:f>
        <x:v>0.42361111111111116</x:v>
      </x:c>
      <x:c r="T689" s="9" t="n">
        <x:f>Q689*(1-0.40)-R689</x:f>
        <x:v>0.6777777777777777</x:v>
      </x:c>
    </x:row>
    <x:row r="690" ht="21" customHeight="1">
      <x:c r="A690" s="3" t="n">
        <x:v>11</x:v>
      </x:c>
      <x:c r="B690" s="3" t="str">
        <x:v>01:50</x:v>
      </x:c>
      <x:c r="C690" s="3" t="n">
        <x:v>2</x:v>
      </x:c>
      <x:c r="D690" s="3" t="n">
        <x:v>29</x:v>
      </x:c>
      <x:c r="E690" s="3" t="n">
        <x:v>5</x:v>
      </x:c>
      <x:c r="F690" s="3" t="n">
        <x:v>6</x:v>
      </x:c>
      <x:c r="G690" s="9" t="n">
        <x:v>0.14</x:v>
      </x:c>
      <x:c r="H690" s="9" t="n">
        <x:v>0.949994</x:v>
      </x:c>
      <x:c r="I690" s="9" t="n">
        <x:f>'Physical_Arcs'!R30</x:f>
        <x:v>17.02777777777778</x:v>
      </x:c>
      <x:c r="J690" s="9" t="n">
        <x:f>I690*'Parameters'!$C$18</x:f>
        <x:v>3.405555555555556</x:v>
      </x:c>
      <x:c r="K690" s="9" t="n">
        <x:f>J690*'Parameters'!$C$19</x:f>
        <x:v>4.256944444444445</x:v>
      </x:c>
      <x:c r="L690" s="9" t="n">
        <x:f>I690*(1-0.40)-J690</x:f>
        <x:v>6.811111111111111</x:v>
      </x:c>
      <x:c r="M690" s="9" t="n">
        <x:f>'Physical_Arcs'!S30</x:f>
        <x:v>17.02777777777778</x:v>
      </x:c>
      <x:c r="N690" s="9" t="n">
        <x:f>M690*'Parameters'!$C$18</x:f>
        <x:v>3.405555555555556</x:v>
      </x:c>
      <x:c r="O690" s="9" t="n">
        <x:f>N690*'Parameters'!$C$19</x:f>
        <x:v>4.256944444444445</x:v>
      </x:c>
      <x:c r="P690" s="9" t="n">
        <x:f>M690*(1-0.40)-N690</x:f>
        <x:v>6.811111111111111</x:v>
      </x:c>
      <x:c r="Q690" s="9" t="n">
        <x:f>'Physical_Arcs'!T30</x:f>
        <x:v>17.02777777777778</x:v>
      </x:c>
      <x:c r="R690" s="9" t="n">
        <x:f>Q690*'Parameters'!$C$18</x:f>
        <x:v>3.405555555555556</x:v>
      </x:c>
      <x:c r="S690" s="9" t="n">
        <x:f>R690*'Parameters'!$C$19</x:f>
        <x:v>4.256944444444445</x:v>
      </x:c>
      <x:c r="T690" s="9" t="n">
        <x:f>Q690*(1-0.40)-R690</x:f>
        <x:v>6.811111111111111</x:v>
      </x:c>
    </x:row>
    <x:row r="691" ht="21" customHeight="1">
      <x:c r="A691" s="3" t="n">
        <x:v>11</x:v>
      </x:c>
      <x:c r="B691" s="3" t="str">
        <x:v>01:50</x:v>
      </x:c>
      <x:c r="C691" s="3" t="n">
        <x:v>2</x:v>
      </x:c>
      <x:c r="D691" s="3" t="n">
        <x:v>30</x:v>
      </x:c>
      <x:c r="E691" s="3" t="n">
        <x:v>5</x:v>
      </x:c>
      <x:c r="F691" s="3" t="n">
        <x:v>2</x:v>
      </x:c>
      <x:c r="G691" s="9" t="n">
        <x:v>0.14</x:v>
      </x:c>
      <x:c r="H691" s="9" t="n">
        <x:v>0.882396</x:v>
      </x:c>
      <x:c r="I691" s="9" t="n">
        <x:f>'Physical_Arcs'!R31</x:f>
        <x:v>2.9444444444444446</x:v>
      </x:c>
      <x:c r="J691" s="9" t="n">
        <x:f>I691*'Parameters'!$C$18</x:f>
        <x:v>0.5888888888888889</x:v>
      </x:c>
      <x:c r="K691" s="9" t="n">
        <x:f>J691*'Parameters'!$C$19</x:f>
        <x:v>0.7361111111111112</x:v>
      </x:c>
      <x:c r="L691" s="9" t="n">
        <x:f>I691*(1-0.40)-J691</x:f>
        <x:v>1.177777777777778</x:v>
      </x:c>
      <x:c r="M691" s="9" t="n">
        <x:f>'Physical_Arcs'!S31</x:f>
        <x:v>2.9444444444444446</x:v>
      </x:c>
      <x:c r="N691" s="9" t="n">
        <x:f>M691*'Parameters'!$C$18</x:f>
        <x:v>0.5888888888888889</x:v>
      </x:c>
      <x:c r="O691" s="9" t="n">
        <x:f>N691*'Parameters'!$C$19</x:f>
        <x:v>0.7361111111111112</x:v>
      </x:c>
      <x:c r="P691" s="9" t="n">
        <x:f>M691*(1-0.40)-N691</x:f>
        <x:v>1.177777777777778</x:v>
      </x:c>
      <x:c r="Q691" s="9" t="n">
        <x:f>'Physical_Arcs'!T31</x:f>
        <x:v>1.4722222222222223</x:v>
      </x:c>
      <x:c r="R691" s="9" t="n">
        <x:f>Q691*'Parameters'!$C$18</x:f>
        <x:v>0.29444444444444445</x:v>
      </x:c>
      <x:c r="S691" s="9" t="n">
        <x:f>R691*'Parameters'!$C$19</x:f>
        <x:v>0.3680555555555556</x:v>
      </x:c>
      <x:c r="T691" s="9" t="n">
        <x:f>Q691*(1-0.40)-R691</x:f>
        <x:v>0.588888888888889</x:v>
      </x:c>
    </x:row>
    <x:row r="692" ht="21" customHeight="1">
      <x:c r="A692" s="3" t="n">
        <x:v>11</x:v>
      </x:c>
      <x:c r="B692" s="3" t="str">
        <x:v>01:50</x:v>
      </x:c>
      <x:c r="C692" s="3" t="n">
        <x:v>2</x:v>
      </x:c>
      <x:c r="D692" s="3" t="n">
        <x:v>31</x:v>
      </x:c>
      <x:c r="E692" s="3" t="n">
        <x:v>5</x:v>
      </x:c>
      <x:c r="F692" s="3" t="n">
        <x:v>8</x:v>
      </x:c>
      <x:c r="G692" s="9" t="n">
        <x:v>0.14</x:v>
      </x:c>
      <x:c r="H692" s="9" t="n">
        <x:v>0.986718</x:v>
      </x:c>
      <x:c r="I692" s="9" t="n">
        <x:f>'Physical_Arcs'!R32</x:f>
        <x:v>9.333333333333334</x:v>
      </x:c>
      <x:c r="J692" s="9" t="n">
        <x:f>I692*'Parameters'!$C$18</x:f>
        <x:v>1.866666666666667</x:v>
      </x:c>
      <x:c r="K692" s="9" t="n">
        <x:f>J692*'Parameters'!$C$19</x:f>
        <x:v>2.3333333333333335</x:v>
      </x:c>
      <x:c r="L692" s="9" t="n">
        <x:f>I692*(1-0.40)-J692</x:f>
        <x:v>3.7333333333333334</x:v>
      </x:c>
      <x:c r="M692" s="9" t="n">
        <x:f>'Physical_Arcs'!S32</x:f>
        <x:v>9.333333333333334</x:v>
      </x:c>
      <x:c r="N692" s="9" t="n">
        <x:f>M692*'Parameters'!$C$18</x:f>
        <x:v>1.866666666666667</x:v>
      </x:c>
      <x:c r="O692" s="9" t="n">
        <x:f>N692*'Parameters'!$C$19</x:f>
        <x:v>2.3333333333333335</x:v>
      </x:c>
      <x:c r="P692" s="9" t="n">
        <x:f>M692*(1-0.40)-N692</x:f>
        <x:v>3.7333333333333334</x:v>
      </x:c>
      <x:c r="Q692" s="9" t="n">
        <x:f>'Physical_Arcs'!T32</x:f>
        <x:v>4.666666666666667</x:v>
      </x:c>
      <x:c r="R692" s="9" t="n">
        <x:f>Q692*'Parameters'!$C$18</x:f>
        <x:v>0.9333333333333335</x:v>
      </x:c>
      <x:c r="S692" s="9" t="n">
        <x:f>R692*'Parameters'!$C$19</x:f>
        <x:v>1.1666666666666667</x:v>
      </x:c>
      <x:c r="T692" s="9" t="n">
        <x:f>Q692*(1-0.40)-R692</x:f>
        <x:v>1.8666666666666667</x:v>
      </x:c>
    </x:row>
    <x:row r="693" ht="21" customHeight="1">
      <x:c r="A693" s="3" t="n">
        <x:v>11</x:v>
      </x:c>
      <x:c r="B693" s="3" t="str">
        <x:v>01:50</x:v>
      </x:c>
      <x:c r="C693" s="3" t="n">
        <x:v>2</x:v>
      </x:c>
      <x:c r="D693" s="3" t="n">
        <x:v>32</x:v>
      </x:c>
      <x:c r="E693" s="3" t="n">
        <x:v>5</x:v>
      </x:c>
      <x:c r="F693" s="3" t="n">
        <x:v>3</x:v>
      </x:c>
      <x:c r="G693" s="9" t="n">
        <x:v>0.14</x:v>
      </x:c>
      <x:c r="H693" s="9" t="n">
        <x:v>1.089544</x:v>
      </x:c>
      <x:c r="I693" s="9" t="n">
        <x:f>'Physical_Arcs'!R33</x:f>
        <x:v>11.13888888888889</x:v>
      </x:c>
      <x:c r="J693" s="9" t="n">
        <x:f>I693*'Parameters'!$C$18</x:f>
        <x:v>2.227777777777778</x:v>
      </x:c>
      <x:c r="K693" s="9" t="n">
        <x:f>J693*'Parameters'!$C$19</x:f>
        <x:v>2.7847222222222223</x:v>
      </x:c>
      <x:c r="L693" s="9" t="n">
        <x:f>I693*(1-0.40)-J693</x:f>
        <x:v>4.455555555555556</x:v>
      </x:c>
      <x:c r="M693" s="9" t="n">
        <x:f>'Physical_Arcs'!S33</x:f>
        <x:v>11.13888888888889</x:v>
      </x:c>
      <x:c r="N693" s="9" t="n">
        <x:f>M693*'Parameters'!$C$18</x:f>
        <x:v>2.227777777777778</x:v>
      </x:c>
      <x:c r="O693" s="9" t="n">
        <x:f>N693*'Parameters'!$C$19</x:f>
        <x:v>2.7847222222222223</x:v>
      </x:c>
      <x:c r="P693" s="9" t="n">
        <x:f>M693*(1-0.40)-N693</x:f>
        <x:v>4.455555555555556</x:v>
      </x:c>
      <x:c r="Q693" s="9" t="n">
        <x:f>'Physical_Arcs'!T33</x:f>
        <x:v>5.583333333333333</x:v>
      </x:c>
      <x:c r="R693" s="9" t="n">
        <x:f>Q693*'Parameters'!$C$18</x:f>
        <x:v>1.1166666666666667</x:v>
      </x:c>
      <x:c r="S693" s="9" t="n">
        <x:f>R693*'Parameters'!$C$19</x:f>
        <x:v>1.3958333333333335</x:v>
      </x:c>
      <x:c r="T693" s="9" t="n">
        <x:f>Q693*(1-0.40)-R693</x:f>
        <x:v>2.233333333333333</x:v>
      </x:c>
    </x:row>
    <x:row r="694" ht="21" customHeight="1">
      <x:c r="A694" s="3" t="n">
        <x:v>11</x:v>
      </x:c>
      <x:c r="B694" s="3" t="str">
        <x:v>01:50</x:v>
      </x:c>
      <x:c r="C694" s="3" t="n">
        <x:v>2</x:v>
      </x:c>
      <x:c r="D694" s="3" t="n">
        <x:v>33</x:v>
      </x:c>
      <x:c r="E694" s="3" t="n">
        <x:v>5</x:v>
      </x:c>
      <x:c r="F694" s="3" t="n">
        <x:v>10</x:v>
      </x:c>
      <x:c r="G694" s="9" t="n">
        <x:v>0.14</x:v>
      </x:c>
      <x:c r="H694" s="9" t="n">
        <x:v>1.103596</x:v>
      </x:c>
      <x:c r="I694" s="9" t="n">
        <x:f>'Physical_Arcs'!R34</x:f>
        <x:v>4.611111111111111</x:v>
      </x:c>
      <x:c r="J694" s="9" t="n">
        <x:f>I694*'Parameters'!$C$18</x:f>
        <x:v>0.9222222222222222</x:v>
      </x:c>
      <x:c r="K694" s="9" t="n">
        <x:f>J694*'Parameters'!$C$19</x:f>
        <x:v>1.1527777777777777</x:v>
      </x:c>
      <x:c r="L694" s="9" t="n">
        <x:f>I694*(1-0.40)-J694</x:f>
        <x:v>1.844444444444444</x:v>
      </x:c>
      <x:c r="M694" s="9" t="n">
        <x:f>'Physical_Arcs'!S34</x:f>
        <x:v>4.611111111111111</x:v>
      </x:c>
      <x:c r="N694" s="9" t="n">
        <x:f>M694*'Parameters'!$C$18</x:f>
        <x:v>0.9222222222222222</x:v>
      </x:c>
      <x:c r="O694" s="9" t="n">
        <x:f>N694*'Parameters'!$C$19</x:f>
        <x:v>1.1527777777777777</x:v>
      </x:c>
      <x:c r="P694" s="9" t="n">
        <x:f>M694*(1-0.40)-N694</x:f>
        <x:v>1.844444444444444</x:v>
      </x:c>
      <x:c r="Q694" s="9" t="n">
        <x:f>'Physical_Arcs'!T34</x:f>
        <x:v>2.3055555555555554</x:v>
      </x:c>
      <x:c r="R694" s="9" t="n">
        <x:f>Q694*'Parameters'!$C$18</x:f>
        <x:v>0.4611111111111111</x:v>
      </x:c>
      <x:c r="S694" s="9" t="n">
        <x:f>R694*'Parameters'!$C$19</x:f>
        <x:v>0.5763888888888888</x:v>
      </x:c>
      <x:c r="T694" s="9" t="n">
        <x:f>Q694*(1-0.40)-R694</x:f>
        <x:v>0.922222222222222</x:v>
      </x:c>
    </x:row>
    <x:row r="695" ht="21" customHeight="1">
      <x:c r="A695" s="3" t="n">
        <x:v>11</x:v>
      </x:c>
      <x:c r="B695" s="3" t="str">
        <x:v>01:50</x:v>
      </x:c>
      <x:c r="C695" s="3" t="n">
        <x:v>2</x:v>
      </x:c>
      <x:c r="D695" s="3" t="n">
        <x:v>34</x:v>
      </x:c>
      <x:c r="E695" s="3" t="n">
        <x:v>6</x:v>
      </x:c>
      <x:c r="F695" s="3" t="n">
        <x:v>7</x:v>
      </x:c>
      <x:c r="G695" s="9" t="n">
        <x:v>0.14</x:v>
      </x:c>
      <x:c r="H695" s="9" t="n">
        <x:v>0.973887</x:v>
      </x:c>
      <x:c r="I695" s="9" t="n">
        <x:f>'Physical_Arcs'!R35</x:f>
        <x:v>17.02777777777778</x:v>
      </x:c>
      <x:c r="J695" s="9" t="n">
        <x:f>I695*'Parameters'!$C$18</x:f>
        <x:v>3.405555555555556</x:v>
      </x:c>
      <x:c r="K695" s="9" t="n">
        <x:f>J695*'Parameters'!$C$19</x:f>
        <x:v>4.256944444444445</x:v>
      </x:c>
      <x:c r="L695" s="9" t="n">
        <x:f>I695*(1-0.40)-J695</x:f>
        <x:v>6.811111111111111</x:v>
      </x:c>
      <x:c r="M695" s="9" t="n">
        <x:f>'Physical_Arcs'!S35</x:f>
        <x:v>17.02777777777778</x:v>
      </x:c>
      <x:c r="N695" s="9" t="n">
        <x:f>M695*'Parameters'!$C$18</x:f>
        <x:v>3.405555555555556</x:v>
      </x:c>
      <x:c r="O695" s="9" t="n">
        <x:f>N695*'Parameters'!$C$19</x:f>
        <x:v>4.256944444444445</x:v>
      </x:c>
      <x:c r="P695" s="9" t="n">
        <x:f>M695*(1-0.40)-N695</x:f>
        <x:v>6.811111111111111</x:v>
      </x:c>
      <x:c r="Q695" s="9" t="n">
        <x:f>'Physical_Arcs'!T35</x:f>
        <x:v>17.02777777777778</x:v>
      </x:c>
      <x:c r="R695" s="9" t="n">
        <x:f>Q695*'Parameters'!$C$18</x:f>
        <x:v>3.405555555555556</x:v>
      </x:c>
      <x:c r="S695" s="9" t="n">
        <x:f>R695*'Parameters'!$C$19</x:f>
        <x:v>4.256944444444445</x:v>
      </x:c>
      <x:c r="T695" s="9" t="n">
        <x:f>Q695*(1-0.40)-R695</x:f>
        <x:v>6.811111111111111</x:v>
      </x:c>
    </x:row>
    <x:row r="696" ht="21" customHeight="1">
      <x:c r="A696" s="3" t="n">
        <x:v>11</x:v>
      </x:c>
      <x:c r="B696" s="3" t="str">
        <x:v>01:50</x:v>
      </x:c>
      <x:c r="C696" s="3" t="n">
        <x:v>2</x:v>
      </x:c>
      <x:c r="D696" s="3" t="n">
        <x:v>35</x:v>
      </x:c>
      <x:c r="E696" s="3" t="n">
        <x:v>6</x:v>
      </x:c>
      <x:c r="F696" s="3" t="n">
        <x:v>10</x:v>
      </x:c>
      <x:c r="G696" s="9" t="n">
        <x:v>0.14</x:v>
      </x:c>
      <x:c r="H696" s="9" t="n">
        <x:v>1.009062</x:v>
      </x:c>
      <x:c r="I696" s="9" t="n">
        <x:f>'Physical_Arcs'!R36</x:f>
        <x:v>4.055555555555555</x:v>
      </x:c>
      <x:c r="J696" s="9" t="n">
        <x:f>I696*'Parameters'!$C$18</x:f>
        <x:v>0.8111111111111111</x:v>
      </x:c>
      <x:c r="K696" s="9" t="n">
        <x:f>J696*'Parameters'!$C$19</x:f>
        <x:v>1.0138888888888888</x:v>
      </x:c>
      <x:c r="L696" s="9" t="n">
        <x:f>I696*(1-0.40)-J696</x:f>
        <x:v>1.622222222222222</x:v>
      </x:c>
      <x:c r="M696" s="9" t="n">
        <x:f>'Physical_Arcs'!S36</x:f>
        <x:v>4.055555555555555</x:v>
      </x:c>
      <x:c r="N696" s="9" t="n">
        <x:f>M696*'Parameters'!$C$18</x:f>
        <x:v>0.8111111111111111</x:v>
      </x:c>
      <x:c r="O696" s="9" t="n">
        <x:f>N696*'Parameters'!$C$19</x:f>
        <x:v>1.0138888888888888</x:v>
      </x:c>
      <x:c r="P696" s="9" t="n">
        <x:f>M696*(1-0.40)-N696</x:f>
        <x:v>1.622222222222222</x:v>
      </x:c>
      <x:c r="Q696" s="9" t="n">
        <x:f>'Physical_Arcs'!T36</x:f>
        <x:v>2.0277777777777777</x:v>
      </x:c>
      <x:c r="R696" s="9" t="n">
        <x:f>Q696*'Parameters'!$C$18</x:f>
        <x:v>0.40555555555555556</x:v>
      </x:c>
      <x:c r="S696" s="9" t="n">
        <x:f>R696*'Parameters'!$C$19</x:f>
        <x:v>0.5069444444444444</x:v>
      </x:c>
      <x:c r="T696" s="9" t="n">
        <x:f>Q696*(1-0.40)-R696</x:f>
        <x:v>0.811111111111111</x:v>
      </x:c>
    </x:row>
    <x:row r="697" ht="21" customHeight="1">
      <x:c r="A697" s="3" t="n">
        <x:v>11</x:v>
      </x:c>
      <x:c r="B697" s="3" t="str">
        <x:v>01:50</x:v>
      </x:c>
      <x:c r="C697" s="3" t="n">
        <x:v>2</x:v>
      </x:c>
      <x:c r="D697" s="3" t="n">
        <x:v>36</x:v>
      </x:c>
      <x:c r="E697" s="3" t="n">
        <x:v>6</x:v>
      </x:c>
      <x:c r="F697" s="3" t="n">
        <x:v>8</x:v>
      </x:c>
      <x:c r="G697" s="9" t="n">
        <x:v>0.14</x:v>
      </x:c>
      <x:c r="H697" s="9" t="n">
        <x:v>1.132129</x:v>
      </x:c>
      <x:c r="I697" s="9" t="n">
        <x:f>'Physical_Arcs'!R37</x:f>
        <x:v>6.972222222222222</x:v>
      </x:c>
      <x:c r="J697" s="9" t="n">
        <x:f>I697*'Parameters'!$C$18</x:f>
        <x:v>1.3944444444444446</x:v>
      </x:c>
      <x:c r="K697" s="9" t="n">
        <x:f>J697*'Parameters'!$C$19</x:f>
        <x:v>1.7430555555555558</x:v>
      </x:c>
      <x:c r="L697" s="9" t="n">
        <x:f>I697*(1-0.40)-J697</x:f>
        <x:v>2.7888888888888888</x:v>
      </x:c>
      <x:c r="M697" s="9" t="n">
        <x:f>'Physical_Arcs'!S37</x:f>
        <x:v>6.972222222222222</x:v>
      </x:c>
      <x:c r="N697" s="9" t="n">
        <x:f>M697*'Parameters'!$C$18</x:f>
        <x:v>1.3944444444444446</x:v>
      </x:c>
      <x:c r="O697" s="9" t="n">
        <x:f>N697*'Parameters'!$C$19</x:f>
        <x:v>1.7430555555555558</x:v>
      </x:c>
      <x:c r="P697" s="9" t="n">
        <x:f>M697*(1-0.40)-N697</x:f>
        <x:v>2.7888888888888888</x:v>
      </x:c>
      <x:c r="Q697" s="9" t="n">
        <x:f>'Physical_Arcs'!T37</x:f>
        <x:v>3.5</x:v>
      </x:c>
      <x:c r="R697" s="9" t="n">
        <x:f>Q697*'Parameters'!$C$18</x:f>
        <x:v>0.7000000000000001</x:v>
      </x:c>
      <x:c r="S697" s="9" t="n">
        <x:f>R697*'Parameters'!$C$19</x:f>
        <x:v>0.8750000000000001</x:v>
      </x:c>
      <x:c r="T697" s="9" t="n">
        <x:f>Q697*(1-0.40)-R697</x:f>
        <x:v>1.4</x:v>
      </x:c>
    </x:row>
    <x:row r="698" ht="21" customHeight="1">
      <x:c r="A698" s="3" t="n">
        <x:v>11</x:v>
      </x:c>
      <x:c r="B698" s="3" t="str">
        <x:v>01:50</x:v>
      </x:c>
      <x:c r="C698" s="3" t="n">
        <x:v>2</x:v>
      </x:c>
      <x:c r="D698" s="3" t="n">
        <x:v>37</x:v>
      </x:c>
      <x:c r="E698" s="3" t="n">
        <x:v>6</x:v>
      </x:c>
      <x:c r="F698" s="3" t="n">
        <x:v>1</x:v>
      </x:c>
      <x:c r="G698" s="9" t="n">
        <x:v>0.14</x:v>
      </x:c>
      <x:c r="H698" s="9" t="n">
        <x:v>1.020746</x:v>
      </x:c>
      <x:c r="I698" s="9" t="n">
        <x:f>'Physical_Arcs'!R38</x:f>
        <x:v>6.305555555555555</x:v>
      </x:c>
      <x:c r="J698" s="9" t="n">
        <x:f>I698*'Parameters'!$C$18</x:f>
        <x:v>1.261111111111111</x:v>
      </x:c>
      <x:c r="K698" s="9" t="n">
        <x:f>J698*'Parameters'!$C$19</x:f>
        <x:v>1.5763888888888888</x:v>
      </x:c>
      <x:c r="L698" s="9" t="n">
        <x:f>I698*(1-0.40)-J698</x:f>
        <x:v>2.522222222222222</x:v>
      </x:c>
      <x:c r="M698" s="9" t="n">
        <x:f>'Physical_Arcs'!S38</x:f>
        <x:v>6.305555555555555</x:v>
      </x:c>
      <x:c r="N698" s="9" t="n">
        <x:f>M698*'Parameters'!$C$18</x:f>
        <x:v>1.261111111111111</x:v>
      </x:c>
      <x:c r="O698" s="9" t="n">
        <x:f>N698*'Parameters'!$C$19</x:f>
        <x:v>1.5763888888888888</x:v>
      </x:c>
      <x:c r="P698" s="9" t="n">
        <x:f>M698*(1-0.40)-N698</x:f>
        <x:v>2.522222222222222</x:v>
      </x:c>
      <x:c r="Q698" s="9" t="n">
        <x:f>'Physical_Arcs'!T38</x:f>
        <x:v>3.1666666666666665</x:v>
      </x:c>
      <x:c r="R698" s="9" t="n">
        <x:f>Q698*'Parameters'!$C$18</x:f>
        <x:v>0.6333333333333333</x:v>
      </x:c>
      <x:c r="S698" s="9" t="n">
        <x:f>R698*'Parameters'!$C$19</x:f>
        <x:v>0.7916666666666666</x:v>
      </x:c>
      <x:c r="T698" s="9" t="n">
        <x:f>Q698*(1-0.40)-R698</x:f>
        <x:v>1.2666666666666666</x:v>
      </x:c>
    </x:row>
    <x:row r="699" ht="21" customHeight="1">
      <x:c r="A699" s="3" t="n">
        <x:v>11</x:v>
      </x:c>
      <x:c r="B699" s="3" t="str">
        <x:v>01:50</x:v>
      </x:c>
      <x:c r="C699" s="3" t="n">
        <x:v>2</x:v>
      </x:c>
      <x:c r="D699" s="3" t="n">
        <x:v>38</x:v>
      </x:c>
      <x:c r="E699" s="3" t="n">
        <x:v>6</x:v>
      </x:c>
      <x:c r="F699" s="3" t="n">
        <x:v>3</x:v>
      </x:c>
      <x:c r="G699" s="9" t="n">
        <x:v>0.14</x:v>
      </x:c>
      <x:c r="H699" s="9" t="n">
        <x:v>1.149081</x:v>
      </x:c>
      <x:c r="I699" s="9" t="n">
        <x:f>'Physical_Arcs'!R39</x:f>
        <x:v>1.9166666666666667</x:v>
      </x:c>
      <x:c r="J699" s="9" t="n">
        <x:f>I699*'Parameters'!$C$18</x:f>
        <x:v>0.38333333333333336</x:v>
      </x:c>
      <x:c r="K699" s="9" t="n">
        <x:f>J699*'Parameters'!$C$19</x:f>
        <x:v>0.4791666666666667</x:v>
      </x:c>
      <x:c r="L699" s="9" t="n">
        <x:f>I699*(1-0.40)-J699</x:f>
        <x:v>0.7666666666666666</x:v>
      </x:c>
      <x:c r="M699" s="9" t="n">
        <x:f>'Physical_Arcs'!S39</x:f>
        <x:v>1.9166666666666667</x:v>
      </x:c>
      <x:c r="N699" s="9" t="n">
        <x:f>M699*'Parameters'!$C$18</x:f>
        <x:v>0.38333333333333336</x:v>
      </x:c>
      <x:c r="O699" s="9" t="n">
        <x:f>N699*'Parameters'!$C$19</x:f>
        <x:v>0.4791666666666667</x:v>
      </x:c>
      <x:c r="P699" s="9" t="n">
        <x:f>M699*(1-0.40)-N699</x:f>
        <x:v>0.7666666666666666</x:v>
      </x:c>
      <x:c r="Q699" s="9" t="n">
        <x:f>'Physical_Arcs'!T39</x:f>
        <x:v>0.9722222222222222</x:v>
      </x:c>
      <x:c r="R699" s="9" t="n">
        <x:f>Q699*'Parameters'!$C$18</x:f>
        <x:v>0.19444444444444445</x:v>
      </x:c>
      <x:c r="S699" s="9" t="n">
        <x:f>R699*'Parameters'!$C$19</x:f>
        <x:v>0.24305555555555555</x:v>
      </x:c>
      <x:c r="T699" s="9" t="n">
        <x:f>Q699*(1-0.40)-R699</x:f>
        <x:v>0.38888888888888884</x:v>
      </x:c>
    </x:row>
    <x:row r="700" ht="21" customHeight="1">
      <x:c r="A700" s="3" t="n">
        <x:v>11</x:v>
      </x:c>
      <x:c r="B700" s="3" t="str">
        <x:v>01:50</x:v>
      </x:c>
      <x:c r="C700" s="3" t="n">
        <x:v>2</x:v>
      </x:c>
      <x:c r="D700" s="3" t="n">
        <x:v>39</x:v>
      </x:c>
      <x:c r="E700" s="3" t="n">
        <x:v>7</x:v>
      </x:c>
      <x:c r="F700" s="3" t="n">
        <x:v>8</x:v>
      </x:c>
      <x:c r="G700" s="9" t="n">
        <x:v>0.14</x:v>
      </x:c>
      <x:c r="H700" s="9" t="n">
        <x:v>1.003268</x:v>
      </x:c>
      <x:c r="I700" s="9" t="n">
        <x:f>'Physical_Arcs'!R40</x:f>
        <x:v>17.02777777777778</x:v>
      </x:c>
      <x:c r="J700" s="9" t="n">
        <x:f>I700*'Parameters'!$C$18</x:f>
        <x:v>3.405555555555556</x:v>
      </x:c>
      <x:c r="K700" s="9" t="n">
        <x:f>J700*'Parameters'!$C$19</x:f>
        <x:v>4.256944444444445</x:v>
      </x:c>
      <x:c r="L700" s="9" t="n">
        <x:f>I700*(1-0.40)-J700</x:f>
        <x:v>6.811111111111111</x:v>
      </x:c>
      <x:c r="M700" s="9" t="n">
        <x:f>'Physical_Arcs'!S40</x:f>
        <x:v>17.02777777777778</x:v>
      </x:c>
      <x:c r="N700" s="9" t="n">
        <x:f>M700*'Parameters'!$C$18</x:f>
        <x:v>3.405555555555556</x:v>
      </x:c>
      <x:c r="O700" s="9" t="n">
        <x:f>N700*'Parameters'!$C$19</x:f>
        <x:v>4.256944444444445</x:v>
      </x:c>
      <x:c r="P700" s="9" t="n">
        <x:f>M700*(1-0.40)-N700</x:f>
        <x:v>6.811111111111111</x:v>
      </x:c>
      <x:c r="Q700" s="9" t="n">
        <x:f>'Physical_Arcs'!T40</x:f>
        <x:v>17.02777777777778</x:v>
      </x:c>
      <x:c r="R700" s="9" t="n">
        <x:f>Q700*'Parameters'!$C$18</x:f>
        <x:v>3.405555555555556</x:v>
      </x:c>
      <x:c r="S700" s="9" t="n">
        <x:f>R700*'Parameters'!$C$19</x:f>
        <x:v>4.256944444444445</x:v>
      </x:c>
      <x:c r="T700" s="9" t="n">
        <x:f>Q700*(1-0.40)-R700</x:f>
        <x:v>6.811111111111111</x:v>
      </x:c>
    </x:row>
    <x:row r="701" ht="21" customHeight="1">
      <x:c r="A701" s="3" t="n">
        <x:v>11</x:v>
      </x:c>
      <x:c r="B701" s="3" t="str">
        <x:v>01:50</x:v>
      </x:c>
      <x:c r="C701" s="3" t="n">
        <x:v>2</x:v>
      </x:c>
      <x:c r="D701" s="3" t="n">
        <x:v>40</x:v>
      </x:c>
      <x:c r="E701" s="3" t="n">
        <x:v>7</x:v>
      </x:c>
      <x:c r="F701" s="3" t="n">
        <x:v>1</x:v>
      </x:c>
      <x:c r="G701" s="9" t="n">
        <x:v>0.14</x:v>
      </x:c>
      <x:c r="H701" s="9" t="n">
        <x:v>1.057592</x:v>
      </x:c>
      <x:c r="I701" s="9" t="n">
        <x:f>'Physical_Arcs'!R41</x:f>
        <x:v>7.972222222222222</x:v>
      </x:c>
      <x:c r="J701" s="9" t="n">
        <x:f>I701*'Parameters'!$C$18</x:f>
        <x:v>1.5944444444444446</x:v>
      </x:c>
      <x:c r="K701" s="9" t="n">
        <x:f>J701*'Parameters'!$C$19</x:f>
        <x:v>1.9930555555555558</x:v>
      </x:c>
      <x:c r="L701" s="9" t="n">
        <x:f>I701*(1-0.40)-J701</x:f>
        <x:v>3.1888888888888887</x:v>
      </x:c>
      <x:c r="M701" s="9" t="n">
        <x:f>'Physical_Arcs'!S41</x:f>
        <x:v>7.972222222222222</x:v>
      </x:c>
      <x:c r="N701" s="9" t="n">
        <x:f>M701*'Parameters'!$C$18</x:f>
        <x:v>1.5944444444444446</x:v>
      </x:c>
      <x:c r="O701" s="9" t="n">
        <x:f>N701*'Parameters'!$C$19</x:f>
        <x:v>1.9930555555555558</x:v>
      </x:c>
      <x:c r="P701" s="9" t="n">
        <x:f>M701*(1-0.40)-N701</x:f>
        <x:v>3.1888888888888887</x:v>
      </x:c>
      <x:c r="Q701" s="9" t="n">
        <x:f>'Physical_Arcs'!T41</x:f>
        <x:v>4</x:v>
      </x:c>
      <x:c r="R701" s="9" t="n">
        <x:f>Q701*'Parameters'!$C$18</x:f>
        <x:v>0.8</x:v>
      </x:c>
      <x:c r="S701" s="9" t="n">
        <x:f>R701*'Parameters'!$C$19</x:f>
        <x:v>1</x:v>
      </x:c>
      <x:c r="T701" s="9" t="n">
        <x:f>Q701*(1-0.40)-R701</x:f>
        <x:v>1.5999999999999999</x:v>
      </x:c>
    </x:row>
    <x:row r="702" ht="21" customHeight="1">
      <x:c r="A702" s="3" t="n">
        <x:v>11</x:v>
      </x:c>
      <x:c r="B702" s="3" t="str">
        <x:v>01:50</x:v>
      </x:c>
      <x:c r="C702" s="3" t="n">
        <x:v>2</x:v>
      </x:c>
      <x:c r="D702" s="3" t="n">
        <x:v>41</x:v>
      </x:c>
      <x:c r="E702" s="3" t="n">
        <x:v>7</x:v>
      </x:c>
      <x:c r="F702" s="3" t="n">
        <x:v>9</x:v>
      </x:c>
      <x:c r="G702" s="9" t="n">
        <x:v>0.14</x:v>
      </x:c>
      <x:c r="H702" s="9" t="n">
        <x:v>1.14801</x:v>
      </x:c>
      <x:c r="I702" s="9" t="n">
        <x:f>'Physical_Arcs'!R42</x:f>
        <x:v>8.88888888888889</x:v>
      </x:c>
      <x:c r="J702" s="9" t="n">
        <x:f>I702*'Parameters'!$C$18</x:f>
        <x:v>1.777777777777778</x:v>
      </x:c>
      <x:c r="K702" s="9" t="n">
        <x:f>J702*'Parameters'!$C$19</x:f>
        <x:v>2.2222222222222223</x:v>
      </x:c>
      <x:c r="L702" s="9" t="n">
        <x:f>I702*(1-0.40)-J702</x:f>
        <x:v>3.5555555555555554</x:v>
      </x:c>
      <x:c r="M702" s="9" t="n">
        <x:f>'Physical_Arcs'!S42</x:f>
        <x:v>8.88888888888889</x:v>
      </x:c>
      <x:c r="N702" s="9" t="n">
        <x:f>M702*'Parameters'!$C$18</x:f>
        <x:v>1.777777777777778</x:v>
      </x:c>
      <x:c r="O702" s="9" t="n">
        <x:f>N702*'Parameters'!$C$19</x:f>
        <x:v>2.2222222222222223</x:v>
      </x:c>
      <x:c r="P702" s="9" t="n">
        <x:f>M702*(1-0.40)-N702</x:f>
        <x:v>3.5555555555555554</x:v>
      </x:c>
      <x:c r="Q702" s="9" t="n">
        <x:f>'Physical_Arcs'!T42</x:f>
        <x:v>4.444444444444445</x:v>
      </x:c>
      <x:c r="R702" s="9" t="n">
        <x:f>Q702*'Parameters'!$C$18</x:f>
        <x:v>0.888888888888889</x:v>
      </x:c>
      <x:c r="S702" s="9" t="n">
        <x:f>R702*'Parameters'!$C$19</x:f>
        <x:v>1.1111111111111112</x:v>
      </x:c>
      <x:c r="T702" s="9" t="n">
        <x:f>Q702*(1-0.40)-R702</x:f>
        <x:v>1.7777777777777777</x:v>
      </x:c>
    </x:row>
    <x:row r="703" ht="21" customHeight="1">
      <x:c r="A703" s="3" t="n">
        <x:v>11</x:v>
      </x:c>
      <x:c r="B703" s="3" t="str">
        <x:v>01:50</x:v>
      </x:c>
      <x:c r="C703" s="3" t="n">
        <x:v>2</x:v>
      </x:c>
      <x:c r="D703" s="3" t="n">
        <x:v>42</x:v>
      </x:c>
      <x:c r="E703" s="3" t="n">
        <x:v>7</x:v>
      </x:c>
      <x:c r="F703" s="3" t="n">
        <x:v>2</x:v>
      </x:c>
      <x:c r="G703" s="9" t="n">
        <x:v>0.14</x:v>
      </x:c>
      <x:c r="H703" s="9" t="n">
        <x:v>0.989237</x:v>
      </x:c>
      <x:c r="I703" s="9" t="n">
        <x:f>'Physical_Arcs'!R43</x:f>
        <x:v>9</x:v>
      </x:c>
      <x:c r="J703" s="9" t="n">
        <x:f>I703*'Parameters'!$C$18</x:f>
        <x:v>1.8</x:v>
      </x:c>
      <x:c r="K703" s="9" t="n">
        <x:f>J703*'Parameters'!$C$19</x:f>
        <x:v>2.25</x:v>
      </x:c>
      <x:c r="L703" s="9" t="n">
        <x:f>I703*(1-0.40)-J703</x:f>
        <x:v>3.5999999999999996</x:v>
      </x:c>
      <x:c r="M703" s="9" t="n">
        <x:f>'Physical_Arcs'!S43</x:f>
        <x:v>9</x:v>
      </x:c>
      <x:c r="N703" s="9" t="n">
        <x:f>M703*'Parameters'!$C$18</x:f>
        <x:v>1.8</x:v>
      </x:c>
      <x:c r="O703" s="9" t="n">
        <x:f>N703*'Parameters'!$C$19</x:f>
        <x:v>2.25</x:v>
      </x:c>
      <x:c r="P703" s="9" t="n">
        <x:f>M703*(1-0.40)-N703</x:f>
        <x:v>3.5999999999999996</x:v>
      </x:c>
      <x:c r="Q703" s="9" t="n">
        <x:f>'Physical_Arcs'!T43</x:f>
        <x:v>4.5</x:v>
      </x:c>
      <x:c r="R703" s="9" t="n">
        <x:f>Q703*'Parameters'!$C$18</x:f>
        <x:v>0.9</x:v>
      </x:c>
      <x:c r="S703" s="9" t="n">
        <x:f>R703*'Parameters'!$C$19</x:f>
        <x:v>1.125</x:v>
      </x:c>
      <x:c r="T703" s="9" t="n">
        <x:f>Q703*(1-0.40)-R703</x:f>
        <x:v>1.7999999999999998</x:v>
      </x:c>
    </x:row>
    <x:row r="704" ht="21" customHeight="1">
      <x:c r="A704" s="3" t="n">
        <x:v>11</x:v>
      </x:c>
      <x:c r="B704" s="3" t="str">
        <x:v>01:50</x:v>
      </x:c>
      <x:c r="C704" s="3" t="n">
        <x:v>2</x:v>
      </x:c>
      <x:c r="D704" s="3" t="n">
        <x:v>43</x:v>
      </x:c>
      <x:c r="E704" s="3" t="n">
        <x:v>7</x:v>
      </x:c>
      <x:c r="F704" s="3" t="n">
        <x:v>3</x:v>
      </x:c>
      <x:c r="G704" s="9" t="n">
        <x:v>0.14</x:v>
      </x:c>
      <x:c r="H704" s="9" t="n">
        <x:v>1.050432</x:v>
      </x:c>
      <x:c r="I704" s="9" t="n">
        <x:f>'Physical_Arcs'!R44</x:f>
        <x:v>7.638888888888889</x:v>
      </x:c>
      <x:c r="J704" s="9" t="n">
        <x:f>I704*'Parameters'!$C$18</x:f>
        <x:v>1.527777777777778</x:v>
      </x:c>
      <x:c r="K704" s="9" t="n">
        <x:f>J704*'Parameters'!$C$19</x:f>
        <x:v>1.9097222222222223</x:v>
      </x:c>
      <x:c r="L704" s="9" t="n">
        <x:f>I704*(1-0.40)-J704</x:f>
        <x:v>3.0555555555555554</x:v>
      </x:c>
      <x:c r="M704" s="9" t="n">
        <x:f>'Physical_Arcs'!S44</x:f>
        <x:v>7.638888888888889</x:v>
      </x:c>
      <x:c r="N704" s="9" t="n">
        <x:f>M704*'Parameters'!$C$18</x:f>
        <x:v>1.527777777777778</x:v>
      </x:c>
      <x:c r="O704" s="9" t="n">
        <x:f>N704*'Parameters'!$C$19</x:f>
        <x:v>1.9097222222222223</x:v>
      </x:c>
      <x:c r="P704" s="9" t="n">
        <x:f>M704*(1-0.40)-N704</x:f>
        <x:v>3.0555555555555554</x:v>
      </x:c>
      <x:c r="Q704" s="9" t="n">
        <x:f>'Physical_Arcs'!T44</x:f>
        <x:v>3.8333333333333335</x:v>
      </x:c>
      <x:c r="R704" s="9" t="n">
        <x:f>Q704*'Parameters'!$C$18</x:f>
        <x:v>0.7666666666666667</x:v>
      </x:c>
      <x:c r="S704" s="9" t="n">
        <x:f>R704*'Parameters'!$C$19</x:f>
        <x:v>0.9583333333333334</x:v>
      </x:c>
      <x:c r="T704" s="9" t="n">
        <x:f>Q704*(1-0.40)-R704</x:f>
        <x:v>1.5333333333333332</x:v>
      </x:c>
    </x:row>
    <x:row r="705" ht="21" customHeight="1">
      <x:c r="A705" s="3" t="n">
        <x:v>11</x:v>
      </x:c>
      <x:c r="B705" s="3" t="str">
        <x:v>01:50</x:v>
      </x:c>
      <x:c r="C705" s="3" t="n">
        <x:v>2</x:v>
      </x:c>
      <x:c r="D705" s="3" t="n">
        <x:v>44</x:v>
      </x:c>
      <x:c r="E705" s="3" t="n">
        <x:v>8</x:v>
      </x:c>
      <x:c r="F705" s="3" t="n">
        <x:v>9</x:v>
      </x:c>
      <x:c r="G705" s="9" t="n">
        <x:v>0.14</x:v>
      </x:c>
      <x:c r="H705" s="9" t="n">
        <x:v>0.868101</x:v>
      </x:c>
      <x:c r="I705" s="9" t="n">
        <x:f>'Physical_Arcs'!R45</x:f>
        <x:v>17.02777777777778</x:v>
      </x:c>
      <x:c r="J705" s="9" t="n">
        <x:f>I705*'Parameters'!$C$18</x:f>
        <x:v>3.405555555555556</x:v>
      </x:c>
      <x:c r="K705" s="9" t="n">
        <x:f>J705*'Parameters'!$C$19</x:f>
        <x:v>4.256944444444445</x:v>
      </x:c>
      <x:c r="L705" s="9" t="n">
        <x:f>I705*(1-0.40)-J705</x:f>
        <x:v>6.811111111111111</x:v>
      </x:c>
      <x:c r="M705" s="9" t="n">
        <x:f>'Physical_Arcs'!S45</x:f>
        <x:v>17.02777777777778</x:v>
      </x:c>
      <x:c r="N705" s="9" t="n">
        <x:f>M705*'Parameters'!$C$18</x:f>
        <x:v>3.405555555555556</x:v>
      </x:c>
      <x:c r="O705" s="9" t="n">
        <x:f>N705*'Parameters'!$C$19</x:f>
        <x:v>4.256944444444445</x:v>
      </x:c>
      <x:c r="P705" s="9" t="n">
        <x:f>M705*(1-0.40)-N705</x:f>
        <x:v>6.811111111111111</x:v>
      </x:c>
      <x:c r="Q705" s="9" t="n">
        <x:f>'Physical_Arcs'!T45</x:f>
        <x:v>17.02777777777778</x:v>
      </x:c>
      <x:c r="R705" s="9" t="n">
        <x:f>Q705*'Parameters'!$C$18</x:f>
        <x:v>3.405555555555556</x:v>
      </x:c>
      <x:c r="S705" s="9" t="n">
        <x:f>R705*'Parameters'!$C$19</x:f>
        <x:v>4.256944444444445</x:v>
      </x:c>
      <x:c r="T705" s="9" t="n">
        <x:f>Q705*(1-0.40)-R705</x:f>
        <x:v>6.811111111111111</x:v>
      </x:c>
    </x:row>
    <x:row r="706" ht="21" customHeight="1">
      <x:c r="A706" s="3" t="n">
        <x:v>11</x:v>
      </x:c>
      <x:c r="B706" s="3" t="str">
        <x:v>01:50</x:v>
      </x:c>
      <x:c r="C706" s="3" t="n">
        <x:v>2</x:v>
      </x:c>
      <x:c r="D706" s="3" t="n">
        <x:v>45</x:v>
      </x:c>
      <x:c r="E706" s="3" t="n">
        <x:v>8</x:v>
      </x:c>
      <x:c r="F706" s="3" t="n">
        <x:v>3</x:v>
      </x:c>
      <x:c r="G706" s="9" t="n">
        <x:v>0.14</x:v>
      </x:c>
      <x:c r="H706" s="9" t="n">
        <x:v>0.944958</x:v>
      </x:c>
      <x:c r="I706" s="9" t="n">
        <x:f>'Physical_Arcs'!R46</x:f>
        <x:v>5.388888888888889</x:v>
      </x:c>
      <x:c r="J706" s="9" t="n">
        <x:f>I706*'Parameters'!$C$18</x:f>
        <x:v>1.077777777777778</x:v>
      </x:c>
      <x:c r="K706" s="9" t="n">
        <x:f>J706*'Parameters'!$C$19</x:f>
        <x:v>1.3472222222222223</x:v>
      </x:c>
      <x:c r="L706" s="9" t="n">
        <x:f>I706*(1-0.40)-J706</x:f>
        <x:v>2.1555555555555554</x:v>
      </x:c>
      <x:c r="M706" s="9" t="n">
        <x:f>'Physical_Arcs'!S46</x:f>
        <x:v>5.388888888888889</x:v>
      </x:c>
      <x:c r="N706" s="9" t="n">
        <x:f>M706*'Parameters'!$C$18</x:f>
        <x:v>1.077777777777778</x:v>
      </x:c>
      <x:c r="O706" s="9" t="n">
        <x:f>N706*'Parameters'!$C$19</x:f>
        <x:v>1.3472222222222223</x:v>
      </x:c>
      <x:c r="P706" s="9" t="n">
        <x:f>M706*(1-0.40)-N706</x:f>
        <x:v>2.1555555555555554</x:v>
      </x:c>
      <x:c r="Q706" s="9" t="n">
        <x:f>'Physical_Arcs'!T46</x:f>
        <x:v>2.6944444444444446</x:v>
      </x:c>
      <x:c r="R706" s="9" t="n">
        <x:f>Q706*'Parameters'!$C$18</x:f>
        <x:v>0.538888888888889</x:v>
      </x:c>
      <x:c r="S706" s="9" t="n">
        <x:f>R706*'Parameters'!$C$19</x:f>
        <x:v>0.6736111111111112</x:v>
      </x:c>
      <x:c r="T706" s="9" t="n">
        <x:f>Q706*(1-0.40)-R706</x:f>
        <x:v>1.0777777777777777</x:v>
      </x:c>
    </x:row>
    <x:row r="707" ht="21" customHeight="1">
      <x:c r="A707" s="3" t="n">
        <x:v>11</x:v>
      </x:c>
      <x:c r="B707" s="3" t="str">
        <x:v>01:50</x:v>
      </x:c>
      <x:c r="C707" s="3" t="n">
        <x:v>2</x:v>
      </x:c>
      <x:c r="D707" s="3" t="n">
        <x:v>46</x:v>
      </x:c>
      <x:c r="E707" s="3" t="n">
        <x:v>8</x:v>
      </x:c>
      <x:c r="F707" s="3" t="n">
        <x:v>7</x:v>
      </x:c>
      <x:c r="G707" s="9" t="n">
        <x:v>0.14</x:v>
      </x:c>
      <x:c r="H707" s="9" t="n">
        <x:v>0.866232</x:v>
      </x:c>
      <x:c r="I707" s="9" t="n">
        <x:f>'Physical_Arcs'!R47</x:f>
        <x:v>5.388888888888889</x:v>
      </x:c>
      <x:c r="J707" s="9" t="n">
        <x:f>I707*'Parameters'!$C$18</x:f>
        <x:v>1.077777777777778</x:v>
      </x:c>
      <x:c r="K707" s="9" t="n">
        <x:f>J707*'Parameters'!$C$19</x:f>
        <x:v>1.3472222222222223</x:v>
      </x:c>
      <x:c r="L707" s="9" t="n">
        <x:f>I707*(1-0.40)-J707</x:f>
        <x:v>2.1555555555555554</x:v>
      </x:c>
      <x:c r="M707" s="9" t="n">
        <x:f>'Physical_Arcs'!S47</x:f>
        <x:v>5.388888888888889</x:v>
      </x:c>
      <x:c r="N707" s="9" t="n">
        <x:f>M707*'Parameters'!$C$18</x:f>
        <x:v>1.077777777777778</x:v>
      </x:c>
      <x:c r="O707" s="9" t="n">
        <x:f>N707*'Parameters'!$C$19</x:f>
        <x:v>1.3472222222222223</x:v>
      </x:c>
      <x:c r="P707" s="9" t="n">
        <x:f>M707*(1-0.40)-N707</x:f>
        <x:v>2.1555555555555554</x:v>
      </x:c>
      <x:c r="Q707" s="9" t="n">
        <x:f>'Physical_Arcs'!T47</x:f>
        <x:v>2.6944444444444446</x:v>
      </x:c>
      <x:c r="R707" s="9" t="n">
        <x:f>Q707*'Parameters'!$C$18</x:f>
        <x:v>0.538888888888889</x:v>
      </x:c>
      <x:c r="S707" s="9" t="n">
        <x:f>R707*'Parameters'!$C$19</x:f>
        <x:v>0.6736111111111112</x:v>
      </x:c>
      <x:c r="T707" s="9" t="n">
        <x:f>Q707*(1-0.40)-R707</x:f>
        <x:v>1.0777777777777777</x:v>
      </x:c>
    </x:row>
    <x:row r="708" ht="21" customHeight="1">
      <x:c r="A708" s="3" t="n">
        <x:v>11</x:v>
      </x:c>
      <x:c r="B708" s="3" t="str">
        <x:v>01:50</x:v>
      </x:c>
      <x:c r="C708" s="3" t="n">
        <x:v>2</x:v>
      </x:c>
      <x:c r="D708" s="3" t="n">
        <x:v>47</x:v>
      </x:c>
      <x:c r="E708" s="3" t="n">
        <x:v>8</x:v>
      </x:c>
      <x:c r="F708" s="3" t="n">
        <x:v>2</x:v>
      </x:c>
      <x:c r="G708" s="9" t="n">
        <x:v>0.14</x:v>
      </x:c>
      <x:c r="H708" s="9" t="n">
        <x:v>1.135644</x:v>
      </x:c>
      <x:c r="I708" s="9" t="n">
        <x:f>'Physical_Arcs'!R48</x:f>
        <x:v>8.083333333333334</x:v>
      </x:c>
      <x:c r="J708" s="9" t="n">
        <x:f>I708*'Parameters'!$C$18</x:f>
        <x:v>1.616666666666667</x:v>
      </x:c>
      <x:c r="K708" s="9" t="n">
        <x:f>J708*'Parameters'!$C$19</x:f>
        <x:v>2.0208333333333335</x:v>
      </x:c>
      <x:c r="L708" s="9" t="n">
        <x:f>I708*(1-0.40)-J708</x:f>
        <x:v>3.2333333333333334</x:v>
      </x:c>
      <x:c r="M708" s="9" t="n">
        <x:f>'Physical_Arcs'!S48</x:f>
        <x:v>8.083333333333334</x:v>
      </x:c>
      <x:c r="N708" s="9" t="n">
        <x:f>M708*'Parameters'!$C$18</x:f>
        <x:v>1.616666666666667</x:v>
      </x:c>
      <x:c r="O708" s="9" t="n">
        <x:f>N708*'Parameters'!$C$19</x:f>
        <x:v>2.0208333333333335</x:v>
      </x:c>
      <x:c r="P708" s="9" t="n">
        <x:f>M708*(1-0.40)-N708</x:f>
        <x:v>3.2333333333333334</x:v>
      </x:c>
      <x:c r="Q708" s="9" t="n">
        <x:f>'Physical_Arcs'!T48</x:f>
        <x:v>4.055555555555555</x:v>
      </x:c>
      <x:c r="R708" s="9" t="n">
        <x:f>Q708*'Parameters'!$C$18</x:f>
        <x:v>0.8111111111111111</x:v>
      </x:c>
      <x:c r="S708" s="9" t="n">
        <x:f>R708*'Parameters'!$C$19</x:f>
        <x:v>1.0138888888888888</x:v>
      </x:c>
      <x:c r="T708" s="9" t="n">
        <x:f>Q708*(1-0.40)-R708</x:f>
        <x:v>1.622222222222222</x:v>
      </x:c>
    </x:row>
    <x:row r="709" ht="21" customHeight="1">
      <x:c r="A709" s="3" t="n">
        <x:v>11</x:v>
      </x:c>
      <x:c r="B709" s="3" t="str">
        <x:v>01:50</x:v>
      </x:c>
      <x:c r="C709" s="3" t="n">
        <x:v>2</x:v>
      </x:c>
      <x:c r="D709" s="3" t="n">
        <x:v>48</x:v>
      </x:c>
      <x:c r="E709" s="3" t="n">
        <x:v>8</x:v>
      </x:c>
      <x:c r="F709" s="3" t="n">
        <x:v>6</x:v>
      </x:c>
      <x:c r="G709" s="9" t="n">
        <x:v>0.14</x:v>
      </x:c>
      <x:c r="H709" s="9" t="n">
        <x:v>0.850778</x:v>
      </x:c>
      <x:c r="I709" s="9" t="n">
        <x:f>'Physical_Arcs'!R49</x:f>
        <x:v>10.555555555555555</x:v>
      </x:c>
      <x:c r="J709" s="9" t="n">
        <x:f>I709*'Parameters'!$C$18</x:f>
        <x:v>2.111111111111111</x:v>
      </x:c>
      <x:c r="K709" s="9" t="n">
        <x:f>J709*'Parameters'!$C$19</x:f>
        <x:v>2.638888888888889</x:v>
      </x:c>
      <x:c r="L709" s="9" t="n">
        <x:f>I709*(1-0.40)-J709</x:f>
        <x:v>4.222222222222221</x:v>
      </x:c>
      <x:c r="M709" s="9" t="n">
        <x:f>'Physical_Arcs'!S49</x:f>
        <x:v>10.555555555555555</x:v>
      </x:c>
      <x:c r="N709" s="9" t="n">
        <x:f>M709*'Parameters'!$C$18</x:f>
        <x:v>2.111111111111111</x:v>
      </x:c>
      <x:c r="O709" s="9" t="n">
        <x:f>N709*'Parameters'!$C$19</x:f>
        <x:v>2.638888888888889</x:v>
      </x:c>
      <x:c r="P709" s="9" t="n">
        <x:f>M709*(1-0.40)-N709</x:f>
        <x:v>4.222222222222221</x:v>
      </x:c>
      <x:c r="Q709" s="9" t="n">
        <x:f>'Physical_Arcs'!T49</x:f>
        <x:v>5.277777777777778</x:v>
      </x:c>
      <x:c r="R709" s="9" t="n">
        <x:f>Q709*'Parameters'!$C$18</x:f>
        <x:v>1.0555555555555556</x:v>
      </x:c>
      <x:c r="S709" s="9" t="n">
        <x:f>R709*'Parameters'!$C$19</x:f>
        <x:v>1.3194444444444444</x:v>
      </x:c>
      <x:c r="T709" s="9" t="n">
        <x:f>Q709*(1-0.40)-R709</x:f>
        <x:v>2.1111111111111107</x:v>
      </x:c>
    </x:row>
    <x:row r="710" ht="21" customHeight="1">
      <x:c r="A710" s="3" t="n">
        <x:v>11</x:v>
      </x:c>
      <x:c r="B710" s="3" t="str">
        <x:v>01:50</x:v>
      </x:c>
      <x:c r="C710" s="3" t="n">
        <x:v>2</x:v>
      </x:c>
      <x:c r="D710" s="3" t="n">
        <x:v>49</x:v>
      </x:c>
      <x:c r="E710" s="3" t="n">
        <x:v>8</x:v>
      </x:c>
      <x:c r="F710" s="3" t="n">
        <x:v>4</x:v>
      </x:c>
      <x:c r="G710" s="9" t="n">
        <x:v>0.14</x:v>
      </x:c>
      <x:c r="H710" s="9" t="n">
        <x:v>0.904949</x:v>
      </x:c>
      <x:c r="I710" s="9" t="n">
        <x:f>'Physical_Arcs'!R50</x:f>
        <x:v>1.5833333333333333</x:v>
      </x:c>
      <x:c r="J710" s="9" t="n">
        <x:f>I710*'Parameters'!$C$18</x:f>
        <x:v>0.31666666666666665</x:v>
      </x:c>
      <x:c r="K710" s="9" t="n">
        <x:f>J710*'Parameters'!$C$19</x:f>
        <x:v>0.3958333333333333</x:v>
      </x:c>
      <x:c r="L710" s="9" t="n">
        <x:f>I710*(1-0.40)-J710</x:f>
        <x:v>0.6333333333333333</x:v>
      </x:c>
      <x:c r="M710" s="9" t="n">
        <x:f>'Physical_Arcs'!S50</x:f>
        <x:v>1.5833333333333333</x:v>
      </x:c>
      <x:c r="N710" s="9" t="n">
        <x:f>M710*'Parameters'!$C$18</x:f>
        <x:v>0.31666666666666665</x:v>
      </x:c>
      <x:c r="O710" s="9" t="n">
        <x:f>N710*'Parameters'!$C$19</x:f>
        <x:v>0.3958333333333333</x:v>
      </x:c>
      <x:c r="P710" s="9" t="n">
        <x:f>M710*(1-0.40)-N710</x:f>
        <x:v>0.6333333333333333</x:v>
      </x:c>
      <x:c r="Q710" s="9" t="n">
        <x:f>'Physical_Arcs'!T50</x:f>
        <x:v>0.8055555555555556</x:v>
      </x:c>
      <x:c r="R710" s="9" t="n">
        <x:f>Q710*'Parameters'!$C$18</x:f>
        <x:v>0.16111111111111112</x:v>
      </x:c>
      <x:c r="S710" s="9" t="n">
        <x:f>R710*'Parameters'!$C$19</x:f>
        <x:v>0.2013888888888889</x:v>
      </x:c>
      <x:c r="T710" s="9" t="n">
        <x:f>Q710*(1-0.40)-R710</x:f>
        <x:v>0.3222222222222222</x:v>
      </x:c>
    </x:row>
    <x:row r="711" ht="21" customHeight="1">
      <x:c r="A711" s="3" t="n">
        <x:v>11</x:v>
      </x:c>
      <x:c r="B711" s="3" t="str">
        <x:v>01:50</x:v>
      </x:c>
      <x:c r="C711" s="3" t="n">
        <x:v>2</x:v>
      </x:c>
      <x:c r="D711" s="3" t="n">
        <x:v>50</x:v>
      </x:c>
      <x:c r="E711" s="3" t="n">
        <x:v>8</x:v>
      </x:c>
      <x:c r="F711" s="3" t="n">
        <x:v>5</x:v>
      </x:c>
      <x:c r="G711" s="9" t="n">
        <x:v>0.14</x:v>
      </x:c>
      <x:c r="H711" s="9" t="n">
        <x:v>0.990416</x:v>
      </x:c>
      <x:c r="I711" s="9" t="n">
        <x:f>'Physical_Arcs'!R51</x:f>
        <x:v>10.777777777777779</x:v>
      </x:c>
      <x:c r="J711" s="9" t="n">
        <x:f>I711*'Parameters'!$C$18</x:f>
        <x:v>2.155555555555556</x:v>
      </x:c>
      <x:c r="K711" s="9" t="n">
        <x:f>J711*'Parameters'!$C$19</x:f>
        <x:v>2.6944444444444446</x:v>
      </x:c>
      <x:c r="L711" s="9" t="n">
        <x:f>I711*(1-0.40)-J711</x:f>
        <x:v>4.311111111111111</x:v>
      </x:c>
      <x:c r="M711" s="9" t="n">
        <x:f>'Physical_Arcs'!S51</x:f>
        <x:v>10.777777777777779</x:v>
      </x:c>
      <x:c r="N711" s="9" t="n">
        <x:f>M711*'Parameters'!$C$18</x:f>
        <x:v>2.155555555555556</x:v>
      </x:c>
      <x:c r="O711" s="9" t="n">
        <x:f>N711*'Parameters'!$C$19</x:f>
        <x:v>2.6944444444444446</x:v>
      </x:c>
      <x:c r="P711" s="9" t="n">
        <x:f>M711*(1-0.40)-N711</x:f>
        <x:v>4.311111111111111</x:v>
      </x:c>
      <x:c r="Q711" s="9" t="n">
        <x:f>'Physical_Arcs'!T51</x:f>
        <x:v>5.388888888888889</x:v>
      </x:c>
      <x:c r="R711" s="9" t="n">
        <x:f>Q711*'Parameters'!$C$18</x:f>
        <x:v>1.077777777777778</x:v>
      </x:c>
      <x:c r="S711" s="9" t="n">
        <x:f>R711*'Parameters'!$C$19</x:f>
        <x:v>1.3472222222222223</x:v>
      </x:c>
      <x:c r="T711" s="9" t="n">
        <x:f>Q711*(1-0.40)-R711</x:f>
        <x:v>2.1555555555555554</x:v>
      </x:c>
    </x:row>
    <x:row r="712" ht="21" customHeight="1">
      <x:c r="A712" s="3" t="n">
        <x:v>11</x:v>
      </x:c>
      <x:c r="B712" s="3" t="str">
        <x:v>01:50</x:v>
      </x:c>
      <x:c r="C712" s="3" t="n">
        <x:v>2</x:v>
      </x:c>
      <x:c r="D712" s="3" t="n">
        <x:v>51</x:v>
      </x:c>
      <x:c r="E712" s="3" t="n">
        <x:v>8</x:v>
      </x:c>
      <x:c r="F712" s="3" t="n">
        <x:v>1</x:v>
      </x:c>
      <x:c r="G712" s="9" t="n">
        <x:v>0.14</x:v>
      </x:c>
      <x:c r="H712" s="9" t="n">
        <x:v>1.039066</x:v>
      </x:c>
      <x:c r="I712" s="9" t="n">
        <x:f>'Physical_Arcs'!R52</x:f>
        <x:v>8.88888888888889</x:v>
      </x:c>
      <x:c r="J712" s="9" t="n">
        <x:f>I712*'Parameters'!$C$18</x:f>
        <x:v>1.777777777777778</x:v>
      </x:c>
      <x:c r="K712" s="9" t="n">
        <x:f>J712*'Parameters'!$C$19</x:f>
        <x:v>2.2222222222222223</x:v>
      </x:c>
      <x:c r="L712" s="9" t="n">
        <x:f>I712*(1-0.40)-J712</x:f>
        <x:v>3.5555555555555554</x:v>
      </x:c>
      <x:c r="M712" s="9" t="n">
        <x:f>'Physical_Arcs'!S52</x:f>
        <x:v>8.88888888888889</x:v>
      </x:c>
      <x:c r="N712" s="9" t="n">
        <x:f>M712*'Parameters'!$C$18</x:f>
        <x:v>1.777777777777778</x:v>
      </x:c>
      <x:c r="O712" s="9" t="n">
        <x:f>N712*'Parameters'!$C$19</x:f>
        <x:v>2.2222222222222223</x:v>
      </x:c>
      <x:c r="P712" s="9" t="n">
        <x:f>M712*(1-0.40)-N712</x:f>
        <x:v>3.5555555555555554</x:v>
      </x:c>
      <x:c r="Q712" s="9" t="n">
        <x:f>'Physical_Arcs'!T52</x:f>
        <x:v>4.444444444444445</x:v>
      </x:c>
      <x:c r="R712" s="9" t="n">
        <x:f>Q712*'Parameters'!$C$18</x:f>
        <x:v>0.888888888888889</x:v>
      </x:c>
      <x:c r="S712" s="9" t="n">
        <x:f>R712*'Parameters'!$C$19</x:f>
        <x:v>1.1111111111111112</x:v>
      </x:c>
      <x:c r="T712" s="9" t="n">
        <x:f>Q712*(1-0.40)-R712</x:f>
        <x:v>1.7777777777777777</x:v>
      </x:c>
    </x:row>
    <x:row r="713" ht="21" customHeight="1">
      <x:c r="A713" s="3" t="n">
        <x:v>11</x:v>
      </x:c>
      <x:c r="B713" s="3" t="str">
        <x:v>01:50</x:v>
      </x:c>
      <x:c r="C713" s="3" t="n">
        <x:v>2</x:v>
      </x:c>
      <x:c r="D713" s="3" t="n">
        <x:v>52</x:v>
      </x:c>
      <x:c r="E713" s="3" t="n">
        <x:v>9</x:v>
      </x:c>
      <x:c r="F713" s="3" t="n">
        <x:v>10</x:v>
      </x:c>
      <x:c r="G713" s="9" t="n">
        <x:v>0.14</x:v>
      </x:c>
      <x:c r="H713" s="9" t="n">
        <x:v>0.954096</x:v>
      </x:c>
      <x:c r="I713" s="9" t="n">
        <x:f>'Physical_Arcs'!R53</x:f>
        <x:v>17.02777777777778</x:v>
      </x:c>
      <x:c r="J713" s="9" t="n">
        <x:f>I713*'Parameters'!$C$18</x:f>
        <x:v>3.405555555555556</x:v>
      </x:c>
      <x:c r="K713" s="9" t="n">
        <x:f>J713*'Parameters'!$C$19</x:f>
        <x:v>4.256944444444445</x:v>
      </x:c>
      <x:c r="L713" s="9" t="n">
        <x:f>I713*(1-0.40)-J713</x:f>
        <x:v>6.811111111111111</x:v>
      </x:c>
      <x:c r="M713" s="9" t="n">
        <x:f>'Physical_Arcs'!S53</x:f>
        <x:v>17.02777777777778</x:v>
      </x:c>
      <x:c r="N713" s="9" t="n">
        <x:f>M713*'Parameters'!$C$18</x:f>
        <x:v>3.405555555555556</x:v>
      </x:c>
      <x:c r="O713" s="9" t="n">
        <x:f>N713*'Parameters'!$C$19</x:f>
        <x:v>4.256944444444445</x:v>
      </x:c>
      <x:c r="P713" s="9" t="n">
        <x:f>M713*(1-0.40)-N713</x:f>
        <x:v>6.811111111111111</x:v>
      </x:c>
      <x:c r="Q713" s="9" t="n">
        <x:f>'Physical_Arcs'!T53</x:f>
        <x:v>17.02777777777778</x:v>
      </x:c>
      <x:c r="R713" s="9" t="n">
        <x:f>Q713*'Parameters'!$C$18</x:f>
        <x:v>3.405555555555556</x:v>
      </x:c>
      <x:c r="S713" s="9" t="n">
        <x:f>R713*'Parameters'!$C$19</x:f>
        <x:v>4.256944444444445</x:v>
      </x:c>
      <x:c r="T713" s="9" t="n">
        <x:f>Q713*(1-0.40)-R713</x:f>
        <x:v>6.811111111111111</x:v>
      </x:c>
    </x:row>
    <x:row r="714" ht="21" customHeight="1">
      <x:c r="A714" s="3" t="n">
        <x:v>11</x:v>
      </x:c>
      <x:c r="B714" s="3" t="str">
        <x:v>01:50</x:v>
      </x:c>
      <x:c r="C714" s="3" t="n">
        <x:v>2</x:v>
      </x:c>
      <x:c r="D714" s="3" t="n">
        <x:v>53</x:v>
      </x:c>
      <x:c r="E714" s="3" t="n">
        <x:v>9</x:v>
      </x:c>
      <x:c r="F714" s="3" t="n">
        <x:v>6</x:v>
      </x:c>
      <x:c r="G714" s="9" t="n">
        <x:v>0.14</x:v>
      </x:c>
      <x:c r="H714" s="9" t="n">
        <x:v>1.125574</x:v>
      </x:c>
      <x:c r="I714" s="9" t="n">
        <x:f>'Physical_Arcs'!R54</x:f>
        <x:v>9.666666666666666</x:v>
      </x:c>
      <x:c r="J714" s="9" t="n">
        <x:f>I714*'Parameters'!$C$18</x:f>
        <x:v>1.9333333333333333</x:v>
      </x:c>
      <x:c r="K714" s="9" t="n">
        <x:f>J714*'Parameters'!$C$19</x:f>
        <x:v>2.4166666666666665</x:v>
      </x:c>
      <x:c r="L714" s="9" t="n">
        <x:f>I714*(1-0.40)-J714</x:f>
        <x:v>3.8666666666666663</x:v>
      </x:c>
      <x:c r="M714" s="9" t="n">
        <x:f>'Physical_Arcs'!S54</x:f>
        <x:v>9.666666666666666</x:v>
      </x:c>
      <x:c r="N714" s="9" t="n">
        <x:f>M714*'Parameters'!$C$18</x:f>
        <x:v>1.9333333333333333</x:v>
      </x:c>
      <x:c r="O714" s="9" t="n">
        <x:f>N714*'Parameters'!$C$19</x:f>
        <x:v>2.4166666666666665</x:v>
      </x:c>
      <x:c r="P714" s="9" t="n">
        <x:f>M714*(1-0.40)-N714</x:f>
        <x:v>3.8666666666666663</x:v>
      </x:c>
      <x:c r="Q714" s="9" t="n">
        <x:f>'Physical_Arcs'!T54</x:f>
        <x:v>4.833333333333333</x:v>
      </x:c>
      <x:c r="R714" s="9" t="n">
        <x:f>Q714*'Parameters'!$C$18</x:f>
        <x:v>0.9666666666666667</x:v>
      </x:c>
      <x:c r="S714" s="9" t="n">
        <x:f>R714*'Parameters'!$C$19</x:f>
        <x:v>1.2083333333333333</x:v>
      </x:c>
      <x:c r="T714" s="9" t="n">
        <x:f>Q714*(1-0.40)-R714</x:f>
        <x:v>1.9333333333333331</x:v>
      </x:c>
    </x:row>
    <x:row r="715" ht="21" customHeight="1">
      <x:c r="A715" s="3" t="n">
        <x:v>11</x:v>
      </x:c>
      <x:c r="B715" s="3" t="str">
        <x:v>01:50</x:v>
      </x:c>
      <x:c r="C715" s="3" t="n">
        <x:v>2</x:v>
      </x:c>
      <x:c r="D715" s="3" t="n">
        <x:v>54</x:v>
      </x:c>
      <x:c r="E715" s="3" t="n">
        <x:v>9</x:v>
      </x:c>
      <x:c r="F715" s="3" t="n">
        <x:v>2</x:v>
      </x:c>
      <x:c r="G715" s="9" t="n">
        <x:v>0.14</x:v>
      </x:c>
      <x:c r="H715" s="9" t="n">
        <x:v>0.854534</x:v>
      </x:c>
      <x:c r="I715" s="9" t="n">
        <x:f>'Physical_Arcs'!R55</x:f>
        <x:v>9.88888888888889</x:v>
      </x:c>
      <x:c r="J715" s="9" t="n">
        <x:f>I715*'Parameters'!$C$18</x:f>
        <x:v>1.9777777777777779</x:v>
      </x:c>
      <x:c r="K715" s="9" t="n">
        <x:f>J715*'Parameters'!$C$19</x:f>
        <x:v>2.4722222222222223</x:v>
      </x:c>
      <x:c r="L715" s="9" t="n">
        <x:f>I715*(1-0.40)-J715</x:f>
        <x:v>3.9555555555555557</x:v>
      </x:c>
      <x:c r="M715" s="9" t="n">
        <x:f>'Physical_Arcs'!S55</x:f>
        <x:v>9.88888888888889</x:v>
      </x:c>
      <x:c r="N715" s="9" t="n">
        <x:f>M715*'Parameters'!$C$18</x:f>
        <x:v>1.9777777777777779</x:v>
      </x:c>
      <x:c r="O715" s="9" t="n">
        <x:f>N715*'Parameters'!$C$19</x:f>
        <x:v>2.4722222222222223</x:v>
      </x:c>
      <x:c r="P715" s="9" t="n">
        <x:f>M715*(1-0.40)-N715</x:f>
        <x:v>3.9555555555555557</x:v>
      </x:c>
      <x:c r="Q715" s="9" t="n">
        <x:f>'Physical_Arcs'!T55</x:f>
        <x:v>4.944444444444445</x:v>
      </x:c>
      <x:c r="R715" s="9" t="n">
        <x:f>Q715*'Parameters'!$C$18</x:f>
        <x:v>0.9888888888888889</x:v>
      </x:c>
      <x:c r="S715" s="9" t="n">
        <x:f>R715*'Parameters'!$C$19</x:f>
        <x:v>1.2361111111111112</x:v>
      </x:c>
      <x:c r="T715" s="9" t="n">
        <x:f>Q715*(1-0.40)-R715</x:f>
        <x:v>1.9777777777777779</x:v>
      </x:c>
    </x:row>
    <x:row r="716" ht="21" customHeight="1">
      <x:c r="A716" s="3" t="n">
        <x:v>11</x:v>
      </x:c>
      <x:c r="B716" s="3" t="str">
        <x:v>01:50</x:v>
      </x:c>
      <x:c r="C716" s="3" t="n">
        <x:v>2</x:v>
      </x:c>
      <x:c r="D716" s="3" t="n">
        <x:v>55</x:v>
      </x:c>
      <x:c r="E716" s="3" t="n">
        <x:v>9</x:v>
      </x:c>
      <x:c r="F716" s="3" t="n">
        <x:v>7</x:v>
      </x:c>
      <x:c r="G716" s="9" t="n">
        <x:v>0.14</x:v>
      </x:c>
      <x:c r="H716" s="9" t="n">
        <x:v>0.900033</x:v>
      </x:c>
      <x:c r="I716" s="9" t="n">
        <x:f>'Physical_Arcs'!R56</x:f>
        <x:v>4.166666666666667</x:v>
      </x:c>
      <x:c r="J716" s="9" t="n">
        <x:f>I716*'Parameters'!$C$18</x:f>
        <x:v>0.8333333333333335</x:v>
      </x:c>
      <x:c r="K716" s="9" t="n">
        <x:f>J716*'Parameters'!$C$19</x:f>
        <x:v>1.041666666666667</x:v>
      </x:c>
      <x:c r="L716" s="9" t="n">
        <x:f>I716*(1-0.40)-J716</x:f>
        <x:v>1.6666666666666665</x:v>
      </x:c>
      <x:c r="M716" s="9" t="n">
        <x:f>'Physical_Arcs'!S56</x:f>
        <x:v>4.166666666666667</x:v>
      </x:c>
      <x:c r="N716" s="9" t="n">
        <x:f>M716*'Parameters'!$C$18</x:f>
        <x:v>0.8333333333333335</x:v>
      </x:c>
      <x:c r="O716" s="9" t="n">
        <x:f>N716*'Parameters'!$C$19</x:f>
        <x:v>1.041666666666667</x:v>
      </x:c>
      <x:c r="P716" s="9" t="n">
        <x:f>M716*(1-0.40)-N716</x:f>
        <x:v>1.6666666666666665</x:v>
      </x:c>
      <x:c r="Q716" s="9" t="n">
        <x:f>'Physical_Arcs'!T56</x:f>
        <x:v>2.0833333333333335</x:v>
      </x:c>
      <x:c r="R716" s="9" t="n">
        <x:f>Q716*'Parameters'!$C$18</x:f>
        <x:v>0.41666666666666674</x:v>
      </x:c>
      <x:c r="S716" s="9" t="n">
        <x:f>R716*'Parameters'!$C$19</x:f>
        <x:v>0.5208333333333335</x:v>
      </x:c>
      <x:c r="T716" s="9" t="n">
        <x:f>Q716*(1-0.40)-R716</x:f>
        <x:v>0.8333333333333333</x:v>
      </x:c>
    </x:row>
    <x:row r="717" ht="21" customHeight="1">
      <x:c r="A717" s="3" t="n">
        <x:v>11</x:v>
      </x:c>
      <x:c r="B717" s="3" t="str">
        <x:v>01:50</x:v>
      </x:c>
      <x:c r="C717" s="3" t="n">
        <x:v>2</x:v>
      </x:c>
      <x:c r="D717" s="3" t="n">
        <x:v>56</x:v>
      </x:c>
      <x:c r="E717" s="3" t="n">
        <x:v>9</x:v>
      </x:c>
      <x:c r="F717" s="3" t="n">
        <x:v>3</x:v>
      </x:c>
      <x:c r="G717" s="9" t="n">
        <x:v>0.14</x:v>
      </x:c>
      <x:c r="H717" s="9" t="n">
        <x:v>0.893428</x:v>
      </x:c>
      <x:c r="I717" s="9" t="n">
        <x:f>'Physical_Arcs'!R57</x:f>
        <x:v>3.7222222222222223</x:v>
      </x:c>
      <x:c r="J717" s="9" t="n">
        <x:f>I717*'Parameters'!$C$18</x:f>
        <x:v>0.7444444444444445</x:v>
      </x:c>
      <x:c r="K717" s="9" t="n">
        <x:f>J717*'Parameters'!$C$19</x:f>
        <x:v>0.9305555555555556</x:v>
      </x:c>
      <x:c r="L717" s="9" t="n">
        <x:f>I717*(1-0.40)-J717</x:f>
        <x:v>1.488888888888889</x:v>
      </x:c>
      <x:c r="M717" s="9" t="n">
        <x:f>'Physical_Arcs'!S57</x:f>
        <x:v>3.7222222222222223</x:v>
      </x:c>
      <x:c r="N717" s="9" t="n">
        <x:f>M717*'Parameters'!$C$18</x:f>
        <x:v>0.7444444444444445</x:v>
      </x:c>
      <x:c r="O717" s="9" t="n">
        <x:f>N717*'Parameters'!$C$19</x:f>
        <x:v>0.9305555555555556</x:v>
      </x:c>
      <x:c r="P717" s="9" t="n">
        <x:f>M717*(1-0.40)-N717</x:f>
        <x:v>1.488888888888889</x:v>
      </x:c>
      <x:c r="Q717" s="9" t="n">
        <x:f>'Physical_Arcs'!T57</x:f>
        <x:v>1.8611111111111112</x:v>
      </x:c>
      <x:c r="R717" s="9" t="n">
        <x:f>Q717*'Parameters'!$C$18</x:f>
        <x:v>0.37222222222222223</x:v>
      </x:c>
      <x:c r="S717" s="9" t="n">
        <x:f>R717*'Parameters'!$C$19</x:f>
        <x:v>0.4652777777777778</x:v>
      </x:c>
      <x:c r="T717" s="9" t="n">
        <x:f>Q717*(1-0.40)-R717</x:f>
        <x:v>0.7444444444444445</x:v>
      </x:c>
    </x:row>
    <x:row r="718" ht="21" customHeight="1">
      <x:c r="A718" s="3" t="n">
        <x:v>11</x:v>
      </x:c>
      <x:c r="B718" s="3" t="str">
        <x:v>01:50</x:v>
      </x:c>
      <x:c r="C718" s="3" t="n">
        <x:v>2</x:v>
      </x:c>
      <x:c r="D718" s="3" t="n">
        <x:v>57</x:v>
      </x:c>
      <x:c r="E718" s="3" t="n">
        <x:v>10</x:v>
      </x:c>
      <x:c r="F718" s="3" t="n">
        <x:v>1</x:v>
      </x:c>
      <x:c r="G718" s="9" t="n">
        <x:v>0.14</x:v>
      </x:c>
      <x:c r="H718" s="9" t="n">
        <x:v>1.027979</x:v>
      </x:c>
      <x:c r="I718" s="9" t="n">
        <x:f>'Physical_Arcs'!R58</x:f>
        <x:v>17.02777777777778</x:v>
      </x:c>
      <x:c r="J718" s="9" t="n">
        <x:f>I718*'Parameters'!$C$18</x:f>
        <x:v>3.405555555555556</x:v>
      </x:c>
      <x:c r="K718" s="9" t="n">
        <x:f>J718*'Parameters'!$C$19</x:f>
        <x:v>4.256944444444445</x:v>
      </x:c>
      <x:c r="L718" s="9" t="n">
        <x:f>I718*(1-0.40)-J718</x:f>
        <x:v>6.811111111111111</x:v>
      </x:c>
      <x:c r="M718" s="9" t="n">
        <x:f>'Physical_Arcs'!S58</x:f>
        <x:v>17.02777777777778</x:v>
      </x:c>
      <x:c r="N718" s="9" t="n">
        <x:f>M718*'Parameters'!$C$18</x:f>
        <x:v>3.405555555555556</x:v>
      </x:c>
      <x:c r="O718" s="9" t="n">
        <x:f>N718*'Parameters'!$C$19</x:f>
        <x:v>4.256944444444445</x:v>
      </x:c>
      <x:c r="P718" s="9" t="n">
        <x:f>M718*(1-0.40)-N718</x:f>
        <x:v>6.811111111111111</x:v>
      </x:c>
      <x:c r="Q718" s="9" t="n">
        <x:f>'Physical_Arcs'!T58</x:f>
        <x:v>17.02777777777778</x:v>
      </x:c>
      <x:c r="R718" s="9" t="n">
        <x:f>Q718*'Parameters'!$C$18</x:f>
        <x:v>3.405555555555556</x:v>
      </x:c>
      <x:c r="S718" s="9" t="n">
        <x:f>R718*'Parameters'!$C$19</x:f>
        <x:v>4.256944444444445</x:v>
      </x:c>
      <x:c r="T718" s="9" t="n">
        <x:f>Q718*(1-0.40)-R718</x:f>
        <x:v>6.811111111111111</x:v>
      </x:c>
    </x:row>
    <x:row r="719" ht="21" customHeight="1">
      <x:c r="A719" s="3" t="n">
        <x:v>11</x:v>
      </x:c>
      <x:c r="B719" s="3" t="str">
        <x:v>01:50</x:v>
      </x:c>
      <x:c r="C719" s="3" t="n">
        <x:v>2</x:v>
      </x:c>
      <x:c r="D719" s="3" t="n">
        <x:v>58</x:v>
      </x:c>
      <x:c r="E719" s="3" t="n">
        <x:v>10</x:v>
      </x:c>
      <x:c r="F719" s="3" t="n">
        <x:v>6</x:v>
      </x:c>
      <x:c r="G719" s="9" t="n">
        <x:v>0.14</x:v>
      </x:c>
      <x:c r="H719" s="9" t="n">
        <x:v>0.952676</x:v>
      </x:c>
      <x:c r="I719" s="9" t="n">
        <x:f>'Physical_Arcs'!R59</x:f>
        <x:v>6.305555555555555</x:v>
      </x:c>
      <x:c r="J719" s="9" t="n">
        <x:f>I719*'Parameters'!$C$18</x:f>
        <x:v>1.261111111111111</x:v>
      </x:c>
      <x:c r="K719" s="9" t="n">
        <x:f>J719*'Parameters'!$C$19</x:f>
        <x:v>1.5763888888888888</x:v>
      </x:c>
      <x:c r="L719" s="9" t="n">
        <x:f>I719*(1-0.40)-J719</x:f>
        <x:v>2.522222222222222</x:v>
      </x:c>
      <x:c r="M719" s="9" t="n">
        <x:f>'Physical_Arcs'!S59</x:f>
        <x:v>6.305555555555555</x:v>
      </x:c>
      <x:c r="N719" s="9" t="n">
        <x:f>M719*'Parameters'!$C$18</x:f>
        <x:v>1.261111111111111</x:v>
      </x:c>
      <x:c r="O719" s="9" t="n">
        <x:f>N719*'Parameters'!$C$19</x:f>
        <x:v>1.5763888888888888</x:v>
      </x:c>
      <x:c r="P719" s="9" t="n">
        <x:f>M719*(1-0.40)-N719</x:f>
        <x:v>2.522222222222222</x:v>
      </x:c>
      <x:c r="Q719" s="9" t="n">
        <x:f>'Physical_Arcs'!T59</x:f>
        <x:v>3.1666666666666665</x:v>
      </x:c>
      <x:c r="R719" s="9" t="n">
        <x:f>Q719*'Parameters'!$C$18</x:f>
        <x:v>0.6333333333333333</x:v>
      </x:c>
      <x:c r="S719" s="9" t="n">
        <x:f>R719*'Parameters'!$C$19</x:f>
        <x:v>0.7916666666666666</x:v>
      </x:c>
      <x:c r="T719" s="9" t="n">
        <x:f>Q719*(1-0.40)-R719</x:f>
        <x:v>1.2666666666666666</x:v>
      </x:c>
    </x:row>
    <x:row r="720" ht="21" customHeight="1">
      <x:c r="A720" s="3" t="n">
        <x:v>11</x:v>
      </x:c>
      <x:c r="B720" s="3" t="str">
        <x:v>01:50</x:v>
      </x:c>
      <x:c r="C720" s="3" t="n">
        <x:v>2</x:v>
      </x:c>
      <x:c r="D720" s="3" t="n">
        <x:v>59</x:v>
      </x:c>
      <x:c r="E720" s="3" t="n">
        <x:v>10</x:v>
      </x:c>
      <x:c r="F720" s="3" t="n">
        <x:v>4</x:v>
      </x:c>
      <x:c r="G720" s="9" t="n">
        <x:v>0.14</x:v>
      </x:c>
      <x:c r="H720" s="9" t="n">
        <x:v>1.114542</x:v>
      </x:c>
      <x:c r="I720" s="9" t="n">
        <x:f>'Physical_Arcs'!R60</x:f>
        <x:v>1.5833333333333333</x:v>
      </x:c>
      <x:c r="J720" s="9" t="n">
        <x:f>I720*'Parameters'!$C$18</x:f>
        <x:v>0.31666666666666665</x:v>
      </x:c>
      <x:c r="K720" s="9" t="n">
        <x:f>J720*'Parameters'!$C$19</x:f>
        <x:v>0.3958333333333333</x:v>
      </x:c>
      <x:c r="L720" s="9" t="n">
        <x:f>I720*(1-0.40)-J720</x:f>
        <x:v>0.6333333333333333</x:v>
      </x:c>
      <x:c r="M720" s="9" t="n">
        <x:f>'Physical_Arcs'!S60</x:f>
        <x:v>1.5833333333333333</x:v>
      </x:c>
      <x:c r="N720" s="9" t="n">
        <x:f>M720*'Parameters'!$C$18</x:f>
        <x:v>0.31666666666666665</x:v>
      </x:c>
      <x:c r="O720" s="9" t="n">
        <x:f>N720*'Parameters'!$C$19</x:f>
        <x:v>0.3958333333333333</x:v>
      </x:c>
      <x:c r="P720" s="9" t="n">
        <x:f>M720*(1-0.40)-N720</x:f>
        <x:v>0.6333333333333333</x:v>
      </x:c>
      <x:c r="Q720" s="9" t="n">
        <x:f>'Physical_Arcs'!T60</x:f>
        <x:v>0.8055555555555556</x:v>
      </x:c>
      <x:c r="R720" s="9" t="n">
        <x:f>Q720*'Parameters'!$C$18</x:f>
        <x:v>0.16111111111111112</x:v>
      </x:c>
      <x:c r="S720" s="9" t="n">
        <x:f>R720*'Parameters'!$C$19</x:f>
        <x:v>0.2013888888888889</x:v>
      </x:c>
      <x:c r="T720" s="9" t="n">
        <x:f>Q720*(1-0.40)-R720</x:f>
        <x:v>0.3222222222222222</x:v>
      </x:c>
    </x:row>
    <x:row r="721" ht="21" customHeight="1">
      <x:c r="A721" s="3" t="n">
        <x:v>11</x:v>
      </x:c>
      <x:c r="B721" s="3" t="str">
        <x:v>01:50</x:v>
      </x:c>
      <x:c r="C721" s="3" t="n">
        <x:v>2</x:v>
      </x:c>
      <x:c r="D721" s="3" t="n">
        <x:v>60</x:v>
      </x:c>
      <x:c r="E721" s="3" t="n">
        <x:v>10</x:v>
      </x:c>
      <x:c r="F721" s="3" t="n">
        <x:v>9</x:v>
      </x:c>
      <x:c r="G721" s="9" t="n">
        <x:v>0.14</x:v>
      </x:c>
      <x:c r="H721" s="9" t="n">
        <x:v>1.092245</x:v>
      </x:c>
      <x:c r="I721" s="9" t="n">
        <x:f>'Physical_Arcs'!R61</x:f>
        <x:v>10.333333333333334</x:v>
      </x:c>
      <x:c r="J721" s="9" t="n">
        <x:f>I721*'Parameters'!$C$18</x:f>
        <x:v>2.066666666666667</x:v>
      </x:c>
      <x:c r="K721" s="9" t="n">
        <x:f>J721*'Parameters'!$C$19</x:f>
        <x:v>2.5833333333333335</x:v>
      </x:c>
      <x:c r="L721" s="9" t="n">
        <x:f>I721*(1-0.40)-J721</x:f>
        <x:v>4.133333333333333</x:v>
      </x:c>
      <x:c r="M721" s="9" t="n">
        <x:f>'Physical_Arcs'!S61</x:f>
        <x:v>10.333333333333334</x:v>
      </x:c>
      <x:c r="N721" s="9" t="n">
        <x:f>M721*'Parameters'!$C$18</x:f>
        <x:v>2.066666666666667</x:v>
      </x:c>
      <x:c r="O721" s="9" t="n">
        <x:f>N721*'Parameters'!$C$19</x:f>
        <x:v>2.5833333333333335</x:v>
      </x:c>
      <x:c r="P721" s="9" t="n">
        <x:f>M721*(1-0.40)-N721</x:f>
        <x:v>4.133333333333333</x:v>
      </x:c>
      <x:c r="Q721" s="9" t="n">
        <x:f>'Physical_Arcs'!T61</x:f>
        <x:v>5.166666666666667</x:v>
      </x:c>
      <x:c r="R721" s="9" t="n">
        <x:f>Q721*'Parameters'!$C$18</x:f>
        <x:v>1.0333333333333334</x:v>
      </x:c>
      <x:c r="S721" s="9" t="n">
        <x:f>R721*'Parameters'!$C$19</x:f>
        <x:v>1.2916666666666667</x:v>
      </x:c>
      <x:c r="T721" s="9" t="n">
        <x:f>Q721*(1-0.40)-R721</x:f>
        <x:v>2.0666666666666664</x:v>
      </x:c>
    </x:row>
    <x:row r="722" ht="21" customHeight="1">
      <x:c r="A722" s="3" t="n">
        <x:v>12</x:v>
      </x:c>
      <x:c r="B722" s="3" t="str">
        <x:v>02:00</x:v>
      </x:c>
      <x:c r="C722" s="3" t="n">
        <x:v>3</x:v>
      </x:c>
      <x:c r="D722" s="3" t="n">
        <x:v>1</x:v>
      </x:c>
      <x:c r="E722" s="3" t="n">
        <x:v>1</x:v>
      </x:c>
      <x:c r="F722" s="3" t="n">
        <x:v>2</x:v>
      </x:c>
      <x:c r="G722" s="9" t="n">
        <x:v>0.1</x:v>
      </x:c>
      <x:c r="H722" s="9" t="n">
        <x:v>0.914787</x:v>
      </x:c>
      <x:c r="I722" s="9" t="n">
        <x:f>'Physical_Arcs'!R2</x:f>
        <x:v>17.02777777777778</x:v>
      </x:c>
      <x:c r="J722" s="9" t="n">
        <x:f>I722*'Parameters'!$C$18</x:f>
        <x:v>3.405555555555556</x:v>
      </x:c>
      <x:c r="K722" s="9" t="n">
        <x:f>J722*'Parameters'!$C$19</x:f>
        <x:v>4.256944444444445</x:v>
      </x:c>
      <x:c r="L722" s="9" t="n">
        <x:f>I722*(1-0.40)-J722</x:f>
        <x:v>6.811111111111111</x:v>
      </x:c>
      <x:c r="M722" s="9" t="n">
        <x:f>'Physical_Arcs'!S2</x:f>
        <x:v>17.02777777777778</x:v>
      </x:c>
      <x:c r="N722" s="9" t="n">
        <x:f>M722*'Parameters'!$C$18</x:f>
        <x:v>3.405555555555556</x:v>
      </x:c>
      <x:c r="O722" s="9" t="n">
        <x:f>N722*'Parameters'!$C$19</x:f>
        <x:v>4.256944444444445</x:v>
      </x:c>
      <x:c r="P722" s="9" t="n">
        <x:f>M722*(1-0.40)-N722</x:f>
        <x:v>6.811111111111111</x:v>
      </x:c>
      <x:c r="Q722" s="9" t="n">
        <x:f>'Physical_Arcs'!T2</x:f>
        <x:v>17.02777777777778</x:v>
      </x:c>
      <x:c r="R722" s="9" t="n">
        <x:f>Q722*'Parameters'!$C$18</x:f>
        <x:v>3.405555555555556</x:v>
      </x:c>
      <x:c r="S722" s="9" t="n">
        <x:f>R722*'Parameters'!$C$19</x:f>
        <x:v>4.256944444444445</x:v>
      </x:c>
      <x:c r="T722" s="9" t="n">
        <x:f>Q722*(1-0.40)-R722</x:f>
        <x:v>6.811111111111111</x:v>
      </x:c>
    </x:row>
    <x:row r="723" ht="21" customHeight="1">
      <x:c r="A723" s="3" t="n">
        <x:v>12</x:v>
      </x:c>
      <x:c r="B723" s="3" t="str">
        <x:v>02:00</x:v>
      </x:c>
      <x:c r="C723" s="3" t="n">
        <x:v>3</x:v>
      </x:c>
      <x:c r="D723" s="3" t="n">
        <x:v>2</x:v>
      </x:c>
      <x:c r="E723" s="3" t="n">
        <x:v>1</x:v>
      </x:c>
      <x:c r="F723" s="3" t="n">
        <x:v>10</x:v>
      </x:c>
      <x:c r="G723" s="9" t="n">
        <x:v>0.1</x:v>
      </x:c>
      <x:c r="H723" s="9" t="n">
        <x:v>1.003995</x:v>
      </x:c>
      <x:c r="I723" s="9" t="n">
        <x:f>'Physical_Arcs'!R3</x:f>
        <x:v>3.2777777777777777</x:v>
      </x:c>
      <x:c r="J723" s="9" t="n">
        <x:f>I723*'Parameters'!$C$18</x:f>
        <x:v>0.6555555555555556</x:v>
      </x:c>
      <x:c r="K723" s="9" t="n">
        <x:f>J723*'Parameters'!$C$19</x:f>
        <x:v>0.8194444444444444</x:v>
      </x:c>
      <x:c r="L723" s="9" t="n">
        <x:f>I723*(1-0.40)-J723</x:f>
        <x:v>1.311111111111111</x:v>
      </x:c>
      <x:c r="M723" s="9" t="n">
        <x:f>'Physical_Arcs'!S3</x:f>
        <x:v>3.2777777777777777</x:v>
      </x:c>
      <x:c r="N723" s="9" t="n">
        <x:f>M723*'Parameters'!$C$18</x:f>
        <x:v>0.6555555555555556</x:v>
      </x:c>
      <x:c r="O723" s="9" t="n">
        <x:f>N723*'Parameters'!$C$19</x:f>
        <x:v>0.8194444444444444</x:v>
      </x:c>
      <x:c r="P723" s="9" t="n">
        <x:f>M723*(1-0.40)-N723</x:f>
        <x:v>1.311111111111111</x:v>
      </x:c>
      <x:c r="Q723" s="9" t="n">
        <x:f>'Physical_Arcs'!T3</x:f>
        <x:v>1.6388888888888888</x:v>
      </x:c>
      <x:c r="R723" s="9" t="n">
        <x:f>Q723*'Parameters'!$C$18</x:f>
        <x:v>0.3277777777777778</x:v>
      </x:c>
      <x:c r="S723" s="9" t="n">
        <x:f>R723*'Parameters'!$C$19</x:f>
        <x:v>0.4097222222222222</x:v>
      </x:c>
      <x:c r="T723" s="9" t="n">
        <x:f>Q723*(1-0.40)-R723</x:f>
        <x:v>0.6555555555555554</x:v>
      </x:c>
    </x:row>
    <x:row r="724" ht="21" customHeight="1">
      <x:c r="A724" s="3" t="n">
        <x:v>12</x:v>
      </x:c>
      <x:c r="B724" s="3" t="str">
        <x:v>02:00</x:v>
      </x:c>
      <x:c r="C724" s="3" t="n">
        <x:v>3</x:v>
      </x:c>
      <x:c r="D724" s="3" t="n">
        <x:v>3</x:v>
      </x:c>
      <x:c r="E724" s="3" t="n">
        <x:v>1</x:v>
      </x:c>
      <x:c r="F724" s="3" t="n">
        <x:v>8</x:v>
      </x:c>
      <x:c r="G724" s="9" t="n">
        <x:v>0.1</x:v>
      </x:c>
      <x:c r="H724" s="9" t="n">
        <x:v>0.923863</x:v>
      </x:c>
      <x:c r="I724" s="9" t="n">
        <x:f>'Physical_Arcs'!R4</x:f>
        <x:v>6.083333333333333</x:v>
      </x:c>
      <x:c r="J724" s="9" t="n">
        <x:f>I724*'Parameters'!$C$18</x:f>
        <x:v>1.2166666666666668</x:v>
      </x:c>
      <x:c r="K724" s="9" t="n">
        <x:f>J724*'Parameters'!$C$19</x:f>
        <x:v>1.5208333333333335</x:v>
      </x:c>
      <x:c r="L724" s="9" t="n">
        <x:f>I724*(1-0.40)-J724</x:f>
        <x:v>2.4333333333333327</x:v>
      </x:c>
      <x:c r="M724" s="9" t="n">
        <x:f>'Physical_Arcs'!S4</x:f>
        <x:v>6.083333333333333</x:v>
      </x:c>
      <x:c r="N724" s="9" t="n">
        <x:f>M724*'Parameters'!$C$18</x:f>
        <x:v>1.2166666666666668</x:v>
      </x:c>
      <x:c r="O724" s="9" t="n">
        <x:f>N724*'Parameters'!$C$19</x:f>
        <x:v>1.5208333333333335</x:v>
      </x:c>
      <x:c r="P724" s="9" t="n">
        <x:f>M724*(1-0.40)-N724</x:f>
        <x:v>2.4333333333333327</x:v>
      </x:c>
      <x:c r="Q724" s="9" t="n">
        <x:f>'Physical_Arcs'!T4</x:f>
        <x:v>3.0555555555555554</x:v>
      </x:c>
      <x:c r="R724" s="9" t="n">
        <x:f>Q724*'Parameters'!$C$18</x:f>
        <x:v>0.6111111111111112</x:v>
      </x:c>
      <x:c r="S724" s="9" t="n">
        <x:f>R724*'Parameters'!$C$19</x:f>
        <x:v>0.763888888888889</x:v>
      </x:c>
      <x:c r="T724" s="9" t="n">
        <x:f>Q724*(1-0.40)-R724</x:f>
        <x:v>1.2222222222222219</x:v>
      </x:c>
    </x:row>
    <x:row r="725" ht="21" customHeight="1">
      <x:c r="A725" s="3" t="n">
        <x:v>12</x:v>
      </x:c>
      <x:c r="B725" s="3" t="str">
        <x:v>02:00</x:v>
      </x:c>
      <x:c r="C725" s="3" t="n">
        <x:v>3</x:v>
      </x:c>
      <x:c r="D725" s="3" t="n">
        <x:v>4</x:v>
      </x:c>
      <x:c r="E725" s="3" t="n">
        <x:v>1</x:v>
      </x:c>
      <x:c r="F725" s="3" t="n">
        <x:v>7</x:v>
      </x:c>
      <x:c r="G725" s="9" t="n">
        <x:v>0.1</x:v>
      </x:c>
      <x:c r="H725" s="9" t="n">
        <x:v>1.111072</x:v>
      </x:c>
      <x:c r="I725" s="9" t="n">
        <x:f>'Physical_Arcs'!R5</x:f>
        <x:v>9</x:v>
      </x:c>
      <x:c r="J725" s="9" t="n">
        <x:f>I725*'Parameters'!$C$18</x:f>
        <x:v>1.8</x:v>
      </x:c>
      <x:c r="K725" s="9" t="n">
        <x:f>J725*'Parameters'!$C$19</x:f>
        <x:v>2.25</x:v>
      </x:c>
      <x:c r="L725" s="9" t="n">
        <x:f>I725*(1-0.40)-J725</x:f>
        <x:v>3.5999999999999996</x:v>
      </x:c>
      <x:c r="M725" s="9" t="n">
        <x:f>'Physical_Arcs'!S5</x:f>
        <x:v>9</x:v>
      </x:c>
      <x:c r="N725" s="9" t="n">
        <x:f>M725*'Parameters'!$C$18</x:f>
        <x:v>1.8</x:v>
      </x:c>
      <x:c r="O725" s="9" t="n">
        <x:f>N725*'Parameters'!$C$19</x:f>
        <x:v>2.25</x:v>
      </x:c>
      <x:c r="P725" s="9" t="n">
        <x:f>M725*(1-0.40)-N725</x:f>
        <x:v>3.5999999999999996</x:v>
      </x:c>
      <x:c r="Q725" s="9" t="n">
        <x:f>'Physical_Arcs'!T5</x:f>
        <x:v>4.5</x:v>
      </x:c>
      <x:c r="R725" s="9" t="n">
        <x:f>Q725*'Parameters'!$C$18</x:f>
        <x:v>0.9</x:v>
      </x:c>
      <x:c r="S725" s="9" t="n">
        <x:f>R725*'Parameters'!$C$19</x:f>
        <x:v>1.125</x:v>
      </x:c>
      <x:c r="T725" s="9" t="n">
        <x:f>Q725*(1-0.40)-R725</x:f>
        <x:v>1.7999999999999998</x:v>
      </x:c>
    </x:row>
    <x:row r="726" ht="21" customHeight="1">
      <x:c r="A726" s="3" t="n">
        <x:v>12</x:v>
      </x:c>
      <x:c r="B726" s="3" t="str">
        <x:v>02:00</x:v>
      </x:c>
      <x:c r="C726" s="3" t="n">
        <x:v>3</x:v>
      </x:c>
      <x:c r="D726" s="3" t="n">
        <x:v>5</x:v>
      </x:c>
      <x:c r="E726" s="3" t="n">
        <x:v>1</x:v>
      </x:c>
      <x:c r="F726" s="3" t="n">
        <x:v>4</x:v>
      </x:c>
      <x:c r="G726" s="9" t="n">
        <x:v>0.1</x:v>
      </x:c>
      <x:c r="H726" s="9" t="n">
        <x:v>1.001665</x:v>
      </x:c>
      <x:c r="I726" s="9" t="n">
        <x:f>'Physical_Arcs'!R6</x:f>
        <x:v>4.166666666666667</x:v>
      </x:c>
      <x:c r="J726" s="9" t="n">
        <x:f>I726*'Parameters'!$C$18</x:f>
        <x:v>0.8333333333333335</x:v>
      </x:c>
      <x:c r="K726" s="9" t="n">
        <x:f>J726*'Parameters'!$C$19</x:f>
        <x:v>1.041666666666667</x:v>
      </x:c>
      <x:c r="L726" s="9" t="n">
        <x:f>I726*(1-0.40)-J726</x:f>
        <x:v>1.6666666666666665</x:v>
      </x:c>
      <x:c r="M726" s="9" t="n">
        <x:f>'Physical_Arcs'!S6</x:f>
        <x:v>4.166666666666667</x:v>
      </x:c>
      <x:c r="N726" s="9" t="n">
        <x:f>M726*'Parameters'!$C$18</x:f>
        <x:v>0.8333333333333335</x:v>
      </x:c>
      <x:c r="O726" s="9" t="n">
        <x:f>N726*'Parameters'!$C$19</x:f>
        <x:v>1.041666666666667</x:v>
      </x:c>
      <x:c r="P726" s="9" t="n">
        <x:f>M726*(1-0.40)-N726</x:f>
        <x:v>1.6666666666666665</x:v>
      </x:c>
      <x:c r="Q726" s="9" t="n">
        <x:f>'Physical_Arcs'!T6</x:f>
        <x:v>2.0833333333333335</x:v>
      </x:c>
      <x:c r="R726" s="9" t="n">
        <x:f>Q726*'Parameters'!$C$18</x:f>
        <x:v>0.41666666666666674</x:v>
      </x:c>
      <x:c r="S726" s="9" t="n">
        <x:f>R726*'Parameters'!$C$19</x:f>
        <x:v>0.5208333333333335</x:v>
      </x:c>
      <x:c r="T726" s="9" t="n">
        <x:f>Q726*(1-0.40)-R726</x:f>
        <x:v>0.8333333333333333</x:v>
      </x:c>
    </x:row>
    <x:row r="727" ht="21" customHeight="1">
      <x:c r="A727" s="3" t="n">
        <x:v>12</x:v>
      </x:c>
      <x:c r="B727" s="3" t="str">
        <x:v>02:00</x:v>
      </x:c>
      <x:c r="C727" s="3" t="n">
        <x:v>3</x:v>
      </x:c>
      <x:c r="D727" s="3" t="n">
        <x:v>6</x:v>
      </x:c>
      <x:c r="E727" s="3" t="n">
        <x:v>1</x:v>
      </x:c>
      <x:c r="F727" s="3" t="n">
        <x:v>9</x:v>
      </x:c>
      <x:c r="G727" s="9" t="n">
        <x:v>0.1</x:v>
      </x:c>
      <x:c r="H727" s="9" t="n">
        <x:v>0.942884</x:v>
      </x:c>
      <x:c r="I727" s="9" t="n">
        <x:f>'Physical_Arcs'!R7</x:f>
        <x:v>11.027777777777779</x:v>
      </x:c>
      <x:c r="J727" s="9" t="n">
        <x:f>I727*'Parameters'!$C$18</x:f>
        <x:v>2.2055555555555557</x:v>
      </x:c>
      <x:c r="K727" s="9" t="n">
        <x:f>J727*'Parameters'!$C$19</x:f>
        <x:v>2.7569444444444446</x:v>
      </x:c>
      <x:c r="L727" s="9" t="n">
        <x:f>I727*(1-0.40)-J727</x:f>
        <x:v>4.411111111111111</x:v>
      </x:c>
      <x:c r="M727" s="9" t="n">
        <x:f>'Physical_Arcs'!S7</x:f>
        <x:v>11.027777777777779</x:v>
      </x:c>
      <x:c r="N727" s="9" t="n">
        <x:f>M727*'Parameters'!$C$18</x:f>
        <x:v>2.2055555555555557</x:v>
      </x:c>
      <x:c r="O727" s="9" t="n">
        <x:f>N727*'Parameters'!$C$19</x:f>
        <x:v>2.7569444444444446</x:v>
      </x:c>
      <x:c r="P727" s="9" t="n">
        <x:f>M727*(1-0.40)-N727</x:f>
        <x:v>4.411111111111111</x:v>
      </x:c>
      <x:c r="Q727" s="9" t="n">
        <x:f>'Physical_Arcs'!T7</x:f>
        <x:v>5.527777777777778</x:v>
      </x:c>
      <x:c r="R727" s="9" t="n">
        <x:f>Q727*'Parameters'!$C$18</x:f>
        <x:v>1.1055555555555556</x:v>
      </x:c>
      <x:c r="S727" s="9" t="n">
        <x:f>R727*'Parameters'!$C$19</x:f>
        <x:v>1.3819444444444446</x:v>
      </x:c>
      <x:c r="T727" s="9" t="n">
        <x:f>Q727*(1-0.40)-R727</x:f>
        <x:v>2.211111111111111</x:v>
      </x:c>
    </x:row>
    <x:row r="728" ht="21" customHeight="1">
      <x:c r="A728" s="3" t="n">
        <x:v>12</x:v>
      </x:c>
      <x:c r="B728" s="3" t="str">
        <x:v>02:00</x:v>
      </x:c>
      <x:c r="C728" s="3" t="n">
        <x:v>3</x:v>
      </x:c>
      <x:c r="D728" s="3" t="n">
        <x:v>7</x:v>
      </x:c>
      <x:c r="E728" s="3" t="n">
        <x:v>1</x:v>
      </x:c>
      <x:c r="F728" s="3" t="n">
        <x:v>5</x:v>
      </x:c>
      <x:c r="G728" s="9" t="n">
        <x:v>0.1</x:v>
      </x:c>
      <x:c r="H728" s="9" t="n">
        <x:v>1.038222</x:v>
      </x:c>
      <x:c r="I728" s="9" t="n">
        <x:f>'Physical_Arcs'!R8</x:f>
        <x:v>7.972222222222222</x:v>
      </x:c>
      <x:c r="J728" s="9" t="n">
        <x:f>I728*'Parameters'!$C$18</x:f>
        <x:v>1.5944444444444446</x:v>
      </x:c>
      <x:c r="K728" s="9" t="n">
        <x:f>J728*'Parameters'!$C$19</x:f>
        <x:v>1.9930555555555558</x:v>
      </x:c>
      <x:c r="L728" s="9" t="n">
        <x:f>I728*(1-0.40)-J728</x:f>
        <x:v>3.1888888888888887</x:v>
      </x:c>
      <x:c r="M728" s="9" t="n">
        <x:f>'Physical_Arcs'!S8</x:f>
        <x:v>7.972222222222222</x:v>
      </x:c>
      <x:c r="N728" s="9" t="n">
        <x:f>M728*'Parameters'!$C$18</x:f>
        <x:v>1.5944444444444446</x:v>
      </x:c>
      <x:c r="O728" s="9" t="n">
        <x:f>N728*'Parameters'!$C$19</x:f>
        <x:v>1.9930555555555558</x:v>
      </x:c>
      <x:c r="P728" s="9" t="n">
        <x:f>M728*(1-0.40)-N728</x:f>
        <x:v>3.1888888888888887</x:v>
      </x:c>
      <x:c r="Q728" s="9" t="n">
        <x:f>'Physical_Arcs'!T8</x:f>
        <x:v>4</x:v>
      </x:c>
      <x:c r="R728" s="9" t="n">
        <x:f>Q728*'Parameters'!$C$18</x:f>
        <x:v>0.8</x:v>
      </x:c>
      <x:c r="S728" s="9" t="n">
        <x:f>R728*'Parameters'!$C$19</x:f>
        <x:v>1</x:v>
      </x:c>
      <x:c r="T728" s="9" t="n">
        <x:f>Q728*(1-0.40)-R728</x:f>
        <x:v>1.5999999999999999</x:v>
      </x:c>
    </x:row>
    <x:row r="729" ht="21" customHeight="1">
      <x:c r="A729" s="3" t="n">
        <x:v>12</x:v>
      </x:c>
      <x:c r="B729" s="3" t="str">
        <x:v>02:00</x:v>
      </x:c>
      <x:c r="C729" s="3" t="n">
        <x:v>3</x:v>
      </x:c>
      <x:c r="D729" s="3" t="n">
        <x:v>8</x:v>
      </x:c>
      <x:c r="E729" s="3" t="n">
        <x:v>1</x:v>
      </x:c>
      <x:c r="F729" s="3" t="n">
        <x:v>3</x:v>
      </x:c>
      <x:c r="G729" s="9" t="n">
        <x:v>0.1</x:v>
      </x:c>
      <x:c r="H729" s="9" t="n">
        <x:v>1.122297</x:v>
      </x:c>
      <x:c r="I729" s="9" t="n">
        <x:f>'Physical_Arcs'!R9</x:f>
        <x:v>4.166666666666667</x:v>
      </x:c>
      <x:c r="J729" s="9" t="n">
        <x:f>I729*'Parameters'!$C$18</x:f>
        <x:v>0.8333333333333335</x:v>
      </x:c>
      <x:c r="K729" s="9" t="n">
        <x:f>J729*'Parameters'!$C$19</x:f>
        <x:v>1.041666666666667</x:v>
      </x:c>
      <x:c r="L729" s="9" t="n">
        <x:f>I729*(1-0.40)-J729</x:f>
        <x:v>1.6666666666666665</x:v>
      </x:c>
      <x:c r="M729" s="9" t="n">
        <x:f>'Physical_Arcs'!S9</x:f>
        <x:v>4.166666666666667</x:v>
      </x:c>
      <x:c r="N729" s="9" t="n">
        <x:f>M729*'Parameters'!$C$18</x:f>
        <x:v>0.8333333333333335</x:v>
      </x:c>
      <x:c r="O729" s="9" t="n">
        <x:f>N729*'Parameters'!$C$19</x:f>
        <x:v>1.041666666666667</x:v>
      </x:c>
      <x:c r="P729" s="9" t="n">
        <x:f>M729*(1-0.40)-N729</x:f>
        <x:v>1.6666666666666665</x:v>
      </x:c>
      <x:c r="Q729" s="9" t="n">
        <x:f>'Physical_Arcs'!T9</x:f>
        <x:v>2.0833333333333335</x:v>
      </x:c>
      <x:c r="R729" s="9" t="n">
        <x:f>Q729*'Parameters'!$C$18</x:f>
        <x:v>0.41666666666666674</x:v>
      </x:c>
      <x:c r="S729" s="9" t="n">
        <x:f>R729*'Parameters'!$C$19</x:f>
        <x:v>0.5208333333333335</x:v>
      </x:c>
      <x:c r="T729" s="9" t="n">
        <x:f>Q729*(1-0.40)-R729</x:f>
        <x:v>0.8333333333333333</x:v>
      </x:c>
    </x:row>
    <x:row r="730" ht="21" customHeight="1">
      <x:c r="A730" s="3" t="n">
        <x:v>12</x:v>
      </x:c>
      <x:c r="B730" s="3" t="str">
        <x:v>02:00</x:v>
      </x:c>
      <x:c r="C730" s="3" t="n">
        <x:v>3</x:v>
      </x:c>
      <x:c r="D730" s="3" t="n">
        <x:v>9</x:v>
      </x:c>
      <x:c r="E730" s="3" t="n">
        <x:v>1</x:v>
      </x:c>
      <x:c r="F730" s="3" t="n">
        <x:v>6</x:v>
      </x:c>
      <x:c r="G730" s="9" t="n">
        <x:v>0.1</x:v>
      </x:c>
      <x:c r="H730" s="9" t="n">
        <x:v>1.132682</x:v>
      </x:c>
      <x:c r="I730" s="9" t="n">
        <x:f>'Physical_Arcs'!R10</x:f>
        <x:v>2.138888888888889</x:v>
      </x:c>
      <x:c r="J730" s="9" t="n">
        <x:f>I730*'Parameters'!$C$18</x:f>
        <x:v>0.4277777777777778</x:v>
      </x:c>
      <x:c r="K730" s="9" t="n">
        <x:f>J730*'Parameters'!$C$19</x:f>
        <x:v>0.5347222222222223</x:v>
      </x:c>
      <x:c r="L730" s="9" t="n">
        <x:f>I730*(1-0.40)-J730</x:f>
        <x:v>0.8555555555555554</x:v>
      </x:c>
      <x:c r="M730" s="9" t="n">
        <x:f>'Physical_Arcs'!S10</x:f>
        <x:v>2.138888888888889</x:v>
      </x:c>
      <x:c r="N730" s="9" t="n">
        <x:f>M730*'Parameters'!$C$18</x:f>
        <x:v>0.4277777777777778</x:v>
      </x:c>
      <x:c r="O730" s="9" t="n">
        <x:f>N730*'Parameters'!$C$19</x:f>
        <x:v>0.5347222222222223</x:v>
      </x:c>
      <x:c r="P730" s="9" t="n">
        <x:f>M730*(1-0.40)-N730</x:f>
        <x:v>0.8555555555555554</x:v>
      </x:c>
      <x:c r="Q730" s="9" t="n">
        <x:f>'Physical_Arcs'!T10</x:f>
        <x:v>1.0833333333333333</x:v>
      </x:c>
      <x:c r="R730" s="9" t="n">
        <x:f>Q730*'Parameters'!$C$18</x:f>
        <x:v>0.21666666666666667</x:v>
      </x:c>
      <x:c r="S730" s="9" t="n">
        <x:f>R730*'Parameters'!$C$19</x:f>
        <x:v>0.27083333333333337</x:v>
      </x:c>
      <x:c r="T730" s="9" t="n">
        <x:f>Q730*(1-0.40)-R730</x:f>
        <x:v>0.43333333333333324</x:v>
      </x:c>
    </x:row>
    <x:row r="731" ht="21" customHeight="1">
      <x:c r="A731" s="3" t="n">
        <x:v>12</x:v>
      </x:c>
      <x:c r="B731" s="3" t="str">
        <x:v>02:00</x:v>
      </x:c>
      <x:c r="C731" s="3" t="n">
        <x:v>3</x:v>
      </x:c>
      <x:c r="D731" s="3" t="n">
        <x:v>10</x:v>
      </x:c>
      <x:c r="E731" s="3" t="n">
        <x:v>2</x:v>
      </x:c>
      <x:c r="F731" s="3" t="n">
        <x:v>3</x:v>
      </x:c>
      <x:c r="G731" s="9" t="n">
        <x:v>0.1</x:v>
      </x:c>
      <x:c r="H731" s="9" t="n">
        <x:v>0.871154</x:v>
      </x:c>
      <x:c r="I731" s="9" t="n">
        <x:f>'Physical_Arcs'!R11</x:f>
        <x:v>17.02777777777778</x:v>
      </x:c>
      <x:c r="J731" s="9" t="n">
        <x:f>I731*'Parameters'!$C$18</x:f>
        <x:v>3.405555555555556</x:v>
      </x:c>
      <x:c r="K731" s="9" t="n">
        <x:f>J731*'Parameters'!$C$19</x:f>
        <x:v>4.256944444444445</x:v>
      </x:c>
      <x:c r="L731" s="9" t="n">
        <x:f>I731*(1-0.40)-J731</x:f>
        <x:v>6.811111111111111</x:v>
      </x:c>
      <x:c r="M731" s="9" t="n">
        <x:f>'Physical_Arcs'!S11</x:f>
        <x:v>17.02777777777778</x:v>
      </x:c>
      <x:c r="N731" s="9" t="n">
        <x:f>M731*'Parameters'!$C$18</x:f>
        <x:v>3.405555555555556</x:v>
      </x:c>
      <x:c r="O731" s="9" t="n">
        <x:f>N731*'Parameters'!$C$19</x:f>
        <x:v>4.256944444444445</x:v>
      </x:c>
      <x:c r="P731" s="9" t="n">
        <x:f>M731*(1-0.40)-N731</x:f>
        <x:v>6.811111111111111</x:v>
      </x:c>
      <x:c r="Q731" s="9" t="n">
        <x:f>'Physical_Arcs'!T11</x:f>
        <x:v>17.02777777777778</x:v>
      </x:c>
      <x:c r="R731" s="9" t="n">
        <x:f>Q731*'Parameters'!$C$18</x:f>
        <x:v>3.405555555555556</x:v>
      </x:c>
      <x:c r="S731" s="9" t="n">
        <x:f>R731*'Parameters'!$C$19</x:f>
        <x:v>4.256944444444445</x:v>
      </x:c>
      <x:c r="T731" s="9" t="n">
        <x:f>Q731*(1-0.40)-R731</x:f>
        <x:v>6.811111111111111</x:v>
      </x:c>
    </x:row>
    <x:row r="732" ht="21" customHeight="1">
      <x:c r="A732" s="3" t="n">
        <x:v>12</x:v>
      </x:c>
      <x:c r="B732" s="3" t="str">
        <x:v>02:00</x:v>
      </x:c>
      <x:c r="C732" s="3" t="n">
        <x:v>3</x:v>
      </x:c>
      <x:c r="D732" s="3" t="n">
        <x:v>11</x:v>
      </x:c>
      <x:c r="E732" s="3" t="n">
        <x:v>2</x:v>
      </x:c>
      <x:c r="F732" s="3" t="n">
        <x:v>4</x:v>
      </x:c>
      <x:c r="G732" s="9" t="n">
        <x:v>0.1</x:v>
      </x:c>
      <x:c r="H732" s="9" t="n">
        <x:v>1.147412</x:v>
      </x:c>
      <x:c r="I732" s="9" t="n">
        <x:f>'Physical_Arcs'!R12</x:f>
        <x:v>7.972222222222222</x:v>
      </x:c>
      <x:c r="J732" s="9" t="n">
        <x:f>I732*'Parameters'!$C$18</x:f>
        <x:v>1.5944444444444446</x:v>
      </x:c>
      <x:c r="K732" s="9" t="n">
        <x:f>J732*'Parameters'!$C$19</x:f>
        <x:v>1.9930555555555558</x:v>
      </x:c>
      <x:c r="L732" s="9" t="n">
        <x:f>I732*(1-0.40)-J732</x:f>
        <x:v>3.1888888888888887</x:v>
      </x:c>
      <x:c r="M732" s="9" t="n">
        <x:f>'Physical_Arcs'!S12</x:f>
        <x:v>7.972222222222222</x:v>
      </x:c>
      <x:c r="N732" s="9" t="n">
        <x:f>M732*'Parameters'!$C$18</x:f>
        <x:v>1.5944444444444446</x:v>
      </x:c>
      <x:c r="O732" s="9" t="n">
        <x:f>N732*'Parameters'!$C$19</x:f>
        <x:v>1.9930555555555558</x:v>
      </x:c>
      <x:c r="P732" s="9" t="n">
        <x:f>M732*(1-0.40)-N732</x:f>
        <x:v>3.1888888888888887</x:v>
      </x:c>
      <x:c r="Q732" s="9" t="n">
        <x:f>'Physical_Arcs'!T12</x:f>
        <x:v>4</x:v>
      </x:c>
      <x:c r="R732" s="9" t="n">
        <x:f>Q732*'Parameters'!$C$18</x:f>
        <x:v>0.8</x:v>
      </x:c>
      <x:c r="S732" s="9" t="n">
        <x:f>R732*'Parameters'!$C$19</x:f>
        <x:v>1</x:v>
      </x:c>
      <x:c r="T732" s="9" t="n">
        <x:f>Q732*(1-0.40)-R732</x:f>
        <x:v>1.5999999999999999</x:v>
      </x:c>
    </x:row>
    <x:row r="733" ht="21" customHeight="1">
      <x:c r="A733" s="3" t="n">
        <x:v>12</x:v>
      </x:c>
      <x:c r="B733" s="3" t="str">
        <x:v>02:00</x:v>
      </x:c>
      <x:c r="C733" s="3" t="n">
        <x:v>3</x:v>
      </x:c>
      <x:c r="D733" s="3" t="n">
        <x:v>12</x:v>
      </x:c>
      <x:c r="E733" s="3" t="n">
        <x:v>2</x:v>
      </x:c>
      <x:c r="F733" s="3" t="n">
        <x:v>7</x:v>
      </x:c>
      <x:c r="G733" s="9" t="n">
        <x:v>0.1</x:v>
      </x:c>
      <x:c r="H733" s="9" t="n">
        <x:v>0.96729</x:v>
      </x:c>
      <x:c r="I733" s="9" t="n">
        <x:f>'Physical_Arcs'!R13</x:f>
        <x:v>4.611111111111111</x:v>
      </x:c>
      <x:c r="J733" s="9" t="n">
        <x:f>I733*'Parameters'!$C$18</x:f>
        <x:v>0.9222222222222222</x:v>
      </x:c>
      <x:c r="K733" s="9" t="n">
        <x:f>J733*'Parameters'!$C$19</x:f>
        <x:v>1.1527777777777777</x:v>
      </x:c>
      <x:c r="L733" s="9" t="n">
        <x:f>I733*(1-0.40)-J733</x:f>
        <x:v>1.844444444444444</x:v>
      </x:c>
      <x:c r="M733" s="9" t="n">
        <x:f>'Physical_Arcs'!S13</x:f>
        <x:v>4.611111111111111</x:v>
      </x:c>
      <x:c r="N733" s="9" t="n">
        <x:f>M733*'Parameters'!$C$18</x:f>
        <x:v>0.9222222222222222</x:v>
      </x:c>
      <x:c r="O733" s="9" t="n">
        <x:f>N733*'Parameters'!$C$19</x:f>
        <x:v>1.1527777777777777</x:v>
      </x:c>
      <x:c r="P733" s="9" t="n">
        <x:f>M733*(1-0.40)-N733</x:f>
        <x:v>1.844444444444444</x:v>
      </x:c>
      <x:c r="Q733" s="9" t="n">
        <x:f>'Physical_Arcs'!T13</x:f>
        <x:v>2.3055555555555554</x:v>
      </x:c>
      <x:c r="R733" s="9" t="n">
        <x:f>Q733*'Parameters'!$C$18</x:f>
        <x:v>0.4611111111111111</x:v>
      </x:c>
      <x:c r="S733" s="9" t="n">
        <x:f>R733*'Parameters'!$C$19</x:f>
        <x:v>0.5763888888888888</x:v>
      </x:c>
      <x:c r="T733" s="9" t="n">
        <x:f>Q733*(1-0.40)-R733</x:f>
        <x:v>0.922222222222222</x:v>
      </x:c>
    </x:row>
    <x:row r="734" ht="21" customHeight="1">
      <x:c r="A734" s="3" t="n">
        <x:v>12</x:v>
      </x:c>
      <x:c r="B734" s="3" t="str">
        <x:v>02:00</x:v>
      </x:c>
      <x:c r="C734" s="3" t="n">
        <x:v>3</x:v>
      </x:c>
      <x:c r="D734" s="3" t="n">
        <x:v>13</x:v>
      </x:c>
      <x:c r="E734" s="3" t="n">
        <x:v>2</x:v>
      </x:c>
      <x:c r="F734" s="3" t="n">
        <x:v>9</x:v>
      </x:c>
      <x:c r="G734" s="9" t="n">
        <x:v>0.1</x:v>
      </x:c>
      <x:c r="H734" s="9" t="n">
        <x:v>1.117625</x:v>
      </x:c>
      <x:c r="I734" s="9" t="n">
        <x:f>'Physical_Arcs'!R14</x:f>
        <x:v>8.666666666666666</x:v>
      </x:c>
      <x:c r="J734" s="9" t="n">
        <x:f>I734*'Parameters'!$C$18</x:f>
        <x:v>1.7333333333333334</x:v>
      </x:c>
      <x:c r="K734" s="9" t="n">
        <x:f>J734*'Parameters'!$C$19</x:f>
        <x:v>2.166666666666667</x:v>
      </x:c>
      <x:c r="L734" s="9" t="n">
        <x:f>I734*(1-0.40)-J734</x:f>
        <x:v>3.466666666666666</x:v>
      </x:c>
      <x:c r="M734" s="9" t="n">
        <x:f>'Physical_Arcs'!S14</x:f>
        <x:v>8.666666666666666</x:v>
      </x:c>
      <x:c r="N734" s="9" t="n">
        <x:f>M734*'Parameters'!$C$18</x:f>
        <x:v>1.7333333333333334</x:v>
      </x:c>
      <x:c r="O734" s="9" t="n">
        <x:f>N734*'Parameters'!$C$19</x:f>
        <x:v>2.166666666666667</x:v>
      </x:c>
      <x:c r="P734" s="9" t="n">
        <x:f>M734*(1-0.40)-N734</x:f>
        <x:v>3.466666666666666</x:v>
      </x:c>
      <x:c r="Q734" s="9" t="n">
        <x:f>'Physical_Arcs'!T14</x:f>
        <x:v>4.333333333333333</x:v>
      </x:c>
      <x:c r="R734" s="9" t="n">
        <x:f>Q734*'Parameters'!$C$18</x:f>
        <x:v>0.8666666666666667</x:v>
      </x:c>
      <x:c r="S734" s="9" t="n">
        <x:f>R734*'Parameters'!$C$19</x:f>
        <x:v>1.0833333333333335</x:v>
      </x:c>
      <x:c r="T734" s="9" t="n">
        <x:f>Q734*(1-0.40)-R734</x:f>
        <x:v>1.733333333333333</x:v>
      </x:c>
    </x:row>
    <x:row r="735" ht="21" customHeight="1">
      <x:c r="A735" s="3" t="n">
        <x:v>12</x:v>
      </x:c>
      <x:c r="B735" s="3" t="str">
        <x:v>02:00</x:v>
      </x:c>
      <x:c r="C735" s="3" t="n">
        <x:v>3</x:v>
      </x:c>
      <x:c r="D735" s="3" t="n">
        <x:v>14</x:v>
      </x:c>
      <x:c r="E735" s="3" t="n">
        <x:v>2</x:v>
      </x:c>
      <x:c r="F735" s="3" t="n">
        <x:v>8</x:v>
      </x:c>
      <x:c r="G735" s="9" t="n">
        <x:v>0.1</x:v>
      </x:c>
      <x:c r="H735" s="9" t="n">
        <x:v>1.144902</x:v>
      </x:c>
      <x:c r="I735" s="9" t="n">
        <x:f>'Physical_Arcs'!R15</x:f>
        <x:v>7.75</x:v>
      </x:c>
      <x:c r="J735" s="9" t="n">
        <x:f>I735*'Parameters'!$C$18</x:f>
        <x:v>1.55</x:v>
      </x:c>
      <x:c r="K735" s="9" t="n">
        <x:f>J735*'Parameters'!$C$19</x:f>
        <x:v>1.9375</x:v>
      </x:c>
      <x:c r="L735" s="9" t="n">
        <x:f>I735*(1-0.40)-J735</x:f>
        <x:v>3.0999999999999996</x:v>
      </x:c>
      <x:c r="M735" s="9" t="n">
        <x:f>'Physical_Arcs'!S15</x:f>
        <x:v>7.75</x:v>
      </x:c>
      <x:c r="N735" s="9" t="n">
        <x:f>M735*'Parameters'!$C$18</x:f>
        <x:v>1.55</x:v>
      </x:c>
      <x:c r="O735" s="9" t="n">
        <x:f>N735*'Parameters'!$C$19</x:f>
        <x:v>1.9375</x:v>
      </x:c>
      <x:c r="P735" s="9" t="n">
        <x:f>M735*(1-0.40)-N735</x:f>
        <x:v>3.0999999999999996</x:v>
      </x:c>
      <x:c r="Q735" s="9" t="n">
        <x:f>'Physical_Arcs'!T15</x:f>
        <x:v>3.888888888888889</x:v>
      </x:c>
      <x:c r="R735" s="9" t="n">
        <x:f>Q735*'Parameters'!$C$18</x:f>
        <x:v>0.7777777777777778</x:v>
      </x:c>
      <x:c r="S735" s="9" t="n">
        <x:f>R735*'Parameters'!$C$19</x:f>
        <x:v>0.9722222222222222</x:v>
      </x:c>
      <x:c r="T735" s="9" t="n">
        <x:f>Q735*(1-0.40)-R735</x:f>
        <x:v>1.5555555555555554</x:v>
      </x:c>
    </x:row>
    <x:row r="736" ht="21" customHeight="1">
      <x:c r="A736" s="3" t="n">
        <x:v>12</x:v>
      </x:c>
      <x:c r="B736" s="3" t="str">
        <x:v>02:00</x:v>
      </x:c>
      <x:c r="C736" s="3" t="n">
        <x:v>3</x:v>
      </x:c>
      <x:c r="D736" s="3" t="n">
        <x:v>15</x:v>
      </x:c>
      <x:c r="E736" s="3" t="n">
        <x:v>2</x:v>
      </x:c>
      <x:c r="F736" s="3" t="n">
        <x:v>10</x:v>
      </x:c>
      <x:c r="G736" s="9" t="n">
        <x:v>0.1</x:v>
      </x:c>
      <x:c r="H736" s="9" t="n">
        <x:v>1.146684</x:v>
      </x:c>
      <x:c r="I736" s="9" t="n">
        <x:f>'Physical_Arcs'!R16</x:f>
        <x:v>7.416666666666667</x:v>
      </x:c>
      <x:c r="J736" s="9" t="n">
        <x:f>I736*'Parameters'!$C$18</x:f>
        <x:v>1.4833333333333334</x:v>
      </x:c>
      <x:c r="K736" s="9" t="n">
        <x:f>J736*'Parameters'!$C$19</x:f>
        <x:v>1.8541666666666667</x:v>
      </x:c>
      <x:c r="L736" s="9" t="n">
        <x:f>I736*(1-0.40)-J736</x:f>
        <x:v>2.966666666666667</x:v>
      </x:c>
      <x:c r="M736" s="9" t="n">
        <x:f>'Physical_Arcs'!S16</x:f>
        <x:v>7.416666666666667</x:v>
      </x:c>
      <x:c r="N736" s="9" t="n">
        <x:f>M736*'Parameters'!$C$18</x:f>
        <x:v>1.4833333333333334</x:v>
      </x:c>
      <x:c r="O736" s="9" t="n">
        <x:f>N736*'Parameters'!$C$19</x:f>
        <x:v>1.8541666666666667</x:v>
      </x:c>
      <x:c r="P736" s="9" t="n">
        <x:f>M736*(1-0.40)-N736</x:f>
        <x:v>2.966666666666667</x:v>
      </x:c>
      <x:c r="Q736" s="9" t="n">
        <x:f>'Physical_Arcs'!T16</x:f>
        <x:v>3.7222222222222223</x:v>
      </x:c>
      <x:c r="R736" s="9" t="n">
        <x:f>Q736*'Parameters'!$C$18</x:f>
        <x:v>0.7444444444444445</x:v>
      </x:c>
      <x:c r="S736" s="9" t="n">
        <x:f>R736*'Parameters'!$C$19</x:f>
        <x:v>0.9305555555555556</x:v>
      </x:c>
      <x:c r="T736" s="9" t="n">
        <x:f>Q736*(1-0.40)-R736</x:f>
        <x:v>1.488888888888889</x:v>
      </x:c>
    </x:row>
    <x:row r="737" ht="21" customHeight="1">
      <x:c r="A737" s="3" t="n">
        <x:v>12</x:v>
      </x:c>
      <x:c r="B737" s="3" t="str">
        <x:v>02:00</x:v>
      </x:c>
      <x:c r="C737" s="3" t="n">
        <x:v>3</x:v>
      </x:c>
      <x:c r="D737" s="3" t="n">
        <x:v>16</x:v>
      </x:c>
      <x:c r="E737" s="3" t="n">
        <x:v>3</x:v>
      </x:c>
      <x:c r="F737" s="3" t="n">
        <x:v>4</x:v>
      </x:c>
      <x:c r="G737" s="9" t="n">
        <x:v>0.1</x:v>
      </x:c>
      <x:c r="H737" s="9" t="n">
        <x:v>1.017658</x:v>
      </x:c>
      <x:c r="I737" s="9" t="n">
        <x:f>'Physical_Arcs'!R17</x:f>
        <x:v>17.02777777777778</x:v>
      </x:c>
      <x:c r="J737" s="9" t="n">
        <x:f>I737*'Parameters'!$C$18</x:f>
        <x:v>3.405555555555556</x:v>
      </x:c>
      <x:c r="K737" s="9" t="n">
        <x:f>J737*'Parameters'!$C$19</x:f>
        <x:v>4.256944444444445</x:v>
      </x:c>
      <x:c r="L737" s="9" t="n">
        <x:f>I737*(1-0.40)-J737</x:f>
        <x:v>6.811111111111111</x:v>
      </x:c>
      <x:c r="M737" s="9" t="n">
        <x:f>'Physical_Arcs'!S17</x:f>
        <x:v>17.02777777777778</x:v>
      </x:c>
      <x:c r="N737" s="9" t="n">
        <x:f>M737*'Parameters'!$C$18</x:f>
        <x:v>3.405555555555556</x:v>
      </x:c>
      <x:c r="O737" s="9" t="n">
        <x:f>N737*'Parameters'!$C$19</x:f>
        <x:v>4.256944444444445</x:v>
      </x:c>
      <x:c r="P737" s="9" t="n">
        <x:f>M737*(1-0.40)-N737</x:f>
        <x:v>6.811111111111111</x:v>
      </x:c>
      <x:c r="Q737" s="9" t="n">
        <x:f>'Physical_Arcs'!T17</x:f>
        <x:v>17.02777777777778</x:v>
      </x:c>
      <x:c r="R737" s="9" t="n">
        <x:f>Q737*'Parameters'!$C$18</x:f>
        <x:v>3.405555555555556</x:v>
      </x:c>
      <x:c r="S737" s="9" t="n">
        <x:f>R737*'Parameters'!$C$19</x:f>
        <x:v>4.256944444444445</x:v>
      </x:c>
      <x:c r="T737" s="9" t="n">
        <x:f>Q737*(1-0.40)-R737</x:f>
        <x:v>6.811111111111111</x:v>
      </x:c>
    </x:row>
    <x:row r="738" ht="21" customHeight="1">
      <x:c r="A738" s="3" t="n">
        <x:v>12</x:v>
      </x:c>
      <x:c r="B738" s="3" t="str">
        <x:v>02:00</x:v>
      </x:c>
      <x:c r="C738" s="3" t="n">
        <x:v>3</x:v>
      </x:c>
      <x:c r="D738" s="3" t="n">
        <x:v>17</x:v>
      </x:c>
      <x:c r="E738" s="3" t="n">
        <x:v>3</x:v>
      </x:c>
      <x:c r="F738" s="3" t="n">
        <x:v>2</x:v>
      </x:c>
      <x:c r="G738" s="9" t="n">
        <x:v>0.1</x:v>
      </x:c>
      <x:c r="H738" s="9" t="n">
        <x:v>0.875995</x:v>
      </x:c>
      <x:c r="I738" s="9" t="n">
        <x:f>'Physical_Arcs'!R18</x:f>
        <x:v>10.666666666666666</x:v>
      </x:c>
      <x:c r="J738" s="9" t="n">
        <x:f>I738*'Parameters'!$C$18</x:f>
        <x:v>2.1333333333333333</x:v>
      </x:c>
      <x:c r="K738" s="9" t="n">
        <x:f>J738*'Parameters'!$C$19</x:f>
        <x:v>2.6666666666666665</x:v>
      </x:c>
      <x:c r="L738" s="9" t="n">
        <x:f>I738*(1-0.40)-J738</x:f>
        <x:v>4.266666666666666</x:v>
      </x:c>
      <x:c r="M738" s="9" t="n">
        <x:f>'Physical_Arcs'!S18</x:f>
        <x:v>10.666666666666666</x:v>
      </x:c>
      <x:c r="N738" s="9" t="n">
        <x:f>M738*'Parameters'!$C$18</x:f>
        <x:v>2.1333333333333333</x:v>
      </x:c>
      <x:c r="O738" s="9" t="n">
        <x:f>N738*'Parameters'!$C$19</x:f>
        <x:v>2.6666666666666665</x:v>
      </x:c>
      <x:c r="P738" s="9" t="n">
        <x:f>M738*(1-0.40)-N738</x:f>
        <x:v>4.266666666666666</x:v>
      </x:c>
      <x:c r="Q738" s="9" t="n">
        <x:f>'Physical_Arcs'!T18</x:f>
        <x:v>5.333333333333333</x:v>
      </x:c>
      <x:c r="R738" s="9" t="n">
        <x:f>Q738*'Parameters'!$C$18</x:f>
        <x:v>1.0666666666666667</x:v>
      </x:c>
      <x:c r="S738" s="9" t="n">
        <x:f>R738*'Parameters'!$C$19</x:f>
        <x:v>1.3333333333333333</x:v>
      </x:c>
      <x:c r="T738" s="9" t="n">
        <x:f>Q738*(1-0.40)-R738</x:f>
        <x:v>2.133333333333333</x:v>
      </x:c>
    </x:row>
    <x:row r="739" ht="21" customHeight="1">
      <x:c r="A739" s="3" t="n">
        <x:v>12</x:v>
      </x:c>
      <x:c r="B739" s="3" t="str">
        <x:v>02:00</x:v>
      </x:c>
      <x:c r="C739" s="3" t="n">
        <x:v>3</x:v>
      </x:c>
      <x:c r="D739" s="3" t="n">
        <x:v>18</x:v>
      </x:c>
      <x:c r="E739" s="3" t="n">
        <x:v>3</x:v>
      </x:c>
      <x:c r="F739" s="3" t="n">
        <x:v>1</x:v>
      </x:c>
      <x:c r="G739" s="9" t="n">
        <x:v>0.1</x:v>
      </x:c>
      <x:c r="H739" s="9" t="n">
        <x:v>1.015397</x:v>
      </x:c>
      <x:c r="I739" s="9" t="n">
        <x:f>'Physical_Arcs'!R19</x:f>
        <x:v>5.166666666666667</x:v>
      </x:c>
      <x:c r="J739" s="9" t="n">
        <x:f>I739*'Parameters'!$C$18</x:f>
        <x:v>1.0333333333333334</x:v>
      </x:c>
      <x:c r="K739" s="9" t="n">
        <x:f>J739*'Parameters'!$C$19</x:f>
        <x:v>1.2916666666666667</x:v>
      </x:c>
      <x:c r="L739" s="9" t="n">
        <x:f>I739*(1-0.40)-J739</x:f>
        <x:v>2.0666666666666664</x:v>
      </x:c>
      <x:c r="M739" s="9" t="n">
        <x:f>'Physical_Arcs'!S19</x:f>
        <x:v>5.166666666666667</x:v>
      </x:c>
      <x:c r="N739" s="9" t="n">
        <x:f>M739*'Parameters'!$C$18</x:f>
        <x:v>1.0333333333333334</x:v>
      </x:c>
      <x:c r="O739" s="9" t="n">
        <x:f>N739*'Parameters'!$C$19</x:f>
        <x:v>1.2916666666666667</x:v>
      </x:c>
      <x:c r="P739" s="9" t="n">
        <x:f>M739*(1-0.40)-N739</x:f>
        <x:v>2.0666666666666664</x:v>
      </x:c>
      <x:c r="Q739" s="9" t="n">
        <x:f>'Physical_Arcs'!T19</x:f>
        <x:v>2.5833333333333335</x:v>
      </x:c>
      <x:c r="R739" s="9" t="n">
        <x:f>Q739*'Parameters'!$C$18</x:f>
        <x:v>0.5166666666666667</x:v>
      </x:c>
      <x:c r="S739" s="9" t="n">
        <x:f>R739*'Parameters'!$C$19</x:f>
        <x:v>0.6458333333333334</x:v>
      </x:c>
      <x:c r="T739" s="9" t="n">
        <x:f>Q739*(1-0.40)-R739</x:f>
        <x:v>1.0333333333333332</x:v>
      </x:c>
    </x:row>
    <x:row r="740" ht="21" customHeight="1">
      <x:c r="A740" s="3" t="n">
        <x:v>12</x:v>
      </x:c>
      <x:c r="B740" s="3" t="str">
        <x:v>02:00</x:v>
      </x:c>
      <x:c r="C740" s="3" t="n">
        <x:v>3</x:v>
      </x:c>
      <x:c r="D740" s="3" t="n">
        <x:v>19</x:v>
      </x:c>
      <x:c r="E740" s="3" t="n">
        <x:v>3</x:v>
      </x:c>
      <x:c r="F740" s="3" t="n">
        <x:v>7</x:v>
      </x:c>
      <x:c r="G740" s="9" t="n">
        <x:v>0.1</x:v>
      </x:c>
      <x:c r="H740" s="9" t="n">
        <x:v>0.996008</x:v>
      </x:c>
      <x:c r="I740" s="9" t="n">
        <x:f>'Physical_Arcs'!R20</x:f>
        <x:v>5.75</x:v>
      </x:c>
      <x:c r="J740" s="9" t="n">
        <x:f>I740*'Parameters'!$C$18</x:f>
        <x:v>1.1500000000000001</x:v>
      </x:c>
      <x:c r="K740" s="9" t="n">
        <x:f>J740*'Parameters'!$C$19</x:f>
        <x:v>1.4375000000000002</x:v>
      </x:c>
      <x:c r="L740" s="9" t="n">
        <x:f>I740*(1-0.40)-J740</x:f>
        <x:v>2.3</x:v>
      </x:c>
      <x:c r="M740" s="9" t="n">
        <x:f>'Physical_Arcs'!S20</x:f>
        <x:v>5.75</x:v>
      </x:c>
      <x:c r="N740" s="9" t="n">
        <x:f>M740*'Parameters'!$C$18</x:f>
        <x:v>1.1500000000000001</x:v>
      </x:c>
      <x:c r="O740" s="9" t="n">
        <x:f>N740*'Parameters'!$C$19</x:f>
        <x:v>1.4375000000000002</x:v>
      </x:c>
      <x:c r="P740" s="9" t="n">
        <x:f>M740*(1-0.40)-N740</x:f>
        <x:v>2.3</x:v>
      </x:c>
      <x:c r="Q740" s="9" t="n">
        <x:f>'Physical_Arcs'!T20</x:f>
        <x:v>2.888888888888889</x:v>
      </x:c>
      <x:c r="R740" s="9" t="n">
        <x:f>Q740*'Parameters'!$C$18</x:f>
        <x:v>0.5777777777777778</x:v>
      </x:c>
      <x:c r="S740" s="9" t="n">
        <x:f>R740*'Parameters'!$C$19</x:f>
        <x:v>0.7222222222222223</x:v>
      </x:c>
      <x:c r="T740" s="9" t="n">
        <x:f>Q740*(1-0.40)-R740</x:f>
        <x:v>1.1555555555555554</x:v>
      </x:c>
    </x:row>
    <x:row r="741" ht="21" customHeight="1">
      <x:c r="A741" s="3" t="n">
        <x:v>12</x:v>
      </x:c>
      <x:c r="B741" s="3" t="str">
        <x:v>02:00</x:v>
      </x:c>
      <x:c r="C741" s="3" t="n">
        <x:v>3</x:v>
      </x:c>
      <x:c r="D741" s="3" t="n">
        <x:v>20</x:v>
      </x:c>
      <x:c r="E741" s="3" t="n">
        <x:v>3</x:v>
      </x:c>
      <x:c r="F741" s="3" t="n">
        <x:v>10</x:v>
      </x:c>
      <x:c r="G741" s="9" t="n">
        <x:v>0.1</x:v>
      </x:c>
      <x:c r="H741" s="9" t="n">
        <x:v>1.118855</x:v>
      </x:c>
      <x:c r="I741" s="9" t="n">
        <x:f>'Physical_Arcs'!R21</x:f>
        <x:v>5.166666666666667</x:v>
      </x:c>
      <x:c r="J741" s="9" t="n">
        <x:f>I741*'Parameters'!$C$18</x:f>
        <x:v>1.0333333333333334</x:v>
      </x:c>
      <x:c r="K741" s="9" t="n">
        <x:f>J741*'Parameters'!$C$19</x:f>
        <x:v>1.2916666666666667</x:v>
      </x:c>
      <x:c r="L741" s="9" t="n">
        <x:f>I741*(1-0.40)-J741</x:f>
        <x:v>2.0666666666666664</x:v>
      </x:c>
      <x:c r="M741" s="9" t="n">
        <x:f>'Physical_Arcs'!S21</x:f>
        <x:v>5.166666666666667</x:v>
      </x:c>
      <x:c r="N741" s="9" t="n">
        <x:f>M741*'Parameters'!$C$18</x:f>
        <x:v>1.0333333333333334</x:v>
      </x:c>
      <x:c r="O741" s="9" t="n">
        <x:f>N741*'Parameters'!$C$19</x:f>
        <x:v>1.2916666666666667</x:v>
      </x:c>
      <x:c r="P741" s="9" t="n">
        <x:f>M741*(1-0.40)-N741</x:f>
        <x:v>2.0666666666666664</x:v>
      </x:c>
      <x:c r="Q741" s="9" t="n">
        <x:f>'Physical_Arcs'!T21</x:f>
        <x:v>2.5833333333333335</x:v>
      </x:c>
      <x:c r="R741" s="9" t="n">
        <x:f>Q741*'Parameters'!$C$18</x:f>
        <x:v>0.5166666666666667</x:v>
      </x:c>
      <x:c r="S741" s="9" t="n">
        <x:f>R741*'Parameters'!$C$19</x:f>
        <x:v>0.6458333333333334</x:v>
      </x:c>
      <x:c r="T741" s="9" t="n">
        <x:f>Q741*(1-0.40)-R741</x:f>
        <x:v>1.0333333333333332</x:v>
      </x:c>
    </x:row>
    <x:row r="742" ht="21" customHeight="1">
      <x:c r="A742" s="3" t="n">
        <x:v>12</x:v>
      </x:c>
      <x:c r="B742" s="3" t="str">
        <x:v>02:00</x:v>
      </x:c>
      <x:c r="C742" s="3" t="n">
        <x:v>3</x:v>
      </x:c>
      <x:c r="D742" s="3" t="n">
        <x:v>21</x:v>
      </x:c>
      <x:c r="E742" s="3" t="n">
        <x:v>3</x:v>
      </x:c>
      <x:c r="F742" s="3" t="n">
        <x:v>9</x:v>
      </x:c>
      <x:c r="G742" s="9" t="n">
        <x:v>0.1</x:v>
      </x:c>
      <x:c r="H742" s="9" t="n">
        <x:v>0.947299</x:v>
      </x:c>
      <x:c r="I742" s="9" t="n">
        <x:f>'Physical_Arcs'!R22</x:f>
        <x:v>9.333333333333334</x:v>
      </x:c>
      <x:c r="J742" s="9" t="n">
        <x:f>I742*'Parameters'!$C$18</x:f>
        <x:v>1.866666666666667</x:v>
      </x:c>
      <x:c r="K742" s="9" t="n">
        <x:f>J742*'Parameters'!$C$19</x:f>
        <x:v>2.3333333333333335</x:v>
      </x:c>
      <x:c r="L742" s="9" t="n">
        <x:f>I742*(1-0.40)-J742</x:f>
        <x:v>3.7333333333333334</x:v>
      </x:c>
      <x:c r="M742" s="9" t="n">
        <x:f>'Physical_Arcs'!S22</x:f>
        <x:v>9.333333333333334</x:v>
      </x:c>
      <x:c r="N742" s="9" t="n">
        <x:f>M742*'Parameters'!$C$18</x:f>
        <x:v>1.866666666666667</x:v>
      </x:c>
      <x:c r="O742" s="9" t="n">
        <x:f>N742*'Parameters'!$C$19</x:f>
        <x:v>2.3333333333333335</x:v>
      </x:c>
      <x:c r="P742" s="9" t="n">
        <x:f>M742*(1-0.40)-N742</x:f>
        <x:v>3.7333333333333334</x:v>
      </x:c>
      <x:c r="Q742" s="9" t="n">
        <x:f>'Physical_Arcs'!T22</x:f>
        <x:v>4.666666666666667</x:v>
      </x:c>
      <x:c r="R742" s="9" t="n">
        <x:f>Q742*'Parameters'!$C$18</x:f>
        <x:v>0.9333333333333335</x:v>
      </x:c>
      <x:c r="S742" s="9" t="n">
        <x:f>R742*'Parameters'!$C$19</x:f>
        <x:v>1.1666666666666667</x:v>
      </x:c>
      <x:c r="T742" s="9" t="n">
        <x:f>Q742*(1-0.40)-R742</x:f>
        <x:v>1.8666666666666667</x:v>
      </x:c>
    </x:row>
    <x:row r="743" ht="21" customHeight="1">
      <x:c r="A743" s="3" t="n">
        <x:v>12</x:v>
      </x:c>
      <x:c r="B743" s="3" t="str">
        <x:v>02:00</x:v>
      </x:c>
      <x:c r="C743" s="3" t="n">
        <x:v>3</x:v>
      </x:c>
      <x:c r="D743" s="3" t="n">
        <x:v>22</x:v>
      </x:c>
      <x:c r="E743" s="3" t="n">
        <x:v>4</x:v>
      </x:c>
      <x:c r="F743" s="3" t="n">
        <x:v>5</x:v>
      </x:c>
      <x:c r="G743" s="9" t="n">
        <x:v>0.1</x:v>
      </x:c>
      <x:c r="H743" s="9" t="n">
        <x:v>0.958485</x:v>
      </x:c>
      <x:c r="I743" s="9" t="n">
        <x:f>'Physical_Arcs'!R23</x:f>
        <x:v>17.02777777777778</x:v>
      </x:c>
      <x:c r="J743" s="9" t="n">
        <x:f>I743*'Parameters'!$C$18</x:f>
        <x:v>3.405555555555556</x:v>
      </x:c>
      <x:c r="K743" s="9" t="n">
        <x:f>J743*'Parameters'!$C$19</x:f>
        <x:v>4.256944444444445</x:v>
      </x:c>
      <x:c r="L743" s="9" t="n">
        <x:f>I743*(1-0.40)-J743</x:f>
        <x:v>6.811111111111111</x:v>
      </x:c>
      <x:c r="M743" s="9" t="n">
        <x:f>'Physical_Arcs'!S23</x:f>
        <x:v>17.02777777777778</x:v>
      </x:c>
      <x:c r="N743" s="9" t="n">
        <x:f>M743*'Parameters'!$C$18</x:f>
        <x:v>3.405555555555556</x:v>
      </x:c>
      <x:c r="O743" s="9" t="n">
        <x:f>N743*'Parameters'!$C$19</x:f>
        <x:v>4.256944444444445</x:v>
      </x:c>
      <x:c r="P743" s="9" t="n">
        <x:f>M743*(1-0.40)-N743</x:f>
        <x:v>6.811111111111111</x:v>
      </x:c>
      <x:c r="Q743" s="9" t="n">
        <x:f>'Physical_Arcs'!T23</x:f>
        <x:v>17.02777777777778</x:v>
      </x:c>
      <x:c r="R743" s="9" t="n">
        <x:f>Q743*'Parameters'!$C$18</x:f>
        <x:v>3.405555555555556</x:v>
      </x:c>
      <x:c r="S743" s="9" t="n">
        <x:f>R743*'Parameters'!$C$19</x:f>
        <x:v>4.256944444444445</x:v>
      </x:c>
      <x:c r="T743" s="9" t="n">
        <x:f>Q743*(1-0.40)-R743</x:f>
        <x:v>6.811111111111111</x:v>
      </x:c>
    </x:row>
    <x:row r="744" ht="21" customHeight="1">
      <x:c r="A744" s="3" t="n">
        <x:v>12</x:v>
      </x:c>
      <x:c r="B744" s="3" t="str">
        <x:v>02:00</x:v>
      </x:c>
      <x:c r="C744" s="3" t="n">
        <x:v>3</x:v>
      </x:c>
      <x:c r="D744" s="3" t="n">
        <x:v>23</x:v>
      </x:c>
      <x:c r="E744" s="3" t="n">
        <x:v>4</x:v>
      </x:c>
      <x:c r="F744" s="3" t="n">
        <x:v>3</x:v>
      </x:c>
      <x:c r="G744" s="9" t="n">
        <x:v>0.1</x:v>
      </x:c>
      <x:c r="H744" s="9" t="n">
        <x:v>0.944916</x:v>
      </x:c>
      <x:c r="I744" s="9" t="n">
        <x:f>'Physical_Arcs'!R24</x:f>
        <x:v>9.333333333333334</x:v>
      </x:c>
      <x:c r="J744" s="9" t="n">
        <x:f>I744*'Parameters'!$C$18</x:f>
        <x:v>1.866666666666667</x:v>
      </x:c>
      <x:c r="K744" s="9" t="n">
        <x:f>J744*'Parameters'!$C$19</x:f>
        <x:v>2.3333333333333335</x:v>
      </x:c>
      <x:c r="L744" s="9" t="n">
        <x:f>I744*(1-0.40)-J744</x:f>
        <x:v>3.7333333333333334</x:v>
      </x:c>
      <x:c r="M744" s="9" t="n">
        <x:f>'Physical_Arcs'!S24</x:f>
        <x:v>9.333333333333334</x:v>
      </x:c>
      <x:c r="N744" s="9" t="n">
        <x:f>M744*'Parameters'!$C$18</x:f>
        <x:v>1.866666666666667</x:v>
      </x:c>
      <x:c r="O744" s="9" t="n">
        <x:f>N744*'Parameters'!$C$19</x:f>
        <x:v>2.3333333333333335</x:v>
      </x:c>
      <x:c r="P744" s="9" t="n">
        <x:f>M744*(1-0.40)-N744</x:f>
        <x:v>3.7333333333333334</x:v>
      </x:c>
      <x:c r="Q744" s="9" t="n">
        <x:f>'Physical_Arcs'!T24</x:f>
        <x:v>4.666666666666667</x:v>
      </x:c>
      <x:c r="R744" s="9" t="n">
        <x:f>Q744*'Parameters'!$C$18</x:f>
        <x:v>0.9333333333333335</x:v>
      </x:c>
      <x:c r="S744" s="9" t="n">
        <x:f>R744*'Parameters'!$C$19</x:f>
        <x:v>1.1666666666666667</x:v>
      </x:c>
      <x:c r="T744" s="9" t="n">
        <x:f>Q744*(1-0.40)-R744</x:f>
        <x:v>1.8666666666666667</x:v>
      </x:c>
    </x:row>
    <x:row r="745" ht="21" customHeight="1">
      <x:c r="A745" s="3" t="n">
        <x:v>12</x:v>
      </x:c>
      <x:c r="B745" s="3" t="str">
        <x:v>02:00</x:v>
      </x:c>
      <x:c r="C745" s="3" t="n">
        <x:v>3</x:v>
      </x:c>
      <x:c r="D745" s="3" t="n">
        <x:v>24</x:v>
      </x:c>
      <x:c r="E745" s="3" t="n">
        <x:v>4</x:v>
      </x:c>
      <x:c r="F745" s="3" t="n">
        <x:v>10</x:v>
      </x:c>
      <x:c r="G745" s="9" t="n">
        <x:v>0.1</x:v>
      </x:c>
      <x:c r="H745" s="9" t="n">
        <x:v>0.875461</x:v>
      </x:c>
      <x:c r="I745" s="9" t="n">
        <x:f>'Physical_Arcs'!R25</x:f>
        <x:v>7.194444444444445</x:v>
      </x:c>
      <x:c r="J745" s="9" t="n">
        <x:f>I745*'Parameters'!$C$18</x:f>
        <x:v>1.438888888888889</x:v>
      </x:c>
      <x:c r="K745" s="9" t="n">
        <x:f>J745*'Parameters'!$C$19</x:f>
        <x:v>1.7986111111111114</x:v>
      </x:c>
      <x:c r="L745" s="9" t="n">
        <x:f>I745*(1-0.40)-J745</x:f>
        <x:v>2.8777777777777773</x:v>
      </x:c>
      <x:c r="M745" s="9" t="n">
        <x:f>'Physical_Arcs'!S25</x:f>
        <x:v>7.194444444444445</x:v>
      </x:c>
      <x:c r="N745" s="9" t="n">
        <x:f>M745*'Parameters'!$C$18</x:f>
        <x:v>1.438888888888889</x:v>
      </x:c>
      <x:c r="O745" s="9" t="n">
        <x:f>N745*'Parameters'!$C$19</x:f>
        <x:v>1.7986111111111114</x:v>
      </x:c>
      <x:c r="P745" s="9" t="n">
        <x:f>M745*(1-0.40)-N745</x:f>
        <x:v>2.8777777777777773</x:v>
      </x:c>
      <x:c r="Q745" s="9" t="n">
        <x:f>'Physical_Arcs'!T25</x:f>
        <x:v>3.611111111111111</x:v>
      </x:c>
      <x:c r="R745" s="9" t="n">
        <x:f>Q745*'Parameters'!$C$18</x:f>
        <x:v>0.7222222222222223</x:v>
      </x:c>
      <x:c r="S745" s="9" t="n">
        <x:f>R745*'Parameters'!$C$19</x:f>
        <x:v>0.9027777777777779</x:v>
      </x:c>
      <x:c r="T745" s="9" t="n">
        <x:f>Q745*(1-0.40)-R745</x:f>
        <x:v>1.4444444444444442</x:v>
      </x:c>
    </x:row>
    <x:row r="746" ht="21" customHeight="1">
      <x:c r="A746" s="3" t="n">
        <x:v>12</x:v>
      </x:c>
      <x:c r="B746" s="3" t="str">
        <x:v>02:00</x:v>
      </x:c>
      <x:c r="C746" s="3" t="n">
        <x:v>3</x:v>
      </x:c>
      <x:c r="D746" s="3" t="n">
        <x:v>25</x:v>
      </x:c>
      <x:c r="E746" s="3" t="n">
        <x:v>4</x:v>
      </x:c>
      <x:c r="F746" s="3" t="n">
        <x:v>8</x:v>
      </x:c>
      <x:c r="G746" s="9" t="n">
        <x:v>0.1</x:v>
      </x:c>
      <x:c r="H746" s="9" t="n">
        <x:v>0.993326</x:v>
      </x:c>
      <x:c r="I746" s="9" t="n">
        <x:f>'Physical_Arcs'!R26</x:f>
        <x:v>5.277777777777778</x:v>
      </x:c>
      <x:c r="J746" s="9" t="n">
        <x:f>I746*'Parameters'!$C$18</x:f>
        <x:v>1.0555555555555556</x:v>
      </x:c>
      <x:c r="K746" s="9" t="n">
        <x:f>J746*'Parameters'!$C$19</x:f>
        <x:v>1.3194444444444444</x:v>
      </x:c>
      <x:c r="L746" s="9" t="n">
        <x:f>I746*(1-0.40)-J746</x:f>
        <x:v>2.1111111111111107</x:v>
      </x:c>
      <x:c r="M746" s="9" t="n">
        <x:f>'Physical_Arcs'!S26</x:f>
        <x:v>5.277777777777778</x:v>
      </x:c>
      <x:c r="N746" s="9" t="n">
        <x:f>M746*'Parameters'!$C$18</x:f>
        <x:v>1.0555555555555556</x:v>
      </x:c>
      <x:c r="O746" s="9" t="n">
        <x:f>N746*'Parameters'!$C$19</x:f>
        <x:v>1.3194444444444444</x:v>
      </x:c>
      <x:c r="P746" s="9" t="n">
        <x:f>M746*(1-0.40)-N746</x:f>
        <x:v>2.1111111111111107</x:v>
      </x:c>
      <x:c r="Q746" s="9" t="n">
        <x:f>'Physical_Arcs'!T26</x:f>
        <x:v>2.638888888888889</x:v>
      </x:c>
      <x:c r="R746" s="9" t="n">
        <x:f>Q746*'Parameters'!$C$18</x:f>
        <x:v>0.5277777777777778</x:v>
      </x:c>
      <x:c r="S746" s="9" t="n">
        <x:f>R746*'Parameters'!$C$19</x:f>
        <x:v>0.6597222222222222</x:v>
      </x:c>
      <x:c r="T746" s="9" t="n">
        <x:f>Q746*(1-0.40)-R746</x:f>
        <x:v>1.0555555555555554</x:v>
      </x:c>
    </x:row>
    <x:row r="747" ht="21" customHeight="1">
      <x:c r="A747" s="3" t="n">
        <x:v>12</x:v>
      </x:c>
      <x:c r="B747" s="3" t="str">
        <x:v>02:00</x:v>
      </x:c>
      <x:c r="C747" s="3" t="n">
        <x:v>3</x:v>
      </x:c>
      <x:c r="D747" s="3" t="n">
        <x:v>26</x:v>
      </x:c>
      <x:c r="E747" s="3" t="n">
        <x:v>4</x:v>
      </x:c>
      <x:c r="F747" s="3" t="n">
        <x:v>7</x:v>
      </x:c>
      <x:c r="G747" s="9" t="n">
        <x:v>0.1</x:v>
      </x:c>
      <x:c r="H747" s="9" t="n">
        <x:v>1.099203</x:v>
      </x:c>
      <x:c r="I747" s="9" t="n">
        <x:f>'Physical_Arcs'!R27</x:f>
        <x:v>6.527777777777778</x:v>
      </x:c>
      <x:c r="J747" s="9" t="n">
        <x:f>I747*'Parameters'!$C$18</x:f>
        <x:v>1.3055555555555556</x:v>
      </x:c>
      <x:c r="K747" s="9" t="n">
        <x:f>J747*'Parameters'!$C$19</x:f>
        <x:v>1.6319444444444444</x:v>
      </x:c>
      <x:c r="L747" s="9" t="n">
        <x:f>I747*(1-0.40)-J747</x:f>
        <x:v>2.6111111111111107</x:v>
      </x:c>
      <x:c r="M747" s="9" t="n">
        <x:f>'Physical_Arcs'!S27</x:f>
        <x:v>6.527777777777778</x:v>
      </x:c>
      <x:c r="N747" s="9" t="n">
        <x:f>M747*'Parameters'!$C$18</x:f>
        <x:v>1.3055555555555556</x:v>
      </x:c>
      <x:c r="O747" s="9" t="n">
        <x:f>N747*'Parameters'!$C$19</x:f>
        <x:v>1.6319444444444444</x:v>
      </x:c>
      <x:c r="P747" s="9" t="n">
        <x:f>M747*(1-0.40)-N747</x:f>
        <x:v>2.6111111111111107</x:v>
      </x:c>
      <x:c r="Q747" s="9" t="n">
        <x:f>'Physical_Arcs'!T27</x:f>
        <x:v>3.2777777777777777</x:v>
      </x:c>
      <x:c r="R747" s="9" t="n">
        <x:f>Q747*'Parameters'!$C$18</x:f>
        <x:v>0.6555555555555556</x:v>
      </x:c>
      <x:c r="S747" s="9" t="n">
        <x:f>R747*'Parameters'!$C$19</x:f>
        <x:v>0.8194444444444444</x:v>
      </x:c>
      <x:c r="T747" s="9" t="n">
        <x:f>Q747*(1-0.40)-R747</x:f>
        <x:v>1.311111111111111</x:v>
      </x:c>
    </x:row>
    <x:row r="748" ht="21" customHeight="1">
      <x:c r="A748" s="3" t="n">
        <x:v>12</x:v>
      </x:c>
      <x:c r="B748" s="3" t="str">
        <x:v>02:00</x:v>
      </x:c>
      <x:c r="C748" s="3" t="n">
        <x:v>3</x:v>
      </x:c>
      <x:c r="D748" s="3" t="n">
        <x:v>27</x:v>
      </x:c>
      <x:c r="E748" s="3" t="n">
        <x:v>4</x:v>
      </x:c>
      <x:c r="F748" s="3" t="n">
        <x:v>2</x:v>
      </x:c>
      <x:c r="G748" s="9" t="n">
        <x:v>0.1</x:v>
      </x:c>
      <x:c r="H748" s="9" t="n">
        <x:v>0.861111</x:v>
      </x:c>
      <x:c r="I748" s="9" t="n">
        <x:f>'Physical_Arcs'!R28</x:f>
        <x:v>4.944444444444445</x:v>
      </x:c>
      <x:c r="J748" s="9" t="n">
        <x:f>I748*'Parameters'!$C$18</x:f>
        <x:v>0.9888888888888889</x:v>
      </x:c>
      <x:c r="K748" s="9" t="n">
        <x:f>J748*'Parameters'!$C$19</x:f>
        <x:v>1.2361111111111112</x:v>
      </x:c>
      <x:c r="L748" s="9" t="n">
        <x:f>I748*(1-0.40)-J748</x:f>
        <x:v>1.9777777777777779</x:v>
      </x:c>
      <x:c r="M748" s="9" t="n">
        <x:f>'Physical_Arcs'!S28</x:f>
        <x:v>4.944444444444445</x:v>
      </x:c>
      <x:c r="N748" s="9" t="n">
        <x:f>M748*'Parameters'!$C$18</x:f>
        <x:v>0.9888888888888889</x:v>
      </x:c>
      <x:c r="O748" s="9" t="n">
        <x:f>N748*'Parameters'!$C$19</x:f>
        <x:v>1.2361111111111112</x:v>
      </x:c>
      <x:c r="P748" s="9" t="n">
        <x:f>M748*(1-0.40)-N748</x:f>
        <x:v>1.9777777777777779</x:v>
      </x:c>
      <x:c r="Q748" s="9" t="n">
        <x:f>'Physical_Arcs'!T28</x:f>
        <x:v>2.4722222222222223</x:v>
      </x:c>
      <x:c r="R748" s="9" t="n">
        <x:f>Q748*'Parameters'!$C$18</x:f>
        <x:v>0.49444444444444446</x:v>
      </x:c>
      <x:c r="S748" s="9" t="n">
        <x:f>R748*'Parameters'!$C$19</x:f>
        <x:v>0.6180555555555556</x:v>
      </x:c>
      <x:c r="T748" s="9" t="n">
        <x:f>Q748*(1-0.40)-R748</x:f>
        <x:v>0.9888888888888889</x:v>
      </x:c>
    </x:row>
    <x:row r="749" ht="21" customHeight="1">
      <x:c r="A749" s="3" t="n">
        <x:v>12</x:v>
      </x:c>
      <x:c r="B749" s="3" t="str">
        <x:v>02:00</x:v>
      </x:c>
      <x:c r="C749" s="3" t="n">
        <x:v>3</x:v>
      </x:c>
      <x:c r="D749" s="3" t="n">
        <x:v>28</x:v>
      </x:c>
      <x:c r="E749" s="3" t="n">
        <x:v>4</x:v>
      </x:c>
      <x:c r="F749" s="3" t="n">
        <x:v>6</x:v>
      </x:c>
      <x:c r="G749" s="9" t="n">
        <x:v>0.1</x:v>
      </x:c>
      <x:c r="H749" s="9" t="n">
        <x:v>1.137214</x:v>
      </x:c>
      <x:c r="I749" s="9" t="n">
        <x:f>'Physical_Arcs'!R29</x:f>
        <x:v>3.388888888888889</x:v>
      </x:c>
      <x:c r="J749" s="9" t="n">
        <x:f>I749*'Parameters'!$C$18</x:f>
        <x:v>0.6777777777777778</x:v>
      </x:c>
      <x:c r="K749" s="9" t="n">
        <x:f>J749*'Parameters'!$C$19</x:f>
        <x:v>0.8472222222222223</x:v>
      </x:c>
      <x:c r="L749" s="9" t="n">
        <x:f>I749*(1-0.40)-J749</x:f>
        <x:v>1.3555555555555554</x:v>
      </x:c>
      <x:c r="M749" s="9" t="n">
        <x:f>'Physical_Arcs'!S29</x:f>
        <x:v>3.388888888888889</x:v>
      </x:c>
      <x:c r="N749" s="9" t="n">
        <x:f>M749*'Parameters'!$C$18</x:f>
        <x:v>0.6777777777777778</x:v>
      </x:c>
      <x:c r="O749" s="9" t="n">
        <x:f>N749*'Parameters'!$C$19</x:f>
        <x:v>0.8472222222222223</x:v>
      </x:c>
      <x:c r="P749" s="9" t="n">
        <x:f>M749*(1-0.40)-N749</x:f>
        <x:v>1.3555555555555554</x:v>
      </x:c>
      <x:c r="Q749" s="9" t="n">
        <x:f>'Physical_Arcs'!T29</x:f>
        <x:v>1.6944444444444444</x:v>
      </x:c>
      <x:c r="R749" s="9" t="n">
        <x:f>Q749*'Parameters'!$C$18</x:f>
        <x:v>0.3388888888888889</x:v>
      </x:c>
      <x:c r="S749" s="9" t="n">
        <x:f>R749*'Parameters'!$C$19</x:f>
        <x:v>0.42361111111111116</x:v>
      </x:c>
      <x:c r="T749" s="9" t="n">
        <x:f>Q749*(1-0.40)-R749</x:f>
        <x:v>0.6777777777777777</x:v>
      </x:c>
    </x:row>
    <x:row r="750" ht="21" customHeight="1">
      <x:c r="A750" s="3" t="n">
        <x:v>12</x:v>
      </x:c>
      <x:c r="B750" s="3" t="str">
        <x:v>02:00</x:v>
      </x:c>
      <x:c r="C750" s="3" t="n">
        <x:v>3</x:v>
      </x:c>
      <x:c r="D750" s="3" t="n">
        <x:v>29</x:v>
      </x:c>
      <x:c r="E750" s="3" t="n">
        <x:v>5</x:v>
      </x:c>
      <x:c r="F750" s="3" t="n">
        <x:v>6</x:v>
      </x:c>
      <x:c r="G750" s="9" t="n">
        <x:v>0.1</x:v>
      </x:c>
      <x:c r="H750" s="9" t="n">
        <x:v>0.949994</x:v>
      </x:c>
      <x:c r="I750" s="9" t="n">
        <x:f>'Physical_Arcs'!R30</x:f>
        <x:v>17.02777777777778</x:v>
      </x:c>
      <x:c r="J750" s="9" t="n">
        <x:f>I750*'Parameters'!$C$18</x:f>
        <x:v>3.405555555555556</x:v>
      </x:c>
      <x:c r="K750" s="9" t="n">
        <x:f>J750*'Parameters'!$C$19</x:f>
        <x:v>4.256944444444445</x:v>
      </x:c>
      <x:c r="L750" s="9" t="n">
        <x:f>I750*(1-0.40)-J750</x:f>
        <x:v>6.811111111111111</x:v>
      </x:c>
      <x:c r="M750" s="9" t="n">
        <x:f>'Physical_Arcs'!S30</x:f>
        <x:v>17.02777777777778</x:v>
      </x:c>
      <x:c r="N750" s="9" t="n">
        <x:f>M750*'Parameters'!$C$18</x:f>
        <x:v>3.405555555555556</x:v>
      </x:c>
      <x:c r="O750" s="9" t="n">
        <x:f>N750*'Parameters'!$C$19</x:f>
        <x:v>4.256944444444445</x:v>
      </x:c>
      <x:c r="P750" s="9" t="n">
        <x:f>M750*(1-0.40)-N750</x:f>
        <x:v>6.811111111111111</x:v>
      </x:c>
      <x:c r="Q750" s="9" t="n">
        <x:f>'Physical_Arcs'!T30</x:f>
        <x:v>17.02777777777778</x:v>
      </x:c>
      <x:c r="R750" s="9" t="n">
        <x:f>Q750*'Parameters'!$C$18</x:f>
        <x:v>3.405555555555556</x:v>
      </x:c>
      <x:c r="S750" s="9" t="n">
        <x:f>R750*'Parameters'!$C$19</x:f>
        <x:v>4.256944444444445</x:v>
      </x:c>
      <x:c r="T750" s="9" t="n">
        <x:f>Q750*(1-0.40)-R750</x:f>
        <x:v>6.811111111111111</x:v>
      </x:c>
    </x:row>
    <x:row r="751" ht="21" customHeight="1">
      <x:c r="A751" s="3" t="n">
        <x:v>12</x:v>
      </x:c>
      <x:c r="B751" s="3" t="str">
        <x:v>02:00</x:v>
      </x:c>
      <x:c r="C751" s="3" t="n">
        <x:v>3</x:v>
      </x:c>
      <x:c r="D751" s="3" t="n">
        <x:v>30</x:v>
      </x:c>
      <x:c r="E751" s="3" t="n">
        <x:v>5</x:v>
      </x:c>
      <x:c r="F751" s="3" t="n">
        <x:v>2</x:v>
      </x:c>
      <x:c r="G751" s="9" t="n">
        <x:v>0.1</x:v>
      </x:c>
      <x:c r="H751" s="9" t="n">
        <x:v>0.882396</x:v>
      </x:c>
      <x:c r="I751" s="9" t="n">
        <x:f>'Physical_Arcs'!R31</x:f>
        <x:v>2.9444444444444446</x:v>
      </x:c>
      <x:c r="J751" s="9" t="n">
        <x:f>I751*'Parameters'!$C$18</x:f>
        <x:v>0.5888888888888889</x:v>
      </x:c>
      <x:c r="K751" s="9" t="n">
        <x:f>J751*'Parameters'!$C$19</x:f>
        <x:v>0.7361111111111112</x:v>
      </x:c>
      <x:c r="L751" s="9" t="n">
        <x:f>I751*(1-0.40)-J751</x:f>
        <x:v>1.177777777777778</x:v>
      </x:c>
      <x:c r="M751" s="9" t="n">
        <x:f>'Physical_Arcs'!S31</x:f>
        <x:v>2.9444444444444446</x:v>
      </x:c>
      <x:c r="N751" s="9" t="n">
        <x:f>M751*'Parameters'!$C$18</x:f>
        <x:v>0.5888888888888889</x:v>
      </x:c>
      <x:c r="O751" s="9" t="n">
        <x:f>N751*'Parameters'!$C$19</x:f>
        <x:v>0.7361111111111112</x:v>
      </x:c>
      <x:c r="P751" s="9" t="n">
        <x:f>M751*(1-0.40)-N751</x:f>
        <x:v>1.177777777777778</x:v>
      </x:c>
      <x:c r="Q751" s="9" t="n">
        <x:f>'Physical_Arcs'!T31</x:f>
        <x:v>1.4722222222222223</x:v>
      </x:c>
      <x:c r="R751" s="9" t="n">
        <x:f>Q751*'Parameters'!$C$18</x:f>
        <x:v>0.29444444444444445</x:v>
      </x:c>
      <x:c r="S751" s="9" t="n">
        <x:f>R751*'Parameters'!$C$19</x:f>
        <x:v>0.3680555555555556</x:v>
      </x:c>
      <x:c r="T751" s="9" t="n">
        <x:f>Q751*(1-0.40)-R751</x:f>
        <x:v>0.588888888888889</x:v>
      </x:c>
    </x:row>
    <x:row r="752" ht="21" customHeight="1">
      <x:c r="A752" s="3" t="n">
        <x:v>12</x:v>
      </x:c>
      <x:c r="B752" s="3" t="str">
        <x:v>02:00</x:v>
      </x:c>
      <x:c r="C752" s="3" t="n">
        <x:v>3</x:v>
      </x:c>
      <x:c r="D752" s="3" t="n">
        <x:v>31</x:v>
      </x:c>
      <x:c r="E752" s="3" t="n">
        <x:v>5</x:v>
      </x:c>
      <x:c r="F752" s="3" t="n">
        <x:v>8</x:v>
      </x:c>
      <x:c r="G752" s="9" t="n">
        <x:v>0.1</x:v>
      </x:c>
      <x:c r="H752" s="9" t="n">
        <x:v>0.986718</x:v>
      </x:c>
      <x:c r="I752" s="9" t="n">
        <x:f>'Physical_Arcs'!R32</x:f>
        <x:v>9.333333333333334</x:v>
      </x:c>
      <x:c r="J752" s="9" t="n">
        <x:f>I752*'Parameters'!$C$18</x:f>
        <x:v>1.866666666666667</x:v>
      </x:c>
      <x:c r="K752" s="9" t="n">
        <x:f>J752*'Parameters'!$C$19</x:f>
        <x:v>2.3333333333333335</x:v>
      </x:c>
      <x:c r="L752" s="9" t="n">
        <x:f>I752*(1-0.40)-J752</x:f>
        <x:v>3.7333333333333334</x:v>
      </x:c>
      <x:c r="M752" s="9" t="n">
        <x:f>'Physical_Arcs'!S32</x:f>
        <x:v>9.333333333333334</x:v>
      </x:c>
      <x:c r="N752" s="9" t="n">
        <x:f>M752*'Parameters'!$C$18</x:f>
        <x:v>1.866666666666667</x:v>
      </x:c>
      <x:c r="O752" s="9" t="n">
        <x:f>N752*'Parameters'!$C$19</x:f>
        <x:v>2.3333333333333335</x:v>
      </x:c>
      <x:c r="P752" s="9" t="n">
        <x:f>M752*(1-0.40)-N752</x:f>
        <x:v>3.7333333333333334</x:v>
      </x:c>
      <x:c r="Q752" s="9" t="n">
        <x:f>'Physical_Arcs'!T32</x:f>
        <x:v>4.666666666666667</x:v>
      </x:c>
      <x:c r="R752" s="9" t="n">
        <x:f>Q752*'Parameters'!$C$18</x:f>
        <x:v>0.9333333333333335</x:v>
      </x:c>
      <x:c r="S752" s="9" t="n">
        <x:f>R752*'Parameters'!$C$19</x:f>
        <x:v>1.1666666666666667</x:v>
      </x:c>
      <x:c r="T752" s="9" t="n">
        <x:f>Q752*(1-0.40)-R752</x:f>
        <x:v>1.8666666666666667</x:v>
      </x:c>
    </x:row>
    <x:row r="753" ht="21" customHeight="1">
      <x:c r="A753" s="3" t="n">
        <x:v>12</x:v>
      </x:c>
      <x:c r="B753" s="3" t="str">
        <x:v>02:00</x:v>
      </x:c>
      <x:c r="C753" s="3" t="n">
        <x:v>3</x:v>
      </x:c>
      <x:c r="D753" s="3" t="n">
        <x:v>32</x:v>
      </x:c>
      <x:c r="E753" s="3" t="n">
        <x:v>5</x:v>
      </x:c>
      <x:c r="F753" s="3" t="n">
        <x:v>3</x:v>
      </x:c>
      <x:c r="G753" s="9" t="n">
        <x:v>0.1</x:v>
      </x:c>
      <x:c r="H753" s="9" t="n">
        <x:v>1.089544</x:v>
      </x:c>
      <x:c r="I753" s="9" t="n">
        <x:f>'Physical_Arcs'!R33</x:f>
        <x:v>11.13888888888889</x:v>
      </x:c>
      <x:c r="J753" s="9" t="n">
        <x:f>I753*'Parameters'!$C$18</x:f>
        <x:v>2.227777777777778</x:v>
      </x:c>
      <x:c r="K753" s="9" t="n">
        <x:f>J753*'Parameters'!$C$19</x:f>
        <x:v>2.7847222222222223</x:v>
      </x:c>
      <x:c r="L753" s="9" t="n">
        <x:f>I753*(1-0.40)-J753</x:f>
        <x:v>4.455555555555556</x:v>
      </x:c>
      <x:c r="M753" s="9" t="n">
        <x:f>'Physical_Arcs'!S33</x:f>
        <x:v>11.13888888888889</x:v>
      </x:c>
      <x:c r="N753" s="9" t="n">
        <x:f>M753*'Parameters'!$C$18</x:f>
        <x:v>2.227777777777778</x:v>
      </x:c>
      <x:c r="O753" s="9" t="n">
        <x:f>N753*'Parameters'!$C$19</x:f>
        <x:v>2.7847222222222223</x:v>
      </x:c>
      <x:c r="P753" s="9" t="n">
        <x:f>M753*(1-0.40)-N753</x:f>
        <x:v>4.455555555555556</x:v>
      </x:c>
      <x:c r="Q753" s="9" t="n">
        <x:f>'Physical_Arcs'!T33</x:f>
        <x:v>5.583333333333333</x:v>
      </x:c>
      <x:c r="R753" s="9" t="n">
        <x:f>Q753*'Parameters'!$C$18</x:f>
        <x:v>1.1166666666666667</x:v>
      </x:c>
      <x:c r="S753" s="9" t="n">
        <x:f>R753*'Parameters'!$C$19</x:f>
        <x:v>1.3958333333333335</x:v>
      </x:c>
      <x:c r="T753" s="9" t="n">
        <x:f>Q753*(1-0.40)-R753</x:f>
        <x:v>2.233333333333333</x:v>
      </x:c>
    </x:row>
    <x:row r="754" ht="21" customHeight="1">
      <x:c r="A754" s="3" t="n">
        <x:v>12</x:v>
      </x:c>
      <x:c r="B754" s="3" t="str">
        <x:v>02:00</x:v>
      </x:c>
      <x:c r="C754" s="3" t="n">
        <x:v>3</x:v>
      </x:c>
      <x:c r="D754" s="3" t="n">
        <x:v>33</x:v>
      </x:c>
      <x:c r="E754" s="3" t="n">
        <x:v>5</x:v>
      </x:c>
      <x:c r="F754" s="3" t="n">
        <x:v>10</x:v>
      </x:c>
      <x:c r="G754" s="9" t="n">
        <x:v>0.1</x:v>
      </x:c>
      <x:c r="H754" s="9" t="n">
        <x:v>1.103596</x:v>
      </x:c>
      <x:c r="I754" s="9" t="n">
        <x:f>'Physical_Arcs'!R34</x:f>
        <x:v>4.611111111111111</x:v>
      </x:c>
      <x:c r="J754" s="9" t="n">
        <x:f>I754*'Parameters'!$C$18</x:f>
        <x:v>0.9222222222222222</x:v>
      </x:c>
      <x:c r="K754" s="9" t="n">
        <x:f>J754*'Parameters'!$C$19</x:f>
        <x:v>1.1527777777777777</x:v>
      </x:c>
      <x:c r="L754" s="9" t="n">
        <x:f>I754*(1-0.40)-J754</x:f>
        <x:v>1.844444444444444</x:v>
      </x:c>
      <x:c r="M754" s="9" t="n">
        <x:f>'Physical_Arcs'!S34</x:f>
        <x:v>4.611111111111111</x:v>
      </x:c>
      <x:c r="N754" s="9" t="n">
        <x:f>M754*'Parameters'!$C$18</x:f>
        <x:v>0.9222222222222222</x:v>
      </x:c>
      <x:c r="O754" s="9" t="n">
        <x:f>N754*'Parameters'!$C$19</x:f>
        <x:v>1.1527777777777777</x:v>
      </x:c>
      <x:c r="P754" s="9" t="n">
        <x:f>M754*(1-0.40)-N754</x:f>
        <x:v>1.844444444444444</x:v>
      </x:c>
      <x:c r="Q754" s="9" t="n">
        <x:f>'Physical_Arcs'!T34</x:f>
        <x:v>2.3055555555555554</x:v>
      </x:c>
      <x:c r="R754" s="9" t="n">
        <x:f>Q754*'Parameters'!$C$18</x:f>
        <x:v>0.4611111111111111</x:v>
      </x:c>
      <x:c r="S754" s="9" t="n">
        <x:f>R754*'Parameters'!$C$19</x:f>
        <x:v>0.5763888888888888</x:v>
      </x:c>
      <x:c r="T754" s="9" t="n">
        <x:f>Q754*(1-0.40)-R754</x:f>
        <x:v>0.922222222222222</x:v>
      </x:c>
    </x:row>
    <x:row r="755" ht="21" customHeight="1">
      <x:c r="A755" s="3" t="n">
        <x:v>12</x:v>
      </x:c>
      <x:c r="B755" s="3" t="str">
        <x:v>02:00</x:v>
      </x:c>
      <x:c r="C755" s="3" t="n">
        <x:v>3</x:v>
      </x:c>
      <x:c r="D755" s="3" t="n">
        <x:v>34</x:v>
      </x:c>
      <x:c r="E755" s="3" t="n">
        <x:v>6</x:v>
      </x:c>
      <x:c r="F755" s="3" t="n">
        <x:v>7</x:v>
      </x:c>
      <x:c r="G755" s="9" t="n">
        <x:v>0.1</x:v>
      </x:c>
      <x:c r="H755" s="9" t="n">
        <x:v>0.973887</x:v>
      </x:c>
      <x:c r="I755" s="9" t="n">
        <x:f>'Physical_Arcs'!R35</x:f>
        <x:v>17.02777777777778</x:v>
      </x:c>
      <x:c r="J755" s="9" t="n">
        <x:f>I755*'Parameters'!$C$18</x:f>
        <x:v>3.405555555555556</x:v>
      </x:c>
      <x:c r="K755" s="9" t="n">
        <x:f>J755*'Parameters'!$C$19</x:f>
        <x:v>4.256944444444445</x:v>
      </x:c>
      <x:c r="L755" s="9" t="n">
        <x:f>I755*(1-0.40)-J755</x:f>
        <x:v>6.811111111111111</x:v>
      </x:c>
      <x:c r="M755" s="9" t="n">
        <x:f>'Physical_Arcs'!S35</x:f>
        <x:v>17.02777777777778</x:v>
      </x:c>
      <x:c r="N755" s="9" t="n">
        <x:f>M755*'Parameters'!$C$18</x:f>
        <x:v>3.405555555555556</x:v>
      </x:c>
      <x:c r="O755" s="9" t="n">
        <x:f>N755*'Parameters'!$C$19</x:f>
        <x:v>4.256944444444445</x:v>
      </x:c>
      <x:c r="P755" s="9" t="n">
        <x:f>M755*(1-0.40)-N755</x:f>
        <x:v>6.811111111111111</x:v>
      </x:c>
      <x:c r="Q755" s="9" t="n">
        <x:f>'Physical_Arcs'!T35</x:f>
        <x:v>17.02777777777778</x:v>
      </x:c>
      <x:c r="R755" s="9" t="n">
        <x:f>Q755*'Parameters'!$C$18</x:f>
        <x:v>3.405555555555556</x:v>
      </x:c>
      <x:c r="S755" s="9" t="n">
        <x:f>R755*'Parameters'!$C$19</x:f>
        <x:v>4.256944444444445</x:v>
      </x:c>
      <x:c r="T755" s="9" t="n">
        <x:f>Q755*(1-0.40)-R755</x:f>
        <x:v>6.811111111111111</x:v>
      </x:c>
    </x:row>
    <x:row r="756" ht="21" customHeight="1">
      <x:c r="A756" s="3" t="n">
        <x:v>12</x:v>
      </x:c>
      <x:c r="B756" s="3" t="str">
        <x:v>02:00</x:v>
      </x:c>
      <x:c r="C756" s="3" t="n">
        <x:v>3</x:v>
      </x:c>
      <x:c r="D756" s="3" t="n">
        <x:v>35</x:v>
      </x:c>
      <x:c r="E756" s="3" t="n">
        <x:v>6</x:v>
      </x:c>
      <x:c r="F756" s="3" t="n">
        <x:v>10</x:v>
      </x:c>
      <x:c r="G756" s="9" t="n">
        <x:v>0.1</x:v>
      </x:c>
      <x:c r="H756" s="9" t="n">
        <x:v>1.009062</x:v>
      </x:c>
      <x:c r="I756" s="9" t="n">
        <x:f>'Physical_Arcs'!R36</x:f>
        <x:v>4.055555555555555</x:v>
      </x:c>
      <x:c r="J756" s="9" t="n">
        <x:f>I756*'Parameters'!$C$18</x:f>
        <x:v>0.8111111111111111</x:v>
      </x:c>
      <x:c r="K756" s="9" t="n">
        <x:f>J756*'Parameters'!$C$19</x:f>
        <x:v>1.0138888888888888</x:v>
      </x:c>
      <x:c r="L756" s="9" t="n">
        <x:f>I756*(1-0.40)-J756</x:f>
        <x:v>1.622222222222222</x:v>
      </x:c>
      <x:c r="M756" s="9" t="n">
        <x:f>'Physical_Arcs'!S36</x:f>
        <x:v>4.055555555555555</x:v>
      </x:c>
      <x:c r="N756" s="9" t="n">
        <x:f>M756*'Parameters'!$C$18</x:f>
        <x:v>0.8111111111111111</x:v>
      </x:c>
      <x:c r="O756" s="9" t="n">
        <x:f>N756*'Parameters'!$C$19</x:f>
        <x:v>1.0138888888888888</x:v>
      </x:c>
      <x:c r="P756" s="9" t="n">
        <x:f>M756*(1-0.40)-N756</x:f>
        <x:v>1.622222222222222</x:v>
      </x:c>
      <x:c r="Q756" s="9" t="n">
        <x:f>'Physical_Arcs'!T36</x:f>
        <x:v>2.0277777777777777</x:v>
      </x:c>
      <x:c r="R756" s="9" t="n">
        <x:f>Q756*'Parameters'!$C$18</x:f>
        <x:v>0.40555555555555556</x:v>
      </x:c>
      <x:c r="S756" s="9" t="n">
        <x:f>R756*'Parameters'!$C$19</x:f>
        <x:v>0.5069444444444444</x:v>
      </x:c>
      <x:c r="T756" s="9" t="n">
        <x:f>Q756*(1-0.40)-R756</x:f>
        <x:v>0.811111111111111</x:v>
      </x:c>
    </x:row>
    <x:row r="757" ht="21" customHeight="1">
      <x:c r="A757" s="3" t="n">
        <x:v>12</x:v>
      </x:c>
      <x:c r="B757" s="3" t="str">
        <x:v>02:00</x:v>
      </x:c>
      <x:c r="C757" s="3" t="n">
        <x:v>3</x:v>
      </x:c>
      <x:c r="D757" s="3" t="n">
        <x:v>36</x:v>
      </x:c>
      <x:c r="E757" s="3" t="n">
        <x:v>6</x:v>
      </x:c>
      <x:c r="F757" s="3" t="n">
        <x:v>8</x:v>
      </x:c>
      <x:c r="G757" s="9" t="n">
        <x:v>0.1</x:v>
      </x:c>
      <x:c r="H757" s="9" t="n">
        <x:v>1.132129</x:v>
      </x:c>
      <x:c r="I757" s="9" t="n">
        <x:f>'Physical_Arcs'!R37</x:f>
        <x:v>6.972222222222222</x:v>
      </x:c>
      <x:c r="J757" s="9" t="n">
        <x:f>I757*'Parameters'!$C$18</x:f>
        <x:v>1.3944444444444446</x:v>
      </x:c>
      <x:c r="K757" s="9" t="n">
        <x:f>J757*'Parameters'!$C$19</x:f>
        <x:v>1.7430555555555558</x:v>
      </x:c>
      <x:c r="L757" s="9" t="n">
        <x:f>I757*(1-0.40)-J757</x:f>
        <x:v>2.7888888888888888</x:v>
      </x:c>
      <x:c r="M757" s="9" t="n">
        <x:f>'Physical_Arcs'!S37</x:f>
        <x:v>6.972222222222222</x:v>
      </x:c>
      <x:c r="N757" s="9" t="n">
        <x:f>M757*'Parameters'!$C$18</x:f>
        <x:v>1.3944444444444446</x:v>
      </x:c>
      <x:c r="O757" s="9" t="n">
        <x:f>N757*'Parameters'!$C$19</x:f>
        <x:v>1.7430555555555558</x:v>
      </x:c>
      <x:c r="P757" s="9" t="n">
        <x:f>M757*(1-0.40)-N757</x:f>
        <x:v>2.7888888888888888</x:v>
      </x:c>
      <x:c r="Q757" s="9" t="n">
        <x:f>'Physical_Arcs'!T37</x:f>
        <x:v>3.5</x:v>
      </x:c>
      <x:c r="R757" s="9" t="n">
        <x:f>Q757*'Parameters'!$C$18</x:f>
        <x:v>0.7000000000000001</x:v>
      </x:c>
      <x:c r="S757" s="9" t="n">
        <x:f>R757*'Parameters'!$C$19</x:f>
        <x:v>0.8750000000000001</x:v>
      </x:c>
      <x:c r="T757" s="9" t="n">
        <x:f>Q757*(1-0.40)-R757</x:f>
        <x:v>1.4</x:v>
      </x:c>
    </x:row>
    <x:row r="758" ht="21" customHeight="1">
      <x:c r="A758" s="3" t="n">
        <x:v>12</x:v>
      </x:c>
      <x:c r="B758" s="3" t="str">
        <x:v>02:00</x:v>
      </x:c>
      <x:c r="C758" s="3" t="n">
        <x:v>3</x:v>
      </x:c>
      <x:c r="D758" s="3" t="n">
        <x:v>37</x:v>
      </x:c>
      <x:c r="E758" s="3" t="n">
        <x:v>6</x:v>
      </x:c>
      <x:c r="F758" s="3" t="n">
        <x:v>1</x:v>
      </x:c>
      <x:c r="G758" s="9" t="n">
        <x:v>0.1</x:v>
      </x:c>
      <x:c r="H758" s="9" t="n">
        <x:v>1.020746</x:v>
      </x:c>
      <x:c r="I758" s="9" t="n">
        <x:f>'Physical_Arcs'!R38</x:f>
        <x:v>6.305555555555555</x:v>
      </x:c>
      <x:c r="J758" s="9" t="n">
        <x:f>I758*'Parameters'!$C$18</x:f>
        <x:v>1.261111111111111</x:v>
      </x:c>
      <x:c r="K758" s="9" t="n">
        <x:f>J758*'Parameters'!$C$19</x:f>
        <x:v>1.5763888888888888</x:v>
      </x:c>
      <x:c r="L758" s="9" t="n">
        <x:f>I758*(1-0.40)-J758</x:f>
        <x:v>2.522222222222222</x:v>
      </x:c>
      <x:c r="M758" s="9" t="n">
        <x:f>'Physical_Arcs'!S38</x:f>
        <x:v>6.305555555555555</x:v>
      </x:c>
      <x:c r="N758" s="9" t="n">
        <x:f>M758*'Parameters'!$C$18</x:f>
        <x:v>1.261111111111111</x:v>
      </x:c>
      <x:c r="O758" s="9" t="n">
        <x:f>N758*'Parameters'!$C$19</x:f>
        <x:v>1.5763888888888888</x:v>
      </x:c>
      <x:c r="P758" s="9" t="n">
        <x:f>M758*(1-0.40)-N758</x:f>
        <x:v>2.522222222222222</x:v>
      </x:c>
      <x:c r="Q758" s="9" t="n">
        <x:f>'Physical_Arcs'!T38</x:f>
        <x:v>3.1666666666666665</x:v>
      </x:c>
      <x:c r="R758" s="9" t="n">
        <x:f>Q758*'Parameters'!$C$18</x:f>
        <x:v>0.6333333333333333</x:v>
      </x:c>
      <x:c r="S758" s="9" t="n">
        <x:f>R758*'Parameters'!$C$19</x:f>
        <x:v>0.7916666666666666</x:v>
      </x:c>
      <x:c r="T758" s="9" t="n">
        <x:f>Q758*(1-0.40)-R758</x:f>
        <x:v>1.2666666666666666</x:v>
      </x:c>
    </x:row>
    <x:row r="759" ht="21" customHeight="1">
      <x:c r="A759" s="3" t="n">
        <x:v>12</x:v>
      </x:c>
      <x:c r="B759" s="3" t="str">
        <x:v>02:00</x:v>
      </x:c>
      <x:c r="C759" s="3" t="n">
        <x:v>3</x:v>
      </x:c>
      <x:c r="D759" s="3" t="n">
        <x:v>38</x:v>
      </x:c>
      <x:c r="E759" s="3" t="n">
        <x:v>6</x:v>
      </x:c>
      <x:c r="F759" s="3" t="n">
        <x:v>3</x:v>
      </x:c>
      <x:c r="G759" s="9" t="n">
        <x:v>0.1</x:v>
      </x:c>
      <x:c r="H759" s="9" t="n">
        <x:v>1.149081</x:v>
      </x:c>
      <x:c r="I759" s="9" t="n">
        <x:f>'Physical_Arcs'!R39</x:f>
        <x:v>1.9166666666666667</x:v>
      </x:c>
      <x:c r="J759" s="9" t="n">
        <x:f>I759*'Parameters'!$C$18</x:f>
        <x:v>0.38333333333333336</x:v>
      </x:c>
      <x:c r="K759" s="9" t="n">
        <x:f>J759*'Parameters'!$C$19</x:f>
        <x:v>0.4791666666666667</x:v>
      </x:c>
      <x:c r="L759" s="9" t="n">
        <x:f>I759*(1-0.40)-J759</x:f>
        <x:v>0.7666666666666666</x:v>
      </x:c>
      <x:c r="M759" s="9" t="n">
        <x:f>'Physical_Arcs'!S39</x:f>
        <x:v>1.9166666666666667</x:v>
      </x:c>
      <x:c r="N759" s="9" t="n">
        <x:f>M759*'Parameters'!$C$18</x:f>
        <x:v>0.38333333333333336</x:v>
      </x:c>
      <x:c r="O759" s="9" t="n">
        <x:f>N759*'Parameters'!$C$19</x:f>
        <x:v>0.4791666666666667</x:v>
      </x:c>
      <x:c r="P759" s="9" t="n">
        <x:f>M759*(1-0.40)-N759</x:f>
        <x:v>0.7666666666666666</x:v>
      </x:c>
      <x:c r="Q759" s="9" t="n">
        <x:f>'Physical_Arcs'!T39</x:f>
        <x:v>0.9722222222222222</x:v>
      </x:c>
      <x:c r="R759" s="9" t="n">
        <x:f>Q759*'Parameters'!$C$18</x:f>
        <x:v>0.19444444444444445</x:v>
      </x:c>
      <x:c r="S759" s="9" t="n">
        <x:f>R759*'Parameters'!$C$19</x:f>
        <x:v>0.24305555555555555</x:v>
      </x:c>
      <x:c r="T759" s="9" t="n">
        <x:f>Q759*(1-0.40)-R759</x:f>
        <x:v>0.38888888888888884</x:v>
      </x:c>
    </x:row>
    <x:row r="760" ht="21" customHeight="1">
      <x:c r="A760" s="3" t="n">
        <x:v>12</x:v>
      </x:c>
      <x:c r="B760" s="3" t="str">
        <x:v>02:00</x:v>
      </x:c>
      <x:c r="C760" s="3" t="n">
        <x:v>3</x:v>
      </x:c>
      <x:c r="D760" s="3" t="n">
        <x:v>39</x:v>
      </x:c>
      <x:c r="E760" s="3" t="n">
        <x:v>7</x:v>
      </x:c>
      <x:c r="F760" s="3" t="n">
        <x:v>8</x:v>
      </x:c>
      <x:c r="G760" s="9" t="n">
        <x:v>0.1</x:v>
      </x:c>
      <x:c r="H760" s="9" t="n">
        <x:v>1.003268</x:v>
      </x:c>
      <x:c r="I760" s="9" t="n">
        <x:f>'Physical_Arcs'!R40</x:f>
        <x:v>17.02777777777778</x:v>
      </x:c>
      <x:c r="J760" s="9" t="n">
        <x:f>I760*'Parameters'!$C$18</x:f>
        <x:v>3.405555555555556</x:v>
      </x:c>
      <x:c r="K760" s="9" t="n">
        <x:f>J760*'Parameters'!$C$19</x:f>
        <x:v>4.256944444444445</x:v>
      </x:c>
      <x:c r="L760" s="9" t="n">
        <x:f>I760*(1-0.40)-J760</x:f>
        <x:v>6.811111111111111</x:v>
      </x:c>
      <x:c r="M760" s="9" t="n">
        <x:f>'Physical_Arcs'!S40</x:f>
        <x:v>17.02777777777778</x:v>
      </x:c>
      <x:c r="N760" s="9" t="n">
        <x:f>M760*'Parameters'!$C$18</x:f>
        <x:v>3.405555555555556</x:v>
      </x:c>
      <x:c r="O760" s="9" t="n">
        <x:f>N760*'Parameters'!$C$19</x:f>
        <x:v>4.256944444444445</x:v>
      </x:c>
      <x:c r="P760" s="9" t="n">
        <x:f>M760*(1-0.40)-N760</x:f>
        <x:v>6.811111111111111</x:v>
      </x:c>
      <x:c r="Q760" s="9" t="n">
        <x:f>'Physical_Arcs'!T40</x:f>
        <x:v>17.02777777777778</x:v>
      </x:c>
      <x:c r="R760" s="9" t="n">
        <x:f>Q760*'Parameters'!$C$18</x:f>
        <x:v>3.405555555555556</x:v>
      </x:c>
      <x:c r="S760" s="9" t="n">
        <x:f>R760*'Parameters'!$C$19</x:f>
        <x:v>4.256944444444445</x:v>
      </x:c>
      <x:c r="T760" s="9" t="n">
        <x:f>Q760*(1-0.40)-R760</x:f>
        <x:v>6.811111111111111</x:v>
      </x:c>
    </x:row>
    <x:row r="761" ht="21" customHeight="1">
      <x:c r="A761" s="3" t="n">
        <x:v>12</x:v>
      </x:c>
      <x:c r="B761" s="3" t="str">
        <x:v>02:00</x:v>
      </x:c>
      <x:c r="C761" s="3" t="n">
        <x:v>3</x:v>
      </x:c>
      <x:c r="D761" s="3" t="n">
        <x:v>40</x:v>
      </x:c>
      <x:c r="E761" s="3" t="n">
        <x:v>7</x:v>
      </x:c>
      <x:c r="F761" s="3" t="n">
        <x:v>1</x:v>
      </x:c>
      <x:c r="G761" s="9" t="n">
        <x:v>0.1</x:v>
      </x:c>
      <x:c r="H761" s="9" t="n">
        <x:v>1.057592</x:v>
      </x:c>
      <x:c r="I761" s="9" t="n">
        <x:f>'Physical_Arcs'!R41</x:f>
        <x:v>7.972222222222222</x:v>
      </x:c>
      <x:c r="J761" s="9" t="n">
        <x:f>I761*'Parameters'!$C$18</x:f>
        <x:v>1.5944444444444446</x:v>
      </x:c>
      <x:c r="K761" s="9" t="n">
        <x:f>J761*'Parameters'!$C$19</x:f>
        <x:v>1.9930555555555558</x:v>
      </x:c>
      <x:c r="L761" s="9" t="n">
        <x:f>I761*(1-0.40)-J761</x:f>
        <x:v>3.1888888888888887</x:v>
      </x:c>
      <x:c r="M761" s="9" t="n">
        <x:f>'Physical_Arcs'!S41</x:f>
        <x:v>7.972222222222222</x:v>
      </x:c>
      <x:c r="N761" s="9" t="n">
        <x:f>M761*'Parameters'!$C$18</x:f>
        <x:v>1.5944444444444446</x:v>
      </x:c>
      <x:c r="O761" s="9" t="n">
        <x:f>N761*'Parameters'!$C$19</x:f>
        <x:v>1.9930555555555558</x:v>
      </x:c>
      <x:c r="P761" s="9" t="n">
        <x:f>M761*(1-0.40)-N761</x:f>
        <x:v>3.1888888888888887</x:v>
      </x:c>
      <x:c r="Q761" s="9" t="n">
        <x:f>'Physical_Arcs'!T41</x:f>
        <x:v>4</x:v>
      </x:c>
      <x:c r="R761" s="9" t="n">
        <x:f>Q761*'Parameters'!$C$18</x:f>
        <x:v>0.8</x:v>
      </x:c>
      <x:c r="S761" s="9" t="n">
        <x:f>R761*'Parameters'!$C$19</x:f>
        <x:v>1</x:v>
      </x:c>
      <x:c r="T761" s="9" t="n">
        <x:f>Q761*(1-0.40)-R761</x:f>
        <x:v>1.5999999999999999</x:v>
      </x:c>
    </x:row>
    <x:row r="762" ht="21" customHeight="1">
      <x:c r="A762" s="3" t="n">
        <x:v>12</x:v>
      </x:c>
      <x:c r="B762" s="3" t="str">
        <x:v>02:00</x:v>
      </x:c>
      <x:c r="C762" s="3" t="n">
        <x:v>3</x:v>
      </x:c>
      <x:c r="D762" s="3" t="n">
        <x:v>41</x:v>
      </x:c>
      <x:c r="E762" s="3" t="n">
        <x:v>7</x:v>
      </x:c>
      <x:c r="F762" s="3" t="n">
        <x:v>9</x:v>
      </x:c>
      <x:c r="G762" s="9" t="n">
        <x:v>0.1</x:v>
      </x:c>
      <x:c r="H762" s="9" t="n">
        <x:v>1.14801</x:v>
      </x:c>
      <x:c r="I762" s="9" t="n">
        <x:f>'Physical_Arcs'!R42</x:f>
        <x:v>8.88888888888889</x:v>
      </x:c>
      <x:c r="J762" s="9" t="n">
        <x:f>I762*'Parameters'!$C$18</x:f>
        <x:v>1.777777777777778</x:v>
      </x:c>
      <x:c r="K762" s="9" t="n">
        <x:f>J762*'Parameters'!$C$19</x:f>
        <x:v>2.2222222222222223</x:v>
      </x:c>
      <x:c r="L762" s="9" t="n">
        <x:f>I762*(1-0.40)-J762</x:f>
        <x:v>3.5555555555555554</x:v>
      </x:c>
      <x:c r="M762" s="9" t="n">
        <x:f>'Physical_Arcs'!S42</x:f>
        <x:v>8.88888888888889</x:v>
      </x:c>
      <x:c r="N762" s="9" t="n">
        <x:f>M762*'Parameters'!$C$18</x:f>
        <x:v>1.777777777777778</x:v>
      </x:c>
      <x:c r="O762" s="9" t="n">
        <x:f>N762*'Parameters'!$C$19</x:f>
        <x:v>2.2222222222222223</x:v>
      </x:c>
      <x:c r="P762" s="9" t="n">
        <x:f>M762*(1-0.40)-N762</x:f>
        <x:v>3.5555555555555554</x:v>
      </x:c>
      <x:c r="Q762" s="9" t="n">
        <x:f>'Physical_Arcs'!T42</x:f>
        <x:v>4.444444444444445</x:v>
      </x:c>
      <x:c r="R762" s="9" t="n">
        <x:f>Q762*'Parameters'!$C$18</x:f>
        <x:v>0.888888888888889</x:v>
      </x:c>
      <x:c r="S762" s="9" t="n">
        <x:f>R762*'Parameters'!$C$19</x:f>
        <x:v>1.1111111111111112</x:v>
      </x:c>
      <x:c r="T762" s="9" t="n">
        <x:f>Q762*(1-0.40)-R762</x:f>
        <x:v>1.7777777777777777</x:v>
      </x:c>
    </x:row>
    <x:row r="763" ht="21" customHeight="1">
      <x:c r="A763" s="3" t="n">
        <x:v>12</x:v>
      </x:c>
      <x:c r="B763" s="3" t="str">
        <x:v>02:00</x:v>
      </x:c>
      <x:c r="C763" s="3" t="n">
        <x:v>3</x:v>
      </x:c>
      <x:c r="D763" s="3" t="n">
        <x:v>42</x:v>
      </x:c>
      <x:c r="E763" s="3" t="n">
        <x:v>7</x:v>
      </x:c>
      <x:c r="F763" s="3" t="n">
        <x:v>2</x:v>
      </x:c>
      <x:c r="G763" s="9" t="n">
        <x:v>0.1</x:v>
      </x:c>
      <x:c r="H763" s="9" t="n">
        <x:v>0.989237</x:v>
      </x:c>
      <x:c r="I763" s="9" t="n">
        <x:f>'Physical_Arcs'!R43</x:f>
        <x:v>9</x:v>
      </x:c>
      <x:c r="J763" s="9" t="n">
        <x:f>I763*'Parameters'!$C$18</x:f>
        <x:v>1.8</x:v>
      </x:c>
      <x:c r="K763" s="9" t="n">
        <x:f>J763*'Parameters'!$C$19</x:f>
        <x:v>2.25</x:v>
      </x:c>
      <x:c r="L763" s="9" t="n">
        <x:f>I763*(1-0.40)-J763</x:f>
        <x:v>3.5999999999999996</x:v>
      </x:c>
      <x:c r="M763" s="9" t="n">
        <x:f>'Physical_Arcs'!S43</x:f>
        <x:v>9</x:v>
      </x:c>
      <x:c r="N763" s="9" t="n">
        <x:f>M763*'Parameters'!$C$18</x:f>
        <x:v>1.8</x:v>
      </x:c>
      <x:c r="O763" s="9" t="n">
        <x:f>N763*'Parameters'!$C$19</x:f>
        <x:v>2.25</x:v>
      </x:c>
      <x:c r="P763" s="9" t="n">
        <x:f>M763*(1-0.40)-N763</x:f>
        <x:v>3.5999999999999996</x:v>
      </x:c>
      <x:c r="Q763" s="9" t="n">
        <x:f>'Physical_Arcs'!T43</x:f>
        <x:v>4.5</x:v>
      </x:c>
      <x:c r="R763" s="9" t="n">
        <x:f>Q763*'Parameters'!$C$18</x:f>
        <x:v>0.9</x:v>
      </x:c>
      <x:c r="S763" s="9" t="n">
        <x:f>R763*'Parameters'!$C$19</x:f>
        <x:v>1.125</x:v>
      </x:c>
      <x:c r="T763" s="9" t="n">
        <x:f>Q763*(1-0.40)-R763</x:f>
        <x:v>1.7999999999999998</x:v>
      </x:c>
    </x:row>
    <x:row r="764" ht="21" customHeight="1">
      <x:c r="A764" s="3" t="n">
        <x:v>12</x:v>
      </x:c>
      <x:c r="B764" s="3" t="str">
        <x:v>02:00</x:v>
      </x:c>
      <x:c r="C764" s="3" t="n">
        <x:v>3</x:v>
      </x:c>
      <x:c r="D764" s="3" t="n">
        <x:v>43</x:v>
      </x:c>
      <x:c r="E764" s="3" t="n">
        <x:v>7</x:v>
      </x:c>
      <x:c r="F764" s="3" t="n">
        <x:v>3</x:v>
      </x:c>
      <x:c r="G764" s="9" t="n">
        <x:v>0.1</x:v>
      </x:c>
      <x:c r="H764" s="9" t="n">
        <x:v>1.050432</x:v>
      </x:c>
      <x:c r="I764" s="9" t="n">
        <x:f>'Physical_Arcs'!R44</x:f>
        <x:v>7.638888888888889</x:v>
      </x:c>
      <x:c r="J764" s="9" t="n">
        <x:f>I764*'Parameters'!$C$18</x:f>
        <x:v>1.527777777777778</x:v>
      </x:c>
      <x:c r="K764" s="9" t="n">
        <x:f>J764*'Parameters'!$C$19</x:f>
        <x:v>1.9097222222222223</x:v>
      </x:c>
      <x:c r="L764" s="9" t="n">
        <x:f>I764*(1-0.40)-J764</x:f>
        <x:v>3.0555555555555554</x:v>
      </x:c>
      <x:c r="M764" s="9" t="n">
        <x:f>'Physical_Arcs'!S44</x:f>
        <x:v>7.638888888888889</x:v>
      </x:c>
      <x:c r="N764" s="9" t="n">
        <x:f>M764*'Parameters'!$C$18</x:f>
        <x:v>1.527777777777778</x:v>
      </x:c>
      <x:c r="O764" s="9" t="n">
        <x:f>N764*'Parameters'!$C$19</x:f>
        <x:v>1.9097222222222223</x:v>
      </x:c>
      <x:c r="P764" s="9" t="n">
        <x:f>M764*(1-0.40)-N764</x:f>
        <x:v>3.0555555555555554</x:v>
      </x:c>
      <x:c r="Q764" s="9" t="n">
        <x:f>'Physical_Arcs'!T44</x:f>
        <x:v>3.8333333333333335</x:v>
      </x:c>
      <x:c r="R764" s="9" t="n">
        <x:f>Q764*'Parameters'!$C$18</x:f>
        <x:v>0.7666666666666667</x:v>
      </x:c>
      <x:c r="S764" s="9" t="n">
        <x:f>R764*'Parameters'!$C$19</x:f>
        <x:v>0.9583333333333334</x:v>
      </x:c>
      <x:c r="T764" s="9" t="n">
        <x:f>Q764*(1-0.40)-R764</x:f>
        <x:v>1.5333333333333332</x:v>
      </x:c>
    </x:row>
    <x:row r="765" ht="21" customHeight="1">
      <x:c r="A765" s="3" t="n">
        <x:v>12</x:v>
      </x:c>
      <x:c r="B765" s="3" t="str">
        <x:v>02:00</x:v>
      </x:c>
      <x:c r="C765" s="3" t="n">
        <x:v>3</x:v>
      </x:c>
      <x:c r="D765" s="3" t="n">
        <x:v>44</x:v>
      </x:c>
      <x:c r="E765" s="3" t="n">
        <x:v>8</x:v>
      </x:c>
      <x:c r="F765" s="3" t="n">
        <x:v>9</x:v>
      </x:c>
      <x:c r="G765" s="9" t="n">
        <x:v>0.1</x:v>
      </x:c>
      <x:c r="H765" s="9" t="n">
        <x:v>0.868101</x:v>
      </x:c>
      <x:c r="I765" s="9" t="n">
        <x:f>'Physical_Arcs'!R45</x:f>
        <x:v>17.02777777777778</x:v>
      </x:c>
      <x:c r="J765" s="9" t="n">
        <x:f>I765*'Parameters'!$C$18</x:f>
        <x:v>3.405555555555556</x:v>
      </x:c>
      <x:c r="K765" s="9" t="n">
        <x:f>J765*'Parameters'!$C$19</x:f>
        <x:v>4.256944444444445</x:v>
      </x:c>
      <x:c r="L765" s="9" t="n">
        <x:f>I765*(1-0.40)-J765</x:f>
        <x:v>6.811111111111111</x:v>
      </x:c>
      <x:c r="M765" s="9" t="n">
        <x:f>'Physical_Arcs'!S45</x:f>
        <x:v>17.02777777777778</x:v>
      </x:c>
      <x:c r="N765" s="9" t="n">
        <x:f>M765*'Parameters'!$C$18</x:f>
        <x:v>3.405555555555556</x:v>
      </x:c>
      <x:c r="O765" s="9" t="n">
        <x:f>N765*'Parameters'!$C$19</x:f>
        <x:v>4.256944444444445</x:v>
      </x:c>
      <x:c r="P765" s="9" t="n">
        <x:f>M765*(1-0.40)-N765</x:f>
        <x:v>6.811111111111111</x:v>
      </x:c>
      <x:c r="Q765" s="9" t="n">
        <x:f>'Physical_Arcs'!T45</x:f>
        <x:v>17.02777777777778</x:v>
      </x:c>
      <x:c r="R765" s="9" t="n">
        <x:f>Q765*'Parameters'!$C$18</x:f>
        <x:v>3.405555555555556</x:v>
      </x:c>
      <x:c r="S765" s="9" t="n">
        <x:f>R765*'Parameters'!$C$19</x:f>
        <x:v>4.256944444444445</x:v>
      </x:c>
      <x:c r="T765" s="9" t="n">
        <x:f>Q765*(1-0.40)-R765</x:f>
        <x:v>6.811111111111111</x:v>
      </x:c>
    </x:row>
    <x:row r="766" ht="21" customHeight="1">
      <x:c r="A766" s="3" t="n">
        <x:v>12</x:v>
      </x:c>
      <x:c r="B766" s="3" t="str">
        <x:v>02:00</x:v>
      </x:c>
      <x:c r="C766" s="3" t="n">
        <x:v>3</x:v>
      </x:c>
      <x:c r="D766" s="3" t="n">
        <x:v>45</x:v>
      </x:c>
      <x:c r="E766" s="3" t="n">
        <x:v>8</x:v>
      </x:c>
      <x:c r="F766" s="3" t="n">
        <x:v>3</x:v>
      </x:c>
      <x:c r="G766" s="9" t="n">
        <x:v>0.1</x:v>
      </x:c>
      <x:c r="H766" s="9" t="n">
        <x:v>0.944958</x:v>
      </x:c>
      <x:c r="I766" s="9" t="n">
        <x:f>'Physical_Arcs'!R46</x:f>
        <x:v>5.388888888888889</x:v>
      </x:c>
      <x:c r="J766" s="9" t="n">
        <x:f>I766*'Parameters'!$C$18</x:f>
        <x:v>1.077777777777778</x:v>
      </x:c>
      <x:c r="K766" s="9" t="n">
        <x:f>J766*'Parameters'!$C$19</x:f>
        <x:v>1.3472222222222223</x:v>
      </x:c>
      <x:c r="L766" s="9" t="n">
        <x:f>I766*(1-0.40)-J766</x:f>
        <x:v>2.1555555555555554</x:v>
      </x:c>
      <x:c r="M766" s="9" t="n">
        <x:f>'Physical_Arcs'!S46</x:f>
        <x:v>5.388888888888889</x:v>
      </x:c>
      <x:c r="N766" s="9" t="n">
        <x:f>M766*'Parameters'!$C$18</x:f>
        <x:v>1.077777777777778</x:v>
      </x:c>
      <x:c r="O766" s="9" t="n">
        <x:f>N766*'Parameters'!$C$19</x:f>
        <x:v>1.3472222222222223</x:v>
      </x:c>
      <x:c r="P766" s="9" t="n">
        <x:f>M766*(1-0.40)-N766</x:f>
        <x:v>2.1555555555555554</x:v>
      </x:c>
      <x:c r="Q766" s="9" t="n">
        <x:f>'Physical_Arcs'!T46</x:f>
        <x:v>2.6944444444444446</x:v>
      </x:c>
      <x:c r="R766" s="9" t="n">
        <x:f>Q766*'Parameters'!$C$18</x:f>
        <x:v>0.538888888888889</x:v>
      </x:c>
      <x:c r="S766" s="9" t="n">
        <x:f>R766*'Parameters'!$C$19</x:f>
        <x:v>0.6736111111111112</x:v>
      </x:c>
      <x:c r="T766" s="9" t="n">
        <x:f>Q766*(1-0.40)-R766</x:f>
        <x:v>1.0777777777777777</x:v>
      </x:c>
    </x:row>
    <x:row r="767" ht="21" customHeight="1">
      <x:c r="A767" s="3" t="n">
        <x:v>12</x:v>
      </x:c>
      <x:c r="B767" s="3" t="str">
        <x:v>02:00</x:v>
      </x:c>
      <x:c r="C767" s="3" t="n">
        <x:v>3</x:v>
      </x:c>
      <x:c r="D767" s="3" t="n">
        <x:v>46</x:v>
      </x:c>
      <x:c r="E767" s="3" t="n">
        <x:v>8</x:v>
      </x:c>
      <x:c r="F767" s="3" t="n">
        <x:v>7</x:v>
      </x:c>
      <x:c r="G767" s="9" t="n">
        <x:v>0.1</x:v>
      </x:c>
      <x:c r="H767" s="9" t="n">
        <x:v>0.866232</x:v>
      </x:c>
      <x:c r="I767" s="9" t="n">
        <x:f>'Physical_Arcs'!R47</x:f>
        <x:v>5.388888888888889</x:v>
      </x:c>
      <x:c r="J767" s="9" t="n">
        <x:f>I767*'Parameters'!$C$18</x:f>
        <x:v>1.077777777777778</x:v>
      </x:c>
      <x:c r="K767" s="9" t="n">
        <x:f>J767*'Parameters'!$C$19</x:f>
        <x:v>1.3472222222222223</x:v>
      </x:c>
      <x:c r="L767" s="9" t="n">
        <x:f>I767*(1-0.40)-J767</x:f>
        <x:v>2.1555555555555554</x:v>
      </x:c>
      <x:c r="M767" s="9" t="n">
        <x:f>'Physical_Arcs'!S47</x:f>
        <x:v>5.388888888888889</x:v>
      </x:c>
      <x:c r="N767" s="9" t="n">
        <x:f>M767*'Parameters'!$C$18</x:f>
        <x:v>1.077777777777778</x:v>
      </x:c>
      <x:c r="O767" s="9" t="n">
        <x:f>N767*'Parameters'!$C$19</x:f>
        <x:v>1.3472222222222223</x:v>
      </x:c>
      <x:c r="P767" s="9" t="n">
        <x:f>M767*(1-0.40)-N767</x:f>
        <x:v>2.1555555555555554</x:v>
      </x:c>
      <x:c r="Q767" s="9" t="n">
        <x:f>'Physical_Arcs'!T47</x:f>
        <x:v>2.6944444444444446</x:v>
      </x:c>
      <x:c r="R767" s="9" t="n">
        <x:f>Q767*'Parameters'!$C$18</x:f>
        <x:v>0.538888888888889</x:v>
      </x:c>
      <x:c r="S767" s="9" t="n">
        <x:f>R767*'Parameters'!$C$19</x:f>
        <x:v>0.6736111111111112</x:v>
      </x:c>
      <x:c r="T767" s="9" t="n">
        <x:f>Q767*(1-0.40)-R767</x:f>
        <x:v>1.0777777777777777</x:v>
      </x:c>
    </x:row>
    <x:row r="768" ht="21" customHeight="1">
      <x:c r="A768" s="3" t="n">
        <x:v>12</x:v>
      </x:c>
      <x:c r="B768" s="3" t="str">
        <x:v>02:00</x:v>
      </x:c>
      <x:c r="C768" s="3" t="n">
        <x:v>3</x:v>
      </x:c>
      <x:c r="D768" s="3" t="n">
        <x:v>47</x:v>
      </x:c>
      <x:c r="E768" s="3" t="n">
        <x:v>8</x:v>
      </x:c>
      <x:c r="F768" s="3" t="n">
        <x:v>2</x:v>
      </x:c>
      <x:c r="G768" s="9" t="n">
        <x:v>0.1</x:v>
      </x:c>
      <x:c r="H768" s="9" t="n">
        <x:v>1.135644</x:v>
      </x:c>
      <x:c r="I768" s="9" t="n">
        <x:f>'Physical_Arcs'!R48</x:f>
        <x:v>8.083333333333334</x:v>
      </x:c>
      <x:c r="J768" s="9" t="n">
        <x:f>I768*'Parameters'!$C$18</x:f>
        <x:v>1.616666666666667</x:v>
      </x:c>
      <x:c r="K768" s="9" t="n">
        <x:f>J768*'Parameters'!$C$19</x:f>
        <x:v>2.0208333333333335</x:v>
      </x:c>
      <x:c r="L768" s="9" t="n">
        <x:f>I768*(1-0.40)-J768</x:f>
        <x:v>3.2333333333333334</x:v>
      </x:c>
      <x:c r="M768" s="9" t="n">
        <x:f>'Physical_Arcs'!S48</x:f>
        <x:v>8.083333333333334</x:v>
      </x:c>
      <x:c r="N768" s="9" t="n">
        <x:f>M768*'Parameters'!$C$18</x:f>
        <x:v>1.616666666666667</x:v>
      </x:c>
      <x:c r="O768" s="9" t="n">
        <x:f>N768*'Parameters'!$C$19</x:f>
        <x:v>2.0208333333333335</x:v>
      </x:c>
      <x:c r="P768" s="9" t="n">
        <x:f>M768*(1-0.40)-N768</x:f>
        <x:v>3.2333333333333334</x:v>
      </x:c>
      <x:c r="Q768" s="9" t="n">
        <x:f>'Physical_Arcs'!T48</x:f>
        <x:v>4.055555555555555</x:v>
      </x:c>
      <x:c r="R768" s="9" t="n">
        <x:f>Q768*'Parameters'!$C$18</x:f>
        <x:v>0.8111111111111111</x:v>
      </x:c>
      <x:c r="S768" s="9" t="n">
        <x:f>R768*'Parameters'!$C$19</x:f>
        <x:v>1.0138888888888888</x:v>
      </x:c>
      <x:c r="T768" s="9" t="n">
        <x:f>Q768*(1-0.40)-R768</x:f>
        <x:v>1.622222222222222</x:v>
      </x:c>
    </x:row>
    <x:row r="769" ht="21" customHeight="1">
      <x:c r="A769" s="3" t="n">
        <x:v>12</x:v>
      </x:c>
      <x:c r="B769" s="3" t="str">
        <x:v>02:00</x:v>
      </x:c>
      <x:c r="C769" s="3" t="n">
        <x:v>3</x:v>
      </x:c>
      <x:c r="D769" s="3" t="n">
        <x:v>48</x:v>
      </x:c>
      <x:c r="E769" s="3" t="n">
        <x:v>8</x:v>
      </x:c>
      <x:c r="F769" s="3" t="n">
        <x:v>6</x:v>
      </x:c>
      <x:c r="G769" s="9" t="n">
        <x:v>0.1</x:v>
      </x:c>
      <x:c r="H769" s="9" t="n">
        <x:v>0.850778</x:v>
      </x:c>
      <x:c r="I769" s="9" t="n">
        <x:f>'Physical_Arcs'!R49</x:f>
        <x:v>10.555555555555555</x:v>
      </x:c>
      <x:c r="J769" s="9" t="n">
        <x:f>I769*'Parameters'!$C$18</x:f>
        <x:v>2.111111111111111</x:v>
      </x:c>
      <x:c r="K769" s="9" t="n">
        <x:f>J769*'Parameters'!$C$19</x:f>
        <x:v>2.638888888888889</x:v>
      </x:c>
      <x:c r="L769" s="9" t="n">
        <x:f>I769*(1-0.40)-J769</x:f>
        <x:v>4.222222222222221</x:v>
      </x:c>
      <x:c r="M769" s="9" t="n">
        <x:f>'Physical_Arcs'!S49</x:f>
        <x:v>10.555555555555555</x:v>
      </x:c>
      <x:c r="N769" s="9" t="n">
        <x:f>M769*'Parameters'!$C$18</x:f>
        <x:v>2.111111111111111</x:v>
      </x:c>
      <x:c r="O769" s="9" t="n">
        <x:f>N769*'Parameters'!$C$19</x:f>
        <x:v>2.638888888888889</x:v>
      </x:c>
      <x:c r="P769" s="9" t="n">
        <x:f>M769*(1-0.40)-N769</x:f>
        <x:v>4.222222222222221</x:v>
      </x:c>
      <x:c r="Q769" s="9" t="n">
        <x:f>'Physical_Arcs'!T49</x:f>
        <x:v>5.277777777777778</x:v>
      </x:c>
      <x:c r="R769" s="9" t="n">
        <x:f>Q769*'Parameters'!$C$18</x:f>
        <x:v>1.0555555555555556</x:v>
      </x:c>
      <x:c r="S769" s="9" t="n">
        <x:f>R769*'Parameters'!$C$19</x:f>
        <x:v>1.3194444444444444</x:v>
      </x:c>
      <x:c r="T769" s="9" t="n">
        <x:f>Q769*(1-0.40)-R769</x:f>
        <x:v>2.1111111111111107</x:v>
      </x:c>
    </x:row>
    <x:row r="770" ht="21" customHeight="1">
      <x:c r="A770" s="3" t="n">
        <x:v>12</x:v>
      </x:c>
      <x:c r="B770" s="3" t="str">
        <x:v>02:00</x:v>
      </x:c>
      <x:c r="C770" s="3" t="n">
        <x:v>3</x:v>
      </x:c>
      <x:c r="D770" s="3" t="n">
        <x:v>49</x:v>
      </x:c>
      <x:c r="E770" s="3" t="n">
        <x:v>8</x:v>
      </x:c>
      <x:c r="F770" s="3" t="n">
        <x:v>4</x:v>
      </x:c>
      <x:c r="G770" s="9" t="n">
        <x:v>0.1</x:v>
      </x:c>
      <x:c r="H770" s="9" t="n">
        <x:v>0.904949</x:v>
      </x:c>
      <x:c r="I770" s="9" t="n">
        <x:f>'Physical_Arcs'!R50</x:f>
        <x:v>1.5833333333333333</x:v>
      </x:c>
      <x:c r="J770" s="9" t="n">
        <x:f>I770*'Parameters'!$C$18</x:f>
        <x:v>0.31666666666666665</x:v>
      </x:c>
      <x:c r="K770" s="9" t="n">
        <x:f>J770*'Parameters'!$C$19</x:f>
        <x:v>0.3958333333333333</x:v>
      </x:c>
      <x:c r="L770" s="9" t="n">
        <x:f>I770*(1-0.40)-J770</x:f>
        <x:v>0.6333333333333333</x:v>
      </x:c>
      <x:c r="M770" s="9" t="n">
        <x:f>'Physical_Arcs'!S50</x:f>
        <x:v>1.5833333333333333</x:v>
      </x:c>
      <x:c r="N770" s="9" t="n">
        <x:f>M770*'Parameters'!$C$18</x:f>
        <x:v>0.31666666666666665</x:v>
      </x:c>
      <x:c r="O770" s="9" t="n">
        <x:f>N770*'Parameters'!$C$19</x:f>
        <x:v>0.3958333333333333</x:v>
      </x:c>
      <x:c r="P770" s="9" t="n">
        <x:f>M770*(1-0.40)-N770</x:f>
        <x:v>0.6333333333333333</x:v>
      </x:c>
      <x:c r="Q770" s="9" t="n">
        <x:f>'Physical_Arcs'!T50</x:f>
        <x:v>0.8055555555555556</x:v>
      </x:c>
      <x:c r="R770" s="9" t="n">
        <x:f>Q770*'Parameters'!$C$18</x:f>
        <x:v>0.16111111111111112</x:v>
      </x:c>
      <x:c r="S770" s="9" t="n">
        <x:f>R770*'Parameters'!$C$19</x:f>
        <x:v>0.2013888888888889</x:v>
      </x:c>
      <x:c r="T770" s="9" t="n">
        <x:f>Q770*(1-0.40)-R770</x:f>
        <x:v>0.3222222222222222</x:v>
      </x:c>
    </x:row>
    <x:row r="771" ht="21" customHeight="1">
      <x:c r="A771" s="3" t="n">
        <x:v>12</x:v>
      </x:c>
      <x:c r="B771" s="3" t="str">
        <x:v>02:00</x:v>
      </x:c>
      <x:c r="C771" s="3" t="n">
        <x:v>3</x:v>
      </x:c>
      <x:c r="D771" s="3" t="n">
        <x:v>50</x:v>
      </x:c>
      <x:c r="E771" s="3" t="n">
        <x:v>8</x:v>
      </x:c>
      <x:c r="F771" s="3" t="n">
        <x:v>5</x:v>
      </x:c>
      <x:c r="G771" s="9" t="n">
        <x:v>0.1</x:v>
      </x:c>
      <x:c r="H771" s="9" t="n">
        <x:v>0.990416</x:v>
      </x:c>
      <x:c r="I771" s="9" t="n">
        <x:f>'Physical_Arcs'!R51</x:f>
        <x:v>10.777777777777779</x:v>
      </x:c>
      <x:c r="J771" s="9" t="n">
        <x:f>I771*'Parameters'!$C$18</x:f>
        <x:v>2.155555555555556</x:v>
      </x:c>
      <x:c r="K771" s="9" t="n">
        <x:f>J771*'Parameters'!$C$19</x:f>
        <x:v>2.6944444444444446</x:v>
      </x:c>
      <x:c r="L771" s="9" t="n">
        <x:f>I771*(1-0.40)-J771</x:f>
        <x:v>4.311111111111111</x:v>
      </x:c>
      <x:c r="M771" s="9" t="n">
        <x:f>'Physical_Arcs'!S51</x:f>
        <x:v>10.777777777777779</x:v>
      </x:c>
      <x:c r="N771" s="9" t="n">
        <x:f>M771*'Parameters'!$C$18</x:f>
        <x:v>2.155555555555556</x:v>
      </x:c>
      <x:c r="O771" s="9" t="n">
        <x:f>N771*'Parameters'!$C$19</x:f>
        <x:v>2.6944444444444446</x:v>
      </x:c>
      <x:c r="P771" s="9" t="n">
        <x:f>M771*(1-0.40)-N771</x:f>
        <x:v>4.311111111111111</x:v>
      </x:c>
      <x:c r="Q771" s="9" t="n">
        <x:f>'Physical_Arcs'!T51</x:f>
        <x:v>5.388888888888889</x:v>
      </x:c>
      <x:c r="R771" s="9" t="n">
        <x:f>Q771*'Parameters'!$C$18</x:f>
        <x:v>1.077777777777778</x:v>
      </x:c>
      <x:c r="S771" s="9" t="n">
        <x:f>R771*'Parameters'!$C$19</x:f>
        <x:v>1.3472222222222223</x:v>
      </x:c>
      <x:c r="T771" s="9" t="n">
        <x:f>Q771*(1-0.40)-R771</x:f>
        <x:v>2.1555555555555554</x:v>
      </x:c>
    </x:row>
    <x:row r="772" ht="21" customHeight="1">
      <x:c r="A772" s="3" t="n">
        <x:v>12</x:v>
      </x:c>
      <x:c r="B772" s="3" t="str">
        <x:v>02:00</x:v>
      </x:c>
      <x:c r="C772" s="3" t="n">
        <x:v>3</x:v>
      </x:c>
      <x:c r="D772" s="3" t="n">
        <x:v>51</x:v>
      </x:c>
      <x:c r="E772" s="3" t="n">
        <x:v>8</x:v>
      </x:c>
      <x:c r="F772" s="3" t="n">
        <x:v>1</x:v>
      </x:c>
      <x:c r="G772" s="9" t="n">
        <x:v>0.1</x:v>
      </x:c>
      <x:c r="H772" s="9" t="n">
        <x:v>1.039066</x:v>
      </x:c>
      <x:c r="I772" s="9" t="n">
        <x:f>'Physical_Arcs'!R52</x:f>
        <x:v>8.88888888888889</x:v>
      </x:c>
      <x:c r="J772" s="9" t="n">
        <x:f>I772*'Parameters'!$C$18</x:f>
        <x:v>1.777777777777778</x:v>
      </x:c>
      <x:c r="K772" s="9" t="n">
        <x:f>J772*'Parameters'!$C$19</x:f>
        <x:v>2.2222222222222223</x:v>
      </x:c>
      <x:c r="L772" s="9" t="n">
        <x:f>I772*(1-0.40)-J772</x:f>
        <x:v>3.5555555555555554</x:v>
      </x:c>
      <x:c r="M772" s="9" t="n">
        <x:f>'Physical_Arcs'!S52</x:f>
        <x:v>8.88888888888889</x:v>
      </x:c>
      <x:c r="N772" s="9" t="n">
        <x:f>M772*'Parameters'!$C$18</x:f>
        <x:v>1.777777777777778</x:v>
      </x:c>
      <x:c r="O772" s="9" t="n">
        <x:f>N772*'Parameters'!$C$19</x:f>
        <x:v>2.2222222222222223</x:v>
      </x:c>
      <x:c r="P772" s="9" t="n">
        <x:f>M772*(1-0.40)-N772</x:f>
        <x:v>3.5555555555555554</x:v>
      </x:c>
      <x:c r="Q772" s="9" t="n">
        <x:f>'Physical_Arcs'!T52</x:f>
        <x:v>4.444444444444445</x:v>
      </x:c>
      <x:c r="R772" s="9" t="n">
        <x:f>Q772*'Parameters'!$C$18</x:f>
        <x:v>0.888888888888889</x:v>
      </x:c>
      <x:c r="S772" s="9" t="n">
        <x:f>R772*'Parameters'!$C$19</x:f>
        <x:v>1.1111111111111112</x:v>
      </x:c>
      <x:c r="T772" s="9" t="n">
        <x:f>Q772*(1-0.40)-R772</x:f>
        <x:v>1.7777777777777777</x:v>
      </x:c>
    </x:row>
    <x:row r="773" ht="21" customHeight="1">
      <x:c r="A773" s="3" t="n">
        <x:v>12</x:v>
      </x:c>
      <x:c r="B773" s="3" t="str">
        <x:v>02:00</x:v>
      </x:c>
      <x:c r="C773" s="3" t="n">
        <x:v>3</x:v>
      </x:c>
      <x:c r="D773" s="3" t="n">
        <x:v>52</x:v>
      </x:c>
      <x:c r="E773" s="3" t="n">
        <x:v>9</x:v>
      </x:c>
      <x:c r="F773" s="3" t="n">
        <x:v>10</x:v>
      </x:c>
      <x:c r="G773" s="9" t="n">
        <x:v>0.1</x:v>
      </x:c>
      <x:c r="H773" s="9" t="n">
        <x:v>0.954096</x:v>
      </x:c>
      <x:c r="I773" s="9" t="n">
        <x:f>'Physical_Arcs'!R53</x:f>
        <x:v>17.02777777777778</x:v>
      </x:c>
      <x:c r="J773" s="9" t="n">
        <x:f>I773*'Parameters'!$C$18</x:f>
        <x:v>3.405555555555556</x:v>
      </x:c>
      <x:c r="K773" s="9" t="n">
        <x:f>J773*'Parameters'!$C$19</x:f>
        <x:v>4.256944444444445</x:v>
      </x:c>
      <x:c r="L773" s="9" t="n">
        <x:f>I773*(1-0.40)-J773</x:f>
        <x:v>6.811111111111111</x:v>
      </x:c>
      <x:c r="M773" s="9" t="n">
        <x:f>'Physical_Arcs'!S53</x:f>
        <x:v>17.02777777777778</x:v>
      </x:c>
      <x:c r="N773" s="9" t="n">
        <x:f>M773*'Parameters'!$C$18</x:f>
        <x:v>3.405555555555556</x:v>
      </x:c>
      <x:c r="O773" s="9" t="n">
        <x:f>N773*'Parameters'!$C$19</x:f>
        <x:v>4.256944444444445</x:v>
      </x:c>
      <x:c r="P773" s="9" t="n">
        <x:f>M773*(1-0.40)-N773</x:f>
        <x:v>6.811111111111111</x:v>
      </x:c>
      <x:c r="Q773" s="9" t="n">
        <x:f>'Physical_Arcs'!T53</x:f>
        <x:v>17.02777777777778</x:v>
      </x:c>
      <x:c r="R773" s="9" t="n">
        <x:f>Q773*'Parameters'!$C$18</x:f>
        <x:v>3.405555555555556</x:v>
      </x:c>
      <x:c r="S773" s="9" t="n">
        <x:f>R773*'Parameters'!$C$19</x:f>
        <x:v>4.256944444444445</x:v>
      </x:c>
      <x:c r="T773" s="9" t="n">
        <x:f>Q773*(1-0.40)-R773</x:f>
        <x:v>6.811111111111111</x:v>
      </x:c>
    </x:row>
    <x:row r="774" ht="21" customHeight="1">
      <x:c r="A774" s="3" t="n">
        <x:v>12</x:v>
      </x:c>
      <x:c r="B774" s="3" t="str">
        <x:v>02:00</x:v>
      </x:c>
      <x:c r="C774" s="3" t="n">
        <x:v>3</x:v>
      </x:c>
      <x:c r="D774" s="3" t="n">
        <x:v>53</x:v>
      </x:c>
      <x:c r="E774" s="3" t="n">
        <x:v>9</x:v>
      </x:c>
      <x:c r="F774" s="3" t="n">
        <x:v>6</x:v>
      </x:c>
      <x:c r="G774" s="9" t="n">
        <x:v>0.1</x:v>
      </x:c>
      <x:c r="H774" s="9" t="n">
        <x:v>1.125574</x:v>
      </x:c>
      <x:c r="I774" s="9" t="n">
        <x:f>'Physical_Arcs'!R54</x:f>
        <x:v>9.666666666666666</x:v>
      </x:c>
      <x:c r="J774" s="9" t="n">
        <x:f>I774*'Parameters'!$C$18</x:f>
        <x:v>1.9333333333333333</x:v>
      </x:c>
      <x:c r="K774" s="9" t="n">
        <x:f>J774*'Parameters'!$C$19</x:f>
        <x:v>2.4166666666666665</x:v>
      </x:c>
      <x:c r="L774" s="9" t="n">
        <x:f>I774*(1-0.40)-J774</x:f>
        <x:v>3.8666666666666663</x:v>
      </x:c>
      <x:c r="M774" s="9" t="n">
        <x:f>'Physical_Arcs'!S54</x:f>
        <x:v>9.666666666666666</x:v>
      </x:c>
      <x:c r="N774" s="9" t="n">
        <x:f>M774*'Parameters'!$C$18</x:f>
        <x:v>1.9333333333333333</x:v>
      </x:c>
      <x:c r="O774" s="9" t="n">
        <x:f>N774*'Parameters'!$C$19</x:f>
        <x:v>2.4166666666666665</x:v>
      </x:c>
      <x:c r="P774" s="9" t="n">
        <x:f>M774*(1-0.40)-N774</x:f>
        <x:v>3.8666666666666663</x:v>
      </x:c>
      <x:c r="Q774" s="9" t="n">
        <x:f>'Physical_Arcs'!T54</x:f>
        <x:v>4.833333333333333</x:v>
      </x:c>
      <x:c r="R774" s="9" t="n">
        <x:f>Q774*'Parameters'!$C$18</x:f>
        <x:v>0.9666666666666667</x:v>
      </x:c>
      <x:c r="S774" s="9" t="n">
        <x:f>R774*'Parameters'!$C$19</x:f>
        <x:v>1.2083333333333333</x:v>
      </x:c>
      <x:c r="T774" s="9" t="n">
        <x:f>Q774*(1-0.40)-R774</x:f>
        <x:v>1.9333333333333331</x:v>
      </x:c>
    </x:row>
    <x:row r="775" ht="21" customHeight="1">
      <x:c r="A775" s="3" t="n">
        <x:v>12</x:v>
      </x:c>
      <x:c r="B775" s="3" t="str">
        <x:v>02:00</x:v>
      </x:c>
      <x:c r="C775" s="3" t="n">
        <x:v>3</x:v>
      </x:c>
      <x:c r="D775" s="3" t="n">
        <x:v>54</x:v>
      </x:c>
      <x:c r="E775" s="3" t="n">
        <x:v>9</x:v>
      </x:c>
      <x:c r="F775" s="3" t="n">
        <x:v>2</x:v>
      </x:c>
      <x:c r="G775" s="9" t="n">
        <x:v>0.1</x:v>
      </x:c>
      <x:c r="H775" s="9" t="n">
        <x:v>0.854534</x:v>
      </x:c>
      <x:c r="I775" s="9" t="n">
        <x:f>'Physical_Arcs'!R55</x:f>
        <x:v>9.88888888888889</x:v>
      </x:c>
      <x:c r="J775" s="9" t="n">
        <x:f>I775*'Parameters'!$C$18</x:f>
        <x:v>1.9777777777777779</x:v>
      </x:c>
      <x:c r="K775" s="9" t="n">
        <x:f>J775*'Parameters'!$C$19</x:f>
        <x:v>2.4722222222222223</x:v>
      </x:c>
      <x:c r="L775" s="9" t="n">
        <x:f>I775*(1-0.40)-J775</x:f>
        <x:v>3.9555555555555557</x:v>
      </x:c>
      <x:c r="M775" s="9" t="n">
        <x:f>'Physical_Arcs'!S55</x:f>
        <x:v>9.88888888888889</x:v>
      </x:c>
      <x:c r="N775" s="9" t="n">
        <x:f>M775*'Parameters'!$C$18</x:f>
        <x:v>1.9777777777777779</x:v>
      </x:c>
      <x:c r="O775" s="9" t="n">
        <x:f>N775*'Parameters'!$C$19</x:f>
        <x:v>2.4722222222222223</x:v>
      </x:c>
      <x:c r="P775" s="9" t="n">
        <x:f>M775*(1-0.40)-N775</x:f>
        <x:v>3.9555555555555557</x:v>
      </x:c>
      <x:c r="Q775" s="9" t="n">
        <x:f>'Physical_Arcs'!T55</x:f>
        <x:v>4.944444444444445</x:v>
      </x:c>
      <x:c r="R775" s="9" t="n">
        <x:f>Q775*'Parameters'!$C$18</x:f>
        <x:v>0.9888888888888889</x:v>
      </x:c>
      <x:c r="S775" s="9" t="n">
        <x:f>R775*'Parameters'!$C$19</x:f>
        <x:v>1.2361111111111112</x:v>
      </x:c>
      <x:c r="T775" s="9" t="n">
        <x:f>Q775*(1-0.40)-R775</x:f>
        <x:v>1.9777777777777779</x:v>
      </x:c>
    </x:row>
    <x:row r="776" ht="21" customHeight="1">
      <x:c r="A776" s="3" t="n">
        <x:v>12</x:v>
      </x:c>
      <x:c r="B776" s="3" t="str">
        <x:v>02:00</x:v>
      </x:c>
      <x:c r="C776" s="3" t="n">
        <x:v>3</x:v>
      </x:c>
      <x:c r="D776" s="3" t="n">
        <x:v>55</x:v>
      </x:c>
      <x:c r="E776" s="3" t="n">
        <x:v>9</x:v>
      </x:c>
      <x:c r="F776" s="3" t="n">
        <x:v>7</x:v>
      </x:c>
      <x:c r="G776" s="9" t="n">
        <x:v>0.1</x:v>
      </x:c>
      <x:c r="H776" s="9" t="n">
        <x:v>0.900033</x:v>
      </x:c>
      <x:c r="I776" s="9" t="n">
        <x:f>'Physical_Arcs'!R56</x:f>
        <x:v>4.166666666666667</x:v>
      </x:c>
      <x:c r="J776" s="9" t="n">
        <x:f>I776*'Parameters'!$C$18</x:f>
        <x:v>0.8333333333333335</x:v>
      </x:c>
      <x:c r="K776" s="9" t="n">
        <x:f>J776*'Parameters'!$C$19</x:f>
        <x:v>1.041666666666667</x:v>
      </x:c>
      <x:c r="L776" s="9" t="n">
        <x:f>I776*(1-0.40)-J776</x:f>
        <x:v>1.6666666666666665</x:v>
      </x:c>
      <x:c r="M776" s="9" t="n">
        <x:f>'Physical_Arcs'!S56</x:f>
        <x:v>4.166666666666667</x:v>
      </x:c>
      <x:c r="N776" s="9" t="n">
        <x:f>M776*'Parameters'!$C$18</x:f>
        <x:v>0.8333333333333335</x:v>
      </x:c>
      <x:c r="O776" s="9" t="n">
        <x:f>N776*'Parameters'!$C$19</x:f>
        <x:v>1.041666666666667</x:v>
      </x:c>
      <x:c r="P776" s="9" t="n">
        <x:f>M776*(1-0.40)-N776</x:f>
        <x:v>1.6666666666666665</x:v>
      </x:c>
      <x:c r="Q776" s="9" t="n">
        <x:f>'Physical_Arcs'!T56</x:f>
        <x:v>2.0833333333333335</x:v>
      </x:c>
      <x:c r="R776" s="9" t="n">
        <x:f>Q776*'Parameters'!$C$18</x:f>
        <x:v>0.41666666666666674</x:v>
      </x:c>
      <x:c r="S776" s="9" t="n">
        <x:f>R776*'Parameters'!$C$19</x:f>
        <x:v>0.5208333333333335</x:v>
      </x:c>
      <x:c r="T776" s="9" t="n">
        <x:f>Q776*(1-0.40)-R776</x:f>
        <x:v>0.8333333333333333</x:v>
      </x:c>
    </x:row>
    <x:row r="777" ht="21" customHeight="1">
      <x:c r="A777" s="3" t="n">
        <x:v>12</x:v>
      </x:c>
      <x:c r="B777" s="3" t="str">
        <x:v>02:00</x:v>
      </x:c>
      <x:c r="C777" s="3" t="n">
        <x:v>3</x:v>
      </x:c>
      <x:c r="D777" s="3" t="n">
        <x:v>56</x:v>
      </x:c>
      <x:c r="E777" s="3" t="n">
        <x:v>9</x:v>
      </x:c>
      <x:c r="F777" s="3" t="n">
        <x:v>3</x:v>
      </x:c>
      <x:c r="G777" s="9" t="n">
        <x:v>0.1</x:v>
      </x:c>
      <x:c r="H777" s="9" t="n">
        <x:v>0.893428</x:v>
      </x:c>
      <x:c r="I777" s="9" t="n">
        <x:f>'Physical_Arcs'!R57</x:f>
        <x:v>3.7222222222222223</x:v>
      </x:c>
      <x:c r="J777" s="9" t="n">
        <x:f>I777*'Parameters'!$C$18</x:f>
        <x:v>0.7444444444444445</x:v>
      </x:c>
      <x:c r="K777" s="9" t="n">
        <x:f>J777*'Parameters'!$C$19</x:f>
        <x:v>0.9305555555555556</x:v>
      </x:c>
      <x:c r="L777" s="9" t="n">
        <x:f>I777*(1-0.40)-J777</x:f>
        <x:v>1.488888888888889</x:v>
      </x:c>
      <x:c r="M777" s="9" t="n">
        <x:f>'Physical_Arcs'!S57</x:f>
        <x:v>3.7222222222222223</x:v>
      </x:c>
      <x:c r="N777" s="9" t="n">
        <x:f>M777*'Parameters'!$C$18</x:f>
        <x:v>0.7444444444444445</x:v>
      </x:c>
      <x:c r="O777" s="9" t="n">
        <x:f>N777*'Parameters'!$C$19</x:f>
        <x:v>0.9305555555555556</x:v>
      </x:c>
      <x:c r="P777" s="9" t="n">
        <x:f>M777*(1-0.40)-N777</x:f>
        <x:v>1.488888888888889</x:v>
      </x:c>
      <x:c r="Q777" s="9" t="n">
        <x:f>'Physical_Arcs'!T57</x:f>
        <x:v>1.8611111111111112</x:v>
      </x:c>
      <x:c r="R777" s="9" t="n">
        <x:f>Q777*'Parameters'!$C$18</x:f>
        <x:v>0.37222222222222223</x:v>
      </x:c>
      <x:c r="S777" s="9" t="n">
        <x:f>R777*'Parameters'!$C$19</x:f>
        <x:v>0.4652777777777778</x:v>
      </x:c>
      <x:c r="T777" s="9" t="n">
        <x:f>Q777*(1-0.40)-R777</x:f>
        <x:v>0.7444444444444445</x:v>
      </x:c>
    </x:row>
    <x:row r="778" ht="21" customHeight="1">
      <x:c r="A778" s="3" t="n">
        <x:v>12</x:v>
      </x:c>
      <x:c r="B778" s="3" t="str">
        <x:v>02:00</x:v>
      </x:c>
      <x:c r="C778" s="3" t="n">
        <x:v>3</x:v>
      </x:c>
      <x:c r="D778" s="3" t="n">
        <x:v>57</x:v>
      </x:c>
      <x:c r="E778" s="3" t="n">
        <x:v>10</x:v>
      </x:c>
      <x:c r="F778" s="3" t="n">
        <x:v>1</x:v>
      </x:c>
      <x:c r="G778" s="9" t="n">
        <x:v>0.1</x:v>
      </x:c>
      <x:c r="H778" s="9" t="n">
        <x:v>1.027979</x:v>
      </x:c>
      <x:c r="I778" s="9" t="n">
        <x:f>'Physical_Arcs'!R58</x:f>
        <x:v>17.02777777777778</x:v>
      </x:c>
      <x:c r="J778" s="9" t="n">
        <x:f>I778*'Parameters'!$C$18</x:f>
        <x:v>3.405555555555556</x:v>
      </x:c>
      <x:c r="K778" s="9" t="n">
        <x:f>J778*'Parameters'!$C$19</x:f>
        <x:v>4.256944444444445</x:v>
      </x:c>
      <x:c r="L778" s="9" t="n">
        <x:f>I778*(1-0.40)-J778</x:f>
        <x:v>6.811111111111111</x:v>
      </x:c>
      <x:c r="M778" s="9" t="n">
        <x:f>'Physical_Arcs'!S58</x:f>
        <x:v>17.02777777777778</x:v>
      </x:c>
      <x:c r="N778" s="9" t="n">
        <x:f>M778*'Parameters'!$C$18</x:f>
        <x:v>3.405555555555556</x:v>
      </x:c>
      <x:c r="O778" s="9" t="n">
        <x:f>N778*'Parameters'!$C$19</x:f>
        <x:v>4.256944444444445</x:v>
      </x:c>
      <x:c r="P778" s="9" t="n">
        <x:f>M778*(1-0.40)-N778</x:f>
        <x:v>6.811111111111111</x:v>
      </x:c>
      <x:c r="Q778" s="9" t="n">
        <x:f>'Physical_Arcs'!T58</x:f>
        <x:v>17.02777777777778</x:v>
      </x:c>
      <x:c r="R778" s="9" t="n">
        <x:f>Q778*'Parameters'!$C$18</x:f>
        <x:v>3.405555555555556</x:v>
      </x:c>
      <x:c r="S778" s="9" t="n">
        <x:f>R778*'Parameters'!$C$19</x:f>
        <x:v>4.256944444444445</x:v>
      </x:c>
      <x:c r="T778" s="9" t="n">
        <x:f>Q778*(1-0.40)-R778</x:f>
        <x:v>6.811111111111111</x:v>
      </x:c>
    </x:row>
    <x:row r="779" ht="21" customHeight="1">
      <x:c r="A779" s="3" t="n">
        <x:v>12</x:v>
      </x:c>
      <x:c r="B779" s="3" t="str">
        <x:v>02:00</x:v>
      </x:c>
      <x:c r="C779" s="3" t="n">
        <x:v>3</x:v>
      </x:c>
      <x:c r="D779" s="3" t="n">
        <x:v>58</x:v>
      </x:c>
      <x:c r="E779" s="3" t="n">
        <x:v>10</x:v>
      </x:c>
      <x:c r="F779" s="3" t="n">
        <x:v>6</x:v>
      </x:c>
      <x:c r="G779" s="9" t="n">
        <x:v>0.1</x:v>
      </x:c>
      <x:c r="H779" s="9" t="n">
        <x:v>0.952676</x:v>
      </x:c>
      <x:c r="I779" s="9" t="n">
        <x:f>'Physical_Arcs'!R59</x:f>
        <x:v>6.305555555555555</x:v>
      </x:c>
      <x:c r="J779" s="9" t="n">
        <x:f>I779*'Parameters'!$C$18</x:f>
        <x:v>1.261111111111111</x:v>
      </x:c>
      <x:c r="K779" s="9" t="n">
        <x:f>J779*'Parameters'!$C$19</x:f>
        <x:v>1.5763888888888888</x:v>
      </x:c>
      <x:c r="L779" s="9" t="n">
        <x:f>I779*(1-0.40)-J779</x:f>
        <x:v>2.522222222222222</x:v>
      </x:c>
      <x:c r="M779" s="9" t="n">
        <x:f>'Physical_Arcs'!S59</x:f>
        <x:v>6.305555555555555</x:v>
      </x:c>
      <x:c r="N779" s="9" t="n">
        <x:f>M779*'Parameters'!$C$18</x:f>
        <x:v>1.261111111111111</x:v>
      </x:c>
      <x:c r="O779" s="9" t="n">
        <x:f>N779*'Parameters'!$C$19</x:f>
        <x:v>1.5763888888888888</x:v>
      </x:c>
      <x:c r="P779" s="9" t="n">
        <x:f>M779*(1-0.40)-N779</x:f>
        <x:v>2.522222222222222</x:v>
      </x:c>
      <x:c r="Q779" s="9" t="n">
        <x:f>'Physical_Arcs'!T59</x:f>
        <x:v>3.1666666666666665</x:v>
      </x:c>
      <x:c r="R779" s="9" t="n">
        <x:f>Q779*'Parameters'!$C$18</x:f>
        <x:v>0.6333333333333333</x:v>
      </x:c>
      <x:c r="S779" s="9" t="n">
        <x:f>R779*'Parameters'!$C$19</x:f>
        <x:v>0.7916666666666666</x:v>
      </x:c>
      <x:c r="T779" s="9" t="n">
        <x:f>Q779*(1-0.40)-R779</x:f>
        <x:v>1.2666666666666666</x:v>
      </x:c>
    </x:row>
    <x:row r="780" ht="21" customHeight="1">
      <x:c r="A780" s="3" t="n">
        <x:v>12</x:v>
      </x:c>
      <x:c r="B780" s="3" t="str">
        <x:v>02:00</x:v>
      </x:c>
      <x:c r="C780" s="3" t="n">
        <x:v>3</x:v>
      </x:c>
      <x:c r="D780" s="3" t="n">
        <x:v>59</x:v>
      </x:c>
      <x:c r="E780" s="3" t="n">
        <x:v>10</x:v>
      </x:c>
      <x:c r="F780" s="3" t="n">
        <x:v>4</x:v>
      </x:c>
      <x:c r="G780" s="9" t="n">
        <x:v>0.1</x:v>
      </x:c>
      <x:c r="H780" s="9" t="n">
        <x:v>1.114542</x:v>
      </x:c>
      <x:c r="I780" s="9" t="n">
        <x:f>'Physical_Arcs'!R60</x:f>
        <x:v>1.5833333333333333</x:v>
      </x:c>
      <x:c r="J780" s="9" t="n">
        <x:f>I780*'Parameters'!$C$18</x:f>
        <x:v>0.31666666666666665</x:v>
      </x:c>
      <x:c r="K780" s="9" t="n">
        <x:f>J780*'Parameters'!$C$19</x:f>
        <x:v>0.3958333333333333</x:v>
      </x:c>
      <x:c r="L780" s="9" t="n">
        <x:f>I780*(1-0.40)-J780</x:f>
        <x:v>0.6333333333333333</x:v>
      </x:c>
      <x:c r="M780" s="9" t="n">
        <x:f>'Physical_Arcs'!S60</x:f>
        <x:v>1.5833333333333333</x:v>
      </x:c>
      <x:c r="N780" s="9" t="n">
        <x:f>M780*'Parameters'!$C$18</x:f>
        <x:v>0.31666666666666665</x:v>
      </x:c>
      <x:c r="O780" s="9" t="n">
        <x:f>N780*'Parameters'!$C$19</x:f>
        <x:v>0.3958333333333333</x:v>
      </x:c>
      <x:c r="P780" s="9" t="n">
        <x:f>M780*(1-0.40)-N780</x:f>
        <x:v>0.6333333333333333</x:v>
      </x:c>
      <x:c r="Q780" s="9" t="n">
        <x:f>'Physical_Arcs'!T60</x:f>
        <x:v>0.8055555555555556</x:v>
      </x:c>
      <x:c r="R780" s="9" t="n">
        <x:f>Q780*'Parameters'!$C$18</x:f>
        <x:v>0.16111111111111112</x:v>
      </x:c>
      <x:c r="S780" s="9" t="n">
        <x:f>R780*'Parameters'!$C$19</x:f>
        <x:v>0.2013888888888889</x:v>
      </x:c>
      <x:c r="T780" s="9" t="n">
        <x:f>Q780*(1-0.40)-R780</x:f>
        <x:v>0.3222222222222222</x:v>
      </x:c>
    </x:row>
    <x:row r="781" ht="21" customHeight="1">
      <x:c r="A781" s="3" t="n">
        <x:v>12</x:v>
      </x:c>
      <x:c r="B781" s="3" t="str">
        <x:v>02:00</x:v>
      </x:c>
      <x:c r="C781" s="3" t="n">
        <x:v>3</x:v>
      </x:c>
      <x:c r="D781" s="3" t="n">
        <x:v>60</x:v>
      </x:c>
      <x:c r="E781" s="3" t="n">
        <x:v>10</x:v>
      </x:c>
      <x:c r="F781" s="3" t="n">
        <x:v>9</x:v>
      </x:c>
      <x:c r="G781" s="9" t="n">
        <x:v>0.1</x:v>
      </x:c>
      <x:c r="H781" s="9" t="n">
        <x:v>1.092245</x:v>
      </x:c>
      <x:c r="I781" s="9" t="n">
        <x:f>'Physical_Arcs'!R61</x:f>
        <x:v>10.333333333333334</x:v>
      </x:c>
      <x:c r="J781" s="9" t="n">
        <x:f>I781*'Parameters'!$C$18</x:f>
        <x:v>2.066666666666667</x:v>
      </x:c>
      <x:c r="K781" s="9" t="n">
        <x:f>J781*'Parameters'!$C$19</x:f>
        <x:v>2.5833333333333335</x:v>
      </x:c>
      <x:c r="L781" s="9" t="n">
        <x:f>I781*(1-0.40)-J781</x:f>
        <x:v>4.133333333333333</x:v>
      </x:c>
      <x:c r="M781" s="9" t="n">
        <x:f>'Physical_Arcs'!S61</x:f>
        <x:v>10.333333333333334</x:v>
      </x:c>
      <x:c r="N781" s="9" t="n">
        <x:f>M781*'Parameters'!$C$18</x:f>
        <x:v>2.066666666666667</x:v>
      </x:c>
      <x:c r="O781" s="9" t="n">
        <x:f>N781*'Parameters'!$C$19</x:f>
        <x:v>2.5833333333333335</x:v>
      </x:c>
      <x:c r="P781" s="9" t="n">
        <x:f>M781*(1-0.40)-N781</x:f>
        <x:v>4.133333333333333</x:v>
      </x:c>
      <x:c r="Q781" s="9" t="n">
        <x:f>'Physical_Arcs'!T61</x:f>
        <x:v>5.166666666666667</x:v>
      </x:c>
      <x:c r="R781" s="9" t="n">
        <x:f>Q781*'Parameters'!$C$18</x:f>
        <x:v>1.0333333333333334</x:v>
      </x:c>
      <x:c r="S781" s="9" t="n">
        <x:f>R781*'Parameters'!$C$19</x:f>
        <x:v>1.2916666666666667</x:v>
      </x:c>
      <x:c r="T781" s="9" t="n">
        <x:f>Q781*(1-0.40)-R781</x:f>
        <x:v>2.0666666666666664</x:v>
      </x:c>
    </x:row>
    <x:row r="782" ht="21" customHeight="1">
      <x:c r="A782" s="3" t="n">
        <x:v>13</x:v>
      </x:c>
      <x:c r="B782" s="3" t="str">
        <x:v>02:10</x:v>
      </x:c>
      <x:c r="C782" s="3" t="n">
        <x:v>3</x:v>
      </x:c>
      <x:c r="D782" s="3" t="n">
        <x:v>1</x:v>
      </x:c>
      <x:c r="E782" s="3" t="n">
        <x:v>1</x:v>
      </x:c>
      <x:c r="F782" s="3" t="n">
        <x:v>2</x:v>
      </x:c>
      <x:c r="G782" s="9" t="n">
        <x:v>0.1</x:v>
      </x:c>
      <x:c r="H782" s="9" t="n">
        <x:v>0.914787</x:v>
      </x:c>
      <x:c r="I782" s="9" t="n">
        <x:f>'Physical_Arcs'!R2</x:f>
        <x:v>17.02777777777778</x:v>
      </x:c>
      <x:c r="J782" s="9" t="n">
        <x:f>I782*'Parameters'!$C$18</x:f>
        <x:v>3.405555555555556</x:v>
      </x:c>
      <x:c r="K782" s="9" t="n">
        <x:f>J782*'Parameters'!$C$19</x:f>
        <x:v>4.256944444444445</x:v>
      </x:c>
      <x:c r="L782" s="9" t="n">
        <x:f>I782*(1-0.40)-J782</x:f>
        <x:v>6.811111111111111</x:v>
      </x:c>
      <x:c r="M782" s="9" t="n">
        <x:f>'Physical_Arcs'!S2</x:f>
        <x:v>17.02777777777778</x:v>
      </x:c>
      <x:c r="N782" s="9" t="n">
        <x:f>M782*'Parameters'!$C$18</x:f>
        <x:v>3.405555555555556</x:v>
      </x:c>
      <x:c r="O782" s="9" t="n">
        <x:f>N782*'Parameters'!$C$19</x:f>
        <x:v>4.256944444444445</x:v>
      </x:c>
      <x:c r="P782" s="9" t="n">
        <x:f>M782*(1-0.40)-N782</x:f>
        <x:v>6.811111111111111</x:v>
      </x:c>
      <x:c r="Q782" s="9" t="n">
        <x:f>'Physical_Arcs'!T2</x:f>
        <x:v>17.02777777777778</x:v>
      </x:c>
      <x:c r="R782" s="9" t="n">
        <x:f>Q782*'Parameters'!$C$18</x:f>
        <x:v>3.405555555555556</x:v>
      </x:c>
      <x:c r="S782" s="9" t="n">
        <x:f>R782*'Parameters'!$C$19</x:f>
        <x:v>4.256944444444445</x:v>
      </x:c>
      <x:c r="T782" s="9" t="n">
        <x:f>Q782*(1-0.40)-R782</x:f>
        <x:v>6.811111111111111</x:v>
      </x:c>
    </x:row>
    <x:row r="783" ht="21" customHeight="1">
      <x:c r="A783" s="3" t="n">
        <x:v>13</x:v>
      </x:c>
      <x:c r="B783" s="3" t="str">
        <x:v>02:10</x:v>
      </x:c>
      <x:c r="C783" s="3" t="n">
        <x:v>3</x:v>
      </x:c>
      <x:c r="D783" s="3" t="n">
        <x:v>2</x:v>
      </x:c>
      <x:c r="E783" s="3" t="n">
        <x:v>1</x:v>
      </x:c>
      <x:c r="F783" s="3" t="n">
        <x:v>10</x:v>
      </x:c>
      <x:c r="G783" s="9" t="n">
        <x:v>0.1</x:v>
      </x:c>
      <x:c r="H783" s="9" t="n">
        <x:v>1.003995</x:v>
      </x:c>
      <x:c r="I783" s="9" t="n">
        <x:f>'Physical_Arcs'!R3</x:f>
        <x:v>3.2777777777777777</x:v>
      </x:c>
      <x:c r="J783" s="9" t="n">
        <x:f>I783*'Parameters'!$C$18</x:f>
        <x:v>0.6555555555555556</x:v>
      </x:c>
      <x:c r="K783" s="9" t="n">
        <x:f>J783*'Parameters'!$C$19</x:f>
        <x:v>0.8194444444444444</x:v>
      </x:c>
      <x:c r="L783" s="9" t="n">
        <x:f>I783*(1-0.40)-J783</x:f>
        <x:v>1.311111111111111</x:v>
      </x:c>
      <x:c r="M783" s="9" t="n">
        <x:f>'Physical_Arcs'!S3</x:f>
        <x:v>3.2777777777777777</x:v>
      </x:c>
      <x:c r="N783" s="9" t="n">
        <x:f>M783*'Parameters'!$C$18</x:f>
        <x:v>0.6555555555555556</x:v>
      </x:c>
      <x:c r="O783" s="9" t="n">
        <x:f>N783*'Parameters'!$C$19</x:f>
        <x:v>0.8194444444444444</x:v>
      </x:c>
      <x:c r="P783" s="9" t="n">
        <x:f>M783*(1-0.40)-N783</x:f>
        <x:v>1.311111111111111</x:v>
      </x:c>
      <x:c r="Q783" s="9" t="n">
        <x:f>'Physical_Arcs'!T3</x:f>
        <x:v>1.6388888888888888</x:v>
      </x:c>
      <x:c r="R783" s="9" t="n">
        <x:f>Q783*'Parameters'!$C$18</x:f>
        <x:v>0.3277777777777778</x:v>
      </x:c>
      <x:c r="S783" s="9" t="n">
        <x:f>R783*'Parameters'!$C$19</x:f>
        <x:v>0.4097222222222222</x:v>
      </x:c>
      <x:c r="T783" s="9" t="n">
        <x:f>Q783*(1-0.40)-R783</x:f>
        <x:v>0.6555555555555554</x:v>
      </x:c>
    </x:row>
    <x:row r="784" ht="21" customHeight="1">
      <x:c r="A784" s="3" t="n">
        <x:v>13</x:v>
      </x:c>
      <x:c r="B784" s="3" t="str">
        <x:v>02:10</x:v>
      </x:c>
      <x:c r="C784" s="3" t="n">
        <x:v>3</x:v>
      </x:c>
      <x:c r="D784" s="3" t="n">
        <x:v>3</x:v>
      </x:c>
      <x:c r="E784" s="3" t="n">
        <x:v>1</x:v>
      </x:c>
      <x:c r="F784" s="3" t="n">
        <x:v>8</x:v>
      </x:c>
      <x:c r="G784" s="9" t="n">
        <x:v>0.1</x:v>
      </x:c>
      <x:c r="H784" s="9" t="n">
        <x:v>0.923863</x:v>
      </x:c>
      <x:c r="I784" s="9" t="n">
        <x:f>'Physical_Arcs'!R4</x:f>
        <x:v>6.083333333333333</x:v>
      </x:c>
      <x:c r="J784" s="9" t="n">
        <x:f>I784*'Parameters'!$C$18</x:f>
        <x:v>1.2166666666666668</x:v>
      </x:c>
      <x:c r="K784" s="9" t="n">
        <x:f>J784*'Parameters'!$C$19</x:f>
        <x:v>1.5208333333333335</x:v>
      </x:c>
      <x:c r="L784" s="9" t="n">
        <x:f>I784*(1-0.40)-J784</x:f>
        <x:v>2.4333333333333327</x:v>
      </x:c>
      <x:c r="M784" s="9" t="n">
        <x:f>'Physical_Arcs'!S4</x:f>
        <x:v>6.083333333333333</x:v>
      </x:c>
      <x:c r="N784" s="9" t="n">
        <x:f>M784*'Parameters'!$C$18</x:f>
        <x:v>1.2166666666666668</x:v>
      </x:c>
      <x:c r="O784" s="9" t="n">
        <x:f>N784*'Parameters'!$C$19</x:f>
        <x:v>1.5208333333333335</x:v>
      </x:c>
      <x:c r="P784" s="9" t="n">
        <x:f>M784*(1-0.40)-N784</x:f>
        <x:v>2.4333333333333327</x:v>
      </x:c>
      <x:c r="Q784" s="9" t="n">
        <x:f>'Physical_Arcs'!T4</x:f>
        <x:v>3.0555555555555554</x:v>
      </x:c>
      <x:c r="R784" s="9" t="n">
        <x:f>Q784*'Parameters'!$C$18</x:f>
        <x:v>0.6111111111111112</x:v>
      </x:c>
      <x:c r="S784" s="9" t="n">
        <x:f>R784*'Parameters'!$C$19</x:f>
        <x:v>0.763888888888889</x:v>
      </x:c>
      <x:c r="T784" s="9" t="n">
        <x:f>Q784*(1-0.40)-R784</x:f>
        <x:v>1.2222222222222219</x:v>
      </x:c>
    </x:row>
    <x:row r="785" ht="21" customHeight="1">
      <x:c r="A785" s="3" t="n">
        <x:v>13</x:v>
      </x:c>
      <x:c r="B785" s="3" t="str">
        <x:v>02:10</x:v>
      </x:c>
      <x:c r="C785" s="3" t="n">
        <x:v>3</x:v>
      </x:c>
      <x:c r="D785" s="3" t="n">
        <x:v>4</x:v>
      </x:c>
      <x:c r="E785" s="3" t="n">
        <x:v>1</x:v>
      </x:c>
      <x:c r="F785" s="3" t="n">
        <x:v>7</x:v>
      </x:c>
      <x:c r="G785" s="9" t="n">
        <x:v>0.1</x:v>
      </x:c>
      <x:c r="H785" s="9" t="n">
        <x:v>1.111072</x:v>
      </x:c>
      <x:c r="I785" s="9" t="n">
        <x:f>'Physical_Arcs'!R5</x:f>
        <x:v>9</x:v>
      </x:c>
      <x:c r="J785" s="9" t="n">
        <x:f>I785*'Parameters'!$C$18</x:f>
        <x:v>1.8</x:v>
      </x:c>
      <x:c r="K785" s="9" t="n">
        <x:f>J785*'Parameters'!$C$19</x:f>
        <x:v>2.25</x:v>
      </x:c>
      <x:c r="L785" s="9" t="n">
        <x:f>I785*(1-0.40)-J785</x:f>
        <x:v>3.5999999999999996</x:v>
      </x:c>
      <x:c r="M785" s="9" t="n">
        <x:f>'Physical_Arcs'!S5</x:f>
        <x:v>9</x:v>
      </x:c>
      <x:c r="N785" s="9" t="n">
        <x:f>M785*'Parameters'!$C$18</x:f>
        <x:v>1.8</x:v>
      </x:c>
      <x:c r="O785" s="9" t="n">
        <x:f>N785*'Parameters'!$C$19</x:f>
        <x:v>2.25</x:v>
      </x:c>
      <x:c r="P785" s="9" t="n">
        <x:f>M785*(1-0.40)-N785</x:f>
        <x:v>3.5999999999999996</x:v>
      </x:c>
      <x:c r="Q785" s="9" t="n">
        <x:f>'Physical_Arcs'!T5</x:f>
        <x:v>4.5</x:v>
      </x:c>
      <x:c r="R785" s="9" t="n">
        <x:f>Q785*'Parameters'!$C$18</x:f>
        <x:v>0.9</x:v>
      </x:c>
      <x:c r="S785" s="9" t="n">
        <x:f>R785*'Parameters'!$C$19</x:f>
        <x:v>1.125</x:v>
      </x:c>
      <x:c r="T785" s="9" t="n">
        <x:f>Q785*(1-0.40)-R785</x:f>
        <x:v>1.7999999999999998</x:v>
      </x:c>
    </x:row>
    <x:row r="786" ht="21" customHeight="1">
      <x:c r="A786" s="3" t="n">
        <x:v>13</x:v>
      </x:c>
      <x:c r="B786" s="3" t="str">
        <x:v>02:10</x:v>
      </x:c>
      <x:c r="C786" s="3" t="n">
        <x:v>3</x:v>
      </x:c>
      <x:c r="D786" s="3" t="n">
        <x:v>5</x:v>
      </x:c>
      <x:c r="E786" s="3" t="n">
        <x:v>1</x:v>
      </x:c>
      <x:c r="F786" s="3" t="n">
        <x:v>4</x:v>
      </x:c>
      <x:c r="G786" s="9" t="n">
        <x:v>0.1</x:v>
      </x:c>
      <x:c r="H786" s="9" t="n">
        <x:v>1.001665</x:v>
      </x:c>
      <x:c r="I786" s="9" t="n">
        <x:f>'Physical_Arcs'!R6</x:f>
        <x:v>4.166666666666667</x:v>
      </x:c>
      <x:c r="J786" s="9" t="n">
        <x:f>I786*'Parameters'!$C$18</x:f>
        <x:v>0.8333333333333335</x:v>
      </x:c>
      <x:c r="K786" s="9" t="n">
        <x:f>J786*'Parameters'!$C$19</x:f>
        <x:v>1.041666666666667</x:v>
      </x:c>
      <x:c r="L786" s="9" t="n">
        <x:f>I786*(1-0.40)-J786</x:f>
        <x:v>1.6666666666666665</x:v>
      </x:c>
      <x:c r="M786" s="9" t="n">
        <x:f>'Physical_Arcs'!S6</x:f>
        <x:v>4.166666666666667</x:v>
      </x:c>
      <x:c r="N786" s="9" t="n">
        <x:f>M786*'Parameters'!$C$18</x:f>
        <x:v>0.8333333333333335</x:v>
      </x:c>
      <x:c r="O786" s="9" t="n">
        <x:f>N786*'Parameters'!$C$19</x:f>
        <x:v>1.041666666666667</x:v>
      </x:c>
      <x:c r="P786" s="9" t="n">
        <x:f>M786*(1-0.40)-N786</x:f>
        <x:v>1.6666666666666665</x:v>
      </x:c>
      <x:c r="Q786" s="9" t="n">
        <x:f>'Physical_Arcs'!T6</x:f>
        <x:v>2.0833333333333335</x:v>
      </x:c>
      <x:c r="R786" s="9" t="n">
        <x:f>Q786*'Parameters'!$C$18</x:f>
        <x:v>0.41666666666666674</x:v>
      </x:c>
      <x:c r="S786" s="9" t="n">
        <x:f>R786*'Parameters'!$C$19</x:f>
        <x:v>0.5208333333333335</x:v>
      </x:c>
      <x:c r="T786" s="9" t="n">
        <x:f>Q786*(1-0.40)-R786</x:f>
        <x:v>0.8333333333333333</x:v>
      </x:c>
    </x:row>
    <x:row r="787" ht="21" customHeight="1">
      <x:c r="A787" s="3" t="n">
        <x:v>13</x:v>
      </x:c>
      <x:c r="B787" s="3" t="str">
        <x:v>02:10</x:v>
      </x:c>
      <x:c r="C787" s="3" t="n">
        <x:v>3</x:v>
      </x:c>
      <x:c r="D787" s="3" t="n">
        <x:v>6</x:v>
      </x:c>
      <x:c r="E787" s="3" t="n">
        <x:v>1</x:v>
      </x:c>
      <x:c r="F787" s="3" t="n">
        <x:v>9</x:v>
      </x:c>
      <x:c r="G787" s="9" t="n">
        <x:v>0.1</x:v>
      </x:c>
      <x:c r="H787" s="9" t="n">
        <x:v>0.942884</x:v>
      </x:c>
      <x:c r="I787" s="9" t="n">
        <x:f>'Physical_Arcs'!R7</x:f>
        <x:v>11.027777777777779</x:v>
      </x:c>
      <x:c r="J787" s="9" t="n">
        <x:f>I787*'Parameters'!$C$18</x:f>
        <x:v>2.2055555555555557</x:v>
      </x:c>
      <x:c r="K787" s="9" t="n">
        <x:f>J787*'Parameters'!$C$19</x:f>
        <x:v>2.7569444444444446</x:v>
      </x:c>
      <x:c r="L787" s="9" t="n">
        <x:f>I787*(1-0.40)-J787</x:f>
        <x:v>4.411111111111111</x:v>
      </x:c>
      <x:c r="M787" s="9" t="n">
        <x:f>'Physical_Arcs'!S7</x:f>
        <x:v>11.027777777777779</x:v>
      </x:c>
      <x:c r="N787" s="9" t="n">
        <x:f>M787*'Parameters'!$C$18</x:f>
        <x:v>2.2055555555555557</x:v>
      </x:c>
      <x:c r="O787" s="9" t="n">
        <x:f>N787*'Parameters'!$C$19</x:f>
        <x:v>2.7569444444444446</x:v>
      </x:c>
      <x:c r="P787" s="9" t="n">
        <x:f>M787*(1-0.40)-N787</x:f>
        <x:v>4.411111111111111</x:v>
      </x:c>
      <x:c r="Q787" s="9" t="n">
        <x:f>'Physical_Arcs'!T7</x:f>
        <x:v>5.527777777777778</x:v>
      </x:c>
      <x:c r="R787" s="9" t="n">
        <x:f>Q787*'Parameters'!$C$18</x:f>
        <x:v>1.1055555555555556</x:v>
      </x:c>
      <x:c r="S787" s="9" t="n">
        <x:f>R787*'Parameters'!$C$19</x:f>
        <x:v>1.3819444444444446</x:v>
      </x:c>
      <x:c r="T787" s="9" t="n">
        <x:f>Q787*(1-0.40)-R787</x:f>
        <x:v>2.211111111111111</x:v>
      </x:c>
    </x:row>
    <x:row r="788" ht="21" customHeight="1">
      <x:c r="A788" s="3" t="n">
        <x:v>13</x:v>
      </x:c>
      <x:c r="B788" s="3" t="str">
        <x:v>02:10</x:v>
      </x:c>
      <x:c r="C788" s="3" t="n">
        <x:v>3</x:v>
      </x:c>
      <x:c r="D788" s="3" t="n">
        <x:v>7</x:v>
      </x:c>
      <x:c r="E788" s="3" t="n">
        <x:v>1</x:v>
      </x:c>
      <x:c r="F788" s="3" t="n">
        <x:v>5</x:v>
      </x:c>
      <x:c r="G788" s="9" t="n">
        <x:v>0.1</x:v>
      </x:c>
      <x:c r="H788" s="9" t="n">
        <x:v>1.038222</x:v>
      </x:c>
      <x:c r="I788" s="9" t="n">
        <x:f>'Physical_Arcs'!R8</x:f>
        <x:v>7.972222222222222</x:v>
      </x:c>
      <x:c r="J788" s="9" t="n">
        <x:f>I788*'Parameters'!$C$18</x:f>
        <x:v>1.5944444444444446</x:v>
      </x:c>
      <x:c r="K788" s="9" t="n">
        <x:f>J788*'Parameters'!$C$19</x:f>
        <x:v>1.9930555555555558</x:v>
      </x:c>
      <x:c r="L788" s="9" t="n">
        <x:f>I788*(1-0.40)-J788</x:f>
        <x:v>3.1888888888888887</x:v>
      </x:c>
      <x:c r="M788" s="9" t="n">
        <x:f>'Physical_Arcs'!S8</x:f>
        <x:v>7.972222222222222</x:v>
      </x:c>
      <x:c r="N788" s="9" t="n">
        <x:f>M788*'Parameters'!$C$18</x:f>
        <x:v>1.5944444444444446</x:v>
      </x:c>
      <x:c r="O788" s="9" t="n">
        <x:f>N788*'Parameters'!$C$19</x:f>
        <x:v>1.9930555555555558</x:v>
      </x:c>
      <x:c r="P788" s="9" t="n">
        <x:f>M788*(1-0.40)-N788</x:f>
        <x:v>3.1888888888888887</x:v>
      </x:c>
      <x:c r="Q788" s="9" t="n">
        <x:f>'Physical_Arcs'!T8</x:f>
        <x:v>4</x:v>
      </x:c>
      <x:c r="R788" s="9" t="n">
        <x:f>Q788*'Parameters'!$C$18</x:f>
        <x:v>0.8</x:v>
      </x:c>
      <x:c r="S788" s="9" t="n">
        <x:f>R788*'Parameters'!$C$19</x:f>
        <x:v>1</x:v>
      </x:c>
      <x:c r="T788" s="9" t="n">
        <x:f>Q788*(1-0.40)-R788</x:f>
        <x:v>1.5999999999999999</x:v>
      </x:c>
    </x:row>
    <x:row r="789" ht="21" customHeight="1">
      <x:c r="A789" s="3" t="n">
        <x:v>13</x:v>
      </x:c>
      <x:c r="B789" s="3" t="str">
        <x:v>02:10</x:v>
      </x:c>
      <x:c r="C789" s="3" t="n">
        <x:v>3</x:v>
      </x:c>
      <x:c r="D789" s="3" t="n">
        <x:v>8</x:v>
      </x:c>
      <x:c r="E789" s="3" t="n">
        <x:v>1</x:v>
      </x:c>
      <x:c r="F789" s="3" t="n">
        <x:v>3</x:v>
      </x:c>
      <x:c r="G789" s="9" t="n">
        <x:v>0.1</x:v>
      </x:c>
      <x:c r="H789" s="9" t="n">
        <x:v>1.122297</x:v>
      </x:c>
      <x:c r="I789" s="9" t="n">
        <x:f>'Physical_Arcs'!R9</x:f>
        <x:v>4.166666666666667</x:v>
      </x:c>
      <x:c r="J789" s="9" t="n">
        <x:f>I789*'Parameters'!$C$18</x:f>
        <x:v>0.8333333333333335</x:v>
      </x:c>
      <x:c r="K789" s="9" t="n">
        <x:f>J789*'Parameters'!$C$19</x:f>
        <x:v>1.041666666666667</x:v>
      </x:c>
      <x:c r="L789" s="9" t="n">
        <x:f>I789*(1-0.40)-J789</x:f>
        <x:v>1.6666666666666665</x:v>
      </x:c>
      <x:c r="M789" s="9" t="n">
        <x:f>'Physical_Arcs'!S9</x:f>
        <x:v>4.166666666666667</x:v>
      </x:c>
      <x:c r="N789" s="9" t="n">
        <x:f>M789*'Parameters'!$C$18</x:f>
        <x:v>0.8333333333333335</x:v>
      </x:c>
      <x:c r="O789" s="9" t="n">
        <x:f>N789*'Parameters'!$C$19</x:f>
        <x:v>1.041666666666667</x:v>
      </x:c>
      <x:c r="P789" s="9" t="n">
        <x:f>M789*(1-0.40)-N789</x:f>
        <x:v>1.6666666666666665</x:v>
      </x:c>
      <x:c r="Q789" s="9" t="n">
        <x:f>'Physical_Arcs'!T9</x:f>
        <x:v>2.0833333333333335</x:v>
      </x:c>
      <x:c r="R789" s="9" t="n">
        <x:f>Q789*'Parameters'!$C$18</x:f>
        <x:v>0.41666666666666674</x:v>
      </x:c>
      <x:c r="S789" s="9" t="n">
        <x:f>R789*'Parameters'!$C$19</x:f>
        <x:v>0.5208333333333335</x:v>
      </x:c>
      <x:c r="T789" s="9" t="n">
        <x:f>Q789*(1-0.40)-R789</x:f>
        <x:v>0.8333333333333333</x:v>
      </x:c>
    </x:row>
    <x:row r="790" ht="21" customHeight="1">
      <x:c r="A790" s="3" t="n">
        <x:v>13</x:v>
      </x:c>
      <x:c r="B790" s="3" t="str">
        <x:v>02:10</x:v>
      </x:c>
      <x:c r="C790" s="3" t="n">
        <x:v>3</x:v>
      </x:c>
      <x:c r="D790" s="3" t="n">
        <x:v>9</x:v>
      </x:c>
      <x:c r="E790" s="3" t="n">
        <x:v>1</x:v>
      </x:c>
      <x:c r="F790" s="3" t="n">
        <x:v>6</x:v>
      </x:c>
      <x:c r="G790" s="9" t="n">
        <x:v>0.1</x:v>
      </x:c>
      <x:c r="H790" s="9" t="n">
        <x:v>1.132682</x:v>
      </x:c>
      <x:c r="I790" s="9" t="n">
        <x:f>'Physical_Arcs'!R10</x:f>
        <x:v>2.138888888888889</x:v>
      </x:c>
      <x:c r="J790" s="9" t="n">
        <x:f>I790*'Parameters'!$C$18</x:f>
        <x:v>0.4277777777777778</x:v>
      </x:c>
      <x:c r="K790" s="9" t="n">
        <x:f>J790*'Parameters'!$C$19</x:f>
        <x:v>0.5347222222222223</x:v>
      </x:c>
      <x:c r="L790" s="9" t="n">
        <x:f>I790*(1-0.40)-J790</x:f>
        <x:v>0.8555555555555554</x:v>
      </x:c>
      <x:c r="M790" s="9" t="n">
        <x:f>'Physical_Arcs'!S10</x:f>
        <x:v>2.138888888888889</x:v>
      </x:c>
      <x:c r="N790" s="9" t="n">
        <x:f>M790*'Parameters'!$C$18</x:f>
        <x:v>0.4277777777777778</x:v>
      </x:c>
      <x:c r="O790" s="9" t="n">
        <x:f>N790*'Parameters'!$C$19</x:f>
        <x:v>0.5347222222222223</x:v>
      </x:c>
      <x:c r="P790" s="9" t="n">
        <x:f>M790*(1-0.40)-N790</x:f>
        <x:v>0.8555555555555554</x:v>
      </x:c>
      <x:c r="Q790" s="9" t="n">
        <x:f>'Physical_Arcs'!T10</x:f>
        <x:v>1.0833333333333333</x:v>
      </x:c>
      <x:c r="R790" s="9" t="n">
        <x:f>Q790*'Parameters'!$C$18</x:f>
        <x:v>0.21666666666666667</x:v>
      </x:c>
      <x:c r="S790" s="9" t="n">
        <x:f>R790*'Parameters'!$C$19</x:f>
        <x:v>0.27083333333333337</x:v>
      </x:c>
      <x:c r="T790" s="9" t="n">
        <x:f>Q790*(1-0.40)-R790</x:f>
        <x:v>0.43333333333333324</x:v>
      </x:c>
    </x:row>
    <x:row r="791" ht="21" customHeight="1">
      <x:c r="A791" s="3" t="n">
        <x:v>13</x:v>
      </x:c>
      <x:c r="B791" s="3" t="str">
        <x:v>02:10</x:v>
      </x:c>
      <x:c r="C791" s="3" t="n">
        <x:v>3</x:v>
      </x:c>
      <x:c r="D791" s="3" t="n">
        <x:v>10</x:v>
      </x:c>
      <x:c r="E791" s="3" t="n">
        <x:v>2</x:v>
      </x:c>
      <x:c r="F791" s="3" t="n">
        <x:v>3</x:v>
      </x:c>
      <x:c r="G791" s="9" t="n">
        <x:v>0.1</x:v>
      </x:c>
      <x:c r="H791" s="9" t="n">
        <x:v>0.871154</x:v>
      </x:c>
      <x:c r="I791" s="9" t="n">
        <x:f>'Physical_Arcs'!R11</x:f>
        <x:v>17.02777777777778</x:v>
      </x:c>
      <x:c r="J791" s="9" t="n">
        <x:f>I791*'Parameters'!$C$18</x:f>
        <x:v>3.405555555555556</x:v>
      </x:c>
      <x:c r="K791" s="9" t="n">
        <x:f>J791*'Parameters'!$C$19</x:f>
        <x:v>4.256944444444445</x:v>
      </x:c>
      <x:c r="L791" s="9" t="n">
        <x:f>I791*(1-0.40)-J791</x:f>
        <x:v>6.811111111111111</x:v>
      </x:c>
      <x:c r="M791" s="9" t="n">
        <x:f>'Physical_Arcs'!S11</x:f>
        <x:v>17.02777777777778</x:v>
      </x:c>
      <x:c r="N791" s="9" t="n">
        <x:f>M791*'Parameters'!$C$18</x:f>
        <x:v>3.405555555555556</x:v>
      </x:c>
      <x:c r="O791" s="9" t="n">
        <x:f>N791*'Parameters'!$C$19</x:f>
        <x:v>4.256944444444445</x:v>
      </x:c>
      <x:c r="P791" s="9" t="n">
        <x:f>M791*(1-0.40)-N791</x:f>
        <x:v>6.811111111111111</x:v>
      </x:c>
      <x:c r="Q791" s="9" t="n">
        <x:f>'Physical_Arcs'!T11</x:f>
        <x:v>17.02777777777778</x:v>
      </x:c>
      <x:c r="R791" s="9" t="n">
        <x:f>Q791*'Parameters'!$C$18</x:f>
        <x:v>3.405555555555556</x:v>
      </x:c>
      <x:c r="S791" s="9" t="n">
        <x:f>R791*'Parameters'!$C$19</x:f>
        <x:v>4.256944444444445</x:v>
      </x:c>
      <x:c r="T791" s="9" t="n">
        <x:f>Q791*(1-0.40)-R791</x:f>
        <x:v>6.811111111111111</x:v>
      </x:c>
    </x:row>
    <x:row r="792" ht="21" customHeight="1">
      <x:c r="A792" s="3" t="n">
        <x:v>13</x:v>
      </x:c>
      <x:c r="B792" s="3" t="str">
        <x:v>02:10</x:v>
      </x:c>
      <x:c r="C792" s="3" t="n">
        <x:v>3</x:v>
      </x:c>
      <x:c r="D792" s="3" t="n">
        <x:v>11</x:v>
      </x:c>
      <x:c r="E792" s="3" t="n">
        <x:v>2</x:v>
      </x:c>
      <x:c r="F792" s="3" t="n">
        <x:v>4</x:v>
      </x:c>
      <x:c r="G792" s="9" t="n">
        <x:v>0.1</x:v>
      </x:c>
      <x:c r="H792" s="9" t="n">
        <x:v>1.147412</x:v>
      </x:c>
      <x:c r="I792" s="9" t="n">
        <x:f>'Physical_Arcs'!R12</x:f>
        <x:v>7.972222222222222</x:v>
      </x:c>
      <x:c r="J792" s="9" t="n">
        <x:f>I792*'Parameters'!$C$18</x:f>
        <x:v>1.5944444444444446</x:v>
      </x:c>
      <x:c r="K792" s="9" t="n">
        <x:f>J792*'Parameters'!$C$19</x:f>
        <x:v>1.9930555555555558</x:v>
      </x:c>
      <x:c r="L792" s="9" t="n">
        <x:f>I792*(1-0.40)-J792</x:f>
        <x:v>3.1888888888888887</x:v>
      </x:c>
      <x:c r="M792" s="9" t="n">
        <x:f>'Physical_Arcs'!S12</x:f>
        <x:v>7.972222222222222</x:v>
      </x:c>
      <x:c r="N792" s="9" t="n">
        <x:f>M792*'Parameters'!$C$18</x:f>
        <x:v>1.5944444444444446</x:v>
      </x:c>
      <x:c r="O792" s="9" t="n">
        <x:f>N792*'Parameters'!$C$19</x:f>
        <x:v>1.9930555555555558</x:v>
      </x:c>
      <x:c r="P792" s="9" t="n">
        <x:f>M792*(1-0.40)-N792</x:f>
        <x:v>3.1888888888888887</x:v>
      </x:c>
      <x:c r="Q792" s="9" t="n">
        <x:f>'Physical_Arcs'!T12</x:f>
        <x:v>4</x:v>
      </x:c>
      <x:c r="R792" s="9" t="n">
        <x:f>Q792*'Parameters'!$C$18</x:f>
        <x:v>0.8</x:v>
      </x:c>
      <x:c r="S792" s="9" t="n">
        <x:f>R792*'Parameters'!$C$19</x:f>
        <x:v>1</x:v>
      </x:c>
      <x:c r="T792" s="9" t="n">
        <x:f>Q792*(1-0.40)-R792</x:f>
        <x:v>1.5999999999999999</x:v>
      </x:c>
    </x:row>
    <x:row r="793" ht="21" customHeight="1">
      <x:c r="A793" s="3" t="n">
        <x:v>13</x:v>
      </x:c>
      <x:c r="B793" s="3" t="str">
        <x:v>02:10</x:v>
      </x:c>
      <x:c r="C793" s="3" t="n">
        <x:v>3</x:v>
      </x:c>
      <x:c r="D793" s="3" t="n">
        <x:v>12</x:v>
      </x:c>
      <x:c r="E793" s="3" t="n">
        <x:v>2</x:v>
      </x:c>
      <x:c r="F793" s="3" t="n">
        <x:v>7</x:v>
      </x:c>
      <x:c r="G793" s="9" t="n">
        <x:v>0.1</x:v>
      </x:c>
      <x:c r="H793" s="9" t="n">
        <x:v>0.96729</x:v>
      </x:c>
      <x:c r="I793" s="9" t="n">
        <x:f>'Physical_Arcs'!R13</x:f>
        <x:v>4.611111111111111</x:v>
      </x:c>
      <x:c r="J793" s="9" t="n">
        <x:f>I793*'Parameters'!$C$18</x:f>
        <x:v>0.9222222222222222</x:v>
      </x:c>
      <x:c r="K793" s="9" t="n">
        <x:f>J793*'Parameters'!$C$19</x:f>
        <x:v>1.1527777777777777</x:v>
      </x:c>
      <x:c r="L793" s="9" t="n">
        <x:f>I793*(1-0.40)-J793</x:f>
        <x:v>1.844444444444444</x:v>
      </x:c>
      <x:c r="M793" s="9" t="n">
        <x:f>'Physical_Arcs'!S13</x:f>
        <x:v>4.611111111111111</x:v>
      </x:c>
      <x:c r="N793" s="9" t="n">
        <x:f>M793*'Parameters'!$C$18</x:f>
        <x:v>0.9222222222222222</x:v>
      </x:c>
      <x:c r="O793" s="9" t="n">
        <x:f>N793*'Parameters'!$C$19</x:f>
        <x:v>1.1527777777777777</x:v>
      </x:c>
      <x:c r="P793" s="9" t="n">
        <x:f>M793*(1-0.40)-N793</x:f>
        <x:v>1.844444444444444</x:v>
      </x:c>
      <x:c r="Q793" s="9" t="n">
        <x:f>'Physical_Arcs'!T13</x:f>
        <x:v>2.3055555555555554</x:v>
      </x:c>
      <x:c r="R793" s="9" t="n">
        <x:f>Q793*'Parameters'!$C$18</x:f>
        <x:v>0.4611111111111111</x:v>
      </x:c>
      <x:c r="S793" s="9" t="n">
        <x:f>R793*'Parameters'!$C$19</x:f>
        <x:v>0.5763888888888888</x:v>
      </x:c>
      <x:c r="T793" s="9" t="n">
        <x:f>Q793*(1-0.40)-R793</x:f>
        <x:v>0.922222222222222</x:v>
      </x:c>
    </x:row>
    <x:row r="794" ht="21" customHeight="1">
      <x:c r="A794" s="3" t="n">
        <x:v>13</x:v>
      </x:c>
      <x:c r="B794" s="3" t="str">
        <x:v>02:10</x:v>
      </x:c>
      <x:c r="C794" s="3" t="n">
        <x:v>3</x:v>
      </x:c>
      <x:c r="D794" s="3" t="n">
        <x:v>13</x:v>
      </x:c>
      <x:c r="E794" s="3" t="n">
        <x:v>2</x:v>
      </x:c>
      <x:c r="F794" s="3" t="n">
        <x:v>9</x:v>
      </x:c>
      <x:c r="G794" s="9" t="n">
        <x:v>0.1</x:v>
      </x:c>
      <x:c r="H794" s="9" t="n">
        <x:v>1.117625</x:v>
      </x:c>
      <x:c r="I794" s="9" t="n">
        <x:f>'Physical_Arcs'!R14</x:f>
        <x:v>8.666666666666666</x:v>
      </x:c>
      <x:c r="J794" s="9" t="n">
        <x:f>I794*'Parameters'!$C$18</x:f>
        <x:v>1.7333333333333334</x:v>
      </x:c>
      <x:c r="K794" s="9" t="n">
        <x:f>J794*'Parameters'!$C$19</x:f>
        <x:v>2.166666666666667</x:v>
      </x:c>
      <x:c r="L794" s="9" t="n">
        <x:f>I794*(1-0.40)-J794</x:f>
        <x:v>3.466666666666666</x:v>
      </x:c>
      <x:c r="M794" s="9" t="n">
        <x:f>'Physical_Arcs'!S14</x:f>
        <x:v>8.666666666666666</x:v>
      </x:c>
      <x:c r="N794" s="9" t="n">
        <x:f>M794*'Parameters'!$C$18</x:f>
        <x:v>1.7333333333333334</x:v>
      </x:c>
      <x:c r="O794" s="9" t="n">
        <x:f>N794*'Parameters'!$C$19</x:f>
        <x:v>2.166666666666667</x:v>
      </x:c>
      <x:c r="P794" s="9" t="n">
        <x:f>M794*(1-0.40)-N794</x:f>
        <x:v>3.466666666666666</x:v>
      </x:c>
      <x:c r="Q794" s="9" t="n">
        <x:f>'Physical_Arcs'!T14</x:f>
        <x:v>4.333333333333333</x:v>
      </x:c>
      <x:c r="R794" s="9" t="n">
        <x:f>Q794*'Parameters'!$C$18</x:f>
        <x:v>0.8666666666666667</x:v>
      </x:c>
      <x:c r="S794" s="9" t="n">
        <x:f>R794*'Parameters'!$C$19</x:f>
        <x:v>1.0833333333333335</x:v>
      </x:c>
      <x:c r="T794" s="9" t="n">
        <x:f>Q794*(1-0.40)-R794</x:f>
        <x:v>1.733333333333333</x:v>
      </x:c>
    </x:row>
    <x:row r="795" ht="21" customHeight="1">
      <x:c r="A795" s="3" t="n">
        <x:v>13</x:v>
      </x:c>
      <x:c r="B795" s="3" t="str">
        <x:v>02:10</x:v>
      </x:c>
      <x:c r="C795" s="3" t="n">
        <x:v>3</x:v>
      </x:c>
      <x:c r="D795" s="3" t="n">
        <x:v>14</x:v>
      </x:c>
      <x:c r="E795" s="3" t="n">
        <x:v>2</x:v>
      </x:c>
      <x:c r="F795" s="3" t="n">
        <x:v>8</x:v>
      </x:c>
      <x:c r="G795" s="9" t="n">
        <x:v>0.1</x:v>
      </x:c>
      <x:c r="H795" s="9" t="n">
        <x:v>1.144902</x:v>
      </x:c>
      <x:c r="I795" s="9" t="n">
        <x:f>'Physical_Arcs'!R15</x:f>
        <x:v>7.75</x:v>
      </x:c>
      <x:c r="J795" s="9" t="n">
        <x:f>I795*'Parameters'!$C$18</x:f>
        <x:v>1.55</x:v>
      </x:c>
      <x:c r="K795" s="9" t="n">
        <x:f>J795*'Parameters'!$C$19</x:f>
        <x:v>1.9375</x:v>
      </x:c>
      <x:c r="L795" s="9" t="n">
        <x:f>I795*(1-0.40)-J795</x:f>
        <x:v>3.0999999999999996</x:v>
      </x:c>
      <x:c r="M795" s="9" t="n">
        <x:f>'Physical_Arcs'!S15</x:f>
        <x:v>7.75</x:v>
      </x:c>
      <x:c r="N795" s="9" t="n">
        <x:f>M795*'Parameters'!$C$18</x:f>
        <x:v>1.55</x:v>
      </x:c>
      <x:c r="O795" s="9" t="n">
        <x:f>N795*'Parameters'!$C$19</x:f>
        <x:v>1.9375</x:v>
      </x:c>
      <x:c r="P795" s="9" t="n">
        <x:f>M795*(1-0.40)-N795</x:f>
        <x:v>3.0999999999999996</x:v>
      </x:c>
      <x:c r="Q795" s="9" t="n">
        <x:f>'Physical_Arcs'!T15</x:f>
        <x:v>3.888888888888889</x:v>
      </x:c>
      <x:c r="R795" s="9" t="n">
        <x:f>Q795*'Parameters'!$C$18</x:f>
        <x:v>0.7777777777777778</x:v>
      </x:c>
      <x:c r="S795" s="9" t="n">
        <x:f>R795*'Parameters'!$C$19</x:f>
        <x:v>0.9722222222222222</x:v>
      </x:c>
      <x:c r="T795" s="9" t="n">
        <x:f>Q795*(1-0.40)-R795</x:f>
        <x:v>1.5555555555555554</x:v>
      </x:c>
    </x:row>
    <x:row r="796" ht="21" customHeight="1">
      <x:c r="A796" s="3" t="n">
        <x:v>13</x:v>
      </x:c>
      <x:c r="B796" s="3" t="str">
        <x:v>02:10</x:v>
      </x:c>
      <x:c r="C796" s="3" t="n">
        <x:v>3</x:v>
      </x:c>
      <x:c r="D796" s="3" t="n">
        <x:v>15</x:v>
      </x:c>
      <x:c r="E796" s="3" t="n">
        <x:v>2</x:v>
      </x:c>
      <x:c r="F796" s="3" t="n">
        <x:v>10</x:v>
      </x:c>
      <x:c r="G796" s="9" t="n">
        <x:v>0.1</x:v>
      </x:c>
      <x:c r="H796" s="9" t="n">
        <x:v>1.146684</x:v>
      </x:c>
      <x:c r="I796" s="9" t="n">
        <x:f>'Physical_Arcs'!R16</x:f>
        <x:v>7.416666666666667</x:v>
      </x:c>
      <x:c r="J796" s="9" t="n">
        <x:f>I796*'Parameters'!$C$18</x:f>
        <x:v>1.4833333333333334</x:v>
      </x:c>
      <x:c r="K796" s="9" t="n">
        <x:f>J796*'Parameters'!$C$19</x:f>
        <x:v>1.8541666666666667</x:v>
      </x:c>
      <x:c r="L796" s="9" t="n">
        <x:f>I796*(1-0.40)-J796</x:f>
        <x:v>2.966666666666667</x:v>
      </x:c>
      <x:c r="M796" s="9" t="n">
        <x:f>'Physical_Arcs'!S16</x:f>
        <x:v>7.416666666666667</x:v>
      </x:c>
      <x:c r="N796" s="9" t="n">
        <x:f>M796*'Parameters'!$C$18</x:f>
        <x:v>1.4833333333333334</x:v>
      </x:c>
      <x:c r="O796" s="9" t="n">
        <x:f>N796*'Parameters'!$C$19</x:f>
        <x:v>1.8541666666666667</x:v>
      </x:c>
      <x:c r="P796" s="9" t="n">
        <x:f>M796*(1-0.40)-N796</x:f>
        <x:v>2.966666666666667</x:v>
      </x:c>
      <x:c r="Q796" s="9" t="n">
        <x:f>'Physical_Arcs'!T16</x:f>
        <x:v>3.7222222222222223</x:v>
      </x:c>
      <x:c r="R796" s="9" t="n">
        <x:f>Q796*'Parameters'!$C$18</x:f>
        <x:v>0.7444444444444445</x:v>
      </x:c>
      <x:c r="S796" s="9" t="n">
        <x:f>R796*'Parameters'!$C$19</x:f>
        <x:v>0.9305555555555556</x:v>
      </x:c>
      <x:c r="T796" s="9" t="n">
        <x:f>Q796*(1-0.40)-R796</x:f>
        <x:v>1.488888888888889</x:v>
      </x:c>
    </x:row>
    <x:row r="797" ht="21" customHeight="1">
      <x:c r="A797" s="3" t="n">
        <x:v>13</x:v>
      </x:c>
      <x:c r="B797" s="3" t="str">
        <x:v>02:10</x:v>
      </x:c>
      <x:c r="C797" s="3" t="n">
        <x:v>3</x:v>
      </x:c>
      <x:c r="D797" s="3" t="n">
        <x:v>16</x:v>
      </x:c>
      <x:c r="E797" s="3" t="n">
        <x:v>3</x:v>
      </x:c>
      <x:c r="F797" s="3" t="n">
        <x:v>4</x:v>
      </x:c>
      <x:c r="G797" s="9" t="n">
        <x:v>0.1</x:v>
      </x:c>
      <x:c r="H797" s="9" t="n">
        <x:v>1.017658</x:v>
      </x:c>
      <x:c r="I797" s="9" t="n">
        <x:f>'Physical_Arcs'!R17</x:f>
        <x:v>17.02777777777778</x:v>
      </x:c>
      <x:c r="J797" s="9" t="n">
        <x:f>I797*'Parameters'!$C$18</x:f>
        <x:v>3.405555555555556</x:v>
      </x:c>
      <x:c r="K797" s="9" t="n">
        <x:f>J797*'Parameters'!$C$19</x:f>
        <x:v>4.256944444444445</x:v>
      </x:c>
      <x:c r="L797" s="9" t="n">
        <x:f>I797*(1-0.40)-J797</x:f>
        <x:v>6.811111111111111</x:v>
      </x:c>
      <x:c r="M797" s="9" t="n">
        <x:f>'Physical_Arcs'!S17</x:f>
        <x:v>17.02777777777778</x:v>
      </x:c>
      <x:c r="N797" s="9" t="n">
        <x:f>M797*'Parameters'!$C$18</x:f>
        <x:v>3.405555555555556</x:v>
      </x:c>
      <x:c r="O797" s="9" t="n">
        <x:f>N797*'Parameters'!$C$19</x:f>
        <x:v>4.256944444444445</x:v>
      </x:c>
      <x:c r="P797" s="9" t="n">
        <x:f>M797*(1-0.40)-N797</x:f>
        <x:v>6.811111111111111</x:v>
      </x:c>
      <x:c r="Q797" s="9" t="n">
        <x:f>'Physical_Arcs'!T17</x:f>
        <x:v>17.02777777777778</x:v>
      </x:c>
      <x:c r="R797" s="9" t="n">
        <x:f>Q797*'Parameters'!$C$18</x:f>
        <x:v>3.405555555555556</x:v>
      </x:c>
      <x:c r="S797" s="9" t="n">
        <x:f>R797*'Parameters'!$C$19</x:f>
        <x:v>4.256944444444445</x:v>
      </x:c>
      <x:c r="T797" s="9" t="n">
        <x:f>Q797*(1-0.40)-R797</x:f>
        <x:v>6.811111111111111</x:v>
      </x:c>
    </x:row>
    <x:row r="798" ht="21" customHeight="1">
      <x:c r="A798" s="3" t="n">
        <x:v>13</x:v>
      </x:c>
      <x:c r="B798" s="3" t="str">
        <x:v>02:10</x:v>
      </x:c>
      <x:c r="C798" s="3" t="n">
        <x:v>3</x:v>
      </x:c>
      <x:c r="D798" s="3" t="n">
        <x:v>17</x:v>
      </x:c>
      <x:c r="E798" s="3" t="n">
        <x:v>3</x:v>
      </x:c>
      <x:c r="F798" s="3" t="n">
        <x:v>2</x:v>
      </x:c>
      <x:c r="G798" s="9" t="n">
        <x:v>0.1</x:v>
      </x:c>
      <x:c r="H798" s="9" t="n">
        <x:v>0.875995</x:v>
      </x:c>
      <x:c r="I798" s="9" t="n">
        <x:f>'Physical_Arcs'!R18</x:f>
        <x:v>10.666666666666666</x:v>
      </x:c>
      <x:c r="J798" s="9" t="n">
        <x:f>I798*'Parameters'!$C$18</x:f>
        <x:v>2.1333333333333333</x:v>
      </x:c>
      <x:c r="K798" s="9" t="n">
        <x:f>J798*'Parameters'!$C$19</x:f>
        <x:v>2.6666666666666665</x:v>
      </x:c>
      <x:c r="L798" s="9" t="n">
        <x:f>I798*(1-0.40)-J798</x:f>
        <x:v>4.266666666666666</x:v>
      </x:c>
      <x:c r="M798" s="9" t="n">
        <x:f>'Physical_Arcs'!S18</x:f>
        <x:v>10.666666666666666</x:v>
      </x:c>
      <x:c r="N798" s="9" t="n">
        <x:f>M798*'Parameters'!$C$18</x:f>
        <x:v>2.1333333333333333</x:v>
      </x:c>
      <x:c r="O798" s="9" t="n">
        <x:f>N798*'Parameters'!$C$19</x:f>
        <x:v>2.6666666666666665</x:v>
      </x:c>
      <x:c r="P798" s="9" t="n">
        <x:f>M798*(1-0.40)-N798</x:f>
        <x:v>4.266666666666666</x:v>
      </x:c>
      <x:c r="Q798" s="9" t="n">
        <x:f>'Physical_Arcs'!T18</x:f>
        <x:v>5.333333333333333</x:v>
      </x:c>
      <x:c r="R798" s="9" t="n">
        <x:f>Q798*'Parameters'!$C$18</x:f>
        <x:v>1.0666666666666667</x:v>
      </x:c>
      <x:c r="S798" s="9" t="n">
        <x:f>R798*'Parameters'!$C$19</x:f>
        <x:v>1.3333333333333333</x:v>
      </x:c>
      <x:c r="T798" s="9" t="n">
        <x:f>Q798*(1-0.40)-R798</x:f>
        <x:v>2.133333333333333</x:v>
      </x:c>
    </x:row>
    <x:row r="799" ht="21" customHeight="1">
      <x:c r="A799" s="3" t="n">
        <x:v>13</x:v>
      </x:c>
      <x:c r="B799" s="3" t="str">
        <x:v>02:10</x:v>
      </x:c>
      <x:c r="C799" s="3" t="n">
        <x:v>3</x:v>
      </x:c>
      <x:c r="D799" s="3" t="n">
        <x:v>18</x:v>
      </x:c>
      <x:c r="E799" s="3" t="n">
        <x:v>3</x:v>
      </x:c>
      <x:c r="F799" s="3" t="n">
        <x:v>1</x:v>
      </x:c>
      <x:c r="G799" s="9" t="n">
        <x:v>0.1</x:v>
      </x:c>
      <x:c r="H799" s="9" t="n">
        <x:v>1.015397</x:v>
      </x:c>
      <x:c r="I799" s="9" t="n">
        <x:f>'Physical_Arcs'!R19</x:f>
        <x:v>5.166666666666667</x:v>
      </x:c>
      <x:c r="J799" s="9" t="n">
        <x:f>I799*'Parameters'!$C$18</x:f>
        <x:v>1.0333333333333334</x:v>
      </x:c>
      <x:c r="K799" s="9" t="n">
        <x:f>J799*'Parameters'!$C$19</x:f>
        <x:v>1.2916666666666667</x:v>
      </x:c>
      <x:c r="L799" s="9" t="n">
        <x:f>I799*(1-0.40)-J799</x:f>
        <x:v>2.0666666666666664</x:v>
      </x:c>
      <x:c r="M799" s="9" t="n">
        <x:f>'Physical_Arcs'!S19</x:f>
        <x:v>5.166666666666667</x:v>
      </x:c>
      <x:c r="N799" s="9" t="n">
        <x:f>M799*'Parameters'!$C$18</x:f>
        <x:v>1.0333333333333334</x:v>
      </x:c>
      <x:c r="O799" s="9" t="n">
        <x:f>N799*'Parameters'!$C$19</x:f>
        <x:v>1.2916666666666667</x:v>
      </x:c>
      <x:c r="P799" s="9" t="n">
        <x:f>M799*(1-0.40)-N799</x:f>
        <x:v>2.0666666666666664</x:v>
      </x:c>
      <x:c r="Q799" s="9" t="n">
        <x:f>'Physical_Arcs'!T19</x:f>
        <x:v>2.5833333333333335</x:v>
      </x:c>
      <x:c r="R799" s="9" t="n">
        <x:f>Q799*'Parameters'!$C$18</x:f>
        <x:v>0.5166666666666667</x:v>
      </x:c>
      <x:c r="S799" s="9" t="n">
        <x:f>R799*'Parameters'!$C$19</x:f>
        <x:v>0.6458333333333334</x:v>
      </x:c>
      <x:c r="T799" s="9" t="n">
        <x:f>Q799*(1-0.40)-R799</x:f>
        <x:v>1.0333333333333332</x:v>
      </x:c>
    </x:row>
    <x:row r="800" ht="21" customHeight="1">
      <x:c r="A800" s="3" t="n">
        <x:v>13</x:v>
      </x:c>
      <x:c r="B800" s="3" t="str">
        <x:v>02:10</x:v>
      </x:c>
      <x:c r="C800" s="3" t="n">
        <x:v>3</x:v>
      </x:c>
      <x:c r="D800" s="3" t="n">
        <x:v>19</x:v>
      </x:c>
      <x:c r="E800" s="3" t="n">
        <x:v>3</x:v>
      </x:c>
      <x:c r="F800" s="3" t="n">
        <x:v>7</x:v>
      </x:c>
      <x:c r="G800" s="9" t="n">
        <x:v>0.1</x:v>
      </x:c>
      <x:c r="H800" s="9" t="n">
        <x:v>0.996008</x:v>
      </x:c>
      <x:c r="I800" s="9" t="n">
        <x:f>'Physical_Arcs'!R20</x:f>
        <x:v>5.75</x:v>
      </x:c>
      <x:c r="J800" s="9" t="n">
        <x:f>I800*'Parameters'!$C$18</x:f>
        <x:v>1.1500000000000001</x:v>
      </x:c>
      <x:c r="K800" s="9" t="n">
        <x:f>J800*'Parameters'!$C$19</x:f>
        <x:v>1.4375000000000002</x:v>
      </x:c>
      <x:c r="L800" s="9" t="n">
        <x:f>I800*(1-0.40)-J800</x:f>
        <x:v>2.3</x:v>
      </x:c>
      <x:c r="M800" s="9" t="n">
        <x:f>'Physical_Arcs'!S20</x:f>
        <x:v>5.75</x:v>
      </x:c>
      <x:c r="N800" s="9" t="n">
        <x:f>M800*'Parameters'!$C$18</x:f>
        <x:v>1.1500000000000001</x:v>
      </x:c>
      <x:c r="O800" s="9" t="n">
        <x:f>N800*'Parameters'!$C$19</x:f>
        <x:v>1.4375000000000002</x:v>
      </x:c>
      <x:c r="P800" s="9" t="n">
        <x:f>M800*(1-0.40)-N800</x:f>
        <x:v>2.3</x:v>
      </x:c>
      <x:c r="Q800" s="9" t="n">
        <x:f>'Physical_Arcs'!T20</x:f>
        <x:v>2.888888888888889</x:v>
      </x:c>
      <x:c r="R800" s="9" t="n">
        <x:f>Q800*'Parameters'!$C$18</x:f>
        <x:v>0.5777777777777778</x:v>
      </x:c>
      <x:c r="S800" s="9" t="n">
        <x:f>R800*'Parameters'!$C$19</x:f>
        <x:v>0.7222222222222223</x:v>
      </x:c>
      <x:c r="T800" s="9" t="n">
        <x:f>Q800*(1-0.40)-R800</x:f>
        <x:v>1.1555555555555554</x:v>
      </x:c>
    </x:row>
    <x:row r="801" ht="21" customHeight="1">
      <x:c r="A801" s="3" t="n">
        <x:v>13</x:v>
      </x:c>
      <x:c r="B801" s="3" t="str">
        <x:v>02:10</x:v>
      </x:c>
      <x:c r="C801" s="3" t="n">
        <x:v>3</x:v>
      </x:c>
      <x:c r="D801" s="3" t="n">
        <x:v>20</x:v>
      </x:c>
      <x:c r="E801" s="3" t="n">
        <x:v>3</x:v>
      </x:c>
      <x:c r="F801" s="3" t="n">
        <x:v>10</x:v>
      </x:c>
      <x:c r="G801" s="9" t="n">
        <x:v>0.1</x:v>
      </x:c>
      <x:c r="H801" s="9" t="n">
        <x:v>1.118855</x:v>
      </x:c>
      <x:c r="I801" s="9" t="n">
        <x:f>'Physical_Arcs'!R21</x:f>
        <x:v>5.166666666666667</x:v>
      </x:c>
      <x:c r="J801" s="9" t="n">
        <x:f>I801*'Parameters'!$C$18</x:f>
        <x:v>1.0333333333333334</x:v>
      </x:c>
      <x:c r="K801" s="9" t="n">
        <x:f>J801*'Parameters'!$C$19</x:f>
        <x:v>1.2916666666666667</x:v>
      </x:c>
      <x:c r="L801" s="9" t="n">
        <x:f>I801*(1-0.40)-J801</x:f>
        <x:v>2.0666666666666664</x:v>
      </x:c>
      <x:c r="M801" s="9" t="n">
        <x:f>'Physical_Arcs'!S21</x:f>
        <x:v>5.166666666666667</x:v>
      </x:c>
      <x:c r="N801" s="9" t="n">
        <x:f>M801*'Parameters'!$C$18</x:f>
        <x:v>1.0333333333333334</x:v>
      </x:c>
      <x:c r="O801" s="9" t="n">
        <x:f>N801*'Parameters'!$C$19</x:f>
        <x:v>1.2916666666666667</x:v>
      </x:c>
      <x:c r="P801" s="9" t="n">
        <x:f>M801*(1-0.40)-N801</x:f>
        <x:v>2.0666666666666664</x:v>
      </x:c>
      <x:c r="Q801" s="9" t="n">
        <x:f>'Physical_Arcs'!T21</x:f>
        <x:v>2.5833333333333335</x:v>
      </x:c>
      <x:c r="R801" s="9" t="n">
        <x:f>Q801*'Parameters'!$C$18</x:f>
        <x:v>0.5166666666666667</x:v>
      </x:c>
      <x:c r="S801" s="9" t="n">
        <x:f>R801*'Parameters'!$C$19</x:f>
        <x:v>0.6458333333333334</x:v>
      </x:c>
      <x:c r="T801" s="9" t="n">
        <x:f>Q801*(1-0.40)-R801</x:f>
        <x:v>1.0333333333333332</x:v>
      </x:c>
    </x:row>
    <x:row r="802" ht="21" customHeight="1">
      <x:c r="A802" s="3" t="n">
        <x:v>13</x:v>
      </x:c>
      <x:c r="B802" s="3" t="str">
        <x:v>02:10</x:v>
      </x:c>
      <x:c r="C802" s="3" t="n">
        <x:v>3</x:v>
      </x:c>
      <x:c r="D802" s="3" t="n">
        <x:v>21</x:v>
      </x:c>
      <x:c r="E802" s="3" t="n">
        <x:v>3</x:v>
      </x:c>
      <x:c r="F802" s="3" t="n">
        <x:v>9</x:v>
      </x:c>
      <x:c r="G802" s="9" t="n">
        <x:v>0.1</x:v>
      </x:c>
      <x:c r="H802" s="9" t="n">
        <x:v>0.947299</x:v>
      </x:c>
      <x:c r="I802" s="9" t="n">
        <x:f>'Physical_Arcs'!R22</x:f>
        <x:v>9.333333333333334</x:v>
      </x:c>
      <x:c r="J802" s="9" t="n">
        <x:f>I802*'Parameters'!$C$18</x:f>
        <x:v>1.866666666666667</x:v>
      </x:c>
      <x:c r="K802" s="9" t="n">
        <x:f>J802*'Parameters'!$C$19</x:f>
        <x:v>2.3333333333333335</x:v>
      </x:c>
      <x:c r="L802" s="9" t="n">
        <x:f>I802*(1-0.40)-J802</x:f>
        <x:v>3.7333333333333334</x:v>
      </x:c>
      <x:c r="M802" s="9" t="n">
        <x:f>'Physical_Arcs'!S22</x:f>
        <x:v>9.333333333333334</x:v>
      </x:c>
      <x:c r="N802" s="9" t="n">
        <x:f>M802*'Parameters'!$C$18</x:f>
        <x:v>1.866666666666667</x:v>
      </x:c>
      <x:c r="O802" s="9" t="n">
        <x:f>N802*'Parameters'!$C$19</x:f>
        <x:v>2.3333333333333335</x:v>
      </x:c>
      <x:c r="P802" s="9" t="n">
        <x:f>M802*(1-0.40)-N802</x:f>
        <x:v>3.7333333333333334</x:v>
      </x:c>
      <x:c r="Q802" s="9" t="n">
        <x:f>'Physical_Arcs'!T22</x:f>
        <x:v>4.666666666666667</x:v>
      </x:c>
      <x:c r="R802" s="9" t="n">
        <x:f>Q802*'Parameters'!$C$18</x:f>
        <x:v>0.9333333333333335</x:v>
      </x:c>
      <x:c r="S802" s="9" t="n">
        <x:f>R802*'Parameters'!$C$19</x:f>
        <x:v>1.1666666666666667</x:v>
      </x:c>
      <x:c r="T802" s="9" t="n">
        <x:f>Q802*(1-0.40)-R802</x:f>
        <x:v>1.8666666666666667</x:v>
      </x:c>
    </x:row>
    <x:row r="803" ht="21" customHeight="1">
      <x:c r="A803" s="3" t="n">
        <x:v>13</x:v>
      </x:c>
      <x:c r="B803" s="3" t="str">
        <x:v>02:10</x:v>
      </x:c>
      <x:c r="C803" s="3" t="n">
        <x:v>3</x:v>
      </x:c>
      <x:c r="D803" s="3" t="n">
        <x:v>22</x:v>
      </x:c>
      <x:c r="E803" s="3" t="n">
        <x:v>4</x:v>
      </x:c>
      <x:c r="F803" s="3" t="n">
        <x:v>5</x:v>
      </x:c>
      <x:c r="G803" s="9" t="n">
        <x:v>0.1</x:v>
      </x:c>
      <x:c r="H803" s="9" t="n">
        <x:v>0.958485</x:v>
      </x:c>
      <x:c r="I803" s="9" t="n">
        <x:f>'Physical_Arcs'!R23</x:f>
        <x:v>17.02777777777778</x:v>
      </x:c>
      <x:c r="J803" s="9" t="n">
        <x:f>I803*'Parameters'!$C$18</x:f>
        <x:v>3.405555555555556</x:v>
      </x:c>
      <x:c r="K803" s="9" t="n">
        <x:f>J803*'Parameters'!$C$19</x:f>
        <x:v>4.256944444444445</x:v>
      </x:c>
      <x:c r="L803" s="9" t="n">
        <x:f>I803*(1-0.40)-J803</x:f>
        <x:v>6.811111111111111</x:v>
      </x:c>
      <x:c r="M803" s="9" t="n">
        <x:f>'Physical_Arcs'!S23</x:f>
        <x:v>17.02777777777778</x:v>
      </x:c>
      <x:c r="N803" s="9" t="n">
        <x:f>M803*'Parameters'!$C$18</x:f>
        <x:v>3.405555555555556</x:v>
      </x:c>
      <x:c r="O803" s="9" t="n">
        <x:f>N803*'Parameters'!$C$19</x:f>
        <x:v>4.256944444444445</x:v>
      </x:c>
      <x:c r="P803" s="9" t="n">
        <x:f>M803*(1-0.40)-N803</x:f>
        <x:v>6.811111111111111</x:v>
      </x:c>
      <x:c r="Q803" s="9" t="n">
        <x:f>'Physical_Arcs'!T23</x:f>
        <x:v>17.02777777777778</x:v>
      </x:c>
      <x:c r="R803" s="9" t="n">
        <x:f>Q803*'Parameters'!$C$18</x:f>
        <x:v>3.405555555555556</x:v>
      </x:c>
      <x:c r="S803" s="9" t="n">
        <x:f>R803*'Parameters'!$C$19</x:f>
        <x:v>4.256944444444445</x:v>
      </x:c>
      <x:c r="T803" s="9" t="n">
        <x:f>Q803*(1-0.40)-R803</x:f>
        <x:v>6.811111111111111</x:v>
      </x:c>
    </x:row>
    <x:row r="804" ht="21" customHeight="1">
      <x:c r="A804" s="3" t="n">
        <x:v>13</x:v>
      </x:c>
      <x:c r="B804" s="3" t="str">
        <x:v>02:10</x:v>
      </x:c>
      <x:c r="C804" s="3" t="n">
        <x:v>3</x:v>
      </x:c>
      <x:c r="D804" s="3" t="n">
        <x:v>23</x:v>
      </x:c>
      <x:c r="E804" s="3" t="n">
        <x:v>4</x:v>
      </x:c>
      <x:c r="F804" s="3" t="n">
        <x:v>3</x:v>
      </x:c>
      <x:c r="G804" s="9" t="n">
        <x:v>0.1</x:v>
      </x:c>
      <x:c r="H804" s="9" t="n">
        <x:v>0.944916</x:v>
      </x:c>
      <x:c r="I804" s="9" t="n">
        <x:f>'Physical_Arcs'!R24</x:f>
        <x:v>9.333333333333334</x:v>
      </x:c>
      <x:c r="J804" s="9" t="n">
        <x:f>I804*'Parameters'!$C$18</x:f>
        <x:v>1.866666666666667</x:v>
      </x:c>
      <x:c r="K804" s="9" t="n">
        <x:f>J804*'Parameters'!$C$19</x:f>
        <x:v>2.3333333333333335</x:v>
      </x:c>
      <x:c r="L804" s="9" t="n">
        <x:f>I804*(1-0.40)-J804</x:f>
        <x:v>3.7333333333333334</x:v>
      </x:c>
      <x:c r="M804" s="9" t="n">
        <x:f>'Physical_Arcs'!S24</x:f>
        <x:v>9.333333333333334</x:v>
      </x:c>
      <x:c r="N804" s="9" t="n">
        <x:f>M804*'Parameters'!$C$18</x:f>
        <x:v>1.866666666666667</x:v>
      </x:c>
      <x:c r="O804" s="9" t="n">
        <x:f>N804*'Parameters'!$C$19</x:f>
        <x:v>2.3333333333333335</x:v>
      </x:c>
      <x:c r="P804" s="9" t="n">
        <x:f>M804*(1-0.40)-N804</x:f>
        <x:v>3.7333333333333334</x:v>
      </x:c>
      <x:c r="Q804" s="9" t="n">
        <x:f>'Physical_Arcs'!T24</x:f>
        <x:v>4.666666666666667</x:v>
      </x:c>
      <x:c r="R804" s="9" t="n">
        <x:f>Q804*'Parameters'!$C$18</x:f>
        <x:v>0.9333333333333335</x:v>
      </x:c>
      <x:c r="S804" s="9" t="n">
        <x:f>R804*'Parameters'!$C$19</x:f>
        <x:v>1.1666666666666667</x:v>
      </x:c>
      <x:c r="T804" s="9" t="n">
        <x:f>Q804*(1-0.40)-R804</x:f>
        <x:v>1.8666666666666667</x:v>
      </x:c>
    </x:row>
    <x:row r="805" ht="21" customHeight="1">
      <x:c r="A805" s="3" t="n">
        <x:v>13</x:v>
      </x:c>
      <x:c r="B805" s="3" t="str">
        <x:v>02:10</x:v>
      </x:c>
      <x:c r="C805" s="3" t="n">
        <x:v>3</x:v>
      </x:c>
      <x:c r="D805" s="3" t="n">
        <x:v>24</x:v>
      </x:c>
      <x:c r="E805" s="3" t="n">
        <x:v>4</x:v>
      </x:c>
      <x:c r="F805" s="3" t="n">
        <x:v>10</x:v>
      </x:c>
      <x:c r="G805" s="9" t="n">
        <x:v>0.1</x:v>
      </x:c>
      <x:c r="H805" s="9" t="n">
        <x:v>0.875461</x:v>
      </x:c>
      <x:c r="I805" s="9" t="n">
        <x:f>'Physical_Arcs'!R25</x:f>
        <x:v>7.194444444444445</x:v>
      </x:c>
      <x:c r="J805" s="9" t="n">
        <x:f>I805*'Parameters'!$C$18</x:f>
        <x:v>1.438888888888889</x:v>
      </x:c>
      <x:c r="K805" s="9" t="n">
        <x:f>J805*'Parameters'!$C$19</x:f>
        <x:v>1.7986111111111114</x:v>
      </x:c>
      <x:c r="L805" s="9" t="n">
        <x:f>I805*(1-0.40)-J805</x:f>
        <x:v>2.8777777777777773</x:v>
      </x:c>
      <x:c r="M805" s="9" t="n">
        <x:f>'Physical_Arcs'!S25</x:f>
        <x:v>7.194444444444445</x:v>
      </x:c>
      <x:c r="N805" s="9" t="n">
        <x:f>M805*'Parameters'!$C$18</x:f>
        <x:v>1.438888888888889</x:v>
      </x:c>
      <x:c r="O805" s="9" t="n">
        <x:f>N805*'Parameters'!$C$19</x:f>
        <x:v>1.7986111111111114</x:v>
      </x:c>
      <x:c r="P805" s="9" t="n">
        <x:f>M805*(1-0.40)-N805</x:f>
        <x:v>2.8777777777777773</x:v>
      </x:c>
      <x:c r="Q805" s="9" t="n">
        <x:f>'Physical_Arcs'!T25</x:f>
        <x:v>3.611111111111111</x:v>
      </x:c>
      <x:c r="R805" s="9" t="n">
        <x:f>Q805*'Parameters'!$C$18</x:f>
        <x:v>0.7222222222222223</x:v>
      </x:c>
      <x:c r="S805" s="9" t="n">
        <x:f>R805*'Parameters'!$C$19</x:f>
        <x:v>0.9027777777777779</x:v>
      </x:c>
      <x:c r="T805" s="9" t="n">
        <x:f>Q805*(1-0.40)-R805</x:f>
        <x:v>1.4444444444444442</x:v>
      </x:c>
    </x:row>
    <x:row r="806" ht="21" customHeight="1">
      <x:c r="A806" s="3" t="n">
        <x:v>13</x:v>
      </x:c>
      <x:c r="B806" s="3" t="str">
        <x:v>02:10</x:v>
      </x:c>
      <x:c r="C806" s="3" t="n">
        <x:v>3</x:v>
      </x:c>
      <x:c r="D806" s="3" t="n">
        <x:v>25</x:v>
      </x:c>
      <x:c r="E806" s="3" t="n">
        <x:v>4</x:v>
      </x:c>
      <x:c r="F806" s="3" t="n">
        <x:v>8</x:v>
      </x:c>
      <x:c r="G806" s="9" t="n">
        <x:v>0.1</x:v>
      </x:c>
      <x:c r="H806" s="9" t="n">
        <x:v>0.993326</x:v>
      </x:c>
      <x:c r="I806" s="9" t="n">
        <x:f>'Physical_Arcs'!R26</x:f>
        <x:v>5.277777777777778</x:v>
      </x:c>
      <x:c r="J806" s="9" t="n">
        <x:f>I806*'Parameters'!$C$18</x:f>
        <x:v>1.0555555555555556</x:v>
      </x:c>
      <x:c r="K806" s="9" t="n">
        <x:f>J806*'Parameters'!$C$19</x:f>
        <x:v>1.3194444444444444</x:v>
      </x:c>
      <x:c r="L806" s="9" t="n">
        <x:f>I806*(1-0.40)-J806</x:f>
        <x:v>2.1111111111111107</x:v>
      </x:c>
      <x:c r="M806" s="9" t="n">
        <x:f>'Physical_Arcs'!S26</x:f>
        <x:v>5.277777777777778</x:v>
      </x:c>
      <x:c r="N806" s="9" t="n">
        <x:f>M806*'Parameters'!$C$18</x:f>
        <x:v>1.0555555555555556</x:v>
      </x:c>
      <x:c r="O806" s="9" t="n">
        <x:f>N806*'Parameters'!$C$19</x:f>
        <x:v>1.3194444444444444</x:v>
      </x:c>
      <x:c r="P806" s="9" t="n">
        <x:f>M806*(1-0.40)-N806</x:f>
        <x:v>2.1111111111111107</x:v>
      </x:c>
      <x:c r="Q806" s="9" t="n">
        <x:f>'Physical_Arcs'!T26</x:f>
        <x:v>2.638888888888889</x:v>
      </x:c>
      <x:c r="R806" s="9" t="n">
        <x:f>Q806*'Parameters'!$C$18</x:f>
        <x:v>0.5277777777777778</x:v>
      </x:c>
      <x:c r="S806" s="9" t="n">
        <x:f>R806*'Parameters'!$C$19</x:f>
        <x:v>0.6597222222222222</x:v>
      </x:c>
      <x:c r="T806" s="9" t="n">
        <x:f>Q806*(1-0.40)-R806</x:f>
        <x:v>1.0555555555555554</x:v>
      </x:c>
    </x:row>
    <x:row r="807" ht="21" customHeight="1">
      <x:c r="A807" s="3" t="n">
        <x:v>13</x:v>
      </x:c>
      <x:c r="B807" s="3" t="str">
        <x:v>02:10</x:v>
      </x:c>
      <x:c r="C807" s="3" t="n">
        <x:v>3</x:v>
      </x:c>
      <x:c r="D807" s="3" t="n">
        <x:v>26</x:v>
      </x:c>
      <x:c r="E807" s="3" t="n">
        <x:v>4</x:v>
      </x:c>
      <x:c r="F807" s="3" t="n">
        <x:v>7</x:v>
      </x:c>
      <x:c r="G807" s="9" t="n">
        <x:v>0.1</x:v>
      </x:c>
      <x:c r="H807" s="9" t="n">
        <x:v>1.099203</x:v>
      </x:c>
      <x:c r="I807" s="9" t="n">
        <x:f>'Physical_Arcs'!R27</x:f>
        <x:v>6.527777777777778</x:v>
      </x:c>
      <x:c r="J807" s="9" t="n">
        <x:f>I807*'Parameters'!$C$18</x:f>
        <x:v>1.3055555555555556</x:v>
      </x:c>
      <x:c r="K807" s="9" t="n">
        <x:f>J807*'Parameters'!$C$19</x:f>
        <x:v>1.6319444444444444</x:v>
      </x:c>
      <x:c r="L807" s="9" t="n">
        <x:f>I807*(1-0.40)-J807</x:f>
        <x:v>2.6111111111111107</x:v>
      </x:c>
      <x:c r="M807" s="9" t="n">
        <x:f>'Physical_Arcs'!S27</x:f>
        <x:v>6.527777777777778</x:v>
      </x:c>
      <x:c r="N807" s="9" t="n">
        <x:f>M807*'Parameters'!$C$18</x:f>
        <x:v>1.3055555555555556</x:v>
      </x:c>
      <x:c r="O807" s="9" t="n">
        <x:f>N807*'Parameters'!$C$19</x:f>
        <x:v>1.6319444444444444</x:v>
      </x:c>
      <x:c r="P807" s="9" t="n">
        <x:f>M807*(1-0.40)-N807</x:f>
        <x:v>2.6111111111111107</x:v>
      </x:c>
      <x:c r="Q807" s="9" t="n">
        <x:f>'Physical_Arcs'!T27</x:f>
        <x:v>3.2777777777777777</x:v>
      </x:c>
      <x:c r="R807" s="9" t="n">
        <x:f>Q807*'Parameters'!$C$18</x:f>
        <x:v>0.6555555555555556</x:v>
      </x:c>
      <x:c r="S807" s="9" t="n">
        <x:f>R807*'Parameters'!$C$19</x:f>
        <x:v>0.8194444444444444</x:v>
      </x:c>
      <x:c r="T807" s="9" t="n">
        <x:f>Q807*(1-0.40)-R807</x:f>
        <x:v>1.311111111111111</x:v>
      </x:c>
    </x:row>
    <x:row r="808" ht="21" customHeight="1">
      <x:c r="A808" s="3" t="n">
        <x:v>13</x:v>
      </x:c>
      <x:c r="B808" s="3" t="str">
        <x:v>02:10</x:v>
      </x:c>
      <x:c r="C808" s="3" t="n">
        <x:v>3</x:v>
      </x:c>
      <x:c r="D808" s="3" t="n">
        <x:v>27</x:v>
      </x:c>
      <x:c r="E808" s="3" t="n">
        <x:v>4</x:v>
      </x:c>
      <x:c r="F808" s="3" t="n">
        <x:v>2</x:v>
      </x:c>
      <x:c r="G808" s="9" t="n">
        <x:v>0.1</x:v>
      </x:c>
      <x:c r="H808" s="9" t="n">
        <x:v>0.861111</x:v>
      </x:c>
      <x:c r="I808" s="9" t="n">
        <x:f>'Physical_Arcs'!R28</x:f>
        <x:v>4.944444444444445</x:v>
      </x:c>
      <x:c r="J808" s="9" t="n">
        <x:f>I808*'Parameters'!$C$18</x:f>
        <x:v>0.9888888888888889</x:v>
      </x:c>
      <x:c r="K808" s="9" t="n">
        <x:f>J808*'Parameters'!$C$19</x:f>
        <x:v>1.2361111111111112</x:v>
      </x:c>
      <x:c r="L808" s="9" t="n">
        <x:f>I808*(1-0.40)-J808</x:f>
        <x:v>1.9777777777777779</x:v>
      </x:c>
      <x:c r="M808" s="9" t="n">
        <x:f>'Physical_Arcs'!S28</x:f>
        <x:v>4.944444444444445</x:v>
      </x:c>
      <x:c r="N808" s="9" t="n">
        <x:f>M808*'Parameters'!$C$18</x:f>
        <x:v>0.9888888888888889</x:v>
      </x:c>
      <x:c r="O808" s="9" t="n">
        <x:f>N808*'Parameters'!$C$19</x:f>
        <x:v>1.2361111111111112</x:v>
      </x:c>
      <x:c r="P808" s="9" t="n">
        <x:f>M808*(1-0.40)-N808</x:f>
        <x:v>1.9777777777777779</x:v>
      </x:c>
      <x:c r="Q808" s="9" t="n">
        <x:f>'Physical_Arcs'!T28</x:f>
        <x:v>2.4722222222222223</x:v>
      </x:c>
      <x:c r="R808" s="9" t="n">
        <x:f>Q808*'Parameters'!$C$18</x:f>
        <x:v>0.49444444444444446</x:v>
      </x:c>
      <x:c r="S808" s="9" t="n">
        <x:f>R808*'Parameters'!$C$19</x:f>
        <x:v>0.6180555555555556</x:v>
      </x:c>
      <x:c r="T808" s="9" t="n">
        <x:f>Q808*(1-0.40)-R808</x:f>
        <x:v>0.9888888888888889</x:v>
      </x:c>
    </x:row>
    <x:row r="809" ht="21" customHeight="1">
      <x:c r="A809" s="3" t="n">
        <x:v>13</x:v>
      </x:c>
      <x:c r="B809" s="3" t="str">
        <x:v>02:10</x:v>
      </x:c>
      <x:c r="C809" s="3" t="n">
        <x:v>3</x:v>
      </x:c>
      <x:c r="D809" s="3" t="n">
        <x:v>28</x:v>
      </x:c>
      <x:c r="E809" s="3" t="n">
        <x:v>4</x:v>
      </x:c>
      <x:c r="F809" s="3" t="n">
        <x:v>6</x:v>
      </x:c>
      <x:c r="G809" s="9" t="n">
        <x:v>0.1</x:v>
      </x:c>
      <x:c r="H809" s="9" t="n">
        <x:v>1.137214</x:v>
      </x:c>
      <x:c r="I809" s="9" t="n">
        <x:f>'Physical_Arcs'!R29</x:f>
        <x:v>3.388888888888889</x:v>
      </x:c>
      <x:c r="J809" s="9" t="n">
        <x:f>I809*'Parameters'!$C$18</x:f>
        <x:v>0.6777777777777778</x:v>
      </x:c>
      <x:c r="K809" s="9" t="n">
        <x:f>J809*'Parameters'!$C$19</x:f>
        <x:v>0.8472222222222223</x:v>
      </x:c>
      <x:c r="L809" s="9" t="n">
        <x:f>I809*(1-0.40)-J809</x:f>
        <x:v>1.3555555555555554</x:v>
      </x:c>
      <x:c r="M809" s="9" t="n">
        <x:f>'Physical_Arcs'!S29</x:f>
        <x:v>3.388888888888889</x:v>
      </x:c>
      <x:c r="N809" s="9" t="n">
        <x:f>M809*'Parameters'!$C$18</x:f>
        <x:v>0.6777777777777778</x:v>
      </x:c>
      <x:c r="O809" s="9" t="n">
        <x:f>N809*'Parameters'!$C$19</x:f>
        <x:v>0.8472222222222223</x:v>
      </x:c>
      <x:c r="P809" s="9" t="n">
        <x:f>M809*(1-0.40)-N809</x:f>
        <x:v>1.3555555555555554</x:v>
      </x:c>
      <x:c r="Q809" s="9" t="n">
        <x:f>'Physical_Arcs'!T29</x:f>
        <x:v>1.6944444444444444</x:v>
      </x:c>
      <x:c r="R809" s="9" t="n">
        <x:f>Q809*'Parameters'!$C$18</x:f>
        <x:v>0.3388888888888889</x:v>
      </x:c>
      <x:c r="S809" s="9" t="n">
        <x:f>R809*'Parameters'!$C$19</x:f>
        <x:v>0.42361111111111116</x:v>
      </x:c>
      <x:c r="T809" s="9" t="n">
        <x:f>Q809*(1-0.40)-R809</x:f>
        <x:v>0.6777777777777777</x:v>
      </x:c>
    </x:row>
    <x:row r="810" ht="21" customHeight="1">
      <x:c r="A810" s="3" t="n">
        <x:v>13</x:v>
      </x:c>
      <x:c r="B810" s="3" t="str">
        <x:v>02:10</x:v>
      </x:c>
      <x:c r="C810" s="3" t="n">
        <x:v>3</x:v>
      </x:c>
      <x:c r="D810" s="3" t="n">
        <x:v>29</x:v>
      </x:c>
      <x:c r="E810" s="3" t="n">
        <x:v>5</x:v>
      </x:c>
      <x:c r="F810" s="3" t="n">
        <x:v>6</x:v>
      </x:c>
      <x:c r="G810" s="9" t="n">
        <x:v>0.1</x:v>
      </x:c>
      <x:c r="H810" s="9" t="n">
        <x:v>0.949994</x:v>
      </x:c>
      <x:c r="I810" s="9" t="n">
        <x:f>'Physical_Arcs'!R30</x:f>
        <x:v>17.02777777777778</x:v>
      </x:c>
      <x:c r="J810" s="9" t="n">
        <x:f>I810*'Parameters'!$C$18</x:f>
        <x:v>3.405555555555556</x:v>
      </x:c>
      <x:c r="K810" s="9" t="n">
        <x:f>J810*'Parameters'!$C$19</x:f>
        <x:v>4.256944444444445</x:v>
      </x:c>
      <x:c r="L810" s="9" t="n">
        <x:f>I810*(1-0.40)-J810</x:f>
        <x:v>6.811111111111111</x:v>
      </x:c>
      <x:c r="M810" s="9" t="n">
        <x:f>'Physical_Arcs'!S30</x:f>
        <x:v>17.02777777777778</x:v>
      </x:c>
      <x:c r="N810" s="9" t="n">
        <x:f>M810*'Parameters'!$C$18</x:f>
        <x:v>3.405555555555556</x:v>
      </x:c>
      <x:c r="O810" s="9" t="n">
        <x:f>N810*'Parameters'!$C$19</x:f>
        <x:v>4.256944444444445</x:v>
      </x:c>
      <x:c r="P810" s="9" t="n">
        <x:f>M810*(1-0.40)-N810</x:f>
        <x:v>6.811111111111111</x:v>
      </x:c>
      <x:c r="Q810" s="9" t="n">
        <x:f>'Physical_Arcs'!T30</x:f>
        <x:v>17.02777777777778</x:v>
      </x:c>
      <x:c r="R810" s="9" t="n">
        <x:f>Q810*'Parameters'!$C$18</x:f>
        <x:v>3.405555555555556</x:v>
      </x:c>
      <x:c r="S810" s="9" t="n">
        <x:f>R810*'Parameters'!$C$19</x:f>
        <x:v>4.256944444444445</x:v>
      </x:c>
      <x:c r="T810" s="9" t="n">
        <x:f>Q810*(1-0.40)-R810</x:f>
        <x:v>6.811111111111111</x:v>
      </x:c>
    </x:row>
    <x:row r="811" ht="21" customHeight="1">
      <x:c r="A811" s="3" t="n">
        <x:v>13</x:v>
      </x:c>
      <x:c r="B811" s="3" t="str">
        <x:v>02:10</x:v>
      </x:c>
      <x:c r="C811" s="3" t="n">
        <x:v>3</x:v>
      </x:c>
      <x:c r="D811" s="3" t="n">
        <x:v>30</x:v>
      </x:c>
      <x:c r="E811" s="3" t="n">
        <x:v>5</x:v>
      </x:c>
      <x:c r="F811" s="3" t="n">
        <x:v>2</x:v>
      </x:c>
      <x:c r="G811" s="9" t="n">
        <x:v>0.1</x:v>
      </x:c>
      <x:c r="H811" s="9" t="n">
        <x:v>0.882396</x:v>
      </x:c>
      <x:c r="I811" s="9" t="n">
        <x:f>'Physical_Arcs'!R31</x:f>
        <x:v>2.9444444444444446</x:v>
      </x:c>
      <x:c r="J811" s="9" t="n">
        <x:f>I811*'Parameters'!$C$18</x:f>
        <x:v>0.5888888888888889</x:v>
      </x:c>
      <x:c r="K811" s="9" t="n">
        <x:f>J811*'Parameters'!$C$19</x:f>
        <x:v>0.7361111111111112</x:v>
      </x:c>
      <x:c r="L811" s="9" t="n">
        <x:f>I811*(1-0.40)-J811</x:f>
        <x:v>1.177777777777778</x:v>
      </x:c>
      <x:c r="M811" s="9" t="n">
        <x:f>'Physical_Arcs'!S31</x:f>
        <x:v>2.9444444444444446</x:v>
      </x:c>
      <x:c r="N811" s="9" t="n">
        <x:f>M811*'Parameters'!$C$18</x:f>
        <x:v>0.5888888888888889</x:v>
      </x:c>
      <x:c r="O811" s="9" t="n">
        <x:f>N811*'Parameters'!$C$19</x:f>
        <x:v>0.7361111111111112</x:v>
      </x:c>
      <x:c r="P811" s="9" t="n">
        <x:f>M811*(1-0.40)-N811</x:f>
        <x:v>1.177777777777778</x:v>
      </x:c>
      <x:c r="Q811" s="9" t="n">
        <x:f>'Physical_Arcs'!T31</x:f>
        <x:v>1.4722222222222223</x:v>
      </x:c>
      <x:c r="R811" s="9" t="n">
        <x:f>Q811*'Parameters'!$C$18</x:f>
        <x:v>0.29444444444444445</x:v>
      </x:c>
      <x:c r="S811" s="9" t="n">
        <x:f>R811*'Parameters'!$C$19</x:f>
        <x:v>0.3680555555555556</x:v>
      </x:c>
      <x:c r="T811" s="9" t="n">
        <x:f>Q811*(1-0.40)-R811</x:f>
        <x:v>0.588888888888889</x:v>
      </x:c>
    </x:row>
    <x:row r="812" ht="21" customHeight="1">
      <x:c r="A812" s="3" t="n">
        <x:v>13</x:v>
      </x:c>
      <x:c r="B812" s="3" t="str">
        <x:v>02:10</x:v>
      </x:c>
      <x:c r="C812" s="3" t="n">
        <x:v>3</x:v>
      </x:c>
      <x:c r="D812" s="3" t="n">
        <x:v>31</x:v>
      </x:c>
      <x:c r="E812" s="3" t="n">
        <x:v>5</x:v>
      </x:c>
      <x:c r="F812" s="3" t="n">
        <x:v>8</x:v>
      </x:c>
      <x:c r="G812" s="9" t="n">
        <x:v>0.1</x:v>
      </x:c>
      <x:c r="H812" s="9" t="n">
        <x:v>0.986718</x:v>
      </x:c>
      <x:c r="I812" s="9" t="n">
        <x:f>'Physical_Arcs'!R32</x:f>
        <x:v>9.333333333333334</x:v>
      </x:c>
      <x:c r="J812" s="9" t="n">
        <x:f>I812*'Parameters'!$C$18</x:f>
        <x:v>1.866666666666667</x:v>
      </x:c>
      <x:c r="K812" s="9" t="n">
        <x:f>J812*'Parameters'!$C$19</x:f>
        <x:v>2.3333333333333335</x:v>
      </x:c>
      <x:c r="L812" s="9" t="n">
        <x:f>I812*(1-0.40)-J812</x:f>
        <x:v>3.7333333333333334</x:v>
      </x:c>
      <x:c r="M812" s="9" t="n">
        <x:f>'Physical_Arcs'!S32</x:f>
        <x:v>9.333333333333334</x:v>
      </x:c>
      <x:c r="N812" s="9" t="n">
        <x:f>M812*'Parameters'!$C$18</x:f>
        <x:v>1.866666666666667</x:v>
      </x:c>
      <x:c r="O812" s="9" t="n">
        <x:f>N812*'Parameters'!$C$19</x:f>
        <x:v>2.3333333333333335</x:v>
      </x:c>
      <x:c r="P812" s="9" t="n">
        <x:f>M812*(1-0.40)-N812</x:f>
        <x:v>3.7333333333333334</x:v>
      </x:c>
      <x:c r="Q812" s="9" t="n">
        <x:f>'Physical_Arcs'!T32</x:f>
        <x:v>4.666666666666667</x:v>
      </x:c>
      <x:c r="R812" s="9" t="n">
        <x:f>Q812*'Parameters'!$C$18</x:f>
        <x:v>0.9333333333333335</x:v>
      </x:c>
      <x:c r="S812" s="9" t="n">
        <x:f>R812*'Parameters'!$C$19</x:f>
        <x:v>1.1666666666666667</x:v>
      </x:c>
      <x:c r="T812" s="9" t="n">
        <x:f>Q812*(1-0.40)-R812</x:f>
        <x:v>1.8666666666666667</x:v>
      </x:c>
    </x:row>
    <x:row r="813" ht="21" customHeight="1">
      <x:c r="A813" s="3" t="n">
        <x:v>13</x:v>
      </x:c>
      <x:c r="B813" s="3" t="str">
        <x:v>02:10</x:v>
      </x:c>
      <x:c r="C813" s="3" t="n">
        <x:v>3</x:v>
      </x:c>
      <x:c r="D813" s="3" t="n">
        <x:v>32</x:v>
      </x:c>
      <x:c r="E813" s="3" t="n">
        <x:v>5</x:v>
      </x:c>
      <x:c r="F813" s="3" t="n">
        <x:v>3</x:v>
      </x:c>
      <x:c r="G813" s="9" t="n">
        <x:v>0.1</x:v>
      </x:c>
      <x:c r="H813" s="9" t="n">
        <x:v>1.089544</x:v>
      </x:c>
      <x:c r="I813" s="9" t="n">
        <x:f>'Physical_Arcs'!R33</x:f>
        <x:v>11.13888888888889</x:v>
      </x:c>
      <x:c r="J813" s="9" t="n">
        <x:f>I813*'Parameters'!$C$18</x:f>
        <x:v>2.227777777777778</x:v>
      </x:c>
      <x:c r="K813" s="9" t="n">
        <x:f>J813*'Parameters'!$C$19</x:f>
        <x:v>2.7847222222222223</x:v>
      </x:c>
      <x:c r="L813" s="9" t="n">
        <x:f>I813*(1-0.40)-J813</x:f>
        <x:v>4.455555555555556</x:v>
      </x:c>
      <x:c r="M813" s="9" t="n">
        <x:f>'Physical_Arcs'!S33</x:f>
        <x:v>11.13888888888889</x:v>
      </x:c>
      <x:c r="N813" s="9" t="n">
        <x:f>M813*'Parameters'!$C$18</x:f>
        <x:v>2.227777777777778</x:v>
      </x:c>
      <x:c r="O813" s="9" t="n">
        <x:f>N813*'Parameters'!$C$19</x:f>
        <x:v>2.7847222222222223</x:v>
      </x:c>
      <x:c r="P813" s="9" t="n">
        <x:f>M813*(1-0.40)-N813</x:f>
        <x:v>4.455555555555556</x:v>
      </x:c>
      <x:c r="Q813" s="9" t="n">
        <x:f>'Physical_Arcs'!T33</x:f>
        <x:v>5.583333333333333</x:v>
      </x:c>
      <x:c r="R813" s="9" t="n">
        <x:f>Q813*'Parameters'!$C$18</x:f>
        <x:v>1.1166666666666667</x:v>
      </x:c>
      <x:c r="S813" s="9" t="n">
        <x:f>R813*'Parameters'!$C$19</x:f>
        <x:v>1.3958333333333335</x:v>
      </x:c>
      <x:c r="T813" s="9" t="n">
        <x:f>Q813*(1-0.40)-R813</x:f>
        <x:v>2.233333333333333</x:v>
      </x:c>
    </x:row>
    <x:row r="814" ht="21" customHeight="1">
      <x:c r="A814" s="3" t="n">
        <x:v>13</x:v>
      </x:c>
      <x:c r="B814" s="3" t="str">
        <x:v>02:10</x:v>
      </x:c>
      <x:c r="C814" s="3" t="n">
        <x:v>3</x:v>
      </x:c>
      <x:c r="D814" s="3" t="n">
        <x:v>33</x:v>
      </x:c>
      <x:c r="E814" s="3" t="n">
        <x:v>5</x:v>
      </x:c>
      <x:c r="F814" s="3" t="n">
        <x:v>10</x:v>
      </x:c>
      <x:c r="G814" s="9" t="n">
        <x:v>0.1</x:v>
      </x:c>
      <x:c r="H814" s="9" t="n">
        <x:v>1.103596</x:v>
      </x:c>
      <x:c r="I814" s="9" t="n">
        <x:f>'Physical_Arcs'!R34</x:f>
        <x:v>4.611111111111111</x:v>
      </x:c>
      <x:c r="J814" s="9" t="n">
        <x:f>I814*'Parameters'!$C$18</x:f>
        <x:v>0.9222222222222222</x:v>
      </x:c>
      <x:c r="K814" s="9" t="n">
        <x:f>J814*'Parameters'!$C$19</x:f>
        <x:v>1.1527777777777777</x:v>
      </x:c>
      <x:c r="L814" s="9" t="n">
        <x:f>I814*(1-0.40)-J814</x:f>
        <x:v>1.844444444444444</x:v>
      </x:c>
      <x:c r="M814" s="9" t="n">
        <x:f>'Physical_Arcs'!S34</x:f>
        <x:v>4.611111111111111</x:v>
      </x:c>
      <x:c r="N814" s="9" t="n">
        <x:f>M814*'Parameters'!$C$18</x:f>
        <x:v>0.9222222222222222</x:v>
      </x:c>
      <x:c r="O814" s="9" t="n">
        <x:f>N814*'Parameters'!$C$19</x:f>
        <x:v>1.1527777777777777</x:v>
      </x:c>
      <x:c r="P814" s="9" t="n">
        <x:f>M814*(1-0.40)-N814</x:f>
        <x:v>1.844444444444444</x:v>
      </x:c>
      <x:c r="Q814" s="9" t="n">
        <x:f>'Physical_Arcs'!T34</x:f>
        <x:v>2.3055555555555554</x:v>
      </x:c>
      <x:c r="R814" s="9" t="n">
        <x:f>Q814*'Parameters'!$C$18</x:f>
        <x:v>0.4611111111111111</x:v>
      </x:c>
      <x:c r="S814" s="9" t="n">
        <x:f>R814*'Parameters'!$C$19</x:f>
        <x:v>0.5763888888888888</x:v>
      </x:c>
      <x:c r="T814" s="9" t="n">
        <x:f>Q814*(1-0.40)-R814</x:f>
        <x:v>0.922222222222222</x:v>
      </x:c>
    </x:row>
    <x:row r="815" ht="21" customHeight="1">
      <x:c r="A815" s="3" t="n">
        <x:v>13</x:v>
      </x:c>
      <x:c r="B815" s="3" t="str">
        <x:v>02:10</x:v>
      </x:c>
      <x:c r="C815" s="3" t="n">
        <x:v>3</x:v>
      </x:c>
      <x:c r="D815" s="3" t="n">
        <x:v>34</x:v>
      </x:c>
      <x:c r="E815" s="3" t="n">
        <x:v>6</x:v>
      </x:c>
      <x:c r="F815" s="3" t="n">
        <x:v>7</x:v>
      </x:c>
      <x:c r="G815" s="9" t="n">
        <x:v>0.1</x:v>
      </x:c>
      <x:c r="H815" s="9" t="n">
        <x:v>0.973887</x:v>
      </x:c>
      <x:c r="I815" s="9" t="n">
        <x:f>'Physical_Arcs'!R35</x:f>
        <x:v>17.02777777777778</x:v>
      </x:c>
      <x:c r="J815" s="9" t="n">
        <x:f>I815*'Parameters'!$C$18</x:f>
        <x:v>3.405555555555556</x:v>
      </x:c>
      <x:c r="K815" s="9" t="n">
        <x:f>J815*'Parameters'!$C$19</x:f>
        <x:v>4.256944444444445</x:v>
      </x:c>
      <x:c r="L815" s="9" t="n">
        <x:f>I815*(1-0.40)-J815</x:f>
        <x:v>6.811111111111111</x:v>
      </x:c>
      <x:c r="M815" s="9" t="n">
        <x:f>'Physical_Arcs'!S35</x:f>
        <x:v>17.02777777777778</x:v>
      </x:c>
      <x:c r="N815" s="9" t="n">
        <x:f>M815*'Parameters'!$C$18</x:f>
        <x:v>3.405555555555556</x:v>
      </x:c>
      <x:c r="O815" s="9" t="n">
        <x:f>N815*'Parameters'!$C$19</x:f>
        <x:v>4.256944444444445</x:v>
      </x:c>
      <x:c r="P815" s="9" t="n">
        <x:f>M815*(1-0.40)-N815</x:f>
        <x:v>6.811111111111111</x:v>
      </x:c>
      <x:c r="Q815" s="9" t="n">
        <x:f>'Physical_Arcs'!T35</x:f>
        <x:v>17.02777777777778</x:v>
      </x:c>
      <x:c r="R815" s="9" t="n">
        <x:f>Q815*'Parameters'!$C$18</x:f>
        <x:v>3.405555555555556</x:v>
      </x:c>
      <x:c r="S815" s="9" t="n">
        <x:f>R815*'Parameters'!$C$19</x:f>
        <x:v>4.256944444444445</x:v>
      </x:c>
      <x:c r="T815" s="9" t="n">
        <x:f>Q815*(1-0.40)-R815</x:f>
        <x:v>6.811111111111111</x:v>
      </x:c>
    </x:row>
    <x:row r="816" ht="21" customHeight="1">
      <x:c r="A816" s="3" t="n">
        <x:v>13</x:v>
      </x:c>
      <x:c r="B816" s="3" t="str">
        <x:v>02:10</x:v>
      </x:c>
      <x:c r="C816" s="3" t="n">
        <x:v>3</x:v>
      </x:c>
      <x:c r="D816" s="3" t="n">
        <x:v>35</x:v>
      </x:c>
      <x:c r="E816" s="3" t="n">
        <x:v>6</x:v>
      </x:c>
      <x:c r="F816" s="3" t="n">
        <x:v>10</x:v>
      </x:c>
      <x:c r="G816" s="9" t="n">
        <x:v>0.1</x:v>
      </x:c>
      <x:c r="H816" s="9" t="n">
        <x:v>1.009062</x:v>
      </x:c>
      <x:c r="I816" s="9" t="n">
        <x:f>'Physical_Arcs'!R36</x:f>
        <x:v>4.055555555555555</x:v>
      </x:c>
      <x:c r="J816" s="9" t="n">
        <x:f>I816*'Parameters'!$C$18</x:f>
        <x:v>0.8111111111111111</x:v>
      </x:c>
      <x:c r="K816" s="9" t="n">
        <x:f>J816*'Parameters'!$C$19</x:f>
        <x:v>1.0138888888888888</x:v>
      </x:c>
      <x:c r="L816" s="9" t="n">
        <x:f>I816*(1-0.40)-J816</x:f>
        <x:v>1.622222222222222</x:v>
      </x:c>
      <x:c r="M816" s="9" t="n">
        <x:f>'Physical_Arcs'!S36</x:f>
        <x:v>4.055555555555555</x:v>
      </x:c>
      <x:c r="N816" s="9" t="n">
        <x:f>M816*'Parameters'!$C$18</x:f>
        <x:v>0.8111111111111111</x:v>
      </x:c>
      <x:c r="O816" s="9" t="n">
        <x:f>N816*'Parameters'!$C$19</x:f>
        <x:v>1.0138888888888888</x:v>
      </x:c>
      <x:c r="P816" s="9" t="n">
        <x:f>M816*(1-0.40)-N816</x:f>
        <x:v>1.622222222222222</x:v>
      </x:c>
      <x:c r="Q816" s="9" t="n">
        <x:f>'Physical_Arcs'!T36</x:f>
        <x:v>2.0277777777777777</x:v>
      </x:c>
      <x:c r="R816" s="9" t="n">
        <x:f>Q816*'Parameters'!$C$18</x:f>
        <x:v>0.40555555555555556</x:v>
      </x:c>
      <x:c r="S816" s="9" t="n">
        <x:f>R816*'Parameters'!$C$19</x:f>
        <x:v>0.5069444444444444</x:v>
      </x:c>
      <x:c r="T816" s="9" t="n">
        <x:f>Q816*(1-0.40)-R816</x:f>
        <x:v>0.811111111111111</x:v>
      </x:c>
    </x:row>
    <x:row r="817" ht="21" customHeight="1">
      <x:c r="A817" s="3" t="n">
        <x:v>13</x:v>
      </x:c>
      <x:c r="B817" s="3" t="str">
        <x:v>02:10</x:v>
      </x:c>
      <x:c r="C817" s="3" t="n">
        <x:v>3</x:v>
      </x:c>
      <x:c r="D817" s="3" t="n">
        <x:v>36</x:v>
      </x:c>
      <x:c r="E817" s="3" t="n">
        <x:v>6</x:v>
      </x:c>
      <x:c r="F817" s="3" t="n">
        <x:v>8</x:v>
      </x:c>
      <x:c r="G817" s="9" t="n">
        <x:v>0.1</x:v>
      </x:c>
      <x:c r="H817" s="9" t="n">
        <x:v>1.132129</x:v>
      </x:c>
      <x:c r="I817" s="9" t="n">
        <x:f>'Physical_Arcs'!R37</x:f>
        <x:v>6.972222222222222</x:v>
      </x:c>
      <x:c r="J817" s="9" t="n">
        <x:f>I817*'Parameters'!$C$18</x:f>
        <x:v>1.3944444444444446</x:v>
      </x:c>
      <x:c r="K817" s="9" t="n">
        <x:f>J817*'Parameters'!$C$19</x:f>
        <x:v>1.7430555555555558</x:v>
      </x:c>
      <x:c r="L817" s="9" t="n">
        <x:f>I817*(1-0.40)-J817</x:f>
        <x:v>2.7888888888888888</x:v>
      </x:c>
      <x:c r="M817" s="9" t="n">
        <x:f>'Physical_Arcs'!S37</x:f>
        <x:v>6.972222222222222</x:v>
      </x:c>
      <x:c r="N817" s="9" t="n">
        <x:f>M817*'Parameters'!$C$18</x:f>
        <x:v>1.3944444444444446</x:v>
      </x:c>
      <x:c r="O817" s="9" t="n">
        <x:f>N817*'Parameters'!$C$19</x:f>
        <x:v>1.7430555555555558</x:v>
      </x:c>
      <x:c r="P817" s="9" t="n">
        <x:f>M817*(1-0.40)-N817</x:f>
        <x:v>2.7888888888888888</x:v>
      </x:c>
      <x:c r="Q817" s="9" t="n">
        <x:f>'Physical_Arcs'!T37</x:f>
        <x:v>3.5</x:v>
      </x:c>
      <x:c r="R817" s="9" t="n">
        <x:f>Q817*'Parameters'!$C$18</x:f>
        <x:v>0.7000000000000001</x:v>
      </x:c>
      <x:c r="S817" s="9" t="n">
        <x:f>R817*'Parameters'!$C$19</x:f>
        <x:v>0.8750000000000001</x:v>
      </x:c>
      <x:c r="T817" s="9" t="n">
        <x:f>Q817*(1-0.40)-R817</x:f>
        <x:v>1.4</x:v>
      </x:c>
    </x:row>
    <x:row r="818" ht="21" customHeight="1">
      <x:c r="A818" s="3" t="n">
        <x:v>13</x:v>
      </x:c>
      <x:c r="B818" s="3" t="str">
        <x:v>02:10</x:v>
      </x:c>
      <x:c r="C818" s="3" t="n">
        <x:v>3</x:v>
      </x:c>
      <x:c r="D818" s="3" t="n">
        <x:v>37</x:v>
      </x:c>
      <x:c r="E818" s="3" t="n">
        <x:v>6</x:v>
      </x:c>
      <x:c r="F818" s="3" t="n">
        <x:v>1</x:v>
      </x:c>
      <x:c r="G818" s="9" t="n">
        <x:v>0.1</x:v>
      </x:c>
      <x:c r="H818" s="9" t="n">
        <x:v>1.020746</x:v>
      </x:c>
      <x:c r="I818" s="9" t="n">
        <x:f>'Physical_Arcs'!R38</x:f>
        <x:v>6.305555555555555</x:v>
      </x:c>
      <x:c r="J818" s="9" t="n">
        <x:f>I818*'Parameters'!$C$18</x:f>
        <x:v>1.261111111111111</x:v>
      </x:c>
      <x:c r="K818" s="9" t="n">
        <x:f>J818*'Parameters'!$C$19</x:f>
        <x:v>1.5763888888888888</x:v>
      </x:c>
      <x:c r="L818" s="9" t="n">
        <x:f>I818*(1-0.40)-J818</x:f>
        <x:v>2.522222222222222</x:v>
      </x:c>
      <x:c r="M818" s="9" t="n">
        <x:f>'Physical_Arcs'!S38</x:f>
        <x:v>6.305555555555555</x:v>
      </x:c>
      <x:c r="N818" s="9" t="n">
        <x:f>M818*'Parameters'!$C$18</x:f>
        <x:v>1.261111111111111</x:v>
      </x:c>
      <x:c r="O818" s="9" t="n">
        <x:f>N818*'Parameters'!$C$19</x:f>
        <x:v>1.5763888888888888</x:v>
      </x:c>
      <x:c r="P818" s="9" t="n">
        <x:f>M818*(1-0.40)-N818</x:f>
        <x:v>2.522222222222222</x:v>
      </x:c>
      <x:c r="Q818" s="9" t="n">
        <x:f>'Physical_Arcs'!T38</x:f>
        <x:v>3.1666666666666665</x:v>
      </x:c>
      <x:c r="R818" s="9" t="n">
        <x:f>Q818*'Parameters'!$C$18</x:f>
        <x:v>0.6333333333333333</x:v>
      </x:c>
      <x:c r="S818" s="9" t="n">
        <x:f>R818*'Parameters'!$C$19</x:f>
        <x:v>0.7916666666666666</x:v>
      </x:c>
      <x:c r="T818" s="9" t="n">
        <x:f>Q818*(1-0.40)-R818</x:f>
        <x:v>1.2666666666666666</x:v>
      </x:c>
    </x:row>
    <x:row r="819" ht="21" customHeight="1">
      <x:c r="A819" s="3" t="n">
        <x:v>13</x:v>
      </x:c>
      <x:c r="B819" s="3" t="str">
        <x:v>02:10</x:v>
      </x:c>
      <x:c r="C819" s="3" t="n">
        <x:v>3</x:v>
      </x:c>
      <x:c r="D819" s="3" t="n">
        <x:v>38</x:v>
      </x:c>
      <x:c r="E819" s="3" t="n">
        <x:v>6</x:v>
      </x:c>
      <x:c r="F819" s="3" t="n">
        <x:v>3</x:v>
      </x:c>
      <x:c r="G819" s="9" t="n">
        <x:v>0.1</x:v>
      </x:c>
      <x:c r="H819" s="9" t="n">
        <x:v>1.149081</x:v>
      </x:c>
      <x:c r="I819" s="9" t="n">
        <x:f>'Physical_Arcs'!R39</x:f>
        <x:v>1.9166666666666667</x:v>
      </x:c>
      <x:c r="J819" s="9" t="n">
        <x:f>I819*'Parameters'!$C$18</x:f>
        <x:v>0.38333333333333336</x:v>
      </x:c>
      <x:c r="K819" s="9" t="n">
        <x:f>J819*'Parameters'!$C$19</x:f>
        <x:v>0.4791666666666667</x:v>
      </x:c>
      <x:c r="L819" s="9" t="n">
        <x:f>I819*(1-0.40)-J819</x:f>
        <x:v>0.7666666666666666</x:v>
      </x:c>
      <x:c r="M819" s="9" t="n">
        <x:f>'Physical_Arcs'!S39</x:f>
        <x:v>1.9166666666666667</x:v>
      </x:c>
      <x:c r="N819" s="9" t="n">
        <x:f>M819*'Parameters'!$C$18</x:f>
        <x:v>0.38333333333333336</x:v>
      </x:c>
      <x:c r="O819" s="9" t="n">
        <x:f>N819*'Parameters'!$C$19</x:f>
        <x:v>0.4791666666666667</x:v>
      </x:c>
      <x:c r="P819" s="9" t="n">
        <x:f>M819*(1-0.40)-N819</x:f>
        <x:v>0.7666666666666666</x:v>
      </x:c>
      <x:c r="Q819" s="9" t="n">
        <x:f>'Physical_Arcs'!T39</x:f>
        <x:v>0.9722222222222222</x:v>
      </x:c>
      <x:c r="R819" s="9" t="n">
        <x:f>Q819*'Parameters'!$C$18</x:f>
        <x:v>0.19444444444444445</x:v>
      </x:c>
      <x:c r="S819" s="9" t="n">
        <x:f>R819*'Parameters'!$C$19</x:f>
        <x:v>0.24305555555555555</x:v>
      </x:c>
      <x:c r="T819" s="9" t="n">
        <x:f>Q819*(1-0.40)-R819</x:f>
        <x:v>0.38888888888888884</x:v>
      </x:c>
    </x:row>
    <x:row r="820" ht="21" customHeight="1">
      <x:c r="A820" s="3" t="n">
        <x:v>13</x:v>
      </x:c>
      <x:c r="B820" s="3" t="str">
        <x:v>02:10</x:v>
      </x:c>
      <x:c r="C820" s="3" t="n">
        <x:v>3</x:v>
      </x:c>
      <x:c r="D820" s="3" t="n">
        <x:v>39</x:v>
      </x:c>
      <x:c r="E820" s="3" t="n">
        <x:v>7</x:v>
      </x:c>
      <x:c r="F820" s="3" t="n">
        <x:v>8</x:v>
      </x:c>
      <x:c r="G820" s="9" t="n">
        <x:v>0.1</x:v>
      </x:c>
      <x:c r="H820" s="9" t="n">
        <x:v>1.003268</x:v>
      </x:c>
      <x:c r="I820" s="9" t="n">
        <x:f>'Physical_Arcs'!R40</x:f>
        <x:v>17.02777777777778</x:v>
      </x:c>
      <x:c r="J820" s="9" t="n">
        <x:f>I820*'Parameters'!$C$18</x:f>
        <x:v>3.405555555555556</x:v>
      </x:c>
      <x:c r="K820" s="9" t="n">
        <x:f>J820*'Parameters'!$C$19</x:f>
        <x:v>4.256944444444445</x:v>
      </x:c>
      <x:c r="L820" s="9" t="n">
        <x:f>I820*(1-0.40)-J820</x:f>
        <x:v>6.811111111111111</x:v>
      </x:c>
      <x:c r="M820" s="9" t="n">
        <x:f>'Physical_Arcs'!S40</x:f>
        <x:v>17.02777777777778</x:v>
      </x:c>
      <x:c r="N820" s="9" t="n">
        <x:f>M820*'Parameters'!$C$18</x:f>
        <x:v>3.405555555555556</x:v>
      </x:c>
      <x:c r="O820" s="9" t="n">
        <x:f>N820*'Parameters'!$C$19</x:f>
        <x:v>4.256944444444445</x:v>
      </x:c>
      <x:c r="P820" s="9" t="n">
        <x:f>M820*(1-0.40)-N820</x:f>
        <x:v>6.811111111111111</x:v>
      </x:c>
      <x:c r="Q820" s="9" t="n">
        <x:f>'Physical_Arcs'!T40</x:f>
        <x:v>17.02777777777778</x:v>
      </x:c>
      <x:c r="R820" s="9" t="n">
        <x:f>Q820*'Parameters'!$C$18</x:f>
        <x:v>3.405555555555556</x:v>
      </x:c>
      <x:c r="S820" s="9" t="n">
        <x:f>R820*'Parameters'!$C$19</x:f>
        <x:v>4.256944444444445</x:v>
      </x:c>
      <x:c r="T820" s="9" t="n">
        <x:f>Q820*(1-0.40)-R820</x:f>
        <x:v>6.811111111111111</x:v>
      </x:c>
    </x:row>
    <x:row r="821" ht="21" customHeight="1">
      <x:c r="A821" s="3" t="n">
        <x:v>13</x:v>
      </x:c>
      <x:c r="B821" s="3" t="str">
        <x:v>02:10</x:v>
      </x:c>
      <x:c r="C821" s="3" t="n">
        <x:v>3</x:v>
      </x:c>
      <x:c r="D821" s="3" t="n">
        <x:v>40</x:v>
      </x:c>
      <x:c r="E821" s="3" t="n">
        <x:v>7</x:v>
      </x:c>
      <x:c r="F821" s="3" t="n">
        <x:v>1</x:v>
      </x:c>
      <x:c r="G821" s="9" t="n">
        <x:v>0.1</x:v>
      </x:c>
      <x:c r="H821" s="9" t="n">
        <x:v>1.057592</x:v>
      </x:c>
      <x:c r="I821" s="9" t="n">
        <x:f>'Physical_Arcs'!R41</x:f>
        <x:v>7.972222222222222</x:v>
      </x:c>
      <x:c r="J821" s="9" t="n">
        <x:f>I821*'Parameters'!$C$18</x:f>
        <x:v>1.5944444444444446</x:v>
      </x:c>
      <x:c r="K821" s="9" t="n">
        <x:f>J821*'Parameters'!$C$19</x:f>
        <x:v>1.9930555555555558</x:v>
      </x:c>
      <x:c r="L821" s="9" t="n">
        <x:f>I821*(1-0.40)-J821</x:f>
        <x:v>3.1888888888888887</x:v>
      </x:c>
      <x:c r="M821" s="9" t="n">
        <x:f>'Physical_Arcs'!S41</x:f>
        <x:v>7.972222222222222</x:v>
      </x:c>
      <x:c r="N821" s="9" t="n">
        <x:f>M821*'Parameters'!$C$18</x:f>
        <x:v>1.5944444444444446</x:v>
      </x:c>
      <x:c r="O821" s="9" t="n">
        <x:f>N821*'Parameters'!$C$19</x:f>
        <x:v>1.9930555555555558</x:v>
      </x:c>
      <x:c r="P821" s="9" t="n">
        <x:f>M821*(1-0.40)-N821</x:f>
        <x:v>3.1888888888888887</x:v>
      </x:c>
      <x:c r="Q821" s="9" t="n">
        <x:f>'Physical_Arcs'!T41</x:f>
        <x:v>4</x:v>
      </x:c>
      <x:c r="R821" s="9" t="n">
        <x:f>Q821*'Parameters'!$C$18</x:f>
        <x:v>0.8</x:v>
      </x:c>
      <x:c r="S821" s="9" t="n">
        <x:f>R821*'Parameters'!$C$19</x:f>
        <x:v>1</x:v>
      </x:c>
      <x:c r="T821" s="9" t="n">
        <x:f>Q821*(1-0.40)-R821</x:f>
        <x:v>1.5999999999999999</x:v>
      </x:c>
    </x:row>
    <x:row r="822" ht="21" customHeight="1">
      <x:c r="A822" s="3" t="n">
        <x:v>13</x:v>
      </x:c>
      <x:c r="B822" s="3" t="str">
        <x:v>02:10</x:v>
      </x:c>
      <x:c r="C822" s="3" t="n">
        <x:v>3</x:v>
      </x:c>
      <x:c r="D822" s="3" t="n">
        <x:v>41</x:v>
      </x:c>
      <x:c r="E822" s="3" t="n">
        <x:v>7</x:v>
      </x:c>
      <x:c r="F822" s="3" t="n">
        <x:v>9</x:v>
      </x:c>
      <x:c r="G822" s="9" t="n">
        <x:v>0.1</x:v>
      </x:c>
      <x:c r="H822" s="9" t="n">
        <x:v>1.14801</x:v>
      </x:c>
      <x:c r="I822" s="9" t="n">
        <x:f>'Physical_Arcs'!R42</x:f>
        <x:v>8.88888888888889</x:v>
      </x:c>
      <x:c r="J822" s="9" t="n">
        <x:f>I822*'Parameters'!$C$18</x:f>
        <x:v>1.777777777777778</x:v>
      </x:c>
      <x:c r="K822" s="9" t="n">
        <x:f>J822*'Parameters'!$C$19</x:f>
        <x:v>2.2222222222222223</x:v>
      </x:c>
      <x:c r="L822" s="9" t="n">
        <x:f>I822*(1-0.40)-J822</x:f>
        <x:v>3.5555555555555554</x:v>
      </x:c>
      <x:c r="M822" s="9" t="n">
        <x:f>'Physical_Arcs'!S42</x:f>
        <x:v>8.88888888888889</x:v>
      </x:c>
      <x:c r="N822" s="9" t="n">
        <x:f>M822*'Parameters'!$C$18</x:f>
        <x:v>1.777777777777778</x:v>
      </x:c>
      <x:c r="O822" s="9" t="n">
        <x:f>N822*'Parameters'!$C$19</x:f>
        <x:v>2.2222222222222223</x:v>
      </x:c>
      <x:c r="P822" s="9" t="n">
        <x:f>M822*(1-0.40)-N822</x:f>
        <x:v>3.5555555555555554</x:v>
      </x:c>
      <x:c r="Q822" s="9" t="n">
        <x:f>'Physical_Arcs'!T42</x:f>
        <x:v>4.444444444444445</x:v>
      </x:c>
      <x:c r="R822" s="9" t="n">
        <x:f>Q822*'Parameters'!$C$18</x:f>
        <x:v>0.888888888888889</x:v>
      </x:c>
      <x:c r="S822" s="9" t="n">
        <x:f>R822*'Parameters'!$C$19</x:f>
        <x:v>1.1111111111111112</x:v>
      </x:c>
      <x:c r="T822" s="9" t="n">
        <x:f>Q822*(1-0.40)-R822</x:f>
        <x:v>1.7777777777777777</x:v>
      </x:c>
    </x:row>
    <x:row r="823" ht="21" customHeight="1">
      <x:c r="A823" s="3" t="n">
        <x:v>13</x:v>
      </x:c>
      <x:c r="B823" s="3" t="str">
        <x:v>02:10</x:v>
      </x:c>
      <x:c r="C823" s="3" t="n">
        <x:v>3</x:v>
      </x:c>
      <x:c r="D823" s="3" t="n">
        <x:v>42</x:v>
      </x:c>
      <x:c r="E823" s="3" t="n">
        <x:v>7</x:v>
      </x:c>
      <x:c r="F823" s="3" t="n">
        <x:v>2</x:v>
      </x:c>
      <x:c r="G823" s="9" t="n">
        <x:v>0.1</x:v>
      </x:c>
      <x:c r="H823" s="9" t="n">
        <x:v>0.989237</x:v>
      </x:c>
      <x:c r="I823" s="9" t="n">
        <x:f>'Physical_Arcs'!R43</x:f>
        <x:v>9</x:v>
      </x:c>
      <x:c r="J823" s="9" t="n">
        <x:f>I823*'Parameters'!$C$18</x:f>
        <x:v>1.8</x:v>
      </x:c>
      <x:c r="K823" s="9" t="n">
        <x:f>J823*'Parameters'!$C$19</x:f>
        <x:v>2.25</x:v>
      </x:c>
      <x:c r="L823" s="9" t="n">
        <x:f>I823*(1-0.40)-J823</x:f>
        <x:v>3.5999999999999996</x:v>
      </x:c>
      <x:c r="M823" s="9" t="n">
        <x:f>'Physical_Arcs'!S43</x:f>
        <x:v>9</x:v>
      </x:c>
      <x:c r="N823" s="9" t="n">
        <x:f>M823*'Parameters'!$C$18</x:f>
        <x:v>1.8</x:v>
      </x:c>
      <x:c r="O823" s="9" t="n">
        <x:f>N823*'Parameters'!$C$19</x:f>
        <x:v>2.25</x:v>
      </x:c>
      <x:c r="P823" s="9" t="n">
        <x:f>M823*(1-0.40)-N823</x:f>
        <x:v>3.5999999999999996</x:v>
      </x:c>
      <x:c r="Q823" s="9" t="n">
        <x:f>'Physical_Arcs'!T43</x:f>
        <x:v>4.5</x:v>
      </x:c>
      <x:c r="R823" s="9" t="n">
        <x:f>Q823*'Parameters'!$C$18</x:f>
        <x:v>0.9</x:v>
      </x:c>
      <x:c r="S823" s="9" t="n">
        <x:f>R823*'Parameters'!$C$19</x:f>
        <x:v>1.125</x:v>
      </x:c>
      <x:c r="T823" s="9" t="n">
        <x:f>Q823*(1-0.40)-R823</x:f>
        <x:v>1.7999999999999998</x:v>
      </x:c>
    </x:row>
    <x:row r="824" ht="21" customHeight="1">
      <x:c r="A824" s="3" t="n">
        <x:v>13</x:v>
      </x:c>
      <x:c r="B824" s="3" t="str">
        <x:v>02:10</x:v>
      </x:c>
      <x:c r="C824" s="3" t="n">
        <x:v>3</x:v>
      </x:c>
      <x:c r="D824" s="3" t="n">
        <x:v>43</x:v>
      </x:c>
      <x:c r="E824" s="3" t="n">
        <x:v>7</x:v>
      </x:c>
      <x:c r="F824" s="3" t="n">
        <x:v>3</x:v>
      </x:c>
      <x:c r="G824" s="9" t="n">
        <x:v>0.1</x:v>
      </x:c>
      <x:c r="H824" s="9" t="n">
        <x:v>1.050432</x:v>
      </x:c>
      <x:c r="I824" s="9" t="n">
        <x:f>'Physical_Arcs'!R44</x:f>
        <x:v>7.638888888888889</x:v>
      </x:c>
      <x:c r="J824" s="9" t="n">
        <x:f>I824*'Parameters'!$C$18</x:f>
        <x:v>1.527777777777778</x:v>
      </x:c>
      <x:c r="K824" s="9" t="n">
        <x:f>J824*'Parameters'!$C$19</x:f>
        <x:v>1.9097222222222223</x:v>
      </x:c>
      <x:c r="L824" s="9" t="n">
        <x:f>I824*(1-0.40)-J824</x:f>
        <x:v>3.0555555555555554</x:v>
      </x:c>
      <x:c r="M824" s="9" t="n">
        <x:f>'Physical_Arcs'!S44</x:f>
        <x:v>7.638888888888889</x:v>
      </x:c>
      <x:c r="N824" s="9" t="n">
        <x:f>M824*'Parameters'!$C$18</x:f>
        <x:v>1.527777777777778</x:v>
      </x:c>
      <x:c r="O824" s="9" t="n">
        <x:f>N824*'Parameters'!$C$19</x:f>
        <x:v>1.9097222222222223</x:v>
      </x:c>
      <x:c r="P824" s="9" t="n">
        <x:f>M824*(1-0.40)-N824</x:f>
        <x:v>3.0555555555555554</x:v>
      </x:c>
      <x:c r="Q824" s="9" t="n">
        <x:f>'Physical_Arcs'!T44</x:f>
        <x:v>3.8333333333333335</x:v>
      </x:c>
      <x:c r="R824" s="9" t="n">
        <x:f>Q824*'Parameters'!$C$18</x:f>
        <x:v>0.7666666666666667</x:v>
      </x:c>
      <x:c r="S824" s="9" t="n">
        <x:f>R824*'Parameters'!$C$19</x:f>
        <x:v>0.9583333333333334</x:v>
      </x:c>
      <x:c r="T824" s="9" t="n">
        <x:f>Q824*(1-0.40)-R824</x:f>
        <x:v>1.5333333333333332</x:v>
      </x:c>
    </x:row>
    <x:row r="825" ht="21" customHeight="1">
      <x:c r="A825" s="3" t="n">
        <x:v>13</x:v>
      </x:c>
      <x:c r="B825" s="3" t="str">
        <x:v>02:10</x:v>
      </x:c>
      <x:c r="C825" s="3" t="n">
        <x:v>3</x:v>
      </x:c>
      <x:c r="D825" s="3" t="n">
        <x:v>44</x:v>
      </x:c>
      <x:c r="E825" s="3" t="n">
        <x:v>8</x:v>
      </x:c>
      <x:c r="F825" s="3" t="n">
        <x:v>9</x:v>
      </x:c>
      <x:c r="G825" s="9" t="n">
        <x:v>0.1</x:v>
      </x:c>
      <x:c r="H825" s="9" t="n">
        <x:v>0.868101</x:v>
      </x:c>
      <x:c r="I825" s="9" t="n">
        <x:f>'Physical_Arcs'!R45</x:f>
        <x:v>17.02777777777778</x:v>
      </x:c>
      <x:c r="J825" s="9" t="n">
        <x:f>I825*'Parameters'!$C$18</x:f>
        <x:v>3.405555555555556</x:v>
      </x:c>
      <x:c r="K825" s="9" t="n">
        <x:f>J825*'Parameters'!$C$19</x:f>
        <x:v>4.256944444444445</x:v>
      </x:c>
      <x:c r="L825" s="9" t="n">
        <x:f>I825*(1-0.40)-J825</x:f>
        <x:v>6.811111111111111</x:v>
      </x:c>
      <x:c r="M825" s="9" t="n">
        <x:f>'Physical_Arcs'!S45</x:f>
        <x:v>17.02777777777778</x:v>
      </x:c>
      <x:c r="N825" s="9" t="n">
        <x:f>M825*'Parameters'!$C$18</x:f>
        <x:v>3.405555555555556</x:v>
      </x:c>
      <x:c r="O825" s="9" t="n">
        <x:f>N825*'Parameters'!$C$19</x:f>
        <x:v>4.256944444444445</x:v>
      </x:c>
      <x:c r="P825" s="9" t="n">
        <x:f>M825*(1-0.40)-N825</x:f>
        <x:v>6.811111111111111</x:v>
      </x:c>
      <x:c r="Q825" s="9" t="n">
        <x:f>'Physical_Arcs'!T45</x:f>
        <x:v>17.02777777777778</x:v>
      </x:c>
      <x:c r="R825" s="9" t="n">
        <x:f>Q825*'Parameters'!$C$18</x:f>
        <x:v>3.405555555555556</x:v>
      </x:c>
      <x:c r="S825" s="9" t="n">
        <x:f>R825*'Parameters'!$C$19</x:f>
        <x:v>4.256944444444445</x:v>
      </x:c>
      <x:c r="T825" s="9" t="n">
        <x:f>Q825*(1-0.40)-R825</x:f>
        <x:v>6.811111111111111</x:v>
      </x:c>
    </x:row>
    <x:row r="826" ht="21" customHeight="1">
      <x:c r="A826" s="3" t="n">
        <x:v>13</x:v>
      </x:c>
      <x:c r="B826" s="3" t="str">
        <x:v>02:10</x:v>
      </x:c>
      <x:c r="C826" s="3" t="n">
        <x:v>3</x:v>
      </x:c>
      <x:c r="D826" s="3" t="n">
        <x:v>45</x:v>
      </x:c>
      <x:c r="E826" s="3" t="n">
        <x:v>8</x:v>
      </x:c>
      <x:c r="F826" s="3" t="n">
        <x:v>3</x:v>
      </x:c>
      <x:c r="G826" s="9" t="n">
        <x:v>0.1</x:v>
      </x:c>
      <x:c r="H826" s="9" t="n">
        <x:v>0.944958</x:v>
      </x:c>
      <x:c r="I826" s="9" t="n">
        <x:f>'Physical_Arcs'!R46</x:f>
        <x:v>5.388888888888889</x:v>
      </x:c>
      <x:c r="J826" s="9" t="n">
        <x:f>I826*'Parameters'!$C$18</x:f>
        <x:v>1.077777777777778</x:v>
      </x:c>
      <x:c r="K826" s="9" t="n">
        <x:f>J826*'Parameters'!$C$19</x:f>
        <x:v>1.3472222222222223</x:v>
      </x:c>
      <x:c r="L826" s="9" t="n">
        <x:f>I826*(1-0.40)-J826</x:f>
        <x:v>2.1555555555555554</x:v>
      </x:c>
      <x:c r="M826" s="9" t="n">
        <x:f>'Physical_Arcs'!S46</x:f>
        <x:v>5.388888888888889</x:v>
      </x:c>
      <x:c r="N826" s="9" t="n">
        <x:f>M826*'Parameters'!$C$18</x:f>
        <x:v>1.077777777777778</x:v>
      </x:c>
      <x:c r="O826" s="9" t="n">
        <x:f>N826*'Parameters'!$C$19</x:f>
        <x:v>1.3472222222222223</x:v>
      </x:c>
      <x:c r="P826" s="9" t="n">
        <x:f>M826*(1-0.40)-N826</x:f>
        <x:v>2.1555555555555554</x:v>
      </x:c>
      <x:c r="Q826" s="9" t="n">
        <x:f>'Physical_Arcs'!T46</x:f>
        <x:v>2.6944444444444446</x:v>
      </x:c>
      <x:c r="R826" s="9" t="n">
        <x:f>Q826*'Parameters'!$C$18</x:f>
        <x:v>0.538888888888889</x:v>
      </x:c>
      <x:c r="S826" s="9" t="n">
        <x:f>R826*'Parameters'!$C$19</x:f>
        <x:v>0.6736111111111112</x:v>
      </x:c>
      <x:c r="T826" s="9" t="n">
        <x:f>Q826*(1-0.40)-R826</x:f>
        <x:v>1.0777777777777777</x:v>
      </x:c>
    </x:row>
    <x:row r="827" ht="21" customHeight="1">
      <x:c r="A827" s="3" t="n">
        <x:v>13</x:v>
      </x:c>
      <x:c r="B827" s="3" t="str">
        <x:v>02:10</x:v>
      </x:c>
      <x:c r="C827" s="3" t="n">
        <x:v>3</x:v>
      </x:c>
      <x:c r="D827" s="3" t="n">
        <x:v>46</x:v>
      </x:c>
      <x:c r="E827" s="3" t="n">
        <x:v>8</x:v>
      </x:c>
      <x:c r="F827" s="3" t="n">
        <x:v>7</x:v>
      </x:c>
      <x:c r="G827" s="9" t="n">
        <x:v>0.1</x:v>
      </x:c>
      <x:c r="H827" s="9" t="n">
        <x:v>0.866232</x:v>
      </x:c>
      <x:c r="I827" s="9" t="n">
        <x:f>'Physical_Arcs'!R47</x:f>
        <x:v>5.388888888888889</x:v>
      </x:c>
      <x:c r="J827" s="9" t="n">
        <x:f>I827*'Parameters'!$C$18</x:f>
        <x:v>1.077777777777778</x:v>
      </x:c>
      <x:c r="K827" s="9" t="n">
        <x:f>J827*'Parameters'!$C$19</x:f>
        <x:v>1.3472222222222223</x:v>
      </x:c>
      <x:c r="L827" s="9" t="n">
        <x:f>I827*(1-0.40)-J827</x:f>
        <x:v>2.1555555555555554</x:v>
      </x:c>
      <x:c r="M827" s="9" t="n">
        <x:f>'Physical_Arcs'!S47</x:f>
        <x:v>5.388888888888889</x:v>
      </x:c>
      <x:c r="N827" s="9" t="n">
        <x:f>M827*'Parameters'!$C$18</x:f>
        <x:v>1.077777777777778</x:v>
      </x:c>
      <x:c r="O827" s="9" t="n">
        <x:f>N827*'Parameters'!$C$19</x:f>
        <x:v>1.3472222222222223</x:v>
      </x:c>
      <x:c r="P827" s="9" t="n">
        <x:f>M827*(1-0.40)-N827</x:f>
        <x:v>2.1555555555555554</x:v>
      </x:c>
      <x:c r="Q827" s="9" t="n">
        <x:f>'Physical_Arcs'!T47</x:f>
        <x:v>2.6944444444444446</x:v>
      </x:c>
      <x:c r="R827" s="9" t="n">
        <x:f>Q827*'Parameters'!$C$18</x:f>
        <x:v>0.538888888888889</x:v>
      </x:c>
      <x:c r="S827" s="9" t="n">
        <x:f>R827*'Parameters'!$C$19</x:f>
        <x:v>0.6736111111111112</x:v>
      </x:c>
      <x:c r="T827" s="9" t="n">
        <x:f>Q827*(1-0.40)-R827</x:f>
        <x:v>1.0777777777777777</x:v>
      </x:c>
    </x:row>
    <x:row r="828" ht="21" customHeight="1">
      <x:c r="A828" s="3" t="n">
        <x:v>13</x:v>
      </x:c>
      <x:c r="B828" s="3" t="str">
        <x:v>02:10</x:v>
      </x:c>
      <x:c r="C828" s="3" t="n">
        <x:v>3</x:v>
      </x:c>
      <x:c r="D828" s="3" t="n">
        <x:v>47</x:v>
      </x:c>
      <x:c r="E828" s="3" t="n">
        <x:v>8</x:v>
      </x:c>
      <x:c r="F828" s="3" t="n">
        <x:v>2</x:v>
      </x:c>
      <x:c r="G828" s="9" t="n">
        <x:v>0.1</x:v>
      </x:c>
      <x:c r="H828" s="9" t="n">
        <x:v>1.135644</x:v>
      </x:c>
      <x:c r="I828" s="9" t="n">
        <x:f>'Physical_Arcs'!R48</x:f>
        <x:v>8.083333333333334</x:v>
      </x:c>
      <x:c r="J828" s="9" t="n">
        <x:f>I828*'Parameters'!$C$18</x:f>
        <x:v>1.616666666666667</x:v>
      </x:c>
      <x:c r="K828" s="9" t="n">
        <x:f>J828*'Parameters'!$C$19</x:f>
        <x:v>2.0208333333333335</x:v>
      </x:c>
      <x:c r="L828" s="9" t="n">
        <x:f>I828*(1-0.40)-J828</x:f>
        <x:v>3.2333333333333334</x:v>
      </x:c>
      <x:c r="M828" s="9" t="n">
        <x:f>'Physical_Arcs'!S48</x:f>
        <x:v>8.083333333333334</x:v>
      </x:c>
      <x:c r="N828" s="9" t="n">
        <x:f>M828*'Parameters'!$C$18</x:f>
        <x:v>1.616666666666667</x:v>
      </x:c>
      <x:c r="O828" s="9" t="n">
        <x:f>N828*'Parameters'!$C$19</x:f>
        <x:v>2.0208333333333335</x:v>
      </x:c>
      <x:c r="P828" s="9" t="n">
        <x:f>M828*(1-0.40)-N828</x:f>
        <x:v>3.2333333333333334</x:v>
      </x:c>
      <x:c r="Q828" s="9" t="n">
        <x:f>'Physical_Arcs'!T48</x:f>
        <x:v>4.055555555555555</x:v>
      </x:c>
      <x:c r="R828" s="9" t="n">
        <x:f>Q828*'Parameters'!$C$18</x:f>
        <x:v>0.8111111111111111</x:v>
      </x:c>
      <x:c r="S828" s="9" t="n">
        <x:f>R828*'Parameters'!$C$19</x:f>
        <x:v>1.0138888888888888</x:v>
      </x:c>
      <x:c r="T828" s="9" t="n">
        <x:f>Q828*(1-0.40)-R828</x:f>
        <x:v>1.622222222222222</x:v>
      </x:c>
    </x:row>
    <x:row r="829" ht="21" customHeight="1">
      <x:c r="A829" s="3" t="n">
        <x:v>13</x:v>
      </x:c>
      <x:c r="B829" s="3" t="str">
        <x:v>02:10</x:v>
      </x:c>
      <x:c r="C829" s="3" t="n">
        <x:v>3</x:v>
      </x:c>
      <x:c r="D829" s="3" t="n">
        <x:v>48</x:v>
      </x:c>
      <x:c r="E829" s="3" t="n">
        <x:v>8</x:v>
      </x:c>
      <x:c r="F829" s="3" t="n">
        <x:v>6</x:v>
      </x:c>
      <x:c r="G829" s="9" t="n">
        <x:v>0.1</x:v>
      </x:c>
      <x:c r="H829" s="9" t="n">
        <x:v>0.850778</x:v>
      </x:c>
      <x:c r="I829" s="9" t="n">
        <x:f>'Physical_Arcs'!R49</x:f>
        <x:v>10.555555555555555</x:v>
      </x:c>
      <x:c r="J829" s="9" t="n">
        <x:f>I829*'Parameters'!$C$18</x:f>
        <x:v>2.111111111111111</x:v>
      </x:c>
      <x:c r="K829" s="9" t="n">
        <x:f>J829*'Parameters'!$C$19</x:f>
        <x:v>2.638888888888889</x:v>
      </x:c>
      <x:c r="L829" s="9" t="n">
        <x:f>I829*(1-0.40)-J829</x:f>
        <x:v>4.222222222222221</x:v>
      </x:c>
      <x:c r="M829" s="9" t="n">
        <x:f>'Physical_Arcs'!S49</x:f>
        <x:v>10.555555555555555</x:v>
      </x:c>
      <x:c r="N829" s="9" t="n">
        <x:f>M829*'Parameters'!$C$18</x:f>
        <x:v>2.111111111111111</x:v>
      </x:c>
      <x:c r="O829" s="9" t="n">
        <x:f>N829*'Parameters'!$C$19</x:f>
        <x:v>2.638888888888889</x:v>
      </x:c>
      <x:c r="P829" s="9" t="n">
        <x:f>M829*(1-0.40)-N829</x:f>
        <x:v>4.222222222222221</x:v>
      </x:c>
      <x:c r="Q829" s="9" t="n">
        <x:f>'Physical_Arcs'!T49</x:f>
        <x:v>5.277777777777778</x:v>
      </x:c>
      <x:c r="R829" s="9" t="n">
        <x:f>Q829*'Parameters'!$C$18</x:f>
        <x:v>1.0555555555555556</x:v>
      </x:c>
      <x:c r="S829" s="9" t="n">
        <x:f>R829*'Parameters'!$C$19</x:f>
        <x:v>1.3194444444444444</x:v>
      </x:c>
      <x:c r="T829" s="9" t="n">
        <x:f>Q829*(1-0.40)-R829</x:f>
        <x:v>2.1111111111111107</x:v>
      </x:c>
    </x:row>
    <x:row r="830" ht="21" customHeight="1">
      <x:c r="A830" s="3" t="n">
        <x:v>13</x:v>
      </x:c>
      <x:c r="B830" s="3" t="str">
        <x:v>02:10</x:v>
      </x:c>
      <x:c r="C830" s="3" t="n">
        <x:v>3</x:v>
      </x:c>
      <x:c r="D830" s="3" t="n">
        <x:v>49</x:v>
      </x:c>
      <x:c r="E830" s="3" t="n">
        <x:v>8</x:v>
      </x:c>
      <x:c r="F830" s="3" t="n">
        <x:v>4</x:v>
      </x:c>
      <x:c r="G830" s="9" t="n">
        <x:v>0.1</x:v>
      </x:c>
      <x:c r="H830" s="9" t="n">
        <x:v>0.904949</x:v>
      </x:c>
      <x:c r="I830" s="9" t="n">
        <x:f>'Physical_Arcs'!R50</x:f>
        <x:v>1.5833333333333333</x:v>
      </x:c>
      <x:c r="J830" s="9" t="n">
        <x:f>I830*'Parameters'!$C$18</x:f>
        <x:v>0.31666666666666665</x:v>
      </x:c>
      <x:c r="K830" s="9" t="n">
        <x:f>J830*'Parameters'!$C$19</x:f>
        <x:v>0.3958333333333333</x:v>
      </x:c>
      <x:c r="L830" s="9" t="n">
        <x:f>I830*(1-0.40)-J830</x:f>
        <x:v>0.6333333333333333</x:v>
      </x:c>
      <x:c r="M830" s="9" t="n">
        <x:f>'Physical_Arcs'!S50</x:f>
        <x:v>1.5833333333333333</x:v>
      </x:c>
      <x:c r="N830" s="9" t="n">
        <x:f>M830*'Parameters'!$C$18</x:f>
        <x:v>0.31666666666666665</x:v>
      </x:c>
      <x:c r="O830" s="9" t="n">
        <x:f>N830*'Parameters'!$C$19</x:f>
        <x:v>0.3958333333333333</x:v>
      </x:c>
      <x:c r="P830" s="9" t="n">
        <x:f>M830*(1-0.40)-N830</x:f>
        <x:v>0.6333333333333333</x:v>
      </x:c>
      <x:c r="Q830" s="9" t="n">
        <x:f>'Physical_Arcs'!T50</x:f>
        <x:v>0.8055555555555556</x:v>
      </x:c>
      <x:c r="R830" s="9" t="n">
        <x:f>Q830*'Parameters'!$C$18</x:f>
        <x:v>0.16111111111111112</x:v>
      </x:c>
      <x:c r="S830" s="9" t="n">
        <x:f>R830*'Parameters'!$C$19</x:f>
        <x:v>0.2013888888888889</x:v>
      </x:c>
      <x:c r="T830" s="9" t="n">
        <x:f>Q830*(1-0.40)-R830</x:f>
        <x:v>0.3222222222222222</x:v>
      </x:c>
    </x:row>
    <x:row r="831" ht="21" customHeight="1">
      <x:c r="A831" s="3" t="n">
        <x:v>13</x:v>
      </x:c>
      <x:c r="B831" s="3" t="str">
        <x:v>02:10</x:v>
      </x:c>
      <x:c r="C831" s="3" t="n">
        <x:v>3</x:v>
      </x:c>
      <x:c r="D831" s="3" t="n">
        <x:v>50</x:v>
      </x:c>
      <x:c r="E831" s="3" t="n">
        <x:v>8</x:v>
      </x:c>
      <x:c r="F831" s="3" t="n">
        <x:v>5</x:v>
      </x:c>
      <x:c r="G831" s="9" t="n">
        <x:v>0.1</x:v>
      </x:c>
      <x:c r="H831" s="9" t="n">
        <x:v>0.990416</x:v>
      </x:c>
      <x:c r="I831" s="9" t="n">
        <x:f>'Physical_Arcs'!R51</x:f>
        <x:v>10.777777777777779</x:v>
      </x:c>
      <x:c r="J831" s="9" t="n">
        <x:f>I831*'Parameters'!$C$18</x:f>
        <x:v>2.155555555555556</x:v>
      </x:c>
      <x:c r="K831" s="9" t="n">
        <x:f>J831*'Parameters'!$C$19</x:f>
        <x:v>2.6944444444444446</x:v>
      </x:c>
      <x:c r="L831" s="9" t="n">
        <x:f>I831*(1-0.40)-J831</x:f>
        <x:v>4.311111111111111</x:v>
      </x:c>
      <x:c r="M831" s="9" t="n">
        <x:f>'Physical_Arcs'!S51</x:f>
        <x:v>10.777777777777779</x:v>
      </x:c>
      <x:c r="N831" s="9" t="n">
        <x:f>M831*'Parameters'!$C$18</x:f>
        <x:v>2.155555555555556</x:v>
      </x:c>
      <x:c r="O831" s="9" t="n">
        <x:f>N831*'Parameters'!$C$19</x:f>
        <x:v>2.6944444444444446</x:v>
      </x:c>
      <x:c r="P831" s="9" t="n">
        <x:f>M831*(1-0.40)-N831</x:f>
        <x:v>4.311111111111111</x:v>
      </x:c>
      <x:c r="Q831" s="9" t="n">
        <x:f>'Physical_Arcs'!T51</x:f>
        <x:v>5.388888888888889</x:v>
      </x:c>
      <x:c r="R831" s="9" t="n">
        <x:f>Q831*'Parameters'!$C$18</x:f>
        <x:v>1.077777777777778</x:v>
      </x:c>
      <x:c r="S831" s="9" t="n">
        <x:f>R831*'Parameters'!$C$19</x:f>
        <x:v>1.3472222222222223</x:v>
      </x:c>
      <x:c r="T831" s="9" t="n">
        <x:f>Q831*(1-0.40)-R831</x:f>
        <x:v>2.1555555555555554</x:v>
      </x:c>
    </x:row>
    <x:row r="832" ht="21" customHeight="1">
      <x:c r="A832" s="3" t="n">
        <x:v>13</x:v>
      </x:c>
      <x:c r="B832" s="3" t="str">
        <x:v>02:10</x:v>
      </x:c>
      <x:c r="C832" s="3" t="n">
        <x:v>3</x:v>
      </x:c>
      <x:c r="D832" s="3" t="n">
        <x:v>51</x:v>
      </x:c>
      <x:c r="E832" s="3" t="n">
        <x:v>8</x:v>
      </x:c>
      <x:c r="F832" s="3" t="n">
        <x:v>1</x:v>
      </x:c>
      <x:c r="G832" s="9" t="n">
        <x:v>0.1</x:v>
      </x:c>
      <x:c r="H832" s="9" t="n">
        <x:v>1.039066</x:v>
      </x:c>
      <x:c r="I832" s="9" t="n">
        <x:f>'Physical_Arcs'!R52</x:f>
        <x:v>8.88888888888889</x:v>
      </x:c>
      <x:c r="J832" s="9" t="n">
        <x:f>I832*'Parameters'!$C$18</x:f>
        <x:v>1.777777777777778</x:v>
      </x:c>
      <x:c r="K832" s="9" t="n">
        <x:f>J832*'Parameters'!$C$19</x:f>
        <x:v>2.2222222222222223</x:v>
      </x:c>
      <x:c r="L832" s="9" t="n">
        <x:f>I832*(1-0.40)-J832</x:f>
        <x:v>3.5555555555555554</x:v>
      </x:c>
      <x:c r="M832" s="9" t="n">
        <x:f>'Physical_Arcs'!S52</x:f>
        <x:v>8.88888888888889</x:v>
      </x:c>
      <x:c r="N832" s="9" t="n">
        <x:f>M832*'Parameters'!$C$18</x:f>
        <x:v>1.777777777777778</x:v>
      </x:c>
      <x:c r="O832" s="9" t="n">
        <x:f>N832*'Parameters'!$C$19</x:f>
        <x:v>2.2222222222222223</x:v>
      </x:c>
      <x:c r="P832" s="9" t="n">
        <x:f>M832*(1-0.40)-N832</x:f>
        <x:v>3.5555555555555554</x:v>
      </x:c>
      <x:c r="Q832" s="9" t="n">
        <x:f>'Physical_Arcs'!T52</x:f>
        <x:v>4.444444444444445</x:v>
      </x:c>
      <x:c r="R832" s="9" t="n">
        <x:f>Q832*'Parameters'!$C$18</x:f>
        <x:v>0.888888888888889</x:v>
      </x:c>
      <x:c r="S832" s="9" t="n">
        <x:f>R832*'Parameters'!$C$19</x:f>
        <x:v>1.1111111111111112</x:v>
      </x:c>
      <x:c r="T832" s="9" t="n">
        <x:f>Q832*(1-0.40)-R832</x:f>
        <x:v>1.7777777777777777</x:v>
      </x:c>
    </x:row>
    <x:row r="833" ht="21" customHeight="1">
      <x:c r="A833" s="3" t="n">
        <x:v>13</x:v>
      </x:c>
      <x:c r="B833" s="3" t="str">
        <x:v>02:10</x:v>
      </x:c>
      <x:c r="C833" s="3" t="n">
        <x:v>3</x:v>
      </x:c>
      <x:c r="D833" s="3" t="n">
        <x:v>52</x:v>
      </x:c>
      <x:c r="E833" s="3" t="n">
        <x:v>9</x:v>
      </x:c>
      <x:c r="F833" s="3" t="n">
        <x:v>10</x:v>
      </x:c>
      <x:c r="G833" s="9" t="n">
        <x:v>0.1</x:v>
      </x:c>
      <x:c r="H833" s="9" t="n">
        <x:v>0.954096</x:v>
      </x:c>
      <x:c r="I833" s="9" t="n">
        <x:f>'Physical_Arcs'!R53</x:f>
        <x:v>17.02777777777778</x:v>
      </x:c>
      <x:c r="J833" s="9" t="n">
        <x:f>I833*'Parameters'!$C$18</x:f>
        <x:v>3.405555555555556</x:v>
      </x:c>
      <x:c r="K833" s="9" t="n">
        <x:f>J833*'Parameters'!$C$19</x:f>
        <x:v>4.256944444444445</x:v>
      </x:c>
      <x:c r="L833" s="9" t="n">
        <x:f>I833*(1-0.40)-J833</x:f>
        <x:v>6.811111111111111</x:v>
      </x:c>
      <x:c r="M833" s="9" t="n">
        <x:f>'Physical_Arcs'!S53</x:f>
        <x:v>17.02777777777778</x:v>
      </x:c>
      <x:c r="N833" s="9" t="n">
        <x:f>M833*'Parameters'!$C$18</x:f>
        <x:v>3.405555555555556</x:v>
      </x:c>
      <x:c r="O833" s="9" t="n">
        <x:f>N833*'Parameters'!$C$19</x:f>
        <x:v>4.256944444444445</x:v>
      </x:c>
      <x:c r="P833" s="9" t="n">
        <x:f>M833*(1-0.40)-N833</x:f>
        <x:v>6.811111111111111</x:v>
      </x:c>
      <x:c r="Q833" s="9" t="n">
        <x:f>'Physical_Arcs'!T53</x:f>
        <x:v>17.02777777777778</x:v>
      </x:c>
      <x:c r="R833" s="9" t="n">
        <x:f>Q833*'Parameters'!$C$18</x:f>
        <x:v>3.405555555555556</x:v>
      </x:c>
      <x:c r="S833" s="9" t="n">
        <x:f>R833*'Parameters'!$C$19</x:f>
        <x:v>4.256944444444445</x:v>
      </x:c>
      <x:c r="T833" s="9" t="n">
        <x:f>Q833*(1-0.40)-R833</x:f>
        <x:v>6.811111111111111</x:v>
      </x:c>
    </x:row>
    <x:row r="834" ht="21" customHeight="1">
      <x:c r="A834" s="3" t="n">
        <x:v>13</x:v>
      </x:c>
      <x:c r="B834" s="3" t="str">
        <x:v>02:10</x:v>
      </x:c>
      <x:c r="C834" s="3" t="n">
        <x:v>3</x:v>
      </x:c>
      <x:c r="D834" s="3" t="n">
        <x:v>53</x:v>
      </x:c>
      <x:c r="E834" s="3" t="n">
        <x:v>9</x:v>
      </x:c>
      <x:c r="F834" s="3" t="n">
        <x:v>6</x:v>
      </x:c>
      <x:c r="G834" s="9" t="n">
        <x:v>0.1</x:v>
      </x:c>
      <x:c r="H834" s="9" t="n">
        <x:v>1.125574</x:v>
      </x:c>
      <x:c r="I834" s="9" t="n">
        <x:f>'Physical_Arcs'!R54</x:f>
        <x:v>9.666666666666666</x:v>
      </x:c>
      <x:c r="J834" s="9" t="n">
        <x:f>I834*'Parameters'!$C$18</x:f>
        <x:v>1.9333333333333333</x:v>
      </x:c>
      <x:c r="K834" s="9" t="n">
        <x:f>J834*'Parameters'!$C$19</x:f>
        <x:v>2.4166666666666665</x:v>
      </x:c>
      <x:c r="L834" s="9" t="n">
        <x:f>I834*(1-0.40)-J834</x:f>
        <x:v>3.8666666666666663</x:v>
      </x:c>
      <x:c r="M834" s="9" t="n">
        <x:f>'Physical_Arcs'!S54</x:f>
        <x:v>9.666666666666666</x:v>
      </x:c>
      <x:c r="N834" s="9" t="n">
        <x:f>M834*'Parameters'!$C$18</x:f>
        <x:v>1.9333333333333333</x:v>
      </x:c>
      <x:c r="O834" s="9" t="n">
        <x:f>N834*'Parameters'!$C$19</x:f>
        <x:v>2.4166666666666665</x:v>
      </x:c>
      <x:c r="P834" s="9" t="n">
        <x:f>M834*(1-0.40)-N834</x:f>
        <x:v>3.8666666666666663</x:v>
      </x:c>
      <x:c r="Q834" s="9" t="n">
        <x:f>'Physical_Arcs'!T54</x:f>
        <x:v>4.833333333333333</x:v>
      </x:c>
      <x:c r="R834" s="9" t="n">
        <x:f>Q834*'Parameters'!$C$18</x:f>
        <x:v>0.9666666666666667</x:v>
      </x:c>
      <x:c r="S834" s="9" t="n">
        <x:f>R834*'Parameters'!$C$19</x:f>
        <x:v>1.2083333333333333</x:v>
      </x:c>
      <x:c r="T834" s="9" t="n">
        <x:f>Q834*(1-0.40)-R834</x:f>
        <x:v>1.9333333333333331</x:v>
      </x:c>
    </x:row>
    <x:row r="835" ht="21" customHeight="1">
      <x:c r="A835" s="3" t="n">
        <x:v>13</x:v>
      </x:c>
      <x:c r="B835" s="3" t="str">
        <x:v>02:10</x:v>
      </x:c>
      <x:c r="C835" s="3" t="n">
        <x:v>3</x:v>
      </x:c>
      <x:c r="D835" s="3" t="n">
        <x:v>54</x:v>
      </x:c>
      <x:c r="E835" s="3" t="n">
        <x:v>9</x:v>
      </x:c>
      <x:c r="F835" s="3" t="n">
        <x:v>2</x:v>
      </x:c>
      <x:c r="G835" s="9" t="n">
        <x:v>0.1</x:v>
      </x:c>
      <x:c r="H835" s="9" t="n">
        <x:v>0.854534</x:v>
      </x:c>
      <x:c r="I835" s="9" t="n">
        <x:f>'Physical_Arcs'!R55</x:f>
        <x:v>9.88888888888889</x:v>
      </x:c>
      <x:c r="J835" s="9" t="n">
        <x:f>I835*'Parameters'!$C$18</x:f>
        <x:v>1.9777777777777779</x:v>
      </x:c>
      <x:c r="K835" s="9" t="n">
        <x:f>J835*'Parameters'!$C$19</x:f>
        <x:v>2.4722222222222223</x:v>
      </x:c>
      <x:c r="L835" s="9" t="n">
        <x:f>I835*(1-0.40)-J835</x:f>
        <x:v>3.9555555555555557</x:v>
      </x:c>
      <x:c r="M835" s="9" t="n">
        <x:f>'Physical_Arcs'!S55</x:f>
        <x:v>9.88888888888889</x:v>
      </x:c>
      <x:c r="N835" s="9" t="n">
        <x:f>M835*'Parameters'!$C$18</x:f>
        <x:v>1.9777777777777779</x:v>
      </x:c>
      <x:c r="O835" s="9" t="n">
        <x:f>N835*'Parameters'!$C$19</x:f>
        <x:v>2.4722222222222223</x:v>
      </x:c>
      <x:c r="P835" s="9" t="n">
        <x:f>M835*(1-0.40)-N835</x:f>
        <x:v>3.9555555555555557</x:v>
      </x:c>
      <x:c r="Q835" s="9" t="n">
        <x:f>'Physical_Arcs'!T55</x:f>
        <x:v>4.944444444444445</x:v>
      </x:c>
      <x:c r="R835" s="9" t="n">
        <x:f>Q835*'Parameters'!$C$18</x:f>
        <x:v>0.9888888888888889</x:v>
      </x:c>
      <x:c r="S835" s="9" t="n">
        <x:f>R835*'Parameters'!$C$19</x:f>
        <x:v>1.2361111111111112</x:v>
      </x:c>
      <x:c r="T835" s="9" t="n">
        <x:f>Q835*(1-0.40)-R835</x:f>
        <x:v>1.9777777777777779</x:v>
      </x:c>
    </x:row>
    <x:row r="836" ht="21" customHeight="1">
      <x:c r="A836" s="3" t="n">
        <x:v>13</x:v>
      </x:c>
      <x:c r="B836" s="3" t="str">
        <x:v>02:10</x:v>
      </x:c>
      <x:c r="C836" s="3" t="n">
        <x:v>3</x:v>
      </x:c>
      <x:c r="D836" s="3" t="n">
        <x:v>55</x:v>
      </x:c>
      <x:c r="E836" s="3" t="n">
        <x:v>9</x:v>
      </x:c>
      <x:c r="F836" s="3" t="n">
        <x:v>7</x:v>
      </x:c>
      <x:c r="G836" s="9" t="n">
        <x:v>0.1</x:v>
      </x:c>
      <x:c r="H836" s="9" t="n">
        <x:v>0.900033</x:v>
      </x:c>
      <x:c r="I836" s="9" t="n">
        <x:f>'Physical_Arcs'!R56</x:f>
        <x:v>4.166666666666667</x:v>
      </x:c>
      <x:c r="J836" s="9" t="n">
        <x:f>I836*'Parameters'!$C$18</x:f>
        <x:v>0.8333333333333335</x:v>
      </x:c>
      <x:c r="K836" s="9" t="n">
        <x:f>J836*'Parameters'!$C$19</x:f>
        <x:v>1.041666666666667</x:v>
      </x:c>
      <x:c r="L836" s="9" t="n">
        <x:f>I836*(1-0.40)-J836</x:f>
        <x:v>1.6666666666666665</x:v>
      </x:c>
      <x:c r="M836" s="9" t="n">
        <x:f>'Physical_Arcs'!S56</x:f>
        <x:v>4.166666666666667</x:v>
      </x:c>
      <x:c r="N836" s="9" t="n">
        <x:f>M836*'Parameters'!$C$18</x:f>
        <x:v>0.8333333333333335</x:v>
      </x:c>
      <x:c r="O836" s="9" t="n">
        <x:f>N836*'Parameters'!$C$19</x:f>
        <x:v>1.041666666666667</x:v>
      </x:c>
      <x:c r="P836" s="9" t="n">
        <x:f>M836*(1-0.40)-N836</x:f>
        <x:v>1.6666666666666665</x:v>
      </x:c>
      <x:c r="Q836" s="9" t="n">
        <x:f>'Physical_Arcs'!T56</x:f>
        <x:v>2.0833333333333335</x:v>
      </x:c>
      <x:c r="R836" s="9" t="n">
        <x:f>Q836*'Parameters'!$C$18</x:f>
        <x:v>0.41666666666666674</x:v>
      </x:c>
      <x:c r="S836" s="9" t="n">
        <x:f>R836*'Parameters'!$C$19</x:f>
        <x:v>0.5208333333333335</x:v>
      </x:c>
      <x:c r="T836" s="9" t="n">
        <x:f>Q836*(1-0.40)-R836</x:f>
        <x:v>0.8333333333333333</x:v>
      </x:c>
    </x:row>
    <x:row r="837" ht="21" customHeight="1">
      <x:c r="A837" s="3" t="n">
        <x:v>13</x:v>
      </x:c>
      <x:c r="B837" s="3" t="str">
        <x:v>02:10</x:v>
      </x:c>
      <x:c r="C837" s="3" t="n">
        <x:v>3</x:v>
      </x:c>
      <x:c r="D837" s="3" t="n">
        <x:v>56</x:v>
      </x:c>
      <x:c r="E837" s="3" t="n">
        <x:v>9</x:v>
      </x:c>
      <x:c r="F837" s="3" t="n">
        <x:v>3</x:v>
      </x:c>
      <x:c r="G837" s="9" t="n">
        <x:v>0.1</x:v>
      </x:c>
      <x:c r="H837" s="9" t="n">
        <x:v>0.893428</x:v>
      </x:c>
      <x:c r="I837" s="9" t="n">
        <x:f>'Physical_Arcs'!R57</x:f>
        <x:v>3.7222222222222223</x:v>
      </x:c>
      <x:c r="J837" s="9" t="n">
        <x:f>I837*'Parameters'!$C$18</x:f>
        <x:v>0.7444444444444445</x:v>
      </x:c>
      <x:c r="K837" s="9" t="n">
        <x:f>J837*'Parameters'!$C$19</x:f>
        <x:v>0.9305555555555556</x:v>
      </x:c>
      <x:c r="L837" s="9" t="n">
        <x:f>I837*(1-0.40)-J837</x:f>
        <x:v>1.488888888888889</x:v>
      </x:c>
      <x:c r="M837" s="9" t="n">
        <x:f>'Physical_Arcs'!S57</x:f>
        <x:v>3.7222222222222223</x:v>
      </x:c>
      <x:c r="N837" s="9" t="n">
        <x:f>M837*'Parameters'!$C$18</x:f>
        <x:v>0.7444444444444445</x:v>
      </x:c>
      <x:c r="O837" s="9" t="n">
        <x:f>N837*'Parameters'!$C$19</x:f>
        <x:v>0.9305555555555556</x:v>
      </x:c>
      <x:c r="P837" s="9" t="n">
        <x:f>M837*(1-0.40)-N837</x:f>
        <x:v>1.488888888888889</x:v>
      </x:c>
      <x:c r="Q837" s="9" t="n">
        <x:f>'Physical_Arcs'!T57</x:f>
        <x:v>1.8611111111111112</x:v>
      </x:c>
      <x:c r="R837" s="9" t="n">
        <x:f>Q837*'Parameters'!$C$18</x:f>
        <x:v>0.37222222222222223</x:v>
      </x:c>
      <x:c r="S837" s="9" t="n">
        <x:f>R837*'Parameters'!$C$19</x:f>
        <x:v>0.4652777777777778</x:v>
      </x:c>
      <x:c r="T837" s="9" t="n">
        <x:f>Q837*(1-0.40)-R837</x:f>
        <x:v>0.7444444444444445</x:v>
      </x:c>
    </x:row>
    <x:row r="838" ht="21" customHeight="1">
      <x:c r="A838" s="3" t="n">
        <x:v>13</x:v>
      </x:c>
      <x:c r="B838" s="3" t="str">
        <x:v>02:10</x:v>
      </x:c>
      <x:c r="C838" s="3" t="n">
        <x:v>3</x:v>
      </x:c>
      <x:c r="D838" s="3" t="n">
        <x:v>57</x:v>
      </x:c>
      <x:c r="E838" s="3" t="n">
        <x:v>10</x:v>
      </x:c>
      <x:c r="F838" s="3" t="n">
        <x:v>1</x:v>
      </x:c>
      <x:c r="G838" s="9" t="n">
        <x:v>0.1</x:v>
      </x:c>
      <x:c r="H838" s="9" t="n">
        <x:v>1.027979</x:v>
      </x:c>
      <x:c r="I838" s="9" t="n">
        <x:f>'Physical_Arcs'!R58</x:f>
        <x:v>17.02777777777778</x:v>
      </x:c>
      <x:c r="J838" s="9" t="n">
        <x:f>I838*'Parameters'!$C$18</x:f>
        <x:v>3.405555555555556</x:v>
      </x:c>
      <x:c r="K838" s="9" t="n">
        <x:f>J838*'Parameters'!$C$19</x:f>
        <x:v>4.256944444444445</x:v>
      </x:c>
      <x:c r="L838" s="9" t="n">
        <x:f>I838*(1-0.40)-J838</x:f>
        <x:v>6.811111111111111</x:v>
      </x:c>
      <x:c r="M838" s="9" t="n">
        <x:f>'Physical_Arcs'!S58</x:f>
        <x:v>17.02777777777778</x:v>
      </x:c>
      <x:c r="N838" s="9" t="n">
        <x:f>M838*'Parameters'!$C$18</x:f>
        <x:v>3.405555555555556</x:v>
      </x:c>
      <x:c r="O838" s="9" t="n">
        <x:f>N838*'Parameters'!$C$19</x:f>
        <x:v>4.256944444444445</x:v>
      </x:c>
      <x:c r="P838" s="9" t="n">
        <x:f>M838*(1-0.40)-N838</x:f>
        <x:v>6.811111111111111</x:v>
      </x:c>
      <x:c r="Q838" s="9" t="n">
        <x:f>'Physical_Arcs'!T58</x:f>
        <x:v>17.02777777777778</x:v>
      </x:c>
      <x:c r="R838" s="9" t="n">
        <x:f>Q838*'Parameters'!$C$18</x:f>
        <x:v>3.405555555555556</x:v>
      </x:c>
      <x:c r="S838" s="9" t="n">
        <x:f>R838*'Parameters'!$C$19</x:f>
        <x:v>4.256944444444445</x:v>
      </x:c>
      <x:c r="T838" s="9" t="n">
        <x:f>Q838*(1-0.40)-R838</x:f>
        <x:v>6.811111111111111</x:v>
      </x:c>
    </x:row>
    <x:row r="839" ht="21" customHeight="1">
      <x:c r="A839" s="3" t="n">
        <x:v>13</x:v>
      </x:c>
      <x:c r="B839" s="3" t="str">
        <x:v>02:10</x:v>
      </x:c>
      <x:c r="C839" s="3" t="n">
        <x:v>3</x:v>
      </x:c>
      <x:c r="D839" s="3" t="n">
        <x:v>58</x:v>
      </x:c>
      <x:c r="E839" s="3" t="n">
        <x:v>10</x:v>
      </x:c>
      <x:c r="F839" s="3" t="n">
        <x:v>6</x:v>
      </x:c>
      <x:c r="G839" s="9" t="n">
        <x:v>0.1</x:v>
      </x:c>
      <x:c r="H839" s="9" t="n">
        <x:v>0.952676</x:v>
      </x:c>
      <x:c r="I839" s="9" t="n">
        <x:f>'Physical_Arcs'!R59</x:f>
        <x:v>6.305555555555555</x:v>
      </x:c>
      <x:c r="J839" s="9" t="n">
        <x:f>I839*'Parameters'!$C$18</x:f>
        <x:v>1.261111111111111</x:v>
      </x:c>
      <x:c r="K839" s="9" t="n">
        <x:f>J839*'Parameters'!$C$19</x:f>
        <x:v>1.5763888888888888</x:v>
      </x:c>
      <x:c r="L839" s="9" t="n">
        <x:f>I839*(1-0.40)-J839</x:f>
        <x:v>2.522222222222222</x:v>
      </x:c>
      <x:c r="M839" s="9" t="n">
        <x:f>'Physical_Arcs'!S59</x:f>
        <x:v>6.305555555555555</x:v>
      </x:c>
      <x:c r="N839" s="9" t="n">
        <x:f>M839*'Parameters'!$C$18</x:f>
        <x:v>1.261111111111111</x:v>
      </x:c>
      <x:c r="O839" s="9" t="n">
        <x:f>N839*'Parameters'!$C$19</x:f>
        <x:v>1.5763888888888888</x:v>
      </x:c>
      <x:c r="P839" s="9" t="n">
        <x:f>M839*(1-0.40)-N839</x:f>
        <x:v>2.522222222222222</x:v>
      </x:c>
      <x:c r="Q839" s="9" t="n">
        <x:f>'Physical_Arcs'!T59</x:f>
        <x:v>3.1666666666666665</x:v>
      </x:c>
      <x:c r="R839" s="9" t="n">
        <x:f>Q839*'Parameters'!$C$18</x:f>
        <x:v>0.6333333333333333</x:v>
      </x:c>
      <x:c r="S839" s="9" t="n">
        <x:f>R839*'Parameters'!$C$19</x:f>
        <x:v>0.7916666666666666</x:v>
      </x:c>
      <x:c r="T839" s="9" t="n">
        <x:f>Q839*(1-0.40)-R839</x:f>
        <x:v>1.2666666666666666</x:v>
      </x:c>
    </x:row>
    <x:row r="840" ht="21" customHeight="1">
      <x:c r="A840" s="3" t="n">
        <x:v>13</x:v>
      </x:c>
      <x:c r="B840" s="3" t="str">
        <x:v>02:10</x:v>
      </x:c>
      <x:c r="C840" s="3" t="n">
        <x:v>3</x:v>
      </x:c>
      <x:c r="D840" s="3" t="n">
        <x:v>59</x:v>
      </x:c>
      <x:c r="E840" s="3" t="n">
        <x:v>10</x:v>
      </x:c>
      <x:c r="F840" s="3" t="n">
        <x:v>4</x:v>
      </x:c>
      <x:c r="G840" s="9" t="n">
        <x:v>0.1</x:v>
      </x:c>
      <x:c r="H840" s="9" t="n">
        <x:v>1.114542</x:v>
      </x:c>
      <x:c r="I840" s="9" t="n">
        <x:f>'Physical_Arcs'!R60</x:f>
        <x:v>1.5833333333333333</x:v>
      </x:c>
      <x:c r="J840" s="9" t="n">
        <x:f>I840*'Parameters'!$C$18</x:f>
        <x:v>0.31666666666666665</x:v>
      </x:c>
      <x:c r="K840" s="9" t="n">
        <x:f>J840*'Parameters'!$C$19</x:f>
        <x:v>0.3958333333333333</x:v>
      </x:c>
      <x:c r="L840" s="9" t="n">
        <x:f>I840*(1-0.40)-J840</x:f>
        <x:v>0.6333333333333333</x:v>
      </x:c>
      <x:c r="M840" s="9" t="n">
        <x:f>'Physical_Arcs'!S60</x:f>
        <x:v>1.5833333333333333</x:v>
      </x:c>
      <x:c r="N840" s="9" t="n">
        <x:f>M840*'Parameters'!$C$18</x:f>
        <x:v>0.31666666666666665</x:v>
      </x:c>
      <x:c r="O840" s="9" t="n">
        <x:f>N840*'Parameters'!$C$19</x:f>
        <x:v>0.3958333333333333</x:v>
      </x:c>
      <x:c r="P840" s="9" t="n">
        <x:f>M840*(1-0.40)-N840</x:f>
        <x:v>0.6333333333333333</x:v>
      </x:c>
      <x:c r="Q840" s="9" t="n">
        <x:f>'Physical_Arcs'!T60</x:f>
        <x:v>0.8055555555555556</x:v>
      </x:c>
      <x:c r="R840" s="9" t="n">
        <x:f>Q840*'Parameters'!$C$18</x:f>
        <x:v>0.16111111111111112</x:v>
      </x:c>
      <x:c r="S840" s="9" t="n">
        <x:f>R840*'Parameters'!$C$19</x:f>
        <x:v>0.2013888888888889</x:v>
      </x:c>
      <x:c r="T840" s="9" t="n">
        <x:f>Q840*(1-0.40)-R840</x:f>
        <x:v>0.3222222222222222</x:v>
      </x:c>
    </x:row>
    <x:row r="841" ht="21" customHeight="1">
      <x:c r="A841" s="3" t="n">
        <x:v>13</x:v>
      </x:c>
      <x:c r="B841" s="3" t="str">
        <x:v>02:10</x:v>
      </x:c>
      <x:c r="C841" s="3" t="n">
        <x:v>3</x:v>
      </x:c>
      <x:c r="D841" s="3" t="n">
        <x:v>60</x:v>
      </x:c>
      <x:c r="E841" s="3" t="n">
        <x:v>10</x:v>
      </x:c>
      <x:c r="F841" s="3" t="n">
        <x:v>9</x:v>
      </x:c>
      <x:c r="G841" s="9" t="n">
        <x:v>0.1</x:v>
      </x:c>
      <x:c r="H841" s="9" t="n">
        <x:v>1.092245</x:v>
      </x:c>
      <x:c r="I841" s="9" t="n">
        <x:f>'Physical_Arcs'!R61</x:f>
        <x:v>10.333333333333334</x:v>
      </x:c>
      <x:c r="J841" s="9" t="n">
        <x:f>I841*'Parameters'!$C$18</x:f>
        <x:v>2.066666666666667</x:v>
      </x:c>
      <x:c r="K841" s="9" t="n">
        <x:f>J841*'Parameters'!$C$19</x:f>
        <x:v>2.5833333333333335</x:v>
      </x:c>
      <x:c r="L841" s="9" t="n">
        <x:f>I841*(1-0.40)-J841</x:f>
        <x:v>4.133333333333333</x:v>
      </x:c>
      <x:c r="M841" s="9" t="n">
        <x:f>'Physical_Arcs'!S61</x:f>
        <x:v>10.333333333333334</x:v>
      </x:c>
      <x:c r="N841" s="9" t="n">
        <x:f>M841*'Parameters'!$C$18</x:f>
        <x:v>2.066666666666667</x:v>
      </x:c>
      <x:c r="O841" s="9" t="n">
        <x:f>N841*'Parameters'!$C$19</x:f>
        <x:v>2.5833333333333335</x:v>
      </x:c>
      <x:c r="P841" s="9" t="n">
        <x:f>M841*(1-0.40)-N841</x:f>
        <x:v>4.133333333333333</x:v>
      </x:c>
      <x:c r="Q841" s="9" t="n">
        <x:f>'Physical_Arcs'!T61</x:f>
        <x:v>5.166666666666667</x:v>
      </x:c>
      <x:c r="R841" s="9" t="n">
        <x:f>Q841*'Parameters'!$C$18</x:f>
        <x:v>1.0333333333333334</x:v>
      </x:c>
      <x:c r="S841" s="9" t="n">
        <x:f>R841*'Parameters'!$C$19</x:f>
        <x:v>1.2916666666666667</x:v>
      </x:c>
      <x:c r="T841" s="9" t="n">
        <x:f>Q841*(1-0.40)-R841</x:f>
        <x:v>2.0666666666666664</x:v>
      </x:c>
    </x:row>
    <x:row r="842" ht="21" customHeight="1">
      <x:c r="A842" s="3" t="n">
        <x:v>14</x:v>
      </x:c>
      <x:c r="B842" s="3" t="str">
        <x:v>02:20</x:v>
      </x:c>
      <x:c r="C842" s="3" t="n">
        <x:v>3</x:v>
      </x:c>
      <x:c r="D842" s="3" t="n">
        <x:v>1</x:v>
      </x:c>
      <x:c r="E842" s="3" t="n">
        <x:v>1</x:v>
      </x:c>
      <x:c r="F842" s="3" t="n">
        <x:v>2</x:v>
      </x:c>
      <x:c r="G842" s="9" t="n">
        <x:v>0.1</x:v>
      </x:c>
      <x:c r="H842" s="9" t="n">
        <x:v>0.914787</x:v>
      </x:c>
      <x:c r="I842" s="9" t="n">
        <x:f>'Physical_Arcs'!R2</x:f>
        <x:v>17.02777777777778</x:v>
      </x:c>
      <x:c r="J842" s="9" t="n">
        <x:f>I842*'Parameters'!$C$18</x:f>
        <x:v>3.405555555555556</x:v>
      </x:c>
      <x:c r="K842" s="9" t="n">
        <x:f>J842*'Parameters'!$C$19</x:f>
        <x:v>4.256944444444445</x:v>
      </x:c>
      <x:c r="L842" s="9" t="n">
        <x:f>I842*(1-0.40)-J842</x:f>
        <x:v>6.811111111111111</x:v>
      </x:c>
      <x:c r="M842" s="9" t="n">
        <x:f>'Physical_Arcs'!S2</x:f>
        <x:v>17.02777777777778</x:v>
      </x:c>
      <x:c r="N842" s="9" t="n">
        <x:f>M842*'Parameters'!$C$18</x:f>
        <x:v>3.405555555555556</x:v>
      </x:c>
      <x:c r="O842" s="9" t="n">
        <x:f>N842*'Parameters'!$C$19</x:f>
        <x:v>4.256944444444445</x:v>
      </x:c>
      <x:c r="P842" s="9" t="n">
        <x:f>M842*(1-0.40)-N842</x:f>
        <x:v>6.811111111111111</x:v>
      </x:c>
      <x:c r="Q842" s="9" t="n">
        <x:f>'Physical_Arcs'!T2</x:f>
        <x:v>17.02777777777778</x:v>
      </x:c>
      <x:c r="R842" s="9" t="n">
        <x:f>Q842*'Parameters'!$C$18</x:f>
        <x:v>3.405555555555556</x:v>
      </x:c>
      <x:c r="S842" s="9" t="n">
        <x:f>R842*'Parameters'!$C$19</x:f>
        <x:v>4.256944444444445</x:v>
      </x:c>
      <x:c r="T842" s="9" t="n">
        <x:f>Q842*(1-0.40)-R842</x:f>
        <x:v>6.811111111111111</x:v>
      </x:c>
    </x:row>
    <x:row r="843" ht="21" customHeight="1">
      <x:c r="A843" s="3" t="n">
        <x:v>14</x:v>
      </x:c>
      <x:c r="B843" s="3" t="str">
        <x:v>02:20</x:v>
      </x:c>
      <x:c r="C843" s="3" t="n">
        <x:v>3</x:v>
      </x:c>
      <x:c r="D843" s="3" t="n">
        <x:v>2</x:v>
      </x:c>
      <x:c r="E843" s="3" t="n">
        <x:v>1</x:v>
      </x:c>
      <x:c r="F843" s="3" t="n">
        <x:v>10</x:v>
      </x:c>
      <x:c r="G843" s="9" t="n">
        <x:v>0.1</x:v>
      </x:c>
      <x:c r="H843" s="9" t="n">
        <x:v>1.003995</x:v>
      </x:c>
      <x:c r="I843" s="9" t="n">
        <x:f>'Physical_Arcs'!R3</x:f>
        <x:v>3.2777777777777777</x:v>
      </x:c>
      <x:c r="J843" s="9" t="n">
        <x:f>I843*'Parameters'!$C$18</x:f>
        <x:v>0.6555555555555556</x:v>
      </x:c>
      <x:c r="K843" s="9" t="n">
        <x:f>J843*'Parameters'!$C$19</x:f>
        <x:v>0.8194444444444444</x:v>
      </x:c>
      <x:c r="L843" s="9" t="n">
        <x:f>I843*(1-0.40)-J843</x:f>
        <x:v>1.311111111111111</x:v>
      </x:c>
      <x:c r="M843" s="9" t="n">
        <x:f>'Physical_Arcs'!S3</x:f>
        <x:v>3.2777777777777777</x:v>
      </x:c>
      <x:c r="N843" s="9" t="n">
        <x:f>M843*'Parameters'!$C$18</x:f>
        <x:v>0.6555555555555556</x:v>
      </x:c>
      <x:c r="O843" s="9" t="n">
        <x:f>N843*'Parameters'!$C$19</x:f>
        <x:v>0.8194444444444444</x:v>
      </x:c>
      <x:c r="P843" s="9" t="n">
        <x:f>M843*(1-0.40)-N843</x:f>
        <x:v>1.311111111111111</x:v>
      </x:c>
      <x:c r="Q843" s="9" t="n">
        <x:f>'Physical_Arcs'!T3</x:f>
        <x:v>1.6388888888888888</x:v>
      </x:c>
      <x:c r="R843" s="9" t="n">
        <x:f>Q843*'Parameters'!$C$18</x:f>
        <x:v>0.3277777777777778</x:v>
      </x:c>
      <x:c r="S843" s="9" t="n">
        <x:f>R843*'Parameters'!$C$19</x:f>
        <x:v>0.4097222222222222</x:v>
      </x:c>
      <x:c r="T843" s="9" t="n">
        <x:f>Q843*(1-0.40)-R843</x:f>
        <x:v>0.6555555555555554</x:v>
      </x:c>
    </x:row>
    <x:row r="844" ht="21" customHeight="1">
      <x:c r="A844" s="3" t="n">
        <x:v>14</x:v>
      </x:c>
      <x:c r="B844" s="3" t="str">
        <x:v>02:20</x:v>
      </x:c>
      <x:c r="C844" s="3" t="n">
        <x:v>3</x:v>
      </x:c>
      <x:c r="D844" s="3" t="n">
        <x:v>3</x:v>
      </x:c>
      <x:c r="E844" s="3" t="n">
        <x:v>1</x:v>
      </x:c>
      <x:c r="F844" s="3" t="n">
        <x:v>8</x:v>
      </x:c>
      <x:c r="G844" s="9" t="n">
        <x:v>0.1</x:v>
      </x:c>
      <x:c r="H844" s="9" t="n">
        <x:v>0.923863</x:v>
      </x:c>
      <x:c r="I844" s="9" t="n">
        <x:f>'Physical_Arcs'!R4</x:f>
        <x:v>6.083333333333333</x:v>
      </x:c>
      <x:c r="J844" s="9" t="n">
        <x:f>I844*'Parameters'!$C$18</x:f>
        <x:v>1.2166666666666668</x:v>
      </x:c>
      <x:c r="K844" s="9" t="n">
        <x:f>J844*'Parameters'!$C$19</x:f>
        <x:v>1.5208333333333335</x:v>
      </x:c>
      <x:c r="L844" s="9" t="n">
        <x:f>I844*(1-0.40)-J844</x:f>
        <x:v>2.4333333333333327</x:v>
      </x:c>
      <x:c r="M844" s="9" t="n">
        <x:f>'Physical_Arcs'!S4</x:f>
        <x:v>6.083333333333333</x:v>
      </x:c>
      <x:c r="N844" s="9" t="n">
        <x:f>M844*'Parameters'!$C$18</x:f>
        <x:v>1.2166666666666668</x:v>
      </x:c>
      <x:c r="O844" s="9" t="n">
        <x:f>N844*'Parameters'!$C$19</x:f>
        <x:v>1.5208333333333335</x:v>
      </x:c>
      <x:c r="P844" s="9" t="n">
        <x:f>M844*(1-0.40)-N844</x:f>
        <x:v>2.4333333333333327</x:v>
      </x:c>
      <x:c r="Q844" s="9" t="n">
        <x:f>'Physical_Arcs'!T4</x:f>
        <x:v>3.0555555555555554</x:v>
      </x:c>
      <x:c r="R844" s="9" t="n">
        <x:f>Q844*'Parameters'!$C$18</x:f>
        <x:v>0.6111111111111112</x:v>
      </x:c>
      <x:c r="S844" s="9" t="n">
        <x:f>R844*'Parameters'!$C$19</x:f>
        <x:v>0.763888888888889</x:v>
      </x:c>
      <x:c r="T844" s="9" t="n">
        <x:f>Q844*(1-0.40)-R844</x:f>
        <x:v>1.2222222222222219</x:v>
      </x:c>
    </x:row>
    <x:row r="845" ht="21" customHeight="1">
      <x:c r="A845" s="3" t="n">
        <x:v>14</x:v>
      </x:c>
      <x:c r="B845" s="3" t="str">
        <x:v>02:20</x:v>
      </x:c>
      <x:c r="C845" s="3" t="n">
        <x:v>3</x:v>
      </x:c>
      <x:c r="D845" s="3" t="n">
        <x:v>4</x:v>
      </x:c>
      <x:c r="E845" s="3" t="n">
        <x:v>1</x:v>
      </x:c>
      <x:c r="F845" s="3" t="n">
        <x:v>7</x:v>
      </x:c>
      <x:c r="G845" s="9" t="n">
        <x:v>0.1</x:v>
      </x:c>
      <x:c r="H845" s="9" t="n">
        <x:v>1.111072</x:v>
      </x:c>
      <x:c r="I845" s="9" t="n">
        <x:f>'Physical_Arcs'!R5</x:f>
        <x:v>9</x:v>
      </x:c>
      <x:c r="J845" s="9" t="n">
        <x:f>I845*'Parameters'!$C$18</x:f>
        <x:v>1.8</x:v>
      </x:c>
      <x:c r="K845" s="9" t="n">
        <x:f>J845*'Parameters'!$C$19</x:f>
        <x:v>2.25</x:v>
      </x:c>
      <x:c r="L845" s="9" t="n">
        <x:f>I845*(1-0.40)-J845</x:f>
        <x:v>3.5999999999999996</x:v>
      </x:c>
      <x:c r="M845" s="9" t="n">
        <x:f>'Physical_Arcs'!S5</x:f>
        <x:v>9</x:v>
      </x:c>
      <x:c r="N845" s="9" t="n">
        <x:f>M845*'Parameters'!$C$18</x:f>
        <x:v>1.8</x:v>
      </x:c>
      <x:c r="O845" s="9" t="n">
        <x:f>N845*'Parameters'!$C$19</x:f>
        <x:v>2.25</x:v>
      </x:c>
      <x:c r="P845" s="9" t="n">
        <x:f>M845*(1-0.40)-N845</x:f>
        <x:v>3.5999999999999996</x:v>
      </x:c>
      <x:c r="Q845" s="9" t="n">
        <x:f>'Physical_Arcs'!T5</x:f>
        <x:v>4.5</x:v>
      </x:c>
      <x:c r="R845" s="9" t="n">
        <x:f>Q845*'Parameters'!$C$18</x:f>
        <x:v>0.9</x:v>
      </x:c>
      <x:c r="S845" s="9" t="n">
        <x:f>R845*'Parameters'!$C$19</x:f>
        <x:v>1.125</x:v>
      </x:c>
      <x:c r="T845" s="9" t="n">
        <x:f>Q845*(1-0.40)-R845</x:f>
        <x:v>1.7999999999999998</x:v>
      </x:c>
    </x:row>
    <x:row r="846" ht="21" customHeight="1">
      <x:c r="A846" s="3" t="n">
        <x:v>14</x:v>
      </x:c>
      <x:c r="B846" s="3" t="str">
        <x:v>02:20</x:v>
      </x:c>
      <x:c r="C846" s="3" t="n">
        <x:v>3</x:v>
      </x:c>
      <x:c r="D846" s="3" t="n">
        <x:v>5</x:v>
      </x:c>
      <x:c r="E846" s="3" t="n">
        <x:v>1</x:v>
      </x:c>
      <x:c r="F846" s="3" t="n">
        <x:v>4</x:v>
      </x:c>
      <x:c r="G846" s="9" t="n">
        <x:v>0.1</x:v>
      </x:c>
      <x:c r="H846" s="9" t="n">
        <x:v>1.001665</x:v>
      </x:c>
      <x:c r="I846" s="9" t="n">
        <x:f>'Physical_Arcs'!R6</x:f>
        <x:v>4.166666666666667</x:v>
      </x:c>
      <x:c r="J846" s="9" t="n">
        <x:f>I846*'Parameters'!$C$18</x:f>
        <x:v>0.8333333333333335</x:v>
      </x:c>
      <x:c r="K846" s="9" t="n">
        <x:f>J846*'Parameters'!$C$19</x:f>
        <x:v>1.041666666666667</x:v>
      </x:c>
      <x:c r="L846" s="9" t="n">
        <x:f>I846*(1-0.40)-J846</x:f>
        <x:v>1.6666666666666665</x:v>
      </x:c>
      <x:c r="M846" s="9" t="n">
        <x:f>'Physical_Arcs'!S6</x:f>
        <x:v>4.166666666666667</x:v>
      </x:c>
      <x:c r="N846" s="9" t="n">
        <x:f>M846*'Parameters'!$C$18</x:f>
        <x:v>0.8333333333333335</x:v>
      </x:c>
      <x:c r="O846" s="9" t="n">
        <x:f>N846*'Parameters'!$C$19</x:f>
        <x:v>1.041666666666667</x:v>
      </x:c>
      <x:c r="P846" s="9" t="n">
        <x:f>M846*(1-0.40)-N846</x:f>
        <x:v>1.6666666666666665</x:v>
      </x:c>
      <x:c r="Q846" s="9" t="n">
        <x:f>'Physical_Arcs'!T6</x:f>
        <x:v>2.0833333333333335</x:v>
      </x:c>
      <x:c r="R846" s="9" t="n">
        <x:f>Q846*'Parameters'!$C$18</x:f>
        <x:v>0.41666666666666674</x:v>
      </x:c>
      <x:c r="S846" s="9" t="n">
        <x:f>R846*'Parameters'!$C$19</x:f>
        <x:v>0.5208333333333335</x:v>
      </x:c>
      <x:c r="T846" s="9" t="n">
        <x:f>Q846*(1-0.40)-R846</x:f>
        <x:v>0.8333333333333333</x:v>
      </x:c>
    </x:row>
    <x:row r="847" ht="21" customHeight="1">
      <x:c r="A847" s="3" t="n">
        <x:v>14</x:v>
      </x:c>
      <x:c r="B847" s="3" t="str">
        <x:v>02:20</x:v>
      </x:c>
      <x:c r="C847" s="3" t="n">
        <x:v>3</x:v>
      </x:c>
      <x:c r="D847" s="3" t="n">
        <x:v>6</x:v>
      </x:c>
      <x:c r="E847" s="3" t="n">
        <x:v>1</x:v>
      </x:c>
      <x:c r="F847" s="3" t="n">
        <x:v>9</x:v>
      </x:c>
      <x:c r="G847" s="9" t="n">
        <x:v>0.1</x:v>
      </x:c>
      <x:c r="H847" s="9" t="n">
        <x:v>0.942884</x:v>
      </x:c>
      <x:c r="I847" s="9" t="n">
        <x:f>'Physical_Arcs'!R7</x:f>
        <x:v>11.027777777777779</x:v>
      </x:c>
      <x:c r="J847" s="9" t="n">
        <x:f>I847*'Parameters'!$C$18</x:f>
        <x:v>2.2055555555555557</x:v>
      </x:c>
      <x:c r="K847" s="9" t="n">
        <x:f>J847*'Parameters'!$C$19</x:f>
        <x:v>2.7569444444444446</x:v>
      </x:c>
      <x:c r="L847" s="9" t="n">
        <x:f>I847*(1-0.40)-J847</x:f>
        <x:v>4.411111111111111</x:v>
      </x:c>
      <x:c r="M847" s="9" t="n">
        <x:f>'Physical_Arcs'!S7</x:f>
        <x:v>11.027777777777779</x:v>
      </x:c>
      <x:c r="N847" s="9" t="n">
        <x:f>M847*'Parameters'!$C$18</x:f>
        <x:v>2.2055555555555557</x:v>
      </x:c>
      <x:c r="O847" s="9" t="n">
        <x:f>N847*'Parameters'!$C$19</x:f>
        <x:v>2.7569444444444446</x:v>
      </x:c>
      <x:c r="P847" s="9" t="n">
        <x:f>M847*(1-0.40)-N847</x:f>
        <x:v>4.411111111111111</x:v>
      </x:c>
      <x:c r="Q847" s="9" t="n">
        <x:f>'Physical_Arcs'!T7</x:f>
        <x:v>5.527777777777778</x:v>
      </x:c>
      <x:c r="R847" s="9" t="n">
        <x:f>Q847*'Parameters'!$C$18</x:f>
        <x:v>1.1055555555555556</x:v>
      </x:c>
      <x:c r="S847" s="9" t="n">
        <x:f>R847*'Parameters'!$C$19</x:f>
        <x:v>1.3819444444444446</x:v>
      </x:c>
      <x:c r="T847" s="9" t="n">
        <x:f>Q847*(1-0.40)-R847</x:f>
        <x:v>2.211111111111111</x:v>
      </x:c>
    </x:row>
    <x:row r="848" ht="21" customHeight="1">
      <x:c r="A848" s="3" t="n">
        <x:v>14</x:v>
      </x:c>
      <x:c r="B848" s="3" t="str">
        <x:v>02:20</x:v>
      </x:c>
      <x:c r="C848" s="3" t="n">
        <x:v>3</x:v>
      </x:c>
      <x:c r="D848" s="3" t="n">
        <x:v>7</x:v>
      </x:c>
      <x:c r="E848" s="3" t="n">
        <x:v>1</x:v>
      </x:c>
      <x:c r="F848" s="3" t="n">
        <x:v>5</x:v>
      </x:c>
      <x:c r="G848" s="9" t="n">
        <x:v>0.1</x:v>
      </x:c>
      <x:c r="H848" s="9" t="n">
        <x:v>1.038222</x:v>
      </x:c>
      <x:c r="I848" s="9" t="n">
        <x:f>'Physical_Arcs'!R8</x:f>
        <x:v>7.972222222222222</x:v>
      </x:c>
      <x:c r="J848" s="9" t="n">
        <x:f>I848*'Parameters'!$C$18</x:f>
        <x:v>1.5944444444444446</x:v>
      </x:c>
      <x:c r="K848" s="9" t="n">
        <x:f>J848*'Parameters'!$C$19</x:f>
        <x:v>1.9930555555555558</x:v>
      </x:c>
      <x:c r="L848" s="9" t="n">
        <x:f>I848*(1-0.40)-J848</x:f>
        <x:v>3.1888888888888887</x:v>
      </x:c>
      <x:c r="M848" s="9" t="n">
        <x:f>'Physical_Arcs'!S8</x:f>
        <x:v>7.972222222222222</x:v>
      </x:c>
      <x:c r="N848" s="9" t="n">
        <x:f>M848*'Parameters'!$C$18</x:f>
        <x:v>1.5944444444444446</x:v>
      </x:c>
      <x:c r="O848" s="9" t="n">
        <x:f>N848*'Parameters'!$C$19</x:f>
        <x:v>1.9930555555555558</x:v>
      </x:c>
      <x:c r="P848" s="9" t="n">
        <x:f>M848*(1-0.40)-N848</x:f>
        <x:v>3.1888888888888887</x:v>
      </x:c>
      <x:c r="Q848" s="9" t="n">
        <x:f>'Physical_Arcs'!T8</x:f>
        <x:v>4</x:v>
      </x:c>
      <x:c r="R848" s="9" t="n">
        <x:f>Q848*'Parameters'!$C$18</x:f>
        <x:v>0.8</x:v>
      </x:c>
      <x:c r="S848" s="9" t="n">
        <x:f>R848*'Parameters'!$C$19</x:f>
        <x:v>1</x:v>
      </x:c>
      <x:c r="T848" s="9" t="n">
        <x:f>Q848*(1-0.40)-R848</x:f>
        <x:v>1.5999999999999999</x:v>
      </x:c>
    </x:row>
    <x:row r="849" ht="21" customHeight="1">
      <x:c r="A849" s="3" t="n">
        <x:v>14</x:v>
      </x:c>
      <x:c r="B849" s="3" t="str">
        <x:v>02:20</x:v>
      </x:c>
      <x:c r="C849" s="3" t="n">
        <x:v>3</x:v>
      </x:c>
      <x:c r="D849" s="3" t="n">
        <x:v>8</x:v>
      </x:c>
      <x:c r="E849" s="3" t="n">
        <x:v>1</x:v>
      </x:c>
      <x:c r="F849" s="3" t="n">
        <x:v>3</x:v>
      </x:c>
      <x:c r="G849" s="9" t="n">
        <x:v>0.1</x:v>
      </x:c>
      <x:c r="H849" s="9" t="n">
        <x:v>1.122297</x:v>
      </x:c>
      <x:c r="I849" s="9" t="n">
        <x:f>'Physical_Arcs'!R9</x:f>
        <x:v>4.166666666666667</x:v>
      </x:c>
      <x:c r="J849" s="9" t="n">
        <x:f>I849*'Parameters'!$C$18</x:f>
        <x:v>0.8333333333333335</x:v>
      </x:c>
      <x:c r="K849" s="9" t="n">
        <x:f>J849*'Parameters'!$C$19</x:f>
        <x:v>1.041666666666667</x:v>
      </x:c>
      <x:c r="L849" s="9" t="n">
        <x:f>I849*(1-0.40)-J849</x:f>
        <x:v>1.6666666666666665</x:v>
      </x:c>
      <x:c r="M849" s="9" t="n">
        <x:f>'Physical_Arcs'!S9</x:f>
        <x:v>4.166666666666667</x:v>
      </x:c>
      <x:c r="N849" s="9" t="n">
        <x:f>M849*'Parameters'!$C$18</x:f>
        <x:v>0.8333333333333335</x:v>
      </x:c>
      <x:c r="O849" s="9" t="n">
        <x:f>N849*'Parameters'!$C$19</x:f>
        <x:v>1.041666666666667</x:v>
      </x:c>
      <x:c r="P849" s="9" t="n">
        <x:f>M849*(1-0.40)-N849</x:f>
        <x:v>1.6666666666666665</x:v>
      </x:c>
      <x:c r="Q849" s="9" t="n">
        <x:f>'Physical_Arcs'!T9</x:f>
        <x:v>2.0833333333333335</x:v>
      </x:c>
      <x:c r="R849" s="9" t="n">
        <x:f>Q849*'Parameters'!$C$18</x:f>
        <x:v>0.41666666666666674</x:v>
      </x:c>
      <x:c r="S849" s="9" t="n">
        <x:f>R849*'Parameters'!$C$19</x:f>
        <x:v>0.5208333333333335</x:v>
      </x:c>
      <x:c r="T849" s="9" t="n">
        <x:f>Q849*(1-0.40)-R849</x:f>
        <x:v>0.8333333333333333</x:v>
      </x:c>
    </x:row>
    <x:row r="850" ht="21" customHeight="1">
      <x:c r="A850" s="3" t="n">
        <x:v>14</x:v>
      </x:c>
      <x:c r="B850" s="3" t="str">
        <x:v>02:20</x:v>
      </x:c>
      <x:c r="C850" s="3" t="n">
        <x:v>3</x:v>
      </x:c>
      <x:c r="D850" s="3" t="n">
        <x:v>9</x:v>
      </x:c>
      <x:c r="E850" s="3" t="n">
        <x:v>1</x:v>
      </x:c>
      <x:c r="F850" s="3" t="n">
        <x:v>6</x:v>
      </x:c>
      <x:c r="G850" s="9" t="n">
        <x:v>0.1</x:v>
      </x:c>
      <x:c r="H850" s="9" t="n">
        <x:v>1.132682</x:v>
      </x:c>
      <x:c r="I850" s="9" t="n">
        <x:f>'Physical_Arcs'!R10</x:f>
        <x:v>2.138888888888889</x:v>
      </x:c>
      <x:c r="J850" s="9" t="n">
        <x:f>I850*'Parameters'!$C$18</x:f>
        <x:v>0.4277777777777778</x:v>
      </x:c>
      <x:c r="K850" s="9" t="n">
        <x:f>J850*'Parameters'!$C$19</x:f>
        <x:v>0.5347222222222223</x:v>
      </x:c>
      <x:c r="L850" s="9" t="n">
        <x:f>I850*(1-0.40)-J850</x:f>
        <x:v>0.8555555555555554</x:v>
      </x:c>
      <x:c r="M850" s="9" t="n">
        <x:f>'Physical_Arcs'!S10</x:f>
        <x:v>2.138888888888889</x:v>
      </x:c>
      <x:c r="N850" s="9" t="n">
        <x:f>M850*'Parameters'!$C$18</x:f>
        <x:v>0.4277777777777778</x:v>
      </x:c>
      <x:c r="O850" s="9" t="n">
        <x:f>N850*'Parameters'!$C$19</x:f>
        <x:v>0.5347222222222223</x:v>
      </x:c>
      <x:c r="P850" s="9" t="n">
        <x:f>M850*(1-0.40)-N850</x:f>
        <x:v>0.8555555555555554</x:v>
      </x:c>
      <x:c r="Q850" s="9" t="n">
        <x:f>'Physical_Arcs'!T10</x:f>
        <x:v>1.0833333333333333</x:v>
      </x:c>
      <x:c r="R850" s="9" t="n">
        <x:f>Q850*'Parameters'!$C$18</x:f>
        <x:v>0.21666666666666667</x:v>
      </x:c>
      <x:c r="S850" s="9" t="n">
        <x:f>R850*'Parameters'!$C$19</x:f>
        <x:v>0.27083333333333337</x:v>
      </x:c>
      <x:c r="T850" s="9" t="n">
        <x:f>Q850*(1-0.40)-R850</x:f>
        <x:v>0.43333333333333324</x:v>
      </x:c>
    </x:row>
    <x:row r="851" ht="21" customHeight="1">
      <x:c r="A851" s="3" t="n">
        <x:v>14</x:v>
      </x:c>
      <x:c r="B851" s="3" t="str">
        <x:v>02:20</x:v>
      </x:c>
      <x:c r="C851" s="3" t="n">
        <x:v>3</x:v>
      </x:c>
      <x:c r="D851" s="3" t="n">
        <x:v>10</x:v>
      </x:c>
      <x:c r="E851" s="3" t="n">
        <x:v>2</x:v>
      </x:c>
      <x:c r="F851" s="3" t="n">
        <x:v>3</x:v>
      </x:c>
      <x:c r="G851" s="9" t="n">
        <x:v>0.1</x:v>
      </x:c>
      <x:c r="H851" s="9" t="n">
        <x:v>0.871154</x:v>
      </x:c>
      <x:c r="I851" s="9" t="n">
        <x:f>'Physical_Arcs'!R11</x:f>
        <x:v>17.02777777777778</x:v>
      </x:c>
      <x:c r="J851" s="9" t="n">
        <x:f>I851*'Parameters'!$C$18</x:f>
        <x:v>3.405555555555556</x:v>
      </x:c>
      <x:c r="K851" s="9" t="n">
        <x:f>J851*'Parameters'!$C$19</x:f>
        <x:v>4.256944444444445</x:v>
      </x:c>
      <x:c r="L851" s="9" t="n">
        <x:f>I851*(1-0.40)-J851</x:f>
        <x:v>6.811111111111111</x:v>
      </x:c>
      <x:c r="M851" s="9" t="n">
        <x:f>'Physical_Arcs'!S11</x:f>
        <x:v>17.02777777777778</x:v>
      </x:c>
      <x:c r="N851" s="9" t="n">
        <x:f>M851*'Parameters'!$C$18</x:f>
        <x:v>3.405555555555556</x:v>
      </x:c>
      <x:c r="O851" s="9" t="n">
        <x:f>N851*'Parameters'!$C$19</x:f>
        <x:v>4.256944444444445</x:v>
      </x:c>
      <x:c r="P851" s="9" t="n">
        <x:f>M851*(1-0.40)-N851</x:f>
        <x:v>6.811111111111111</x:v>
      </x:c>
      <x:c r="Q851" s="9" t="n">
        <x:f>'Physical_Arcs'!T11</x:f>
        <x:v>17.02777777777778</x:v>
      </x:c>
      <x:c r="R851" s="9" t="n">
        <x:f>Q851*'Parameters'!$C$18</x:f>
        <x:v>3.405555555555556</x:v>
      </x:c>
      <x:c r="S851" s="9" t="n">
        <x:f>R851*'Parameters'!$C$19</x:f>
        <x:v>4.256944444444445</x:v>
      </x:c>
      <x:c r="T851" s="9" t="n">
        <x:f>Q851*(1-0.40)-R851</x:f>
        <x:v>6.811111111111111</x:v>
      </x:c>
    </x:row>
    <x:row r="852" ht="21" customHeight="1">
      <x:c r="A852" s="3" t="n">
        <x:v>14</x:v>
      </x:c>
      <x:c r="B852" s="3" t="str">
        <x:v>02:20</x:v>
      </x:c>
      <x:c r="C852" s="3" t="n">
        <x:v>3</x:v>
      </x:c>
      <x:c r="D852" s="3" t="n">
        <x:v>11</x:v>
      </x:c>
      <x:c r="E852" s="3" t="n">
        <x:v>2</x:v>
      </x:c>
      <x:c r="F852" s="3" t="n">
        <x:v>4</x:v>
      </x:c>
      <x:c r="G852" s="9" t="n">
        <x:v>0.1</x:v>
      </x:c>
      <x:c r="H852" s="9" t="n">
        <x:v>1.147412</x:v>
      </x:c>
      <x:c r="I852" s="9" t="n">
        <x:f>'Physical_Arcs'!R12</x:f>
        <x:v>7.972222222222222</x:v>
      </x:c>
      <x:c r="J852" s="9" t="n">
        <x:f>I852*'Parameters'!$C$18</x:f>
        <x:v>1.5944444444444446</x:v>
      </x:c>
      <x:c r="K852" s="9" t="n">
        <x:f>J852*'Parameters'!$C$19</x:f>
        <x:v>1.9930555555555558</x:v>
      </x:c>
      <x:c r="L852" s="9" t="n">
        <x:f>I852*(1-0.40)-J852</x:f>
        <x:v>3.1888888888888887</x:v>
      </x:c>
      <x:c r="M852" s="9" t="n">
        <x:f>'Physical_Arcs'!S12</x:f>
        <x:v>7.972222222222222</x:v>
      </x:c>
      <x:c r="N852" s="9" t="n">
        <x:f>M852*'Parameters'!$C$18</x:f>
        <x:v>1.5944444444444446</x:v>
      </x:c>
      <x:c r="O852" s="9" t="n">
        <x:f>N852*'Parameters'!$C$19</x:f>
        <x:v>1.9930555555555558</x:v>
      </x:c>
      <x:c r="P852" s="9" t="n">
        <x:f>M852*(1-0.40)-N852</x:f>
        <x:v>3.1888888888888887</x:v>
      </x:c>
      <x:c r="Q852" s="9" t="n">
        <x:f>'Physical_Arcs'!T12</x:f>
        <x:v>4</x:v>
      </x:c>
      <x:c r="R852" s="9" t="n">
        <x:f>Q852*'Parameters'!$C$18</x:f>
        <x:v>0.8</x:v>
      </x:c>
      <x:c r="S852" s="9" t="n">
        <x:f>R852*'Parameters'!$C$19</x:f>
        <x:v>1</x:v>
      </x:c>
      <x:c r="T852" s="9" t="n">
        <x:f>Q852*(1-0.40)-R852</x:f>
        <x:v>1.5999999999999999</x:v>
      </x:c>
    </x:row>
    <x:row r="853" ht="21" customHeight="1">
      <x:c r="A853" s="3" t="n">
        <x:v>14</x:v>
      </x:c>
      <x:c r="B853" s="3" t="str">
        <x:v>02:20</x:v>
      </x:c>
      <x:c r="C853" s="3" t="n">
        <x:v>3</x:v>
      </x:c>
      <x:c r="D853" s="3" t="n">
        <x:v>12</x:v>
      </x:c>
      <x:c r="E853" s="3" t="n">
        <x:v>2</x:v>
      </x:c>
      <x:c r="F853" s="3" t="n">
        <x:v>7</x:v>
      </x:c>
      <x:c r="G853" s="9" t="n">
        <x:v>0.1</x:v>
      </x:c>
      <x:c r="H853" s="9" t="n">
        <x:v>0.96729</x:v>
      </x:c>
      <x:c r="I853" s="9" t="n">
        <x:f>'Physical_Arcs'!R13</x:f>
        <x:v>4.611111111111111</x:v>
      </x:c>
      <x:c r="J853" s="9" t="n">
        <x:f>I853*'Parameters'!$C$18</x:f>
        <x:v>0.9222222222222222</x:v>
      </x:c>
      <x:c r="K853" s="9" t="n">
        <x:f>J853*'Parameters'!$C$19</x:f>
        <x:v>1.1527777777777777</x:v>
      </x:c>
      <x:c r="L853" s="9" t="n">
        <x:f>I853*(1-0.40)-J853</x:f>
        <x:v>1.844444444444444</x:v>
      </x:c>
      <x:c r="M853" s="9" t="n">
        <x:f>'Physical_Arcs'!S13</x:f>
        <x:v>4.611111111111111</x:v>
      </x:c>
      <x:c r="N853" s="9" t="n">
        <x:f>M853*'Parameters'!$C$18</x:f>
        <x:v>0.9222222222222222</x:v>
      </x:c>
      <x:c r="O853" s="9" t="n">
        <x:f>N853*'Parameters'!$C$19</x:f>
        <x:v>1.1527777777777777</x:v>
      </x:c>
      <x:c r="P853" s="9" t="n">
        <x:f>M853*(1-0.40)-N853</x:f>
        <x:v>1.844444444444444</x:v>
      </x:c>
      <x:c r="Q853" s="9" t="n">
        <x:f>'Physical_Arcs'!T13</x:f>
        <x:v>2.3055555555555554</x:v>
      </x:c>
      <x:c r="R853" s="9" t="n">
        <x:f>Q853*'Parameters'!$C$18</x:f>
        <x:v>0.4611111111111111</x:v>
      </x:c>
      <x:c r="S853" s="9" t="n">
        <x:f>R853*'Parameters'!$C$19</x:f>
        <x:v>0.5763888888888888</x:v>
      </x:c>
      <x:c r="T853" s="9" t="n">
        <x:f>Q853*(1-0.40)-R853</x:f>
        <x:v>0.922222222222222</x:v>
      </x:c>
    </x:row>
    <x:row r="854" ht="21" customHeight="1">
      <x:c r="A854" s="3" t="n">
        <x:v>14</x:v>
      </x:c>
      <x:c r="B854" s="3" t="str">
        <x:v>02:20</x:v>
      </x:c>
      <x:c r="C854" s="3" t="n">
        <x:v>3</x:v>
      </x:c>
      <x:c r="D854" s="3" t="n">
        <x:v>13</x:v>
      </x:c>
      <x:c r="E854" s="3" t="n">
        <x:v>2</x:v>
      </x:c>
      <x:c r="F854" s="3" t="n">
        <x:v>9</x:v>
      </x:c>
      <x:c r="G854" s="9" t="n">
        <x:v>0.1</x:v>
      </x:c>
      <x:c r="H854" s="9" t="n">
        <x:v>1.117625</x:v>
      </x:c>
      <x:c r="I854" s="9" t="n">
        <x:f>'Physical_Arcs'!R14</x:f>
        <x:v>8.666666666666666</x:v>
      </x:c>
      <x:c r="J854" s="9" t="n">
        <x:f>I854*'Parameters'!$C$18</x:f>
        <x:v>1.7333333333333334</x:v>
      </x:c>
      <x:c r="K854" s="9" t="n">
        <x:f>J854*'Parameters'!$C$19</x:f>
        <x:v>2.166666666666667</x:v>
      </x:c>
      <x:c r="L854" s="9" t="n">
        <x:f>I854*(1-0.40)-J854</x:f>
        <x:v>3.466666666666666</x:v>
      </x:c>
      <x:c r="M854" s="9" t="n">
        <x:f>'Physical_Arcs'!S14</x:f>
        <x:v>8.666666666666666</x:v>
      </x:c>
      <x:c r="N854" s="9" t="n">
        <x:f>M854*'Parameters'!$C$18</x:f>
        <x:v>1.7333333333333334</x:v>
      </x:c>
      <x:c r="O854" s="9" t="n">
        <x:f>N854*'Parameters'!$C$19</x:f>
        <x:v>2.166666666666667</x:v>
      </x:c>
      <x:c r="P854" s="9" t="n">
        <x:f>M854*(1-0.40)-N854</x:f>
        <x:v>3.466666666666666</x:v>
      </x:c>
      <x:c r="Q854" s="9" t="n">
        <x:f>'Physical_Arcs'!T14</x:f>
        <x:v>4.333333333333333</x:v>
      </x:c>
      <x:c r="R854" s="9" t="n">
        <x:f>Q854*'Parameters'!$C$18</x:f>
        <x:v>0.8666666666666667</x:v>
      </x:c>
      <x:c r="S854" s="9" t="n">
        <x:f>R854*'Parameters'!$C$19</x:f>
        <x:v>1.0833333333333335</x:v>
      </x:c>
      <x:c r="T854" s="9" t="n">
        <x:f>Q854*(1-0.40)-R854</x:f>
        <x:v>1.733333333333333</x:v>
      </x:c>
    </x:row>
    <x:row r="855" ht="21" customHeight="1">
      <x:c r="A855" s="3" t="n">
        <x:v>14</x:v>
      </x:c>
      <x:c r="B855" s="3" t="str">
        <x:v>02:20</x:v>
      </x:c>
      <x:c r="C855" s="3" t="n">
        <x:v>3</x:v>
      </x:c>
      <x:c r="D855" s="3" t="n">
        <x:v>14</x:v>
      </x:c>
      <x:c r="E855" s="3" t="n">
        <x:v>2</x:v>
      </x:c>
      <x:c r="F855" s="3" t="n">
        <x:v>8</x:v>
      </x:c>
      <x:c r="G855" s="9" t="n">
        <x:v>0.1</x:v>
      </x:c>
      <x:c r="H855" s="9" t="n">
        <x:v>1.144902</x:v>
      </x:c>
      <x:c r="I855" s="9" t="n">
        <x:f>'Physical_Arcs'!R15</x:f>
        <x:v>7.75</x:v>
      </x:c>
      <x:c r="J855" s="9" t="n">
        <x:f>I855*'Parameters'!$C$18</x:f>
        <x:v>1.55</x:v>
      </x:c>
      <x:c r="K855" s="9" t="n">
        <x:f>J855*'Parameters'!$C$19</x:f>
        <x:v>1.9375</x:v>
      </x:c>
      <x:c r="L855" s="9" t="n">
        <x:f>I855*(1-0.40)-J855</x:f>
        <x:v>3.0999999999999996</x:v>
      </x:c>
      <x:c r="M855" s="9" t="n">
        <x:f>'Physical_Arcs'!S15</x:f>
        <x:v>7.75</x:v>
      </x:c>
      <x:c r="N855" s="9" t="n">
        <x:f>M855*'Parameters'!$C$18</x:f>
        <x:v>1.55</x:v>
      </x:c>
      <x:c r="O855" s="9" t="n">
        <x:f>N855*'Parameters'!$C$19</x:f>
        <x:v>1.9375</x:v>
      </x:c>
      <x:c r="P855" s="9" t="n">
        <x:f>M855*(1-0.40)-N855</x:f>
        <x:v>3.0999999999999996</x:v>
      </x:c>
      <x:c r="Q855" s="9" t="n">
        <x:f>'Physical_Arcs'!T15</x:f>
        <x:v>3.888888888888889</x:v>
      </x:c>
      <x:c r="R855" s="9" t="n">
        <x:f>Q855*'Parameters'!$C$18</x:f>
        <x:v>0.7777777777777778</x:v>
      </x:c>
      <x:c r="S855" s="9" t="n">
        <x:f>R855*'Parameters'!$C$19</x:f>
        <x:v>0.9722222222222222</x:v>
      </x:c>
      <x:c r="T855" s="9" t="n">
        <x:f>Q855*(1-0.40)-R855</x:f>
        <x:v>1.5555555555555554</x:v>
      </x:c>
    </x:row>
    <x:row r="856" ht="21" customHeight="1">
      <x:c r="A856" s="3" t="n">
        <x:v>14</x:v>
      </x:c>
      <x:c r="B856" s="3" t="str">
        <x:v>02:20</x:v>
      </x:c>
      <x:c r="C856" s="3" t="n">
        <x:v>3</x:v>
      </x:c>
      <x:c r="D856" s="3" t="n">
        <x:v>15</x:v>
      </x:c>
      <x:c r="E856" s="3" t="n">
        <x:v>2</x:v>
      </x:c>
      <x:c r="F856" s="3" t="n">
        <x:v>10</x:v>
      </x:c>
      <x:c r="G856" s="9" t="n">
        <x:v>0.1</x:v>
      </x:c>
      <x:c r="H856" s="9" t="n">
        <x:v>1.146684</x:v>
      </x:c>
      <x:c r="I856" s="9" t="n">
        <x:f>'Physical_Arcs'!R16</x:f>
        <x:v>7.416666666666667</x:v>
      </x:c>
      <x:c r="J856" s="9" t="n">
        <x:f>I856*'Parameters'!$C$18</x:f>
        <x:v>1.4833333333333334</x:v>
      </x:c>
      <x:c r="K856" s="9" t="n">
        <x:f>J856*'Parameters'!$C$19</x:f>
        <x:v>1.8541666666666667</x:v>
      </x:c>
      <x:c r="L856" s="9" t="n">
        <x:f>I856*(1-0.40)-J856</x:f>
        <x:v>2.966666666666667</x:v>
      </x:c>
      <x:c r="M856" s="9" t="n">
        <x:f>'Physical_Arcs'!S16</x:f>
        <x:v>7.416666666666667</x:v>
      </x:c>
      <x:c r="N856" s="9" t="n">
        <x:f>M856*'Parameters'!$C$18</x:f>
        <x:v>1.4833333333333334</x:v>
      </x:c>
      <x:c r="O856" s="9" t="n">
        <x:f>N856*'Parameters'!$C$19</x:f>
        <x:v>1.8541666666666667</x:v>
      </x:c>
      <x:c r="P856" s="9" t="n">
        <x:f>M856*(1-0.40)-N856</x:f>
        <x:v>2.966666666666667</x:v>
      </x:c>
      <x:c r="Q856" s="9" t="n">
        <x:f>'Physical_Arcs'!T16</x:f>
        <x:v>3.7222222222222223</x:v>
      </x:c>
      <x:c r="R856" s="9" t="n">
        <x:f>Q856*'Parameters'!$C$18</x:f>
        <x:v>0.7444444444444445</x:v>
      </x:c>
      <x:c r="S856" s="9" t="n">
        <x:f>R856*'Parameters'!$C$19</x:f>
        <x:v>0.9305555555555556</x:v>
      </x:c>
      <x:c r="T856" s="9" t="n">
        <x:f>Q856*(1-0.40)-R856</x:f>
        <x:v>1.488888888888889</x:v>
      </x:c>
    </x:row>
    <x:row r="857" ht="21" customHeight="1">
      <x:c r="A857" s="3" t="n">
        <x:v>14</x:v>
      </x:c>
      <x:c r="B857" s="3" t="str">
        <x:v>02:20</x:v>
      </x:c>
      <x:c r="C857" s="3" t="n">
        <x:v>3</x:v>
      </x:c>
      <x:c r="D857" s="3" t="n">
        <x:v>16</x:v>
      </x:c>
      <x:c r="E857" s="3" t="n">
        <x:v>3</x:v>
      </x:c>
      <x:c r="F857" s="3" t="n">
        <x:v>4</x:v>
      </x:c>
      <x:c r="G857" s="9" t="n">
        <x:v>0.1</x:v>
      </x:c>
      <x:c r="H857" s="9" t="n">
        <x:v>1.017658</x:v>
      </x:c>
      <x:c r="I857" s="9" t="n">
        <x:f>'Physical_Arcs'!R17</x:f>
        <x:v>17.02777777777778</x:v>
      </x:c>
      <x:c r="J857" s="9" t="n">
        <x:f>I857*'Parameters'!$C$18</x:f>
        <x:v>3.405555555555556</x:v>
      </x:c>
      <x:c r="K857" s="9" t="n">
        <x:f>J857*'Parameters'!$C$19</x:f>
        <x:v>4.256944444444445</x:v>
      </x:c>
      <x:c r="L857" s="9" t="n">
        <x:f>I857*(1-0.40)-J857</x:f>
        <x:v>6.811111111111111</x:v>
      </x:c>
      <x:c r="M857" s="9" t="n">
        <x:f>'Physical_Arcs'!S17</x:f>
        <x:v>17.02777777777778</x:v>
      </x:c>
      <x:c r="N857" s="9" t="n">
        <x:f>M857*'Parameters'!$C$18</x:f>
        <x:v>3.405555555555556</x:v>
      </x:c>
      <x:c r="O857" s="9" t="n">
        <x:f>N857*'Parameters'!$C$19</x:f>
        <x:v>4.256944444444445</x:v>
      </x:c>
      <x:c r="P857" s="9" t="n">
        <x:f>M857*(1-0.40)-N857</x:f>
        <x:v>6.811111111111111</x:v>
      </x:c>
      <x:c r="Q857" s="9" t="n">
        <x:f>'Physical_Arcs'!T17</x:f>
        <x:v>17.02777777777778</x:v>
      </x:c>
      <x:c r="R857" s="9" t="n">
        <x:f>Q857*'Parameters'!$C$18</x:f>
        <x:v>3.405555555555556</x:v>
      </x:c>
      <x:c r="S857" s="9" t="n">
        <x:f>R857*'Parameters'!$C$19</x:f>
        <x:v>4.256944444444445</x:v>
      </x:c>
      <x:c r="T857" s="9" t="n">
        <x:f>Q857*(1-0.40)-R857</x:f>
        <x:v>6.811111111111111</x:v>
      </x:c>
    </x:row>
    <x:row r="858" ht="21" customHeight="1">
      <x:c r="A858" s="3" t="n">
        <x:v>14</x:v>
      </x:c>
      <x:c r="B858" s="3" t="str">
        <x:v>02:20</x:v>
      </x:c>
      <x:c r="C858" s="3" t="n">
        <x:v>3</x:v>
      </x:c>
      <x:c r="D858" s="3" t="n">
        <x:v>17</x:v>
      </x:c>
      <x:c r="E858" s="3" t="n">
        <x:v>3</x:v>
      </x:c>
      <x:c r="F858" s="3" t="n">
        <x:v>2</x:v>
      </x:c>
      <x:c r="G858" s="9" t="n">
        <x:v>0.1</x:v>
      </x:c>
      <x:c r="H858" s="9" t="n">
        <x:v>0.875995</x:v>
      </x:c>
      <x:c r="I858" s="9" t="n">
        <x:f>'Physical_Arcs'!R18</x:f>
        <x:v>10.666666666666666</x:v>
      </x:c>
      <x:c r="J858" s="9" t="n">
        <x:f>I858*'Parameters'!$C$18</x:f>
        <x:v>2.1333333333333333</x:v>
      </x:c>
      <x:c r="K858" s="9" t="n">
        <x:f>J858*'Parameters'!$C$19</x:f>
        <x:v>2.6666666666666665</x:v>
      </x:c>
      <x:c r="L858" s="9" t="n">
        <x:f>I858*(1-0.40)-J858</x:f>
        <x:v>4.266666666666666</x:v>
      </x:c>
      <x:c r="M858" s="9" t="n">
        <x:f>'Physical_Arcs'!S18</x:f>
        <x:v>10.666666666666666</x:v>
      </x:c>
      <x:c r="N858" s="9" t="n">
        <x:f>M858*'Parameters'!$C$18</x:f>
        <x:v>2.1333333333333333</x:v>
      </x:c>
      <x:c r="O858" s="9" t="n">
        <x:f>N858*'Parameters'!$C$19</x:f>
        <x:v>2.6666666666666665</x:v>
      </x:c>
      <x:c r="P858" s="9" t="n">
        <x:f>M858*(1-0.40)-N858</x:f>
        <x:v>4.266666666666666</x:v>
      </x:c>
      <x:c r="Q858" s="9" t="n">
        <x:f>'Physical_Arcs'!T18</x:f>
        <x:v>5.333333333333333</x:v>
      </x:c>
      <x:c r="R858" s="9" t="n">
        <x:f>Q858*'Parameters'!$C$18</x:f>
        <x:v>1.0666666666666667</x:v>
      </x:c>
      <x:c r="S858" s="9" t="n">
        <x:f>R858*'Parameters'!$C$19</x:f>
        <x:v>1.3333333333333333</x:v>
      </x:c>
      <x:c r="T858" s="9" t="n">
        <x:f>Q858*(1-0.40)-R858</x:f>
        <x:v>2.133333333333333</x:v>
      </x:c>
    </x:row>
    <x:row r="859" ht="21" customHeight="1">
      <x:c r="A859" s="3" t="n">
        <x:v>14</x:v>
      </x:c>
      <x:c r="B859" s="3" t="str">
        <x:v>02:20</x:v>
      </x:c>
      <x:c r="C859" s="3" t="n">
        <x:v>3</x:v>
      </x:c>
      <x:c r="D859" s="3" t="n">
        <x:v>18</x:v>
      </x:c>
      <x:c r="E859" s="3" t="n">
        <x:v>3</x:v>
      </x:c>
      <x:c r="F859" s="3" t="n">
        <x:v>1</x:v>
      </x:c>
      <x:c r="G859" s="9" t="n">
        <x:v>0.1</x:v>
      </x:c>
      <x:c r="H859" s="9" t="n">
        <x:v>1.015397</x:v>
      </x:c>
      <x:c r="I859" s="9" t="n">
        <x:f>'Physical_Arcs'!R19</x:f>
        <x:v>5.166666666666667</x:v>
      </x:c>
      <x:c r="J859" s="9" t="n">
        <x:f>I859*'Parameters'!$C$18</x:f>
        <x:v>1.0333333333333334</x:v>
      </x:c>
      <x:c r="K859" s="9" t="n">
        <x:f>J859*'Parameters'!$C$19</x:f>
        <x:v>1.2916666666666667</x:v>
      </x:c>
      <x:c r="L859" s="9" t="n">
        <x:f>I859*(1-0.40)-J859</x:f>
        <x:v>2.0666666666666664</x:v>
      </x:c>
      <x:c r="M859" s="9" t="n">
        <x:f>'Physical_Arcs'!S19</x:f>
        <x:v>5.166666666666667</x:v>
      </x:c>
      <x:c r="N859" s="9" t="n">
        <x:f>M859*'Parameters'!$C$18</x:f>
        <x:v>1.0333333333333334</x:v>
      </x:c>
      <x:c r="O859" s="9" t="n">
        <x:f>N859*'Parameters'!$C$19</x:f>
        <x:v>1.2916666666666667</x:v>
      </x:c>
      <x:c r="P859" s="9" t="n">
        <x:f>M859*(1-0.40)-N859</x:f>
        <x:v>2.0666666666666664</x:v>
      </x:c>
      <x:c r="Q859" s="9" t="n">
        <x:f>'Physical_Arcs'!T19</x:f>
        <x:v>2.5833333333333335</x:v>
      </x:c>
      <x:c r="R859" s="9" t="n">
        <x:f>Q859*'Parameters'!$C$18</x:f>
        <x:v>0.5166666666666667</x:v>
      </x:c>
      <x:c r="S859" s="9" t="n">
        <x:f>R859*'Parameters'!$C$19</x:f>
        <x:v>0.6458333333333334</x:v>
      </x:c>
      <x:c r="T859" s="9" t="n">
        <x:f>Q859*(1-0.40)-R859</x:f>
        <x:v>1.0333333333333332</x:v>
      </x:c>
    </x:row>
    <x:row r="860" ht="21" customHeight="1">
      <x:c r="A860" s="3" t="n">
        <x:v>14</x:v>
      </x:c>
      <x:c r="B860" s="3" t="str">
        <x:v>02:20</x:v>
      </x:c>
      <x:c r="C860" s="3" t="n">
        <x:v>3</x:v>
      </x:c>
      <x:c r="D860" s="3" t="n">
        <x:v>19</x:v>
      </x:c>
      <x:c r="E860" s="3" t="n">
        <x:v>3</x:v>
      </x:c>
      <x:c r="F860" s="3" t="n">
        <x:v>7</x:v>
      </x:c>
      <x:c r="G860" s="9" t="n">
        <x:v>0.1</x:v>
      </x:c>
      <x:c r="H860" s="9" t="n">
        <x:v>0.996008</x:v>
      </x:c>
      <x:c r="I860" s="9" t="n">
        <x:f>'Physical_Arcs'!R20</x:f>
        <x:v>5.75</x:v>
      </x:c>
      <x:c r="J860" s="9" t="n">
        <x:f>I860*'Parameters'!$C$18</x:f>
        <x:v>1.1500000000000001</x:v>
      </x:c>
      <x:c r="K860" s="9" t="n">
        <x:f>J860*'Parameters'!$C$19</x:f>
        <x:v>1.4375000000000002</x:v>
      </x:c>
      <x:c r="L860" s="9" t="n">
        <x:f>I860*(1-0.40)-J860</x:f>
        <x:v>2.3</x:v>
      </x:c>
      <x:c r="M860" s="9" t="n">
        <x:f>'Physical_Arcs'!S20</x:f>
        <x:v>5.75</x:v>
      </x:c>
      <x:c r="N860" s="9" t="n">
        <x:f>M860*'Parameters'!$C$18</x:f>
        <x:v>1.1500000000000001</x:v>
      </x:c>
      <x:c r="O860" s="9" t="n">
        <x:f>N860*'Parameters'!$C$19</x:f>
        <x:v>1.4375000000000002</x:v>
      </x:c>
      <x:c r="P860" s="9" t="n">
        <x:f>M860*(1-0.40)-N860</x:f>
        <x:v>2.3</x:v>
      </x:c>
      <x:c r="Q860" s="9" t="n">
        <x:f>'Physical_Arcs'!T20</x:f>
        <x:v>2.888888888888889</x:v>
      </x:c>
      <x:c r="R860" s="9" t="n">
        <x:f>Q860*'Parameters'!$C$18</x:f>
        <x:v>0.5777777777777778</x:v>
      </x:c>
      <x:c r="S860" s="9" t="n">
        <x:f>R860*'Parameters'!$C$19</x:f>
        <x:v>0.7222222222222223</x:v>
      </x:c>
      <x:c r="T860" s="9" t="n">
        <x:f>Q860*(1-0.40)-R860</x:f>
        <x:v>1.1555555555555554</x:v>
      </x:c>
    </x:row>
    <x:row r="861" ht="21" customHeight="1">
      <x:c r="A861" s="3" t="n">
        <x:v>14</x:v>
      </x:c>
      <x:c r="B861" s="3" t="str">
        <x:v>02:20</x:v>
      </x:c>
      <x:c r="C861" s="3" t="n">
        <x:v>3</x:v>
      </x:c>
      <x:c r="D861" s="3" t="n">
        <x:v>20</x:v>
      </x:c>
      <x:c r="E861" s="3" t="n">
        <x:v>3</x:v>
      </x:c>
      <x:c r="F861" s="3" t="n">
        <x:v>10</x:v>
      </x:c>
      <x:c r="G861" s="9" t="n">
        <x:v>0.1</x:v>
      </x:c>
      <x:c r="H861" s="9" t="n">
        <x:v>1.118855</x:v>
      </x:c>
      <x:c r="I861" s="9" t="n">
        <x:f>'Physical_Arcs'!R21</x:f>
        <x:v>5.166666666666667</x:v>
      </x:c>
      <x:c r="J861" s="9" t="n">
        <x:f>I861*'Parameters'!$C$18</x:f>
        <x:v>1.0333333333333334</x:v>
      </x:c>
      <x:c r="K861" s="9" t="n">
        <x:f>J861*'Parameters'!$C$19</x:f>
        <x:v>1.2916666666666667</x:v>
      </x:c>
      <x:c r="L861" s="9" t="n">
        <x:f>I861*(1-0.40)-J861</x:f>
        <x:v>2.0666666666666664</x:v>
      </x:c>
      <x:c r="M861" s="9" t="n">
        <x:f>'Physical_Arcs'!S21</x:f>
        <x:v>5.166666666666667</x:v>
      </x:c>
      <x:c r="N861" s="9" t="n">
        <x:f>M861*'Parameters'!$C$18</x:f>
        <x:v>1.0333333333333334</x:v>
      </x:c>
      <x:c r="O861" s="9" t="n">
        <x:f>N861*'Parameters'!$C$19</x:f>
        <x:v>1.2916666666666667</x:v>
      </x:c>
      <x:c r="P861" s="9" t="n">
        <x:f>M861*(1-0.40)-N861</x:f>
        <x:v>2.0666666666666664</x:v>
      </x:c>
      <x:c r="Q861" s="9" t="n">
        <x:f>'Physical_Arcs'!T21</x:f>
        <x:v>2.5833333333333335</x:v>
      </x:c>
      <x:c r="R861" s="9" t="n">
        <x:f>Q861*'Parameters'!$C$18</x:f>
        <x:v>0.5166666666666667</x:v>
      </x:c>
      <x:c r="S861" s="9" t="n">
        <x:f>R861*'Parameters'!$C$19</x:f>
        <x:v>0.6458333333333334</x:v>
      </x:c>
      <x:c r="T861" s="9" t="n">
        <x:f>Q861*(1-0.40)-R861</x:f>
        <x:v>1.0333333333333332</x:v>
      </x:c>
    </x:row>
    <x:row r="862" ht="21" customHeight="1">
      <x:c r="A862" s="3" t="n">
        <x:v>14</x:v>
      </x:c>
      <x:c r="B862" s="3" t="str">
        <x:v>02:20</x:v>
      </x:c>
      <x:c r="C862" s="3" t="n">
        <x:v>3</x:v>
      </x:c>
      <x:c r="D862" s="3" t="n">
        <x:v>21</x:v>
      </x:c>
      <x:c r="E862" s="3" t="n">
        <x:v>3</x:v>
      </x:c>
      <x:c r="F862" s="3" t="n">
        <x:v>9</x:v>
      </x:c>
      <x:c r="G862" s="9" t="n">
        <x:v>0.1</x:v>
      </x:c>
      <x:c r="H862" s="9" t="n">
        <x:v>0.947299</x:v>
      </x:c>
      <x:c r="I862" s="9" t="n">
        <x:f>'Physical_Arcs'!R22</x:f>
        <x:v>9.333333333333334</x:v>
      </x:c>
      <x:c r="J862" s="9" t="n">
        <x:f>I862*'Parameters'!$C$18</x:f>
        <x:v>1.866666666666667</x:v>
      </x:c>
      <x:c r="K862" s="9" t="n">
        <x:f>J862*'Parameters'!$C$19</x:f>
        <x:v>2.3333333333333335</x:v>
      </x:c>
      <x:c r="L862" s="9" t="n">
        <x:f>I862*(1-0.40)-J862</x:f>
        <x:v>3.7333333333333334</x:v>
      </x:c>
      <x:c r="M862" s="9" t="n">
        <x:f>'Physical_Arcs'!S22</x:f>
        <x:v>9.333333333333334</x:v>
      </x:c>
      <x:c r="N862" s="9" t="n">
        <x:f>M862*'Parameters'!$C$18</x:f>
        <x:v>1.866666666666667</x:v>
      </x:c>
      <x:c r="O862" s="9" t="n">
        <x:f>N862*'Parameters'!$C$19</x:f>
        <x:v>2.3333333333333335</x:v>
      </x:c>
      <x:c r="P862" s="9" t="n">
        <x:f>M862*(1-0.40)-N862</x:f>
        <x:v>3.7333333333333334</x:v>
      </x:c>
      <x:c r="Q862" s="9" t="n">
        <x:f>'Physical_Arcs'!T22</x:f>
        <x:v>4.666666666666667</x:v>
      </x:c>
      <x:c r="R862" s="9" t="n">
        <x:f>Q862*'Parameters'!$C$18</x:f>
        <x:v>0.9333333333333335</x:v>
      </x:c>
      <x:c r="S862" s="9" t="n">
        <x:f>R862*'Parameters'!$C$19</x:f>
        <x:v>1.1666666666666667</x:v>
      </x:c>
      <x:c r="T862" s="9" t="n">
        <x:f>Q862*(1-0.40)-R862</x:f>
        <x:v>1.8666666666666667</x:v>
      </x:c>
    </x:row>
    <x:row r="863" ht="21" customHeight="1">
      <x:c r="A863" s="3" t="n">
        <x:v>14</x:v>
      </x:c>
      <x:c r="B863" s="3" t="str">
        <x:v>02:20</x:v>
      </x:c>
      <x:c r="C863" s="3" t="n">
        <x:v>3</x:v>
      </x:c>
      <x:c r="D863" s="3" t="n">
        <x:v>22</x:v>
      </x:c>
      <x:c r="E863" s="3" t="n">
        <x:v>4</x:v>
      </x:c>
      <x:c r="F863" s="3" t="n">
        <x:v>5</x:v>
      </x:c>
      <x:c r="G863" s="9" t="n">
        <x:v>0.1</x:v>
      </x:c>
      <x:c r="H863" s="9" t="n">
        <x:v>0.958485</x:v>
      </x:c>
      <x:c r="I863" s="9" t="n">
        <x:f>'Physical_Arcs'!R23</x:f>
        <x:v>17.02777777777778</x:v>
      </x:c>
      <x:c r="J863" s="9" t="n">
        <x:f>I863*'Parameters'!$C$18</x:f>
        <x:v>3.405555555555556</x:v>
      </x:c>
      <x:c r="K863" s="9" t="n">
        <x:f>J863*'Parameters'!$C$19</x:f>
        <x:v>4.256944444444445</x:v>
      </x:c>
      <x:c r="L863" s="9" t="n">
        <x:f>I863*(1-0.40)-J863</x:f>
        <x:v>6.811111111111111</x:v>
      </x:c>
      <x:c r="M863" s="9" t="n">
        <x:f>'Physical_Arcs'!S23</x:f>
        <x:v>17.02777777777778</x:v>
      </x:c>
      <x:c r="N863" s="9" t="n">
        <x:f>M863*'Parameters'!$C$18</x:f>
        <x:v>3.405555555555556</x:v>
      </x:c>
      <x:c r="O863" s="9" t="n">
        <x:f>N863*'Parameters'!$C$19</x:f>
        <x:v>4.256944444444445</x:v>
      </x:c>
      <x:c r="P863" s="9" t="n">
        <x:f>M863*(1-0.40)-N863</x:f>
        <x:v>6.811111111111111</x:v>
      </x:c>
      <x:c r="Q863" s="9" t="n">
        <x:f>'Physical_Arcs'!T23</x:f>
        <x:v>17.02777777777778</x:v>
      </x:c>
      <x:c r="R863" s="9" t="n">
        <x:f>Q863*'Parameters'!$C$18</x:f>
        <x:v>3.405555555555556</x:v>
      </x:c>
      <x:c r="S863" s="9" t="n">
        <x:f>R863*'Parameters'!$C$19</x:f>
        <x:v>4.256944444444445</x:v>
      </x:c>
      <x:c r="T863" s="9" t="n">
        <x:f>Q863*(1-0.40)-R863</x:f>
        <x:v>6.811111111111111</x:v>
      </x:c>
    </x:row>
    <x:row r="864" ht="21" customHeight="1">
      <x:c r="A864" s="3" t="n">
        <x:v>14</x:v>
      </x:c>
      <x:c r="B864" s="3" t="str">
        <x:v>02:20</x:v>
      </x:c>
      <x:c r="C864" s="3" t="n">
        <x:v>3</x:v>
      </x:c>
      <x:c r="D864" s="3" t="n">
        <x:v>23</x:v>
      </x:c>
      <x:c r="E864" s="3" t="n">
        <x:v>4</x:v>
      </x:c>
      <x:c r="F864" s="3" t="n">
        <x:v>3</x:v>
      </x:c>
      <x:c r="G864" s="9" t="n">
        <x:v>0.1</x:v>
      </x:c>
      <x:c r="H864" s="9" t="n">
        <x:v>0.944916</x:v>
      </x:c>
      <x:c r="I864" s="9" t="n">
        <x:f>'Physical_Arcs'!R24</x:f>
        <x:v>9.333333333333334</x:v>
      </x:c>
      <x:c r="J864" s="9" t="n">
        <x:f>I864*'Parameters'!$C$18</x:f>
        <x:v>1.866666666666667</x:v>
      </x:c>
      <x:c r="K864" s="9" t="n">
        <x:f>J864*'Parameters'!$C$19</x:f>
        <x:v>2.3333333333333335</x:v>
      </x:c>
      <x:c r="L864" s="9" t="n">
        <x:f>I864*(1-0.40)-J864</x:f>
        <x:v>3.7333333333333334</x:v>
      </x:c>
      <x:c r="M864" s="9" t="n">
        <x:f>'Physical_Arcs'!S24</x:f>
        <x:v>9.333333333333334</x:v>
      </x:c>
      <x:c r="N864" s="9" t="n">
        <x:f>M864*'Parameters'!$C$18</x:f>
        <x:v>1.866666666666667</x:v>
      </x:c>
      <x:c r="O864" s="9" t="n">
        <x:f>N864*'Parameters'!$C$19</x:f>
        <x:v>2.3333333333333335</x:v>
      </x:c>
      <x:c r="P864" s="9" t="n">
        <x:f>M864*(1-0.40)-N864</x:f>
        <x:v>3.7333333333333334</x:v>
      </x:c>
      <x:c r="Q864" s="9" t="n">
        <x:f>'Physical_Arcs'!T24</x:f>
        <x:v>4.666666666666667</x:v>
      </x:c>
      <x:c r="R864" s="9" t="n">
        <x:f>Q864*'Parameters'!$C$18</x:f>
        <x:v>0.9333333333333335</x:v>
      </x:c>
      <x:c r="S864" s="9" t="n">
        <x:f>R864*'Parameters'!$C$19</x:f>
        <x:v>1.1666666666666667</x:v>
      </x:c>
      <x:c r="T864" s="9" t="n">
        <x:f>Q864*(1-0.40)-R864</x:f>
        <x:v>1.8666666666666667</x:v>
      </x:c>
    </x:row>
    <x:row r="865" ht="21" customHeight="1">
      <x:c r="A865" s="3" t="n">
        <x:v>14</x:v>
      </x:c>
      <x:c r="B865" s="3" t="str">
        <x:v>02:20</x:v>
      </x:c>
      <x:c r="C865" s="3" t="n">
        <x:v>3</x:v>
      </x:c>
      <x:c r="D865" s="3" t="n">
        <x:v>24</x:v>
      </x:c>
      <x:c r="E865" s="3" t="n">
        <x:v>4</x:v>
      </x:c>
      <x:c r="F865" s="3" t="n">
        <x:v>10</x:v>
      </x:c>
      <x:c r="G865" s="9" t="n">
        <x:v>0.1</x:v>
      </x:c>
      <x:c r="H865" s="9" t="n">
        <x:v>0.875461</x:v>
      </x:c>
      <x:c r="I865" s="9" t="n">
        <x:f>'Physical_Arcs'!R25</x:f>
        <x:v>7.194444444444445</x:v>
      </x:c>
      <x:c r="J865" s="9" t="n">
        <x:f>I865*'Parameters'!$C$18</x:f>
        <x:v>1.438888888888889</x:v>
      </x:c>
      <x:c r="K865" s="9" t="n">
        <x:f>J865*'Parameters'!$C$19</x:f>
        <x:v>1.7986111111111114</x:v>
      </x:c>
      <x:c r="L865" s="9" t="n">
        <x:f>I865*(1-0.40)-J865</x:f>
        <x:v>2.8777777777777773</x:v>
      </x:c>
      <x:c r="M865" s="9" t="n">
        <x:f>'Physical_Arcs'!S25</x:f>
        <x:v>7.194444444444445</x:v>
      </x:c>
      <x:c r="N865" s="9" t="n">
        <x:f>M865*'Parameters'!$C$18</x:f>
        <x:v>1.438888888888889</x:v>
      </x:c>
      <x:c r="O865" s="9" t="n">
        <x:f>N865*'Parameters'!$C$19</x:f>
        <x:v>1.7986111111111114</x:v>
      </x:c>
      <x:c r="P865" s="9" t="n">
        <x:f>M865*(1-0.40)-N865</x:f>
        <x:v>2.8777777777777773</x:v>
      </x:c>
      <x:c r="Q865" s="9" t="n">
        <x:f>'Physical_Arcs'!T25</x:f>
        <x:v>3.611111111111111</x:v>
      </x:c>
      <x:c r="R865" s="9" t="n">
        <x:f>Q865*'Parameters'!$C$18</x:f>
        <x:v>0.7222222222222223</x:v>
      </x:c>
      <x:c r="S865" s="9" t="n">
        <x:f>R865*'Parameters'!$C$19</x:f>
        <x:v>0.9027777777777779</x:v>
      </x:c>
      <x:c r="T865" s="9" t="n">
        <x:f>Q865*(1-0.40)-R865</x:f>
        <x:v>1.4444444444444442</x:v>
      </x:c>
    </x:row>
    <x:row r="866" ht="21" customHeight="1">
      <x:c r="A866" s="3" t="n">
        <x:v>14</x:v>
      </x:c>
      <x:c r="B866" s="3" t="str">
        <x:v>02:20</x:v>
      </x:c>
      <x:c r="C866" s="3" t="n">
        <x:v>3</x:v>
      </x:c>
      <x:c r="D866" s="3" t="n">
        <x:v>25</x:v>
      </x:c>
      <x:c r="E866" s="3" t="n">
        <x:v>4</x:v>
      </x:c>
      <x:c r="F866" s="3" t="n">
        <x:v>8</x:v>
      </x:c>
      <x:c r="G866" s="9" t="n">
        <x:v>0.1</x:v>
      </x:c>
      <x:c r="H866" s="9" t="n">
        <x:v>0.993326</x:v>
      </x:c>
      <x:c r="I866" s="9" t="n">
        <x:f>'Physical_Arcs'!R26</x:f>
        <x:v>5.277777777777778</x:v>
      </x:c>
      <x:c r="J866" s="9" t="n">
        <x:f>I866*'Parameters'!$C$18</x:f>
        <x:v>1.0555555555555556</x:v>
      </x:c>
      <x:c r="K866" s="9" t="n">
        <x:f>J866*'Parameters'!$C$19</x:f>
        <x:v>1.3194444444444444</x:v>
      </x:c>
      <x:c r="L866" s="9" t="n">
        <x:f>I866*(1-0.40)-J866</x:f>
        <x:v>2.1111111111111107</x:v>
      </x:c>
      <x:c r="M866" s="9" t="n">
        <x:f>'Physical_Arcs'!S26</x:f>
        <x:v>5.277777777777778</x:v>
      </x:c>
      <x:c r="N866" s="9" t="n">
        <x:f>M866*'Parameters'!$C$18</x:f>
        <x:v>1.0555555555555556</x:v>
      </x:c>
      <x:c r="O866" s="9" t="n">
        <x:f>N866*'Parameters'!$C$19</x:f>
        <x:v>1.3194444444444444</x:v>
      </x:c>
      <x:c r="P866" s="9" t="n">
        <x:f>M866*(1-0.40)-N866</x:f>
        <x:v>2.1111111111111107</x:v>
      </x:c>
      <x:c r="Q866" s="9" t="n">
        <x:f>'Physical_Arcs'!T26</x:f>
        <x:v>2.638888888888889</x:v>
      </x:c>
      <x:c r="R866" s="9" t="n">
        <x:f>Q866*'Parameters'!$C$18</x:f>
        <x:v>0.5277777777777778</x:v>
      </x:c>
      <x:c r="S866" s="9" t="n">
        <x:f>R866*'Parameters'!$C$19</x:f>
        <x:v>0.6597222222222222</x:v>
      </x:c>
      <x:c r="T866" s="9" t="n">
        <x:f>Q866*(1-0.40)-R866</x:f>
        <x:v>1.0555555555555554</x:v>
      </x:c>
    </x:row>
    <x:row r="867" ht="21" customHeight="1">
      <x:c r="A867" s="3" t="n">
        <x:v>14</x:v>
      </x:c>
      <x:c r="B867" s="3" t="str">
        <x:v>02:20</x:v>
      </x:c>
      <x:c r="C867" s="3" t="n">
        <x:v>3</x:v>
      </x:c>
      <x:c r="D867" s="3" t="n">
        <x:v>26</x:v>
      </x:c>
      <x:c r="E867" s="3" t="n">
        <x:v>4</x:v>
      </x:c>
      <x:c r="F867" s="3" t="n">
        <x:v>7</x:v>
      </x:c>
      <x:c r="G867" s="9" t="n">
        <x:v>0.1</x:v>
      </x:c>
      <x:c r="H867" s="9" t="n">
        <x:v>1.099203</x:v>
      </x:c>
      <x:c r="I867" s="9" t="n">
        <x:f>'Physical_Arcs'!R27</x:f>
        <x:v>6.527777777777778</x:v>
      </x:c>
      <x:c r="J867" s="9" t="n">
        <x:f>I867*'Parameters'!$C$18</x:f>
        <x:v>1.3055555555555556</x:v>
      </x:c>
      <x:c r="K867" s="9" t="n">
        <x:f>J867*'Parameters'!$C$19</x:f>
        <x:v>1.6319444444444444</x:v>
      </x:c>
      <x:c r="L867" s="9" t="n">
        <x:f>I867*(1-0.40)-J867</x:f>
        <x:v>2.6111111111111107</x:v>
      </x:c>
      <x:c r="M867" s="9" t="n">
        <x:f>'Physical_Arcs'!S27</x:f>
        <x:v>6.527777777777778</x:v>
      </x:c>
      <x:c r="N867" s="9" t="n">
        <x:f>M867*'Parameters'!$C$18</x:f>
        <x:v>1.3055555555555556</x:v>
      </x:c>
      <x:c r="O867" s="9" t="n">
        <x:f>N867*'Parameters'!$C$19</x:f>
        <x:v>1.6319444444444444</x:v>
      </x:c>
      <x:c r="P867" s="9" t="n">
        <x:f>M867*(1-0.40)-N867</x:f>
        <x:v>2.6111111111111107</x:v>
      </x:c>
      <x:c r="Q867" s="9" t="n">
        <x:f>'Physical_Arcs'!T27</x:f>
        <x:v>3.2777777777777777</x:v>
      </x:c>
      <x:c r="R867" s="9" t="n">
        <x:f>Q867*'Parameters'!$C$18</x:f>
        <x:v>0.6555555555555556</x:v>
      </x:c>
      <x:c r="S867" s="9" t="n">
        <x:f>R867*'Parameters'!$C$19</x:f>
        <x:v>0.8194444444444444</x:v>
      </x:c>
      <x:c r="T867" s="9" t="n">
        <x:f>Q867*(1-0.40)-R867</x:f>
        <x:v>1.311111111111111</x:v>
      </x:c>
    </x:row>
    <x:row r="868" ht="21" customHeight="1">
      <x:c r="A868" s="3" t="n">
        <x:v>14</x:v>
      </x:c>
      <x:c r="B868" s="3" t="str">
        <x:v>02:20</x:v>
      </x:c>
      <x:c r="C868" s="3" t="n">
        <x:v>3</x:v>
      </x:c>
      <x:c r="D868" s="3" t="n">
        <x:v>27</x:v>
      </x:c>
      <x:c r="E868" s="3" t="n">
        <x:v>4</x:v>
      </x:c>
      <x:c r="F868" s="3" t="n">
        <x:v>2</x:v>
      </x:c>
      <x:c r="G868" s="9" t="n">
        <x:v>0.1</x:v>
      </x:c>
      <x:c r="H868" s="9" t="n">
        <x:v>0.861111</x:v>
      </x:c>
      <x:c r="I868" s="9" t="n">
        <x:f>'Physical_Arcs'!R28</x:f>
        <x:v>4.944444444444445</x:v>
      </x:c>
      <x:c r="J868" s="9" t="n">
        <x:f>I868*'Parameters'!$C$18</x:f>
        <x:v>0.9888888888888889</x:v>
      </x:c>
      <x:c r="K868" s="9" t="n">
        <x:f>J868*'Parameters'!$C$19</x:f>
        <x:v>1.2361111111111112</x:v>
      </x:c>
      <x:c r="L868" s="9" t="n">
        <x:f>I868*(1-0.40)-J868</x:f>
        <x:v>1.9777777777777779</x:v>
      </x:c>
      <x:c r="M868" s="9" t="n">
        <x:f>'Physical_Arcs'!S28</x:f>
        <x:v>4.944444444444445</x:v>
      </x:c>
      <x:c r="N868" s="9" t="n">
        <x:f>M868*'Parameters'!$C$18</x:f>
        <x:v>0.9888888888888889</x:v>
      </x:c>
      <x:c r="O868" s="9" t="n">
        <x:f>N868*'Parameters'!$C$19</x:f>
        <x:v>1.2361111111111112</x:v>
      </x:c>
      <x:c r="P868" s="9" t="n">
        <x:f>M868*(1-0.40)-N868</x:f>
        <x:v>1.9777777777777779</x:v>
      </x:c>
      <x:c r="Q868" s="9" t="n">
        <x:f>'Physical_Arcs'!T28</x:f>
        <x:v>2.4722222222222223</x:v>
      </x:c>
      <x:c r="R868" s="9" t="n">
        <x:f>Q868*'Parameters'!$C$18</x:f>
        <x:v>0.49444444444444446</x:v>
      </x:c>
      <x:c r="S868" s="9" t="n">
        <x:f>R868*'Parameters'!$C$19</x:f>
        <x:v>0.6180555555555556</x:v>
      </x:c>
      <x:c r="T868" s="9" t="n">
        <x:f>Q868*(1-0.40)-R868</x:f>
        <x:v>0.9888888888888889</x:v>
      </x:c>
    </x:row>
    <x:row r="869" ht="21" customHeight="1">
      <x:c r="A869" s="3" t="n">
        <x:v>14</x:v>
      </x:c>
      <x:c r="B869" s="3" t="str">
        <x:v>02:20</x:v>
      </x:c>
      <x:c r="C869" s="3" t="n">
        <x:v>3</x:v>
      </x:c>
      <x:c r="D869" s="3" t="n">
        <x:v>28</x:v>
      </x:c>
      <x:c r="E869" s="3" t="n">
        <x:v>4</x:v>
      </x:c>
      <x:c r="F869" s="3" t="n">
        <x:v>6</x:v>
      </x:c>
      <x:c r="G869" s="9" t="n">
        <x:v>0.1</x:v>
      </x:c>
      <x:c r="H869" s="9" t="n">
        <x:v>1.137214</x:v>
      </x:c>
      <x:c r="I869" s="9" t="n">
        <x:f>'Physical_Arcs'!R29</x:f>
        <x:v>3.388888888888889</x:v>
      </x:c>
      <x:c r="J869" s="9" t="n">
        <x:f>I869*'Parameters'!$C$18</x:f>
        <x:v>0.6777777777777778</x:v>
      </x:c>
      <x:c r="K869" s="9" t="n">
        <x:f>J869*'Parameters'!$C$19</x:f>
        <x:v>0.8472222222222223</x:v>
      </x:c>
      <x:c r="L869" s="9" t="n">
        <x:f>I869*(1-0.40)-J869</x:f>
        <x:v>1.3555555555555554</x:v>
      </x:c>
      <x:c r="M869" s="9" t="n">
        <x:f>'Physical_Arcs'!S29</x:f>
        <x:v>3.388888888888889</x:v>
      </x:c>
      <x:c r="N869" s="9" t="n">
        <x:f>M869*'Parameters'!$C$18</x:f>
        <x:v>0.6777777777777778</x:v>
      </x:c>
      <x:c r="O869" s="9" t="n">
        <x:f>N869*'Parameters'!$C$19</x:f>
        <x:v>0.8472222222222223</x:v>
      </x:c>
      <x:c r="P869" s="9" t="n">
        <x:f>M869*(1-0.40)-N869</x:f>
        <x:v>1.3555555555555554</x:v>
      </x:c>
      <x:c r="Q869" s="9" t="n">
        <x:f>'Physical_Arcs'!T29</x:f>
        <x:v>1.6944444444444444</x:v>
      </x:c>
      <x:c r="R869" s="9" t="n">
        <x:f>Q869*'Parameters'!$C$18</x:f>
        <x:v>0.3388888888888889</x:v>
      </x:c>
      <x:c r="S869" s="9" t="n">
        <x:f>R869*'Parameters'!$C$19</x:f>
        <x:v>0.42361111111111116</x:v>
      </x:c>
      <x:c r="T869" s="9" t="n">
        <x:f>Q869*(1-0.40)-R869</x:f>
        <x:v>0.6777777777777777</x:v>
      </x:c>
    </x:row>
    <x:row r="870" ht="21" customHeight="1">
      <x:c r="A870" s="3" t="n">
        <x:v>14</x:v>
      </x:c>
      <x:c r="B870" s="3" t="str">
        <x:v>02:20</x:v>
      </x:c>
      <x:c r="C870" s="3" t="n">
        <x:v>3</x:v>
      </x:c>
      <x:c r="D870" s="3" t="n">
        <x:v>29</x:v>
      </x:c>
      <x:c r="E870" s="3" t="n">
        <x:v>5</x:v>
      </x:c>
      <x:c r="F870" s="3" t="n">
        <x:v>6</x:v>
      </x:c>
      <x:c r="G870" s="9" t="n">
        <x:v>0.1</x:v>
      </x:c>
      <x:c r="H870" s="9" t="n">
        <x:v>0.949994</x:v>
      </x:c>
      <x:c r="I870" s="9" t="n">
        <x:f>'Physical_Arcs'!R30</x:f>
        <x:v>17.02777777777778</x:v>
      </x:c>
      <x:c r="J870" s="9" t="n">
        <x:f>I870*'Parameters'!$C$18</x:f>
        <x:v>3.405555555555556</x:v>
      </x:c>
      <x:c r="K870" s="9" t="n">
        <x:f>J870*'Parameters'!$C$19</x:f>
        <x:v>4.256944444444445</x:v>
      </x:c>
      <x:c r="L870" s="9" t="n">
        <x:f>I870*(1-0.40)-J870</x:f>
        <x:v>6.811111111111111</x:v>
      </x:c>
      <x:c r="M870" s="9" t="n">
        <x:f>'Physical_Arcs'!S30</x:f>
        <x:v>17.02777777777778</x:v>
      </x:c>
      <x:c r="N870" s="9" t="n">
        <x:f>M870*'Parameters'!$C$18</x:f>
        <x:v>3.405555555555556</x:v>
      </x:c>
      <x:c r="O870" s="9" t="n">
        <x:f>N870*'Parameters'!$C$19</x:f>
        <x:v>4.256944444444445</x:v>
      </x:c>
      <x:c r="P870" s="9" t="n">
        <x:f>M870*(1-0.40)-N870</x:f>
        <x:v>6.811111111111111</x:v>
      </x:c>
      <x:c r="Q870" s="9" t="n">
        <x:f>'Physical_Arcs'!T30</x:f>
        <x:v>17.02777777777778</x:v>
      </x:c>
      <x:c r="R870" s="9" t="n">
        <x:f>Q870*'Parameters'!$C$18</x:f>
        <x:v>3.405555555555556</x:v>
      </x:c>
      <x:c r="S870" s="9" t="n">
        <x:f>R870*'Parameters'!$C$19</x:f>
        <x:v>4.256944444444445</x:v>
      </x:c>
      <x:c r="T870" s="9" t="n">
        <x:f>Q870*(1-0.40)-R870</x:f>
        <x:v>6.811111111111111</x:v>
      </x:c>
    </x:row>
    <x:row r="871" ht="21" customHeight="1">
      <x:c r="A871" s="3" t="n">
        <x:v>14</x:v>
      </x:c>
      <x:c r="B871" s="3" t="str">
        <x:v>02:20</x:v>
      </x:c>
      <x:c r="C871" s="3" t="n">
        <x:v>3</x:v>
      </x:c>
      <x:c r="D871" s="3" t="n">
        <x:v>30</x:v>
      </x:c>
      <x:c r="E871" s="3" t="n">
        <x:v>5</x:v>
      </x:c>
      <x:c r="F871" s="3" t="n">
        <x:v>2</x:v>
      </x:c>
      <x:c r="G871" s="9" t="n">
        <x:v>0.1</x:v>
      </x:c>
      <x:c r="H871" s="9" t="n">
        <x:v>0.882396</x:v>
      </x:c>
      <x:c r="I871" s="9" t="n">
        <x:f>'Physical_Arcs'!R31</x:f>
        <x:v>2.9444444444444446</x:v>
      </x:c>
      <x:c r="J871" s="9" t="n">
        <x:f>I871*'Parameters'!$C$18</x:f>
        <x:v>0.5888888888888889</x:v>
      </x:c>
      <x:c r="K871" s="9" t="n">
        <x:f>J871*'Parameters'!$C$19</x:f>
        <x:v>0.7361111111111112</x:v>
      </x:c>
      <x:c r="L871" s="9" t="n">
        <x:f>I871*(1-0.40)-J871</x:f>
        <x:v>1.177777777777778</x:v>
      </x:c>
      <x:c r="M871" s="9" t="n">
        <x:f>'Physical_Arcs'!S31</x:f>
        <x:v>2.9444444444444446</x:v>
      </x:c>
      <x:c r="N871" s="9" t="n">
        <x:f>M871*'Parameters'!$C$18</x:f>
        <x:v>0.5888888888888889</x:v>
      </x:c>
      <x:c r="O871" s="9" t="n">
        <x:f>N871*'Parameters'!$C$19</x:f>
        <x:v>0.7361111111111112</x:v>
      </x:c>
      <x:c r="P871" s="9" t="n">
        <x:f>M871*(1-0.40)-N871</x:f>
        <x:v>1.177777777777778</x:v>
      </x:c>
      <x:c r="Q871" s="9" t="n">
        <x:f>'Physical_Arcs'!T31</x:f>
        <x:v>1.4722222222222223</x:v>
      </x:c>
      <x:c r="R871" s="9" t="n">
        <x:f>Q871*'Parameters'!$C$18</x:f>
        <x:v>0.29444444444444445</x:v>
      </x:c>
      <x:c r="S871" s="9" t="n">
        <x:f>R871*'Parameters'!$C$19</x:f>
        <x:v>0.3680555555555556</x:v>
      </x:c>
      <x:c r="T871" s="9" t="n">
        <x:f>Q871*(1-0.40)-R871</x:f>
        <x:v>0.588888888888889</x:v>
      </x:c>
    </x:row>
    <x:row r="872" ht="21" customHeight="1">
      <x:c r="A872" s="3" t="n">
        <x:v>14</x:v>
      </x:c>
      <x:c r="B872" s="3" t="str">
        <x:v>02:20</x:v>
      </x:c>
      <x:c r="C872" s="3" t="n">
        <x:v>3</x:v>
      </x:c>
      <x:c r="D872" s="3" t="n">
        <x:v>31</x:v>
      </x:c>
      <x:c r="E872" s="3" t="n">
        <x:v>5</x:v>
      </x:c>
      <x:c r="F872" s="3" t="n">
        <x:v>8</x:v>
      </x:c>
      <x:c r="G872" s="9" t="n">
        <x:v>0.1</x:v>
      </x:c>
      <x:c r="H872" s="9" t="n">
        <x:v>0.986718</x:v>
      </x:c>
      <x:c r="I872" s="9" t="n">
        <x:f>'Physical_Arcs'!R32</x:f>
        <x:v>9.333333333333334</x:v>
      </x:c>
      <x:c r="J872" s="9" t="n">
        <x:f>I872*'Parameters'!$C$18</x:f>
        <x:v>1.866666666666667</x:v>
      </x:c>
      <x:c r="K872" s="9" t="n">
        <x:f>J872*'Parameters'!$C$19</x:f>
        <x:v>2.3333333333333335</x:v>
      </x:c>
      <x:c r="L872" s="9" t="n">
        <x:f>I872*(1-0.40)-J872</x:f>
        <x:v>3.7333333333333334</x:v>
      </x:c>
      <x:c r="M872" s="9" t="n">
        <x:f>'Physical_Arcs'!S32</x:f>
        <x:v>9.333333333333334</x:v>
      </x:c>
      <x:c r="N872" s="9" t="n">
        <x:f>M872*'Parameters'!$C$18</x:f>
        <x:v>1.866666666666667</x:v>
      </x:c>
      <x:c r="O872" s="9" t="n">
        <x:f>N872*'Parameters'!$C$19</x:f>
        <x:v>2.3333333333333335</x:v>
      </x:c>
      <x:c r="P872" s="9" t="n">
        <x:f>M872*(1-0.40)-N872</x:f>
        <x:v>3.7333333333333334</x:v>
      </x:c>
      <x:c r="Q872" s="9" t="n">
        <x:f>'Physical_Arcs'!T32</x:f>
        <x:v>4.666666666666667</x:v>
      </x:c>
      <x:c r="R872" s="9" t="n">
        <x:f>Q872*'Parameters'!$C$18</x:f>
        <x:v>0.9333333333333335</x:v>
      </x:c>
      <x:c r="S872" s="9" t="n">
        <x:f>R872*'Parameters'!$C$19</x:f>
        <x:v>1.1666666666666667</x:v>
      </x:c>
      <x:c r="T872" s="9" t="n">
        <x:f>Q872*(1-0.40)-R872</x:f>
        <x:v>1.8666666666666667</x:v>
      </x:c>
    </x:row>
    <x:row r="873" ht="21" customHeight="1">
      <x:c r="A873" s="3" t="n">
        <x:v>14</x:v>
      </x:c>
      <x:c r="B873" s="3" t="str">
        <x:v>02:20</x:v>
      </x:c>
      <x:c r="C873" s="3" t="n">
        <x:v>3</x:v>
      </x:c>
      <x:c r="D873" s="3" t="n">
        <x:v>32</x:v>
      </x:c>
      <x:c r="E873" s="3" t="n">
        <x:v>5</x:v>
      </x:c>
      <x:c r="F873" s="3" t="n">
        <x:v>3</x:v>
      </x:c>
      <x:c r="G873" s="9" t="n">
        <x:v>0.1</x:v>
      </x:c>
      <x:c r="H873" s="9" t="n">
        <x:v>1.089544</x:v>
      </x:c>
      <x:c r="I873" s="9" t="n">
        <x:f>'Physical_Arcs'!R33</x:f>
        <x:v>11.13888888888889</x:v>
      </x:c>
      <x:c r="J873" s="9" t="n">
        <x:f>I873*'Parameters'!$C$18</x:f>
        <x:v>2.227777777777778</x:v>
      </x:c>
      <x:c r="K873" s="9" t="n">
        <x:f>J873*'Parameters'!$C$19</x:f>
        <x:v>2.7847222222222223</x:v>
      </x:c>
      <x:c r="L873" s="9" t="n">
        <x:f>I873*(1-0.40)-J873</x:f>
        <x:v>4.455555555555556</x:v>
      </x:c>
      <x:c r="M873" s="9" t="n">
        <x:f>'Physical_Arcs'!S33</x:f>
        <x:v>11.13888888888889</x:v>
      </x:c>
      <x:c r="N873" s="9" t="n">
        <x:f>M873*'Parameters'!$C$18</x:f>
        <x:v>2.227777777777778</x:v>
      </x:c>
      <x:c r="O873" s="9" t="n">
        <x:f>N873*'Parameters'!$C$19</x:f>
        <x:v>2.7847222222222223</x:v>
      </x:c>
      <x:c r="P873" s="9" t="n">
        <x:f>M873*(1-0.40)-N873</x:f>
        <x:v>4.455555555555556</x:v>
      </x:c>
      <x:c r="Q873" s="9" t="n">
        <x:f>'Physical_Arcs'!T33</x:f>
        <x:v>5.583333333333333</x:v>
      </x:c>
      <x:c r="R873" s="9" t="n">
        <x:f>Q873*'Parameters'!$C$18</x:f>
        <x:v>1.1166666666666667</x:v>
      </x:c>
      <x:c r="S873" s="9" t="n">
        <x:f>R873*'Parameters'!$C$19</x:f>
        <x:v>1.3958333333333335</x:v>
      </x:c>
      <x:c r="T873" s="9" t="n">
        <x:f>Q873*(1-0.40)-R873</x:f>
        <x:v>2.233333333333333</x:v>
      </x:c>
    </x:row>
    <x:row r="874" ht="21" customHeight="1">
      <x:c r="A874" s="3" t="n">
        <x:v>14</x:v>
      </x:c>
      <x:c r="B874" s="3" t="str">
        <x:v>02:20</x:v>
      </x:c>
      <x:c r="C874" s="3" t="n">
        <x:v>3</x:v>
      </x:c>
      <x:c r="D874" s="3" t="n">
        <x:v>33</x:v>
      </x:c>
      <x:c r="E874" s="3" t="n">
        <x:v>5</x:v>
      </x:c>
      <x:c r="F874" s="3" t="n">
        <x:v>10</x:v>
      </x:c>
      <x:c r="G874" s="9" t="n">
        <x:v>0.1</x:v>
      </x:c>
      <x:c r="H874" s="9" t="n">
        <x:v>1.103596</x:v>
      </x:c>
      <x:c r="I874" s="9" t="n">
        <x:f>'Physical_Arcs'!R34</x:f>
        <x:v>4.611111111111111</x:v>
      </x:c>
      <x:c r="J874" s="9" t="n">
        <x:f>I874*'Parameters'!$C$18</x:f>
        <x:v>0.9222222222222222</x:v>
      </x:c>
      <x:c r="K874" s="9" t="n">
        <x:f>J874*'Parameters'!$C$19</x:f>
        <x:v>1.1527777777777777</x:v>
      </x:c>
      <x:c r="L874" s="9" t="n">
        <x:f>I874*(1-0.40)-J874</x:f>
        <x:v>1.844444444444444</x:v>
      </x:c>
      <x:c r="M874" s="9" t="n">
        <x:f>'Physical_Arcs'!S34</x:f>
        <x:v>4.611111111111111</x:v>
      </x:c>
      <x:c r="N874" s="9" t="n">
        <x:f>M874*'Parameters'!$C$18</x:f>
        <x:v>0.9222222222222222</x:v>
      </x:c>
      <x:c r="O874" s="9" t="n">
        <x:f>N874*'Parameters'!$C$19</x:f>
        <x:v>1.1527777777777777</x:v>
      </x:c>
      <x:c r="P874" s="9" t="n">
        <x:f>M874*(1-0.40)-N874</x:f>
        <x:v>1.844444444444444</x:v>
      </x:c>
      <x:c r="Q874" s="9" t="n">
        <x:f>'Physical_Arcs'!T34</x:f>
        <x:v>2.3055555555555554</x:v>
      </x:c>
      <x:c r="R874" s="9" t="n">
        <x:f>Q874*'Parameters'!$C$18</x:f>
        <x:v>0.4611111111111111</x:v>
      </x:c>
      <x:c r="S874" s="9" t="n">
        <x:f>R874*'Parameters'!$C$19</x:f>
        <x:v>0.5763888888888888</x:v>
      </x:c>
      <x:c r="T874" s="9" t="n">
        <x:f>Q874*(1-0.40)-R874</x:f>
        <x:v>0.922222222222222</x:v>
      </x:c>
    </x:row>
    <x:row r="875" ht="21" customHeight="1">
      <x:c r="A875" s="3" t="n">
        <x:v>14</x:v>
      </x:c>
      <x:c r="B875" s="3" t="str">
        <x:v>02:20</x:v>
      </x:c>
      <x:c r="C875" s="3" t="n">
        <x:v>3</x:v>
      </x:c>
      <x:c r="D875" s="3" t="n">
        <x:v>34</x:v>
      </x:c>
      <x:c r="E875" s="3" t="n">
        <x:v>6</x:v>
      </x:c>
      <x:c r="F875" s="3" t="n">
        <x:v>7</x:v>
      </x:c>
      <x:c r="G875" s="9" t="n">
        <x:v>0.1</x:v>
      </x:c>
      <x:c r="H875" s="9" t="n">
        <x:v>0.973887</x:v>
      </x:c>
      <x:c r="I875" s="9" t="n">
        <x:f>'Physical_Arcs'!R35</x:f>
        <x:v>17.02777777777778</x:v>
      </x:c>
      <x:c r="J875" s="9" t="n">
        <x:f>I875*'Parameters'!$C$18</x:f>
        <x:v>3.405555555555556</x:v>
      </x:c>
      <x:c r="K875" s="9" t="n">
        <x:f>J875*'Parameters'!$C$19</x:f>
        <x:v>4.256944444444445</x:v>
      </x:c>
      <x:c r="L875" s="9" t="n">
        <x:f>I875*(1-0.40)-J875</x:f>
        <x:v>6.811111111111111</x:v>
      </x:c>
      <x:c r="M875" s="9" t="n">
        <x:f>'Physical_Arcs'!S35</x:f>
        <x:v>17.02777777777778</x:v>
      </x:c>
      <x:c r="N875" s="9" t="n">
        <x:f>M875*'Parameters'!$C$18</x:f>
        <x:v>3.405555555555556</x:v>
      </x:c>
      <x:c r="O875" s="9" t="n">
        <x:f>N875*'Parameters'!$C$19</x:f>
        <x:v>4.256944444444445</x:v>
      </x:c>
      <x:c r="P875" s="9" t="n">
        <x:f>M875*(1-0.40)-N875</x:f>
        <x:v>6.811111111111111</x:v>
      </x:c>
      <x:c r="Q875" s="9" t="n">
        <x:f>'Physical_Arcs'!T35</x:f>
        <x:v>17.02777777777778</x:v>
      </x:c>
      <x:c r="R875" s="9" t="n">
        <x:f>Q875*'Parameters'!$C$18</x:f>
        <x:v>3.405555555555556</x:v>
      </x:c>
      <x:c r="S875" s="9" t="n">
        <x:f>R875*'Parameters'!$C$19</x:f>
        <x:v>4.256944444444445</x:v>
      </x:c>
      <x:c r="T875" s="9" t="n">
        <x:f>Q875*(1-0.40)-R875</x:f>
        <x:v>6.811111111111111</x:v>
      </x:c>
    </x:row>
    <x:row r="876" ht="21" customHeight="1">
      <x:c r="A876" s="3" t="n">
        <x:v>14</x:v>
      </x:c>
      <x:c r="B876" s="3" t="str">
        <x:v>02:20</x:v>
      </x:c>
      <x:c r="C876" s="3" t="n">
        <x:v>3</x:v>
      </x:c>
      <x:c r="D876" s="3" t="n">
        <x:v>35</x:v>
      </x:c>
      <x:c r="E876" s="3" t="n">
        <x:v>6</x:v>
      </x:c>
      <x:c r="F876" s="3" t="n">
        <x:v>10</x:v>
      </x:c>
      <x:c r="G876" s="9" t="n">
        <x:v>0.1</x:v>
      </x:c>
      <x:c r="H876" s="9" t="n">
        <x:v>1.009062</x:v>
      </x:c>
      <x:c r="I876" s="9" t="n">
        <x:f>'Physical_Arcs'!R36</x:f>
        <x:v>4.055555555555555</x:v>
      </x:c>
      <x:c r="J876" s="9" t="n">
        <x:f>I876*'Parameters'!$C$18</x:f>
        <x:v>0.8111111111111111</x:v>
      </x:c>
      <x:c r="K876" s="9" t="n">
        <x:f>J876*'Parameters'!$C$19</x:f>
        <x:v>1.0138888888888888</x:v>
      </x:c>
      <x:c r="L876" s="9" t="n">
        <x:f>I876*(1-0.40)-J876</x:f>
        <x:v>1.622222222222222</x:v>
      </x:c>
      <x:c r="M876" s="9" t="n">
        <x:f>'Physical_Arcs'!S36</x:f>
        <x:v>4.055555555555555</x:v>
      </x:c>
      <x:c r="N876" s="9" t="n">
        <x:f>M876*'Parameters'!$C$18</x:f>
        <x:v>0.8111111111111111</x:v>
      </x:c>
      <x:c r="O876" s="9" t="n">
        <x:f>N876*'Parameters'!$C$19</x:f>
        <x:v>1.0138888888888888</x:v>
      </x:c>
      <x:c r="P876" s="9" t="n">
        <x:f>M876*(1-0.40)-N876</x:f>
        <x:v>1.622222222222222</x:v>
      </x:c>
      <x:c r="Q876" s="9" t="n">
        <x:f>'Physical_Arcs'!T36</x:f>
        <x:v>2.0277777777777777</x:v>
      </x:c>
      <x:c r="R876" s="9" t="n">
        <x:f>Q876*'Parameters'!$C$18</x:f>
        <x:v>0.40555555555555556</x:v>
      </x:c>
      <x:c r="S876" s="9" t="n">
        <x:f>R876*'Parameters'!$C$19</x:f>
        <x:v>0.5069444444444444</x:v>
      </x:c>
      <x:c r="T876" s="9" t="n">
        <x:f>Q876*(1-0.40)-R876</x:f>
        <x:v>0.811111111111111</x:v>
      </x:c>
    </x:row>
    <x:row r="877" ht="21" customHeight="1">
      <x:c r="A877" s="3" t="n">
        <x:v>14</x:v>
      </x:c>
      <x:c r="B877" s="3" t="str">
        <x:v>02:20</x:v>
      </x:c>
      <x:c r="C877" s="3" t="n">
        <x:v>3</x:v>
      </x:c>
      <x:c r="D877" s="3" t="n">
        <x:v>36</x:v>
      </x:c>
      <x:c r="E877" s="3" t="n">
        <x:v>6</x:v>
      </x:c>
      <x:c r="F877" s="3" t="n">
        <x:v>8</x:v>
      </x:c>
      <x:c r="G877" s="9" t="n">
        <x:v>0.1</x:v>
      </x:c>
      <x:c r="H877" s="9" t="n">
        <x:v>1.132129</x:v>
      </x:c>
      <x:c r="I877" s="9" t="n">
        <x:f>'Physical_Arcs'!R37</x:f>
        <x:v>6.972222222222222</x:v>
      </x:c>
      <x:c r="J877" s="9" t="n">
        <x:f>I877*'Parameters'!$C$18</x:f>
        <x:v>1.3944444444444446</x:v>
      </x:c>
      <x:c r="K877" s="9" t="n">
        <x:f>J877*'Parameters'!$C$19</x:f>
        <x:v>1.7430555555555558</x:v>
      </x:c>
      <x:c r="L877" s="9" t="n">
        <x:f>I877*(1-0.40)-J877</x:f>
        <x:v>2.7888888888888888</x:v>
      </x:c>
      <x:c r="M877" s="9" t="n">
        <x:f>'Physical_Arcs'!S37</x:f>
        <x:v>6.972222222222222</x:v>
      </x:c>
      <x:c r="N877" s="9" t="n">
        <x:f>M877*'Parameters'!$C$18</x:f>
        <x:v>1.3944444444444446</x:v>
      </x:c>
      <x:c r="O877" s="9" t="n">
        <x:f>N877*'Parameters'!$C$19</x:f>
        <x:v>1.7430555555555558</x:v>
      </x:c>
      <x:c r="P877" s="9" t="n">
        <x:f>M877*(1-0.40)-N877</x:f>
        <x:v>2.7888888888888888</x:v>
      </x:c>
      <x:c r="Q877" s="9" t="n">
        <x:f>'Physical_Arcs'!T37</x:f>
        <x:v>3.5</x:v>
      </x:c>
      <x:c r="R877" s="9" t="n">
        <x:f>Q877*'Parameters'!$C$18</x:f>
        <x:v>0.7000000000000001</x:v>
      </x:c>
      <x:c r="S877" s="9" t="n">
        <x:f>R877*'Parameters'!$C$19</x:f>
        <x:v>0.8750000000000001</x:v>
      </x:c>
      <x:c r="T877" s="9" t="n">
        <x:f>Q877*(1-0.40)-R877</x:f>
        <x:v>1.4</x:v>
      </x:c>
    </x:row>
    <x:row r="878" ht="21" customHeight="1">
      <x:c r="A878" s="3" t="n">
        <x:v>14</x:v>
      </x:c>
      <x:c r="B878" s="3" t="str">
        <x:v>02:20</x:v>
      </x:c>
      <x:c r="C878" s="3" t="n">
        <x:v>3</x:v>
      </x:c>
      <x:c r="D878" s="3" t="n">
        <x:v>37</x:v>
      </x:c>
      <x:c r="E878" s="3" t="n">
        <x:v>6</x:v>
      </x:c>
      <x:c r="F878" s="3" t="n">
        <x:v>1</x:v>
      </x:c>
      <x:c r="G878" s="9" t="n">
        <x:v>0.1</x:v>
      </x:c>
      <x:c r="H878" s="9" t="n">
        <x:v>1.020746</x:v>
      </x:c>
      <x:c r="I878" s="9" t="n">
        <x:f>'Physical_Arcs'!R38</x:f>
        <x:v>6.305555555555555</x:v>
      </x:c>
      <x:c r="J878" s="9" t="n">
        <x:f>I878*'Parameters'!$C$18</x:f>
        <x:v>1.261111111111111</x:v>
      </x:c>
      <x:c r="K878" s="9" t="n">
        <x:f>J878*'Parameters'!$C$19</x:f>
        <x:v>1.5763888888888888</x:v>
      </x:c>
      <x:c r="L878" s="9" t="n">
        <x:f>I878*(1-0.40)-J878</x:f>
        <x:v>2.522222222222222</x:v>
      </x:c>
      <x:c r="M878" s="9" t="n">
        <x:f>'Physical_Arcs'!S38</x:f>
        <x:v>6.305555555555555</x:v>
      </x:c>
      <x:c r="N878" s="9" t="n">
        <x:f>M878*'Parameters'!$C$18</x:f>
        <x:v>1.261111111111111</x:v>
      </x:c>
      <x:c r="O878" s="9" t="n">
        <x:f>N878*'Parameters'!$C$19</x:f>
        <x:v>1.5763888888888888</x:v>
      </x:c>
      <x:c r="P878" s="9" t="n">
        <x:f>M878*(1-0.40)-N878</x:f>
        <x:v>2.522222222222222</x:v>
      </x:c>
      <x:c r="Q878" s="9" t="n">
        <x:f>'Physical_Arcs'!T38</x:f>
        <x:v>3.1666666666666665</x:v>
      </x:c>
      <x:c r="R878" s="9" t="n">
        <x:f>Q878*'Parameters'!$C$18</x:f>
        <x:v>0.6333333333333333</x:v>
      </x:c>
      <x:c r="S878" s="9" t="n">
        <x:f>R878*'Parameters'!$C$19</x:f>
        <x:v>0.7916666666666666</x:v>
      </x:c>
      <x:c r="T878" s="9" t="n">
        <x:f>Q878*(1-0.40)-R878</x:f>
        <x:v>1.2666666666666666</x:v>
      </x:c>
    </x:row>
    <x:row r="879" ht="21" customHeight="1">
      <x:c r="A879" s="3" t="n">
        <x:v>14</x:v>
      </x:c>
      <x:c r="B879" s="3" t="str">
        <x:v>02:20</x:v>
      </x:c>
      <x:c r="C879" s="3" t="n">
        <x:v>3</x:v>
      </x:c>
      <x:c r="D879" s="3" t="n">
        <x:v>38</x:v>
      </x:c>
      <x:c r="E879" s="3" t="n">
        <x:v>6</x:v>
      </x:c>
      <x:c r="F879" s="3" t="n">
        <x:v>3</x:v>
      </x:c>
      <x:c r="G879" s="9" t="n">
        <x:v>0.1</x:v>
      </x:c>
      <x:c r="H879" s="9" t="n">
        <x:v>1.149081</x:v>
      </x:c>
      <x:c r="I879" s="9" t="n">
        <x:f>'Physical_Arcs'!R39</x:f>
        <x:v>1.9166666666666667</x:v>
      </x:c>
      <x:c r="J879" s="9" t="n">
        <x:f>I879*'Parameters'!$C$18</x:f>
        <x:v>0.38333333333333336</x:v>
      </x:c>
      <x:c r="K879" s="9" t="n">
        <x:f>J879*'Parameters'!$C$19</x:f>
        <x:v>0.4791666666666667</x:v>
      </x:c>
      <x:c r="L879" s="9" t="n">
        <x:f>I879*(1-0.40)-J879</x:f>
        <x:v>0.7666666666666666</x:v>
      </x:c>
      <x:c r="M879" s="9" t="n">
        <x:f>'Physical_Arcs'!S39</x:f>
        <x:v>1.9166666666666667</x:v>
      </x:c>
      <x:c r="N879" s="9" t="n">
        <x:f>M879*'Parameters'!$C$18</x:f>
        <x:v>0.38333333333333336</x:v>
      </x:c>
      <x:c r="O879" s="9" t="n">
        <x:f>N879*'Parameters'!$C$19</x:f>
        <x:v>0.4791666666666667</x:v>
      </x:c>
      <x:c r="P879" s="9" t="n">
        <x:f>M879*(1-0.40)-N879</x:f>
        <x:v>0.7666666666666666</x:v>
      </x:c>
      <x:c r="Q879" s="9" t="n">
        <x:f>'Physical_Arcs'!T39</x:f>
        <x:v>0.9722222222222222</x:v>
      </x:c>
      <x:c r="R879" s="9" t="n">
        <x:f>Q879*'Parameters'!$C$18</x:f>
        <x:v>0.19444444444444445</x:v>
      </x:c>
      <x:c r="S879" s="9" t="n">
        <x:f>R879*'Parameters'!$C$19</x:f>
        <x:v>0.24305555555555555</x:v>
      </x:c>
      <x:c r="T879" s="9" t="n">
        <x:f>Q879*(1-0.40)-R879</x:f>
        <x:v>0.38888888888888884</x:v>
      </x:c>
    </x:row>
    <x:row r="880" ht="21" customHeight="1">
      <x:c r="A880" s="3" t="n">
        <x:v>14</x:v>
      </x:c>
      <x:c r="B880" s="3" t="str">
        <x:v>02:20</x:v>
      </x:c>
      <x:c r="C880" s="3" t="n">
        <x:v>3</x:v>
      </x:c>
      <x:c r="D880" s="3" t="n">
        <x:v>39</x:v>
      </x:c>
      <x:c r="E880" s="3" t="n">
        <x:v>7</x:v>
      </x:c>
      <x:c r="F880" s="3" t="n">
        <x:v>8</x:v>
      </x:c>
      <x:c r="G880" s="9" t="n">
        <x:v>0.1</x:v>
      </x:c>
      <x:c r="H880" s="9" t="n">
        <x:v>1.003268</x:v>
      </x:c>
      <x:c r="I880" s="9" t="n">
        <x:f>'Physical_Arcs'!R40</x:f>
        <x:v>17.02777777777778</x:v>
      </x:c>
      <x:c r="J880" s="9" t="n">
        <x:f>I880*'Parameters'!$C$18</x:f>
        <x:v>3.405555555555556</x:v>
      </x:c>
      <x:c r="K880" s="9" t="n">
        <x:f>J880*'Parameters'!$C$19</x:f>
        <x:v>4.256944444444445</x:v>
      </x:c>
      <x:c r="L880" s="9" t="n">
        <x:f>I880*(1-0.40)-J880</x:f>
        <x:v>6.811111111111111</x:v>
      </x:c>
      <x:c r="M880" s="9" t="n">
        <x:f>'Physical_Arcs'!S40</x:f>
        <x:v>17.02777777777778</x:v>
      </x:c>
      <x:c r="N880" s="9" t="n">
        <x:f>M880*'Parameters'!$C$18</x:f>
        <x:v>3.405555555555556</x:v>
      </x:c>
      <x:c r="O880" s="9" t="n">
        <x:f>N880*'Parameters'!$C$19</x:f>
        <x:v>4.256944444444445</x:v>
      </x:c>
      <x:c r="P880" s="9" t="n">
        <x:f>M880*(1-0.40)-N880</x:f>
        <x:v>6.811111111111111</x:v>
      </x:c>
      <x:c r="Q880" s="9" t="n">
        <x:f>'Physical_Arcs'!T40</x:f>
        <x:v>17.02777777777778</x:v>
      </x:c>
      <x:c r="R880" s="9" t="n">
        <x:f>Q880*'Parameters'!$C$18</x:f>
        <x:v>3.405555555555556</x:v>
      </x:c>
      <x:c r="S880" s="9" t="n">
        <x:f>R880*'Parameters'!$C$19</x:f>
        <x:v>4.256944444444445</x:v>
      </x:c>
      <x:c r="T880" s="9" t="n">
        <x:f>Q880*(1-0.40)-R880</x:f>
        <x:v>6.811111111111111</x:v>
      </x:c>
    </x:row>
    <x:row r="881" ht="21" customHeight="1">
      <x:c r="A881" s="3" t="n">
        <x:v>14</x:v>
      </x:c>
      <x:c r="B881" s="3" t="str">
        <x:v>02:20</x:v>
      </x:c>
      <x:c r="C881" s="3" t="n">
        <x:v>3</x:v>
      </x:c>
      <x:c r="D881" s="3" t="n">
        <x:v>40</x:v>
      </x:c>
      <x:c r="E881" s="3" t="n">
        <x:v>7</x:v>
      </x:c>
      <x:c r="F881" s="3" t="n">
        <x:v>1</x:v>
      </x:c>
      <x:c r="G881" s="9" t="n">
        <x:v>0.1</x:v>
      </x:c>
      <x:c r="H881" s="9" t="n">
        <x:v>1.057592</x:v>
      </x:c>
      <x:c r="I881" s="9" t="n">
        <x:f>'Physical_Arcs'!R41</x:f>
        <x:v>7.972222222222222</x:v>
      </x:c>
      <x:c r="J881" s="9" t="n">
        <x:f>I881*'Parameters'!$C$18</x:f>
        <x:v>1.5944444444444446</x:v>
      </x:c>
      <x:c r="K881" s="9" t="n">
        <x:f>J881*'Parameters'!$C$19</x:f>
        <x:v>1.9930555555555558</x:v>
      </x:c>
      <x:c r="L881" s="9" t="n">
        <x:f>I881*(1-0.40)-J881</x:f>
        <x:v>3.1888888888888887</x:v>
      </x:c>
      <x:c r="M881" s="9" t="n">
        <x:f>'Physical_Arcs'!S41</x:f>
        <x:v>7.972222222222222</x:v>
      </x:c>
      <x:c r="N881" s="9" t="n">
        <x:f>M881*'Parameters'!$C$18</x:f>
        <x:v>1.5944444444444446</x:v>
      </x:c>
      <x:c r="O881" s="9" t="n">
        <x:f>N881*'Parameters'!$C$19</x:f>
        <x:v>1.9930555555555558</x:v>
      </x:c>
      <x:c r="P881" s="9" t="n">
        <x:f>M881*(1-0.40)-N881</x:f>
        <x:v>3.1888888888888887</x:v>
      </x:c>
      <x:c r="Q881" s="9" t="n">
        <x:f>'Physical_Arcs'!T41</x:f>
        <x:v>4</x:v>
      </x:c>
      <x:c r="R881" s="9" t="n">
        <x:f>Q881*'Parameters'!$C$18</x:f>
        <x:v>0.8</x:v>
      </x:c>
      <x:c r="S881" s="9" t="n">
        <x:f>R881*'Parameters'!$C$19</x:f>
        <x:v>1</x:v>
      </x:c>
      <x:c r="T881" s="9" t="n">
        <x:f>Q881*(1-0.40)-R881</x:f>
        <x:v>1.5999999999999999</x:v>
      </x:c>
    </x:row>
    <x:row r="882" ht="21" customHeight="1">
      <x:c r="A882" s="3" t="n">
        <x:v>14</x:v>
      </x:c>
      <x:c r="B882" s="3" t="str">
        <x:v>02:20</x:v>
      </x:c>
      <x:c r="C882" s="3" t="n">
        <x:v>3</x:v>
      </x:c>
      <x:c r="D882" s="3" t="n">
        <x:v>41</x:v>
      </x:c>
      <x:c r="E882" s="3" t="n">
        <x:v>7</x:v>
      </x:c>
      <x:c r="F882" s="3" t="n">
        <x:v>9</x:v>
      </x:c>
      <x:c r="G882" s="9" t="n">
        <x:v>0.1</x:v>
      </x:c>
      <x:c r="H882" s="9" t="n">
        <x:v>1.14801</x:v>
      </x:c>
      <x:c r="I882" s="9" t="n">
        <x:f>'Physical_Arcs'!R42</x:f>
        <x:v>8.88888888888889</x:v>
      </x:c>
      <x:c r="J882" s="9" t="n">
        <x:f>I882*'Parameters'!$C$18</x:f>
        <x:v>1.777777777777778</x:v>
      </x:c>
      <x:c r="K882" s="9" t="n">
        <x:f>J882*'Parameters'!$C$19</x:f>
        <x:v>2.2222222222222223</x:v>
      </x:c>
      <x:c r="L882" s="9" t="n">
        <x:f>I882*(1-0.40)-J882</x:f>
        <x:v>3.5555555555555554</x:v>
      </x:c>
      <x:c r="M882" s="9" t="n">
        <x:f>'Physical_Arcs'!S42</x:f>
        <x:v>8.88888888888889</x:v>
      </x:c>
      <x:c r="N882" s="9" t="n">
        <x:f>M882*'Parameters'!$C$18</x:f>
        <x:v>1.777777777777778</x:v>
      </x:c>
      <x:c r="O882" s="9" t="n">
        <x:f>N882*'Parameters'!$C$19</x:f>
        <x:v>2.2222222222222223</x:v>
      </x:c>
      <x:c r="P882" s="9" t="n">
        <x:f>M882*(1-0.40)-N882</x:f>
        <x:v>3.5555555555555554</x:v>
      </x:c>
      <x:c r="Q882" s="9" t="n">
        <x:f>'Physical_Arcs'!T42</x:f>
        <x:v>4.444444444444445</x:v>
      </x:c>
      <x:c r="R882" s="9" t="n">
        <x:f>Q882*'Parameters'!$C$18</x:f>
        <x:v>0.888888888888889</x:v>
      </x:c>
      <x:c r="S882" s="9" t="n">
        <x:f>R882*'Parameters'!$C$19</x:f>
        <x:v>1.1111111111111112</x:v>
      </x:c>
      <x:c r="T882" s="9" t="n">
        <x:f>Q882*(1-0.40)-R882</x:f>
        <x:v>1.7777777777777777</x:v>
      </x:c>
    </x:row>
    <x:row r="883" ht="21" customHeight="1">
      <x:c r="A883" s="3" t="n">
        <x:v>14</x:v>
      </x:c>
      <x:c r="B883" s="3" t="str">
        <x:v>02:20</x:v>
      </x:c>
      <x:c r="C883" s="3" t="n">
        <x:v>3</x:v>
      </x:c>
      <x:c r="D883" s="3" t="n">
        <x:v>42</x:v>
      </x:c>
      <x:c r="E883" s="3" t="n">
        <x:v>7</x:v>
      </x:c>
      <x:c r="F883" s="3" t="n">
        <x:v>2</x:v>
      </x:c>
      <x:c r="G883" s="9" t="n">
        <x:v>0.1</x:v>
      </x:c>
      <x:c r="H883" s="9" t="n">
        <x:v>0.989237</x:v>
      </x:c>
      <x:c r="I883" s="9" t="n">
        <x:f>'Physical_Arcs'!R43</x:f>
        <x:v>9</x:v>
      </x:c>
      <x:c r="J883" s="9" t="n">
        <x:f>I883*'Parameters'!$C$18</x:f>
        <x:v>1.8</x:v>
      </x:c>
      <x:c r="K883" s="9" t="n">
        <x:f>J883*'Parameters'!$C$19</x:f>
        <x:v>2.25</x:v>
      </x:c>
      <x:c r="L883" s="9" t="n">
        <x:f>I883*(1-0.40)-J883</x:f>
        <x:v>3.5999999999999996</x:v>
      </x:c>
      <x:c r="M883" s="9" t="n">
        <x:f>'Physical_Arcs'!S43</x:f>
        <x:v>9</x:v>
      </x:c>
      <x:c r="N883" s="9" t="n">
        <x:f>M883*'Parameters'!$C$18</x:f>
        <x:v>1.8</x:v>
      </x:c>
      <x:c r="O883" s="9" t="n">
        <x:f>N883*'Parameters'!$C$19</x:f>
        <x:v>2.25</x:v>
      </x:c>
      <x:c r="P883" s="9" t="n">
        <x:f>M883*(1-0.40)-N883</x:f>
        <x:v>3.5999999999999996</x:v>
      </x:c>
      <x:c r="Q883" s="9" t="n">
        <x:f>'Physical_Arcs'!T43</x:f>
        <x:v>4.5</x:v>
      </x:c>
      <x:c r="R883" s="9" t="n">
        <x:f>Q883*'Parameters'!$C$18</x:f>
        <x:v>0.9</x:v>
      </x:c>
      <x:c r="S883" s="9" t="n">
        <x:f>R883*'Parameters'!$C$19</x:f>
        <x:v>1.125</x:v>
      </x:c>
      <x:c r="T883" s="9" t="n">
        <x:f>Q883*(1-0.40)-R883</x:f>
        <x:v>1.7999999999999998</x:v>
      </x:c>
    </x:row>
    <x:row r="884" ht="21" customHeight="1">
      <x:c r="A884" s="3" t="n">
        <x:v>14</x:v>
      </x:c>
      <x:c r="B884" s="3" t="str">
        <x:v>02:20</x:v>
      </x:c>
      <x:c r="C884" s="3" t="n">
        <x:v>3</x:v>
      </x:c>
      <x:c r="D884" s="3" t="n">
        <x:v>43</x:v>
      </x:c>
      <x:c r="E884" s="3" t="n">
        <x:v>7</x:v>
      </x:c>
      <x:c r="F884" s="3" t="n">
        <x:v>3</x:v>
      </x:c>
      <x:c r="G884" s="9" t="n">
        <x:v>0.1</x:v>
      </x:c>
      <x:c r="H884" s="9" t="n">
        <x:v>1.050432</x:v>
      </x:c>
      <x:c r="I884" s="9" t="n">
        <x:f>'Physical_Arcs'!R44</x:f>
        <x:v>7.638888888888889</x:v>
      </x:c>
      <x:c r="J884" s="9" t="n">
        <x:f>I884*'Parameters'!$C$18</x:f>
        <x:v>1.527777777777778</x:v>
      </x:c>
      <x:c r="K884" s="9" t="n">
        <x:f>J884*'Parameters'!$C$19</x:f>
        <x:v>1.9097222222222223</x:v>
      </x:c>
      <x:c r="L884" s="9" t="n">
        <x:f>I884*(1-0.40)-J884</x:f>
        <x:v>3.0555555555555554</x:v>
      </x:c>
      <x:c r="M884" s="9" t="n">
        <x:f>'Physical_Arcs'!S44</x:f>
        <x:v>7.638888888888889</x:v>
      </x:c>
      <x:c r="N884" s="9" t="n">
        <x:f>M884*'Parameters'!$C$18</x:f>
        <x:v>1.527777777777778</x:v>
      </x:c>
      <x:c r="O884" s="9" t="n">
        <x:f>N884*'Parameters'!$C$19</x:f>
        <x:v>1.9097222222222223</x:v>
      </x:c>
      <x:c r="P884" s="9" t="n">
        <x:f>M884*(1-0.40)-N884</x:f>
        <x:v>3.0555555555555554</x:v>
      </x:c>
      <x:c r="Q884" s="9" t="n">
        <x:f>'Physical_Arcs'!T44</x:f>
        <x:v>3.8333333333333335</x:v>
      </x:c>
      <x:c r="R884" s="9" t="n">
        <x:f>Q884*'Parameters'!$C$18</x:f>
        <x:v>0.7666666666666667</x:v>
      </x:c>
      <x:c r="S884" s="9" t="n">
        <x:f>R884*'Parameters'!$C$19</x:f>
        <x:v>0.9583333333333334</x:v>
      </x:c>
      <x:c r="T884" s="9" t="n">
        <x:f>Q884*(1-0.40)-R884</x:f>
        <x:v>1.5333333333333332</x:v>
      </x:c>
    </x:row>
    <x:row r="885" ht="21" customHeight="1">
      <x:c r="A885" s="3" t="n">
        <x:v>14</x:v>
      </x:c>
      <x:c r="B885" s="3" t="str">
        <x:v>02:20</x:v>
      </x:c>
      <x:c r="C885" s="3" t="n">
        <x:v>3</x:v>
      </x:c>
      <x:c r="D885" s="3" t="n">
        <x:v>44</x:v>
      </x:c>
      <x:c r="E885" s="3" t="n">
        <x:v>8</x:v>
      </x:c>
      <x:c r="F885" s="3" t="n">
        <x:v>9</x:v>
      </x:c>
      <x:c r="G885" s="9" t="n">
        <x:v>0.1</x:v>
      </x:c>
      <x:c r="H885" s="9" t="n">
        <x:v>0.868101</x:v>
      </x:c>
      <x:c r="I885" s="9" t="n">
        <x:f>'Physical_Arcs'!R45</x:f>
        <x:v>17.02777777777778</x:v>
      </x:c>
      <x:c r="J885" s="9" t="n">
        <x:f>I885*'Parameters'!$C$18</x:f>
        <x:v>3.405555555555556</x:v>
      </x:c>
      <x:c r="K885" s="9" t="n">
        <x:f>J885*'Parameters'!$C$19</x:f>
        <x:v>4.256944444444445</x:v>
      </x:c>
      <x:c r="L885" s="9" t="n">
        <x:f>I885*(1-0.40)-J885</x:f>
        <x:v>6.811111111111111</x:v>
      </x:c>
      <x:c r="M885" s="9" t="n">
        <x:f>'Physical_Arcs'!S45</x:f>
        <x:v>17.02777777777778</x:v>
      </x:c>
      <x:c r="N885" s="9" t="n">
        <x:f>M885*'Parameters'!$C$18</x:f>
        <x:v>3.405555555555556</x:v>
      </x:c>
      <x:c r="O885" s="9" t="n">
        <x:f>N885*'Parameters'!$C$19</x:f>
        <x:v>4.256944444444445</x:v>
      </x:c>
      <x:c r="P885" s="9" t="n">
        <x:f>M885*(1-0.40)-N885</x:f>
        <x:v>6.811111111111111</x:v>
      </x:c>
      <x:c r="Q885" s="9" t="n">
        <x:f>'Physical_Arcs'!T45</x:f>
        <x:v>17.02777777777778</x:v>
      </x:c>
      <x:c r="R885" s="9" t="n">
        <x:f>Q885*'Parameters'!$C$18</x:f>
        <x:v>3.405555555555556</x:v>
      </x:c>
      <x:c r="S885" s="9" t="n">
        <x:f>R885*'Parameters'!$C$19</x:f>
        <x:v>4.256944444444445</x:v>
      </x:c>
      <x:c r="T885" s="9" t="n">
        <x:f>Q885*(1-0.40)-R885</x:f>
        <x:v>6.811111111111111</x:v>
      </x:c>
    </x:row>
    <x:row r="886" ht="21" customHeight="1">
      <x:c r="A886" s="3" t="n">
        <x:v>14</x:v>
      </x:c>
      <x:c r="B886" s="3" t="str">
        <x:v>02:20</x:v>
      </x:c>
      <x:c r="C886" s="3" t="n">
        <x:v>3</x:v>
      </x:c>
      <x:c r="D886" s="3" t="n">
        <x:v>45</x:v>
      </x:c>
      <x:c r="E886" s="3" t="n">
        <x:v>8</x:v>
      </x:c>
      <x:c r="F886" s="3" t="n">
        <x:v>3</x:v>
      </x:c>
      <x:c r="G886" s="9" t="n">
        <x:v>0.1</x:v>
      </x:c>
      <x:c r="H886" s="9" t="n">
        <x:v>0.944958</x:v>
      </x:c>
      <x:c r="I886" s="9" t="n">
        <x:f>'Physical_Arcs'!R46</x:f>
        <x:v>5.388888888888889</x:v>
      </x:c>
      <x:c r="J886" s="9" t="n">
        <x:f>I886*'Parameters'!$C$18</x:f>
        <x:v>1.077777777777778</x:v>
      </x:c>
      <x:c r="K886" s="9" t="n">
        <x:f>J886*'Parameters'!$C$19</x:f>
        <x:v>1.3472222222222223</x:v>
      </x:c>
      <x:c r="L886" s="9" t="n">
        <x:f>I886*(1-0.40)-J886</x:f>
        <x:v>2.1555555555555554</x:v>
      </x:c>
      <x:c r="M886" s="9" t="n">
        <x:f>'Physical_Arcs'!S46</x:f>
        <x:v>5.388888888888889</x:v>
      </x:c>
      <x:c r="N886" s="9" t="n">
        <x:f>M886*'Parameters'!$C$18</x:f>
        <x:v>1.077777777777778</x:v>
      </x:c>
      <x:c r="O886" s="9" t="n">
        <x:f>N886*'Parameters'!$C$19</x:f>
        <x:v>1.3472222222222223</x:v>
      </x:c>
      <x:c r="P886" s="9" t="n">
        <x:f>M886*(1-0.40)-N886</x:f>
        <x:v>2.1555555555555554</x:v>
      </x:c>
      <x:c r="Q886" s="9" t="n">
        <x:f>'Physical_Arcs'!T46</x:f>
        <x:v>2.6944444444444446</x:v>
      </x:c>
      <x:c r="R886" s="9" t="n">
        <x:f>Q886*'Parameters'!$C$18</x:f>
        <x:v>0.538888888888889</x:v>
      </x:c>
      <x:c r="S886" s="9" t="n">
        <x:f>R886*'Parameters'!$C$19</x:f>
        <x:v>0.6736111111111112</x:v>
      </x:c>
      <x:c r="T886" s="9" t="n">
        <x:f>Q886*(1-0.40)-R886</x:f>
        <x:v>1.0777777777777777</x:v>
      </x:c>
    </x:row>
    <x:row r="887" ht="21" customHeight="1">
      <x:c r="A887" s="3" t="n">
        <x:v>14</x:v>
      </x:c>
      <x:c r="B887" s="3" t="str">
        <x:v>02:20</x:v>
      </x:c>
      <x:c r="C887" s="3" t="n">
        <x:v>3</x:v>
      </x:c>
      <x:c r="D887" s="3" t="n">
        <x:v>46</x:v>
      </x:c>
      <x:c r="E887" s="3" t="n">
        <x:v>8</x:v>
      </x:c>
      <x:c r="F887" s="3" t="n">
        <x:v>7</x:v>
      </x:c>
      <x:c r="G887" s="9" t="n">
        <x:v>0.1</x:v>
      </x:c>
      <x:c r="H887" s="9" t="n">
        <x:v>0.866232</x:v>
      </x:c>
      <x:c r="I887" s="9" t="n">
        <x:f>'Physical_Arcs'!R47</x:f>
        <x:v>5.388888888888889</x:v>
      </x:c>
      <x:c r="J887" s="9" t="n">
        <x:f>I887*'Parameters'!$C$18</x:f>
        <x:v>1.077777777777778</x:v>
      </x:c>
      <x:c r="K887" s="9" t="n">
        <x:f>J887*'Parameters'!$C$19</x:f>
        <x:v>1.3472222222222223</x:v>
      </x:c>
      <x:c r="L887" s="9" t="n">
        <x:f>I887*(1-0.40)-J887</x:f>
        <x:v>2.1555555555555554</x:v>
      </x:c>
      <x:c r="M887" s="9" t="n">
        <x:f>'Physical_Arcs'!S47</x:f>
        <x:v>5.388888888888889</x:v>
      </x:c>
      <x:c r="N887" s="9" t="n">
        <x:f>M887*'Parameters'!$C$18</x:f>
        <x:v>1.077777777777778</x:v>
      </x:c>
      <x:c r="O887" s="9" t="n">
        <x:f>N887*'Parameters'!$C$19</x:f>
        <x:v>1.3472222222222223</x:v>
      </x:c>
      <x:c r="P887" s="9" t="n">
        <x:f>M887*(1-0.40)-N887</x:f>
        <x:v>2.1555555555555554</x:v>
      </x:c>
      <x:c r="Q887" s="9" t="n">
        <x:f>'Physical_Arcs'!T47</x:f>
        <x:v>2.6944444444444446</x:v>
      </x:c>
      <x:c r="R887" s="9" t="n">
        <x:f>Q887*'Parameters'!$C$18</x:f>
        <x:v>0.538888888888889</x:v>
      </x:c>
      <x:c r="S887" s="9" t="n">
        <x:f>R887*'Parameters'!$C$19</x:f>
        <x:v>0.6736111111111112</x:v>
      </x:c>
      <x:c r="T887" s="9" t="n">
        <x:f>Q887*(1-0.40)-R887</x:f>
        <x:v>1.0777777777777777</x:v>
      </x:c>
    </x:row>
    <x:row r="888" ht="21" customHeight="1">
      <x:c r="A888" s="3" t="n">
        <x:v>14</x:v>
      </x:c>
      <x:c r="B888" s="3" t="str">
        <x:v>02:20</x:v>
      </x:c>
      <x:c r="C888" s="3" t="n">
        <x:v>3</x:v>
      </x:c>
      <x:c r="D888" s="3" t="n">
        <x:v>47</x:v>
      </x:c>
      <x:c r="E888" s="3" t="n">
        <x:v>8</x:v>
      </x:c>
      <x:c r="F888" s="3" t="n">
        <x:v>2</x:v>
      </x:c>
      <x:c r="G888" s="9" t="n">
        <x:v>0.1</x:v>
      </x:c>
      <x:c r="H888" s="9" t="n">
        <x:v>1.135644</x:v>
      </x:c>
      <x:c r="I888" s="9" t="n">
        <x:f>'Physical_Arcs'!R48</x:f>
        <x:v>8.083333333333334</x:v>
      </x:c>
      <x:c r="J888" s="9" t="n">
        <x:f>I888*'Parameters'!$C$18</x:f>
        <x:v>1.616666666666667</x:v>
      </x:c>
      <x:c r="K888" s="9" t="n">
        <x:f>J888*'Parameters'!$C$19</x:f>
        <x:v>2.0208333333333335</x:v>
      </x:c>
      <x:c r="L888" s="9" t="n">
        <x:f>I888*(1-0.40)-J888</x:f>
        <x:v>3.2333333333333334</x:v>
      </x:c>
      <x:c r="M888" s="9" t="n">
        <x:f>'Physical_Arcs'!S48</x:f>
        <x:v>8.083333333333334</x:v>
      </x:c>
      <x:c r="N888" s="9" t="n">
        <x:f>M888*'Parameters'!$C$18</x:f>
        <x:v>1.616666666666667</x:v>
      </x:c>
      <x:c r="O888" s="9" t="n">
        <x:f>N888*'Parameters'!$C$19</x:f>
        <x:v>2.0208333333333335</x:v>
      </x:c>
      <x:c r="P888" s="9" t="n">
        <x:f>M888*(1-0.40)-N888</x:f>
        <x:v>3.2333333333333334</x:v>
      </x:c>
      <x:c r="Q888" s="9" t="n">
        <x:f>'Physical_Arcs'!T48</x:f>
        <x:v>4.055555555555555</x:v>
      </x:c>
      <x:c r="R888" s="9" t="n">
        <x:f>Q888*'Parameters'!$C$18</x:f>
        <x:v>0.8111111111111111</x:v>
      </x:c>
      <x:c r="S888" s="9" t="n">
        <x:f>R888*'Parameters'!$C$19</x:f>
        <x:v>1.0138888888888888</x:v>
      </x:c>
      <x:c r="T888" s="9" t="n">
        <x:f>Q888*(1-0.40)-R888</x:f>
        <x:v>1.622222222222222</x:v>
      </x:c>
    </x:row>
    <x:row r="889" ht="21" customHeight="1">
      <x:c r="A889" s="3" t="n">
        <x:v>14</x:v>
      </x:c>
      <x:c r="B889" s="3" t="str">
        <x:v>02:20</x:v>
      </x:c>
      <x:c r="C889" s="3" t="n">
        <x:v>3</x:v>
      </x:c>
      <x:c r="D889" s="3" t="n">
        <x:v>48</x:v>
      </x:c>
      <x:c r="E889" s="3" t="n">
        <x:v>8</x:v>
      </x:c>
      <x:c r="F889" s="3" t="n">
        <x:v>6</x:v>
      </x:c>
      <x:c r="G889" s="9" t="n">
        <x:v>0.1</x:v>
      </x:c>
      <x:c r="H889" s="9" t="n">
        <x:v>0.850778</x:v>
      </x:c>
      <x:c r="I889" s="9" t="n">
        <x:f>'Physical_Arcs'!R49</x:f>
        <x:v>10.555555555555555</x:v>
      </x:c>
      <x:c r="J889" s="9" t="n">
        <x:f>I889*'Parameters'!$C$18</x:f>
        <x:v>2.111111111111111</x:v>
      </x:c>
      <x:c r="K889" s="9" t="n">
        <x:f>J889*'Parameters'!$C$19</x:f>
        <x:v>2.638888888888889</x:v>
      </x:c>
      <x:c r="L889" s="9" t="n">
        <x:f>I889*(1-0.40)-J889</x:f>
        <x:v>4.222222222222221</x:v>
      </x:c>
      <x:c r="M889" s="9" t="n">
        <x:f>'Physical_Arcs'!S49</x:f>
        <x:v>10.555555555555555</x:v>
      </x:c>
      <x:c r="N889" s="9" t="n">
        <x:f>M889*'Parameters'!$C$18</x:f>
        <x:v>2.111111111111111</x:v>
      </x:c>
      <x:c r="O889" s="9" t="n">
        <x:f>N889*'Parameters'!$C$19</x:f>
        <x:v>2.638888888888889</x:v>
      </x:c>
      <x:c r="P889" s="9" t="n">
        <x:f>M889*(1-0.40)-N889</x:f>
        <x:v>4.222222222222221</x:v>
      </x:c>
      <x:c r="Q889" s="9" t="n">
        <x:f>'Physical_Arcs'!T49</x:f>
        <x:v>5.277777777777778</x:v>
      </x:c>
      <x:c r="R889" s="9" t="n">
        <x:f>Q889*'Parameters'!$C$18</x:f>
        <x:v>1.0555555555555556</x:v>
      </x:c>
      <x:c r="S889" s="9" t="n">
        <x:f>R889*'Parameters'!$C$19</x:f>
        <x:v>1.3194444444444444</x:v>
      </x:c>
      <x:c r="T889" s="9" t="n">
        <x:f>Q889*(1-0.40)-R889</x:f>
        <x:v>2.1111111111111107</x:v>
      </x:c>
    </x:row>
    <x:row r="890" ht="21" customHeight="1">
      <x:c r="A890" s="3" t="n">
        <x:v>14</x:v>
      </x:c>
      <x:c r="B890" s="3" t="str">
        <x:v>02:20</x:v>
      </x:c>
      <x:c r="C890" s="3" t="n">
        <x:v>3</x:v>
      </x:c>
      <x:c r="D890" s="3" t="n">
        <x:v>49</x:v>
      </x:c>
      <x:c r="E890" s="3" t="n">
        <x:v>8</x:v>
      </x:c>
      <x:c r="F890" s="3" t="n">
        <x:v>4</x:v>
      </x:c>
      <x:c r="G890" s="9" t="n">
        <x:v>0.1</x:v>
      </x:c>
      <x:c r="H890" s="9" t="n">
        <x:v>0.904949</x:v>
      </x:c>
      <x:c r="I890" s="9" t="n">
        <x:f>'Physical_Arcs'!R50</x:f>
        <x:v>1.5833333333333333</x:v>
      </x:c>
      <x:c r="J890" s="9" t="n">
        <x:f>I890*'Parameters'!$C$18</x:f>
        <x:v>0.31666666666666665</x:v>
      </x:c>
      <x:c r="K890" s="9" t="n">
        <x:f>J890*'Parameters'!$C$19</x:f>
        <x:v>0.3958333333333333</x:v>
      </x:c>
      <x:c r="L890" s="9" t="n">
        <x:f>I890*(1-0.40)-J890</x:f>
        <x:v>0.6333333333333333</x:v>
      </x:c>
      <x:c r="M890" s="9" t="n">
        <x:f>'Physical_Arcs'!S50</x:f>
        <x:v>1.5833333333333333</x:v>
      </x:c>
      <x:c r="N890" s="9" t="n">
        <x:f>M890*'Parameters'!$C$18</x:f>
        <x:v>0.31666666666666665</x:v>
      </x:c>
      <x:c r="O890" s="9" t="n">
        <x:f>N890*'Parameters'!$C$19</x:f>
        <x:v>0.3958333333333333</x:v>
      </x:c>
      <x:c r="P890" s="9" t="n">
        <x:f>M890*(1-0.40)-N890</x:f>
        <x:v>0.6333333333333333</x:v>
      </x:c>
      <x:c r="Q890" s="9" t="n">
        <x:f>'Physical_Arcs'!T50</x:f>
        <x:v>0.8055555555555556</x:v>
      </x:c>
      <x:c r="R890" s="9" t="n">
        <x:f>Q890*'Parameters'!$C$18</x:f>
        <x:v>0.16111111111111112</x:v>
      </x:c>
      <x:c r="S890" s="9" t="n">
        <x:f>R890*'Parameters'!$C$19</x:f>
        <x:v>0.2013888888888889</x:v>
      </x:c>
      <x:c r="T890" s="9" t="n">
        <x:f>Q890*(1-0.40)-R890</x:f>
        <x:v>0.3222222222222222</x:v>
      </x:c>
    </x:row>
    <x:row r="891" ht="21" customHeight="1">
      <x:c r="A891" s="3" t="n">
        <x:v>14</x:v>
      </x:c>
      <x:c r="B891" s="3" t="str">
        <x:v>02:20</x:v>
      </x:c>
      <x:c r="C891" s="3" t="n">
        <x:v>3</x:v>
      </x:c>
      <x:c r="D891" s="3" t="n">
        <x:v>50</x:v>
      </x:c>
      <x:c r="E891" s="3" t="n">
        <x:v>8</x:v>
      </x:c>
      <x:c r="F891" s="3" t="n">
        <x:v>5</x:v>
      </x:c>
      <x:c r="G891" s="9" t="n">
        <x:v>0.1</x:v>
      </x:c>
      <x:c r="H891" s="9" t="n">
        <x:v>0.990416</x:v>
      </x:c>
      <x:c r="I891" s="9" t="n">
        <x:f>'Physical_Arcs'!R51</x:f>
        <x:v>10.777777777777779</x:v>
      </x:c>
      <x:c r="J891" s="9" t="n">
        <x:f>I891*'Parameters'!$C$18</x:f>
        <x:v>2.155555555555556</x:v>
      </x:c>
      <x:c r="K891" s="9" t="n">
        <x:f>J891*'Parameters'!$C$19</x:f>
        <x:v>2.6944444444444446</x:v>
      </x:c>
      <x:c r="L891" s="9" t="n">
        <x:f>I891*(1-0.40)-J891</x:f>
        <x:v>4.311111111111111</x:v>
      </x:c>
      <x:c r="M891" s="9" t="n">
        <x:f>'Physical_Arcs'!S51</x:f>
        <x:v>10.777777777777779</x:v>
      </x:c>
      <x:c r="N891" s="9" t="n">
        <x:f>M891*'Parameters'!$C$18</x:f>
        <x:v>2.155555555555556</x:v>
      </x:c>
      <x:c r="O891" s="9" t="n">
        <x:f>N891*'Parameters'!$C$19</x:f>
        <x:v>2.6944444444444446</x:v>
      </x:c>
      <x:c r="P891" s="9" t="n">
        <x:f>M891*(1-0.40)-N891</x:f>
        <x:v>4.311111111111111</x:v>
      </x:c>
      <x:c r="Q891" s="9" t="n">
        <x:f>'Physical_Arcs'!T51</x:f>
        <x:v>5.388888888888889</x:v>
      </x:c>
      <x:c r="R891" s="9" t="n">
        <x:f>Q891*'Parameters'!$C$18</x:f>
        <x:v>1.077777777777778</x:v>
      </x:c>
      <x:c r="S891" s="9" t="n">
        <x:f>R891*'Parameters'!$C$19</x:f>
        <x:v>1.3472222222222223</x:v>
      </x:c>
      <x:c r="T891" s="9" t="n">
        <x:f>Q891*(1-0.40)-R891</x:f>
        <x:v>2.1555555555555554</x:v>
      </x:c>
    </x:row>
    <x:row r="892" ht="21" customHeight="1">
      <x:c r="A892" s="3" t="n">
        <x:v>14</x:v>
      </x:c>
      <x:c r="B892" s="3" t="str">
        <x:v>02:20</x:v>
      </x:c>
      <x:c r="C892" s="3" t="n">
        <x:v>3</x:v>
      </x:c>
      <x:c r="D892" s="3" t="n">
        <x:v>51</x:v>
      </x:c>
      <x:c r="E892" s="3" t="n">
        <x:v>8</x:v>
      </x:c>
      <x:c r="F892" s="3" t="n">
        <x:v>1</x:v>
      </x:c>
      <x:c r="G892" s="9" t="n">
        <x:v>0.1</x:v>
      </x:c>
      <x:c r="H892" s="9" t="n">
        <x:v>1.039066</x:v>
      </x:c>
      <x:c r="I892" s="9" t="n">
        <x:f>'Physical_Arcs'!R52</x:f>
        <x:v>8.88888888888889</x:v>
      </x:c>
      <x:c r="J892" s="9" t="n">
        <x:f>I892*'Parameters'!$C$18</x:f>
        <x:v>1.777777777777778</x:v>
      </x:c>
      <x:c r="K892" s="9" t="n">
        <x:f>J892*'Parameters'!$C$19</x:f>
        <x:v>2.2222222222222223</x:v>
      </x:c>
      <x:c r="L892" s="9" t="n">
        <x:f>I892*(1-0.40)-J892</x:f>
        <x:v>3.5555555555555554</x:v>
      </x:c>
      <x:c r="M892" s="9" t="n">
        <x:f>'Physical_Arcs'!S52</x:f>
        <x:v>8.88888888888889</x:v>
      </x:c>
      <x:c r="N892" s="9" t="n">
        <x:f>M892*'Parameters'!$C$18</x:f>
        <x:v>1.777777777777778</x:v>
      </x:c>
      <x:c r="O892" s="9" t="n">
        <x:f>N892*'Parameters'!$C$19</x:f>
        <x:v>2.2222222222222223</x:v>
      </x:c>
      <x:c r="P892" s="9" t="n">
        <x:f>M892*(1-0.40)-N892</x:f>
        <x:v>3.5555555555555554</x:v>
      </x:c>
      <x:c r="Q892" s="9" t="n">
        <x:f>'Physical_Arcs'!T52</x:f>
        <x:v>4.444444444444445</x:v>
      </x:c>
      <x:c r="R892" s="9" t="n">
        <x:f>Q892*'Parameters'!$C$18</x:f>
        <x:v>0.888888888888889</x:v>
      </x:c>
      <x:c r="S892" s="9" t="n">
        <x:f>R892*'Parameters'!$C$19</x:f>
        <x:v>1.1111111111111112</x:v>
      </x:c>
      <x:c r="T892" s="9" t="n">
        <x:f>Q892*(1-0.40)-R892</x:f>
        <x:v>1.7777777777777777</x:v>
      </x:c>
    </x:row>
    <x:row r="893" ht="21" customHeight="1">
      <x:c r="A893" s="3" t="n">
        <x:v>14</x:v>
      </x:c>
      <x:c r="B893" s="3" t="str">
        <x:v>02:20</x:v>
      </x:c>
      <x:c r="C893" s="3" t="n">
        <x:v>3</x:v>
      </x:c>
      <x:c r="D893" s="3" t="n">
        <x:v>52</x:v>
      </x:c>
      <x:c r="E893" s="3" t="n">
        <x:v>9</x:v>
      </x:c>
      <x:c r="F893" s="3" t="n">
        <x:v>10</x:v>
      </x:c>
      <x:c r="G893" s="9" t="n">
        <x:v>0.1</x:v>
      </x:c>
      <x:c r="H893" s="9" t="n">
        <x:v>0.954096</x:v>
      </x:c>
      <x:c r="I893" s="9" t="n">
        <x:f>'Physical_Arcs'!R53</x:f>
        <x:v>17.02777777777778</x:v>
      </x:c>
      <x:c r="J893" s="9" t="n">
        <x:f>I893*'Parameters'!$C$18</x:f>
        <x:v>3.405555555555556</x:v>
      </x:c>
      <x:c r="K893" s="9" t="n">
        <x:f>J893*'Parameters'!$C$19</x:f>
        <x:v>4.256944444444445</x:v>
      </x:c>
      <x:c r="L893" s="9" t="n">
        <x:f>I893*(1-0.40)-J893</x:f>
        <x:v>6.811111111111111</x:v>
      </x:c>
      <x:c r="M893" s="9" t="n">
        <x:f>'Physical_Arcs'!S53</x:f>
        <x:v>17.02777777777778</x:v>
      </x:c>
      <x:c r="N893" s="9" t="n">
        <x:f>M893*'Parameters'!$C$18</x:f>
        <x:v>3.405555555555556</x:v>
      </x:c>
      <x:c r="O893" s="9" t="n">
        <x:f>N893*'Parameters'!$C$19</x:f>
        <x:v>4.256944444444445</x:v>
      </x:c>
      <x:c r="P893" s="9" t="n">
        <x:f>M893*(1-0.40)-N893</x:f>
        <x:v>6.811111111111111</x:v>
      </x:c>
      <x:c r="Q893" s="9" t="n">
        <x:f>'Physical_Arcs'!T53</x:f>
        <x:v>17.02777777777778</x:v>
      </x:c>
      <x:c r="R893" s="9" t="n">
        <x:f>Q893*'Parameters'!$C$18</x:f>
        <x:v>3.405555555555556</x:v>
      </x:c>
      <x:c r="S893" s="9" t="n">
        <x:f>R893*'Parameters'!$C$19</x:f>
        <x:v>4.256944444444445</x:v>
      </x:c>
      <x:c r="T893" s="9" t="n">
        <x:f>Q893*(1-0.40)-R893</x:f>
        <x:v>6.811111111111111</x:v>
      </x:c>
    </x:row>
    <x:row r="894" ht="21" customHeight="1">
      <x:c r="A894" s="3" t="n">
        <x:v>14</x:v>
      </x:c>
      <x:c r="B894" s="3" t="str">
        <x:v>02:20</x:v>
      </x:c>
      <x:c r="C894" s="3" t="n">
        <x:v>3</x:v>
      </x:c>
      <x:c r="D894" s="3" t="n">
        <x:v>53</x:v>
      </x:c>
      <x:c r="E894" s="3" t="n">
        <x:v>9</x:v>
      </x:c>
      <x:c r="F894" s="3" t="n">
        <x:v>6</x:v>
      </x:c>
      <x:c r="G894" s="9" t="n">
        <x:v>0.1</x:v>
      </x:c>
      <x:c r="H894" s="9" t="n">
        <x:v>1.125574</x:v>
      </x:c>
      <x:c r="I894" s="9" t="n">
        <x:f>'Physical_Arcs'!R54</x:f>
        <x:v>9.666666666666666</x:v>
      </x:c>
      <x:c r="J894" s="9" t="n">
        <x:f>I894*'Parameters'!$C$18</x:f>
        <x:v>1.9333333333333333</x:v>
      </x:c>
      <x:c r="K894" s="9" t="n">
        <x:f>J894*'Parameters'!$C$19</x:f>
        <x:v>2.4166666666666665</x:v>
      </x:c>
      <x:c r="L894" s="9" t="n">
        <x:f>I894*(1-0.40)-J894</x:f>
        <x:v>3.8666666666666663</x:v>
      </x:c>
      <x:c r="M894" s="9" t="n">
        <x:f>'Physical_Arcs'!S54</x:f>
        <x:v>9.666666666666666</x:v>
      </x:c>
      <x:c r="N894" s="9" t="n">
        <x:f>M894*'Parameters'!$C$18</x:f>
        <x:v>1.9333333333333333</x:v>
      </x:c>
      <x:c r="O894" s="9" t="n">
        <x:f>N894*'Parameters'!$C$19</x:f>
        <x:v>2.4166666666666665</x:v>
      </x:c>
      <x:c r="P894" s="9" t="n">
        <x:f>M894*(1-0.40)-N894</x:f>
        <x:v>3.8666666666666663</x:v>
      </x:c>
      <x:c r="Q894" s="9" t="n">
        <x:f>'Physical_Arcs'!T54</x:f>
        <x:v>4.833333333333333</x:v>
      </x:c>
      <x:c r="R894" s="9" t="n">
        <x:f>Q894*'Parameters'!$C$18</x:f>
        <x:v>0.9666666666666667</x:v>
      </x:c>
      <x:c r="S894" s="9" t="n">
        <x:f>R894*'Parameters'!$C$19</x:f>
        <x:v>1.2083333333333333</x:v>
      </x:c>
      <x:c r="T894" s="9" t="n">
        <x:f>Q894*(1-0.40)-R894</x:f>
        <x:v>1.9333333333333331</x:v>
      </x:c>
    </x:row>
    <x:row r="895" ht="21" customHeight="1">
      <x:c r="A895" s="3" t="n">
        <x:v>14</x:v>
      </x:c>
      <x:c r="B895" s="3" t="str">
        <x:v>02:20</x:v>
      </x:c>
      <x:c r="C895" s="3" t="n">
        <x:v>3</x:v>
      </x:c>
      <x:c r="D895" s="3" t="n">
        <x:v>54</x:v>
      </x:c>
      <x:c r="E895" s="3" t="n">
        <x:v>9</x:v>
      </x:c>
      <x:c r="F895" s="3" t="n">
        <x:v>2</x:v>
      </x:c>
      <x:c r="G895" s="9" t="n">
        <x:v>0.1</x:v>
      </x:c>
      <x:c r="H895" s="9" t="n">
        <x:v>0.854534</x:v>
      </x:c>
      <x:c r="I895" s="9" t="n">
        <x:f>'Physical_Arcs'!R55</x:f>
        <x:v>9.88888888888889</x:v>
      </x:c>
      <x:c r="J895" s="9" t="n">
        <x:f>I895*'Parameters'!$C$18</x:f>
        <x:v>1.9777777777777779</x:v>
      </x:c>
      <x:c r="K895" s="9" t="n">
        <x:f>J895*'Parameters'!$C$19</x:f>
        <x:v>2.4722222222222223</x:v>
      </x:c>
      <x:c r="L895" s="9" t="n">
        <x:f>I895*(1-0.40)-J895</x:f>
        <x:v>3.9555555555555557</x:v>
      </x:c>
      <x:c r="M895" s="9" t="n">
        <x:f>'Physical_Arcs'!S55</x:f>
        <x:v>9.88888888888889</x:v>
      </x:c>
      <x:c r="N895" s="9" t="n">
        <x:f>M895*'Parameters'!$C$18</x:f>
        <x:v>1.9777777777777779</x:v>
      </x:c>
      <x:c r="O895" s="9" t="n">
        <x:f>N895*'Parameters'!$C$19</x:f>
        <x:v>2.4722222222222223</x:v>
      </x:c>
      <x:c r="P895" s="9" t="n">
        <x:f>M895*(1-0.40)-N895</x:f>
        <x:v>3.9555555555555557</x:v>
      </x:c>
      <x:c r="Q895" s="9" t="n">
        <x:f>'Physical_Arcs'!T55</x:f>
        <x:v>4.944444444444445</x:v>
      </x:c>
      <x:c r="R895" s="9" t="n">
        <x:f>Q895*'Parameters'!$C$18</x:f>
        <x:v>0.9888888888888889</x:v>
      </x:c>
      <x:c r="S895" s="9" t="n">
        <x:f>R895*'Parameters'!$C$19</x:f>
        <x:v>1.2361111111111112</x:v>
      </x:c>
      <x:c r="T895" s="9" t="n">
        <x:f>Q895*(1-0.40)-R895</x:f>
        <x:v>1.9777777777777779</x:v>
      </x:c>
    </x:row>
    <x:row r="896" ht="21" customHeight="1">
      <x:c r="A896" s="3" t="n">
        <x:v>14</x:v>
      </x:c>
      <x:c r="B896" s="3" t="str">
        <x:v>02:20</x:v>
      </x:c>
      <x:c r="C896" s="3" t="n">
        <x:v>3</x:v>
      </x:c>
      <x:c r="D896" s="3" t="n">
        <x:v>55</x:v>
      </x:c>
      <x:c r="E896" s="3" t="n">
        <x:v>9</x:v>
      </x:c>
      <x:c r="F896" s="3" t="n">
        <x:v>7</x:v>
      </x:c>
      <x:c r="G896" s="9" t="n">
        <x:v>0.1</x:v>
      </x:c>
      <x:c r="H896" s="9" t="n">
        <x:v>0.900033</x:v>
      </x:c>
      <x:c r="I896" s="9" t="n">
        <x:f>'Physical_Arcs'!R56</x:f>
        <x:v>4.166666666666667</x:v>
      </x:c>
      <x:c r="J896" s="9" t="n">
        <x:f>I896*'Parameters'!$C$18</x:f>
        <x:v>0.8333333333333335</x:v>
      </x:c>
      <x:c r="K896" s="9" t="n">
        <x:f>J896*'Parameters'!$C$19</x:f>
        <x:v>1.041666666666667</x:v>
      </x:c>
      <x:c r="L896" s="9" t="n">
        <x:f>I896*(1-0.40)-J896</x:f>
        <x:v>1.6666666666666665</x:v>
      </x:c>
      <x:c r="M896" s="9" t="n">
        <x:f>'Physical_Arcs'!S56</x:f>
        <x:v>4.166666666666667</x:v>
      </x:c>
      <x:c r="N896" s="9" t="n">
        <x:f>M896*'Parameters'!$C$18</x:f>
        <x:v>0.8333333333333335</x:v>
      </x:c>
      <x:c r="O896" s="9" t="n">
        <x:f>N896*'Parameters'!$C$19</x:f>
        <x:v>1.041666666666667</x:v>
      </x:c>
      <x:c r="P896" s="9" t="n">
        <x:f>M896*(1-0.40)-N896</x:f>
        <x:v>1.6666666666666665</x:v>
      </x:c>
      <x:c r="Q896" s="9" t="n">
        <x:f>'Physical_Arcs'!T56</x:f>
        <x:v>2.0833333333333335</x:v>
      </x:c>
      <x:c r="R896" s="9" t="n">
        <x:f>Q896*'Parameters'!$C$18</x:f>
        <x:v>0.41666666666666674</x:v>
      </x:c>
      <x:c r="S896" s="9" t="n">
        <x:f>R896*'Parameters'!$C$19</x:f>
        <x:v>0.5208333333333335</x:v>
      </x:c>
      <x:c r="T896" s="9" t="n">
        <x:f>Q896*(1-0.40)-R896</x:f>
        <x:v>0.8333333333333333</x:v>
      </x:c>
    </x:row>
    <x:row r="897" ht="21" customHeight="1">
      <x:c r="A897" s="3" t="n">
        <x:v>14</x:v>
      </x:c>
      <x:c r="B897" s="3" t="str">
        <x:v>02:20</x:v>
      </x:c>
      <x:c r="C897" s="3" t="n">
        <x:v>3</x:v>
      </x:c>
      <x:c r="D897" s="3" t="n">
        <x:v>56</x:v>
      </x:c>
      <x:c r="E897" s="3" t="n">
        <x:v>9</x:v>
      </x:c>
      <x:c r="F897" s="3" t="n">
        <x:v>3</x:v>
      </x:c>
      <x:c r="G897" s="9" t="n">
        <x:v>0.1</x:v>
      </x:c>
      <x:c r="H897" s="9" t="n">
        <x:v>0.893428</x:v>
      </x:c>
      <x:c r="I897" s="9" t="n">
        <x:f>'Physical_Arcs'!R57</x:f>
        <x:v>3.7222222222222223</x:v>
      </x:c>
      <x:c r="J897" s="9" t="n">
        <x:f>I897*'Parameters'!$C$18</x:f>
        <x:v>0.7444444444444445</x:v>
      </x:c>
      <x:c r="K897" s="9" t="n">
        <x:f>J897*'Parameters'!$C$19</x:f>
        <x:v>0.9305555555555556</x:v>
      </x:c>
      <x:c r="L897" s="9" t="n">
        <x:f>I897*(1-0.40)-J897</x:f>
        <x:v>1.488888888888889</x:v>
      </x:c>
      <x:c r="M897" s="9" t="n">
        <x:f>'Physical_Arcs'!S57</x:f>
        <x:v>3.7222222222222223</x:v>
      </x:c>
      <x:c r="N897" s="9" t="n">
        <x:f>M897*'Parameters'!$C$18</x:f>
        <x:v>0.7444444444444445</x:v>
      </x:c>
      <x:c r="O897" s="9" t="n">
        <x:f>N897*'Parameters'!$C$19</x:f>
        <x:v>0.9305555555555556</x:v>
      </x:c>
      <x:c r="P897" s="9" t="n">
        <x:f>M897*(1-0.40)-N897</x:f>
        <x:v>1.488888888888889</x:v>
      </x:c>
      <x:c r="Q897" s="9" t="n">
        <x:f>'Physical_Arcs'!T57</x:f>
        <x:v>1.8611111111111112</x:v>
      </x:c>
      <x:c r="R897" s="9" t="n">
        <x:f>Q897*'Parameters'!$C$18</x:f>
        <x:v>0.37222222222222223</x:v>
      </x:c>
      <x:c r="S897" s="9" t="n">
        <x:f>R897*'Parameters'!$C$19</x:f>
        <x:v>0.4652777777777778</x:v>
      </x:c>
      <x:c r="T897" s="9" t="n">
        <x:f>Q897*(1-0.40)-R897</x:f>
        <x:v>0.7444444444444445</x:v>
      </x:c>
    </x:row>
    <x:row r="898" ht="21" customHeight="1">
      <x:c r="A898" s="3" t="n">
        <x:v>14</x:v>
      </x:c>
      <x:c r="B898" s="3" t="str">
        <x:v>02:20</x:v>
      </x:c>
      <x:c r="C898" s="3" t="n">
        <x:v>3</x:v>
      </x:c>
      <x:c r="D898" s="3" t="n">
        <x:v>57</x:v>
      </x:c>
      <x:c r="E898" s="3" t="n">
        <x:v>10</x:v>
      </x:c>
      <x:c r="F898" s="3" t="n">
        <x:v>1</x:v>
      </x:c>
      <x:c r="G898" s="9" t="n">
        <x:v>0.1</x:v>
      </x:c>
      <x:c r="H898" s="9" t="n">
        <x:v>1.027979</x:v>
      </x:c>
      <x:c r="I898" s="9" t="n">
        <x:f>'Physical_Arcs'!R58</x:f>
        <x:v>17.02777777777778</x:v>
      </x:c>
      <x:c r="J898" s="9" t="n">
        <x:f>I898*'Parameters'!$C$18</x:f>
        <x:v>3.405555555555556</x:v>
      </x:c>
      <x:c r="K898" s="9" t="n">
        <x:f>J898*'Parameters'!$C$19</x:f>
        <x:v>4.256944444444445</x:v>
      </x:c>
      <x:c r="L898" s="9" t="n">
        <x:f>I898*(1-0.40)-J898</x:f>
        <x:v>6.811111111111111</x:v>
      </x:c>
      <x:c r="M898" s="9" t="n">
        <x:f>'Physical_Arcs'!S58</x:f>
        <x:v>17.02777777777778</x:v>
      </x:c>
      <x:c r="N898" s="9" t="n">
        <x:f>M898*'Parameters'!$C$18</x:f>
        <x:v>3.405555555555556</x:v>
      </x:c>
      <x:c r="O898" s="9" t="n">
        <x:f>N898*'Parameters'!$C$19</x:f>
        <x:v>4.256944444444445</x:v>
      </x:c>
      <x:c r="P898" s="9" t="n">
        <x:f>M898*(1-0.40)-N898</x:f>
        <x:v>6.811111111111111</x:v>
      </x:c>
      <x:c r="Q898" s="9" t="n">
        <x:f>'Physical_Arcs'!T58</x:f>
        <x:v>17.02777777777778</x:v>
      </x:c>
      <x:c r="R898" s="9" t="n">
        <x:f>Q898*'Parameters'!$C$18</x:f>
        <x:v>3.405555555555556</x:v>
      </x:c>
      <x:c r="S898" s="9" t="n">
        <x:f>R898*'Parameters'!$C$19</x:f>
        <x:v>4.256944444444445</x:v>
      </x:c>
      <x:c r="T898" s="9" t="n">
        <x:f>Q898*(1-0.40)-R898</x:f>
        <x:v>6.811111111111111</x:v>
      </x:c>
    </x:row>
    <x:row r="899" ht="21" customHeight="1">
      <x:c r="A899" s="3" t="n">
        <x:v>14</x:v>
      </x:c>
      <x:c r="B899" s="3" t="str">
        <x:v>02:20</x:v>
      </x:c>
      <x:c r="C899" s="3" t="n">
        <x:v>3</x:v>
      </x:c>
      <x:c r="D899" s="3" t="n">
        <x:v>58</x:v>
      </x:c>
      <x:c r="E899" s="3" t="n">
        <x:v>10</x:v>
      </x:c>
      <x:c r="F899" s="3" t="n">
        <x:v>6</x:v>
      </x:c>
      <x:c r="G899" s="9" t="n">
        <x:v>0.1</x:v>
      </x:c>
      <x:c r="H899" s="9" t="n">
        <x:v>0.952676</x:v>
      </x:c>
      <x:c r="I899" s="9" t="n">
        <x:f>'Physical_Arcs'!R59</x:f>
        <x:v>6.305555555555555</x:v>
      </x:c>
      <x:c r="J899" s="9" t="n">
        <x:f>I899*'Parameters'!$C$18</x:f>
        <x:v>1.261111111111111</x:v>
      </x:c>
      <x:c r="K899" s="9" t="n">
        <x:f>J899*'Parameters'!$C$19</x:f>
        <x:v>1.5763888888888888</x:v>
      </x:c>
      <x:c r="L899" s="9" t="n">
        <x:f>I899*(1-0.40)-J899</x:f>
        <x:v>2.522222222222222</x:v>
      </x:c>
      <x:c r="M899" s="9" t="n">
        <x:f>'Physical_Arcs'!S59</x:f>
        <x:v>6.305555555555555</x:v>
      </x:c>
      <x:c r="N899" s="9" t="n">
        <x:f>M899*'Parameters'!$C$18</x:f>
        <x:v>1.261111111111111</x:v>
      </x:c>
      <x:c r="O899" s="9" t="n">
        <x:f>N899*'Parameters'!$C$19</x:f>
        <x:v>1.5763888888888888</x:v>
      </x:c>
      <x:c r="P899" s="9" t="n">
        <x:f>M899*(1-0.40)-N899</x:f>
        <x:v>2.522222222222222</x:v>
      </x:c>
      <x:c r="Q899" s="9" t="n">
        <x:f>'Physical_Arcs'!T59</x:f>
        <x:v>3.1666666666666665</x:v>
      </x:c>
      <x:c r="R899" s="9" t="n">
        <x:f>Q899*'Parameters'!$C$18</x:f>
        <x:v>0.6333333333333333</x:v>
      </x:c>
      <x:c r="S899" s="9" t="n">
        <x:f>R899*'Parameters'!$C$19</x:f>
        <x:v>0.7916666666666666</x:v>
      </x:c>
      <x:c r="T899" s="9" t="n">
        <x:f>Q899*(1-0.40)-R899</x:f>
        <x:v>1.2666666666666666</x:v>
      </x:c>
    </x:row>
    <x:row r="900" ht="21" customHeight="1">
      <x:c r="A900" s="3" t="n">
        <x:v>14</x:v>
      </x:c>
      <x:c r="B900" s="3" t="str">
        <x:v>02:20</x:v>
      </x:c>
      <x:c r="C900" s="3" t="n">
        <x:v>3</x:v>
      </x:c>
      <x:c r="D900" s="3" t="n">
        <x:v>59</x:v>
      </x:c>
      <x:c r="E900" s="3" t="n">
        <x:v>10</x:v>
      </x:c>
      <x:c r="F900" s="3" t="n">
        <x:v>4</x:v>
      </x:c>
      <x:c r="G900" s="9" t="n">
        <x:v>0.1</x:v>
      </x:c>
      <x:c r="H900" s="9" t="n">
        <x:v>1.114542</x:v>
      </x:c>
      <x:c r="I900" s="9" t="n">
        <x:f>'Physical_Arcs'!R60</x:f>
        <x:v>1.5833333333333333</x:v>
      </x:c>
      <x:c r="J900" s="9" t="n">
        <x:f>I900*'Parameters'!$C$18</x:f>
        <x:v>0.31666666666666665</x:v>
      </x:c>
      <x:c r="K900" s="9" t="n">
        <x:f>J900*'Parameters'!$C$19</x:f>
        <x:v>0.3958333333333333</x:v>
      </x:c>
      <x:c r="L900" s="9" t="n">
        <x:f>I900*(1-0.40)-J900</x:f>
        <x:v>0.6333333333333333</x:v>
      </x:c>
      <x:c r="M900" s="9" t="n">
        <x:f>'Physical_Arcs'!S60</x:f>
        <x:v>1.5833333333333333</x:v>
      </x:c>
      <x:c r="N900" s="9" t="n">
        <x:f>M900*'Parameters'!$C$18</x:f>
        <x:v>0.31666666666666665</x:v>
      </x:c>
      <x:c r="O900" s="9" t="n">
        <x:f>N900*'Parameters'!$C$19</x:f>
        <x:v>0.3958333333333333</x:v>
      </x:c>
      <x:c r="P900" s="9" t="n">
        <x:f>M900*(1-0.40)-N900</x:f>
        <x:v>0.6333333333333333</x:v>
      </x:c>
      <x:c r="Q900" s="9" t="n">
        <x:f>'Physical_Arcs'!T60</x:f>
        <x:v>0.8055555555555556</x:v>
      </x:c>
      <x:c r="R900" s="9" t="n">
        <x:f>Q900*'Parameters'!$C$18</x:f>
        <x:v>0.16111111111111112</x:v>
      </x:c>
      <x:c r="S900" s="9" t="n">
        <x:f>R900*'Parameters'!$C$19</x:f>
        <x:v>0.2013888888888889</x:v>
      </x:c>
      <x:c r="T900" s="9" t="n">
        <x:f>Q900*(1-0.40)-R900</x:f>
        <x:v>0.3222222222222222</x:v>
      </x:c>
    </x:row>
    <x:row r="901" ht="21" customHeight="1">
      <x:c r="A901" s="3" t="n">
        <x:v>14</x:v>
      </x:c>
      <x:c r="B901" s="3" t="str">
        <x:v>02:20</x:v>
      </x:c>
      <x:c r="C901" s="3" t="n">
        <x:v>3</x:v>
      </x:c>
      <x:c r="D901" s="3" t="n">
        <x:v>60</x:v>
      </x:c>
      <x:c r="E901" s="3" t="n">
        <x:v>10</x:v>
      </x:c>
      <x:c r="F901" s="3" t="n">
        <x:v>9</x:v>
      </x:c>
      <x:c r="G901" s="9" t="n">
        <x:v>0.1</x:v>
      </x:c>
      <x:c r="H901" s="9" t="n">
        <x:v>1.092245</x:v>
      </x:c>
      <x:c r="I901" s="9" t="n">
        <x:f>'Physical_Arcs'!R61</x:f>
        <x:v>10.333333333333334</x:v>
      </x:c>
      <x:c r="J901" s="9" t="n">
        <x:f>I901*'Parameters'!$C$18</x:f>
        <x:v>2.066666666666667</x:v>
      </x:c>
      <x:c r="K901" s="9" t="n">
        <x:f>J901*'Parameters'!$C$19</x:f>
        <x:v>2.5833333333333335</x:v>
      </x:c>
      <x:c r="L901" s="9" t="n">
        <x:f>I901*(1-0.40)-J901</x:f>
        <x:v>4.133333333333333</x:v>
      </x:c>
      <x:c r="M901" s="9" t="n">
        <x:f>'Physical_Arcs'!S61</x:f>
        <x:v>10.333333333333334</x:v>
      </x:c>
      <x:c r="N901" s="9" t="n">
        <x:f>M901*'Parameters'!$C$18</x:f>
        <x:v>2.066666666666667</x:v>
      </x:c>
      <x:c r="O901" s="9" t="n">
        <x:f>N901*'Parameters'!$C$19</x:f>
        <x:v>2.5833333333333335</x:v>
      </x:c>
      <x:c r="P901" s="9" t="n">
        <x:f>M901*(1-0.40)-N901</x:f>
        <x:v>4.133333333333333</x:v>
      </x:c>
      <x:c r="Q901" s="9" t="n">
        <x:f>'Physical_Arcs'!T61</x:f>
        <x:v>5.166666666666667</x:v>
      </x:c>
      <x:c r="R901" s="9" t="n">
        <x:f>Q901*'Parameters'!$C$18</x:f>
        <x:v>1.0333333333333334</x:v>
      </x:c>
      <x:c r="S901" s="9" t="n">
        <x:f>R901*'Parameters'!$C$19</x:f>
        <x:v>1.2916666666666667</x:v>
      </x:c>
      <x:c r="T901" s="9" t="n">
        <x:f>Q901*(1-0.40)-R901</x:f>
        <x:v>2.0666666666666664</x:v>
      </x:c>
    </x:row>
    <x:row r="902" ht="21" customHeight="1">
      <x:c r="A902" s="3" t="n">
        <x:v>15</x:v>
      </x:c>
      <x:c r="B902" s="3" t="str">
        <x:v>02:30</x:v>
      </x:c>
      <x:c r="C902" s="3" t="n">
        <x:v>3</x:v>
      </x:c>
      <x:c r="D902" s="3" t="n">
        <x:v>1</x:v>
      </x:c>
      <x:c r="E902" s="3" t="n">
        <x:v>1</x:v>
      </x:c>
      <x:c r="F902" s="3" t="n">
        <x:v>2</x:v>
      </x:c>
      <x:c r="G902" s="9" t="n">
        <x:v>0.1</x:v>
      </x:c>
      <x:c r="H902" s="9" t="n">
        <x:v>0.914787</x:v>
      </x:c>
      <x:c r="I902" s="9" t="n">
        <x:f>'Physical_Arcs'!R2</x:f>
        <x:v>17.02777777777778</x:v>
      </x:c>
      <x:c r="J902" s="9" t="n">
        <x:f>I902*'Parameters'!$C$18</x:f>
        <x:v>3.405555555555556</x:v>
      </x:c>
      <x:c r="K902" s="9" t="n">
        <x:f>J902*'Parameters'!$C$19</x:f>
        <x:v>4.256944444444445</x:v>
      </x:c>
      <x:c r="L902" s="9" t="n">
        <x:f>I902*(1-0.40)-J902</x:f>
        <x:v>6.811111111111111</x:v>
      </x:c>
      <x:c r="M902" s="9" t="n">
        <x:f>'Physical_Arcs'!S2</x:f>
        <x:v>17.02777777777778</x:v>
      </x:c>
      <x:c r="N902" s="9" t="n">
        <x:f>M902*'Parameters'!$C$18</x:f>
        <x:v>3.405555555555556</x:v>
      </x:c>
      <x:c r="O902" s="9" t="n">
        <x:f>N902*'Parameters'!$C$19</x:f>
        <x:v>4.256944444444445</x:v>
      </x:c>
      <x:c r="P902" s="9" t="n">
        <x:f>M902*(1-0.40)-N902</x:f>
        <x:v>6.811111111111111</x:v>
      </x:c>
      <x:c r="Q902" s="9" t="n">
        <x:f>'Physical_Arcs'!T2</x:f>
        <x:v>17.02777777777778</x:v>
      </x:c>
      <x:c r="R902" s="9" t="n">
        <x:f>Q902*'Parameters'!$C$18</x:f>
        <x:v>3.405555555555556</x:v>
      </x:c>
      <x:c r="S902" s="9" t="n">
        <x:f>R902*'Parameters'!$C$19</x:f>
        <x:v>4.256944444444445</x:v>
      </x:c>
      <x:c r="T902" s="9" t="n">
        <x:f>Q902*(1-0.40)-R902</x:f>
        <x:v>6.811111111111111</x:v>
      </x:c>
    </x:row>
    <x:row r="903" ht="21" customHeight="1">
      <x:c r="A903" s="3" t="n">
        <x:v>15</x:v>
      </x:c>
      <x:c r="B903" s="3" t="str">
        <x:v>02:30</x:v>
      </x:c>
      <x:c r="C903" s="3" t="n">
        <x:v>3</x:v>
      </x:c>
      <x:c r="D903" s="3" t="n">
        <x:v>2</x:v>
      </x:c>
      <x:c r="E903" s="3" t="n">
        <x:v>1</x:v>
      </x:c>
      <x:c r="F903" s="3" t="n">
        <x:v>10</x:v>
      </x:c>
      <x:c r="G903" s="9" t="n">
        <x:v>0.1</x:v>
      </x:c>
      <x:c r="H903" s="9" t="n">
        <x:v>1.003995</x:v>
      </x:c>
      <x:c r="I903" s="9" t="n">
        <x:f>'Physical_Arcs'!R3</x:f>
        <x:v>3.2777777777777777</x:v>
      </x:c>
      <x:c r="J903" s="9" t="n">
        <x:f>I903*'Parameters'!$C$18</x:f>
        <x:v>0.6555555555555556</x:v>
      </x:c>
      <x:c r="K903" s="9" t="n">
        <x:f>J903*'Parameters'!$C$19</x:f>
        <x:v>0.8194444444444444</x:v>
      </x:c>
      <x:c r="L903" s="9" t="n">
        <x:f>I903*(1-0.40)-J903</x:f>
        <x:v>1.311111111111111</x:v>
      </x:c>
      <x:c r="M903" s="9" t="n">
        <x:f>'Physical_Arcs'!S3</x:f>
        <x:v>3.2777777777777777</x:v>
      </x:c>
      <x:c r="N903" s="9" t="n">
        <x:f>M903*'Parameters'!$C$18</x:f>
        <x:v>0.6555555555555556</x:v>
      </x:c>
      <x:c r="O903" s="9" t="n">
        <x:f>N903*'Parameters'!$C$19</x:f>
        <x:v>0.8194444444444444</x:v>
      </x:c>
      <x:c r="P903" s="9" t="n">
        <x:f>M903*(1-0.40)-N903</x:f>
        <x:v>1.311111111111111</x:v>
      </x:c>
      <x:c r="Q903" s="9" t="n">
        <x:f>'Physical_Arcs'!T3</x:f>
        <x:v>1.6388888888888888</x:v>
      </x:c>
      <x:c r="R903" s="9" t="n">
        <x:f>Q903*'Parameters'!$C$18</x:f>
        <x:v>0.3277777777777778</x:v>
      </x:c>
      <x:c r="S903" s="9" t="n">
        <x:f>R903*'Parameters'!$C$19</x:f>
        <x:v>0.4097222222222222</x:v>
      </x:c>
      <x:c r="T903" s="9" t="n">
        <x:f>Q903*(1-0.40)-R903</x:f>
        <x:v>0.6555555555555554</x:v>
      </x:c>
    </x:row>
    <x:row r="904" ht="21" customHeight="1">
      <x:c r="A904" s="3" t="n">
        <x:v>15</x:v>
      </x:c>
      <x:c r="B904" s="3" t="str">
        <x:v>02:30</x:v>
      </x:c>
      <x:c r="C904" s="3" t="n">
        <x:v>3</x:v>
      </x:c>
      <x:c r="D904" s="3" t="n">
        <x:v>3</x:v>
      </x:c>
      <x:c r="E904" s="3" t="n">
        <x:v>1</x:v>
      </x:c>
      <x:c r="F904" s="3" t="n">
        <x:v>8</x:v>
      </x:c>
      <x:c r="G904" s="9" t="n">
        <x:v>0.1</x:v>
      </x:c>
      <x:c r="H904" s="9" t="n">
        <x:v>0.923863</x:v>
      </x:c>
      <x:c r="I904" s="9" t="n">
        <x:f>'Physical_Arcs'!R4</x:f>
        <x:v>6.083333333333333</x:v>
      </x:c>
      <x:c r="J904" s="9" t="n">
        <x:f>I904*'Parameters'!$C$18</x:f>
        <x:v>1.2166666666666668</x:v>
      </x:c>
      <x:c r="K904" s="9" t="n">
        <x:f>J904*'Parameters'!$C$19</x:f>
        <x:v>1.5208333333333335</x:v>
      </x:c>
      <x:c r="L904" s="9" t="n">
        <x:f>I904*(1-0.40)-J904</x:f>
        <x:v>2.4333333333333327</x:v>
      </x:c>
      <x:c r="M904" s="9" t="n">
        <x:f>'Physical_Arcs'!S4</x:f>
        <x:v>6.083333333333333</x:v>
      </x:c>
      <x:c r="N904" s="9" t="n">
        <x:f>M904*'Parameters'!$C$18</x:f>
        <x:v>1.2166666666666668</x:v>
      </x:c>
      <x:c r="O904" s="9" t="n">
        <x:f>N904*'Parameters'!$C$19</x:f>
        <x:v>1.5208333333333335</x:v>
      </x:c>
      <x:c r="P904" s="9" t="n">
        <x:f>M904*(1-0.40)-N904</x:f>
        <x:v>2.4333333333333327</x:v>
      </x:c>
      <x:c r="Q904" s="9" t="n">
        <x:f>'Physical_Arcs'!T4</x:f>
        <x:v>3.0555555555555554</x:v>
      </x:c>
      <x:c r="R904" s="9" t="n">
        <x:f>Q904*'Parameters'!$C$18</x:f>
        <x:v>0.6111111111111112</x:v>
      </x:c>
      <x:c r="S904" s="9" t="n">
        <x:f>R904*'Parameters'!$C$19</x:f>
        <x:v>0.763888888888889</x:v>
      </x:c>
      <x:c r="T904" s="9" t="n">
        <x:f>Q904*(1-0.40)-R904</x:f>
        <x:v>1.2222222222222219</x:v>
      </x:c>
    </x:row>
    <x:row r="905" ht="21" customHeight="1">
      <x:c r="A905" s="3" t="n">
        <x:v>15</x:v>
      </x:c>
      <x:c r="B905" s="3" t="str">
        <x:v>02:30</x:v>
      </x:c>
      <x:c r="C905" s="3" t="n">
        <x:v>3</x:v>
      </x:c>
      <x:c r="D905" s="3" t="n">
        <x:v>4</x:v>
      </x:c>
      <x:c r="E905" s="3" t="n">
        <x:v>1</x:v>
      </x:c>
      <x:c r="F905" s="3" t="n">
        <x:v>7</x:v>
      </x:c>
      <x:c r="G905" s="9" t="n">
        <x:v>0.1</x:v>
      </x:c>
      <x:c r="H905" s="9" t="n">
        <x:v>1.111072</x:v>
      </x:c>
      <x:c r="I905" s="9" t="n">
        <x:f>'Physical_Arcs'!R5</x:f>
        <x:v>9</x:v>
      </x:c>
      <x:c r="J905" s="9" t="n">
        <x:f>I905*'Parameters'!$C$18</x:f>
        <x:v>1.8</x:v>
      </x:c>
      <x:c r="K905" s="9" t="n">
        <x:f>J905*'Parameters'!$C$19</x:f>
        <x:v>2.25</x:v>
      </x:c>
      <x:c r="L905" s="9" t="n">
        <x:f>I905*(1-0.40)-J905</x:f>
        <x:v>3.5999999999999996</x:v>
      </x:c>
      <x:c r="M905" s="9" t="n">
        <x:f>'Physical_Arcs'!S5</x:f>
        <x:v>9</x:v>
      </x:c>
      <x:c r="N905" s="9" t="n">
        <x:f>M905*'Parameters'!$C$18</x:f>
        <x:v>1.8</x:v>
      </x:c>
      <x:c r="O905" s="9" t="n">
        <x:f>N905*'Parameters'!$C$19</x:f>
        <x:v>2.25</x:v>
      </x:c>
      <x:c r="P905" s="9" t="n">
        <x:f>M905*(1-0.40)-N905</x:f>
        <x:v>3.5999999999999996</x:v>
      </x:c>
      <x:c r="Q905" s="9" t="n">
        <x:f>'Physical_Arcs'!T5</x:f>
        <x:v>4.5</x:v>
      </x:c>
      <x:c r="R905" s="9" t="n">
        <x:f>Q905*'Parameters'!$C$18</x:f>
        <x:v>0.9</x:v>
      </x:c>
      <x:c r="S905" s="9" t="n">
        <x:f>R905*'Parameters'!$C$19</x:f>
        <x:v>1.125</x:v>
      </x:c>
      <x:c r="T905" s="9" t="n">
        <x:f>Q905*(1-0.40)-R905</x:f>
        <x:v>1.7999999999999998</x:v>
      </x:c>
    </x:row>
    <x:row r="906" ht="21" customHeight="1">
      <x:c r="A906" s="3" t="n">
        <x:v>15</x:v>
      </x:c>
      <x:c r="B906" s="3" t="str">
        <x:v>02:30</x:v>
      </x:c>
      <x:c r="C906" s="3" t="n">
        <x:v>3</x:v>
      </x:c>
      <x:c r="D906" s="3" t="n">
        <x:v>5</x:v>
      </x:c>
      <x:c r="E906" s="3" t="n">
        <x:v>1</x:v>
      </x:c>
      <x:c r="F906" s="3" t="n">
        <x:v>4</x:v>
      </x:c>
      <x:c r="G906" s="9" t="n">
        <x:v>0.1</x:v>
      </x:c>
      <x:c r="H906" s="9" t="n">
        <x:v>1.001665</x:v>
      </x:c>
      <x:c r="I906" s="9" t="n">
        <x:f>'Physical_Arcs'!R6</x:f>
        <x:v>4.166666666666667</x:v>
      </x:c>
      <x:c r="J906" s="9" t="n">
        <x:f>I906*'Parameters'!$C$18</x:f>
        <x:v>0.8333333333333335</x:v>
      </x:c>
      <x:c r="K906" s="9" t="n">
        <x:f>J906*'Parameters'!$C$19</x:f>
        <x:v>1.041666666666667</x:v>
      </x:c>
      <x:c r="L906" s="9" t="n">
        <x:f>I906*(1-0.40)-J906</x:f>
        <x:v>1.6666666666666665</x:v>
      </x:c>
      <x:c r="M906" s="9" t="n">
        <x:f>'Physical_Arcs'!S6</x:f>
        <x:v>4.166666666666667</x:v>
      </x:c>
      <x:c r="N906" s="9" t="n">
        <x:f>M906*'Parameters'!$C$18</x:f>
        <x:v>0.8333333333333335</x:v>
      </x:c>
      <x:c r="O906" s="9" t="n">
        <x:f>N906*'Parameters'!$C$19</x:f>
        <x:v>1.041666666666667</x:v>
      </x:c>
      <x:c r="P906" s="9" t="n">
        <x:f>M906*(1-0.40)-N906</x:f>
        <x:v>1.6666666666666665</x:v>
      </x:c>
      <x:c r="Q906" s="9" t="n">
        <x:f>'Physical_Arcs'!T6</x:f>
        <x:v>2.0833333333333335</x:v>
      </x:c>
      <x:c r="R906" s="9" t="n">
        <x:f>Q906*'Parameters'!$C$18</x:f>
        <x:v>0.41666666666666674</x:v>
      </x:c>
      <x:c r="S906" s="9" t="n">
        <x:f>R906*'Parameters'!$C$19</x:f>
        <x:v>0.5208333333333335</x:v>
      </x:c>
      <x:c r="T906" s="9" t="n">
        <x:f>Q906*(1-0.40)-R906</x:f>
        <x:v>0.8333333333333333</x:v>
      </x:c>
    </x:row>
    <x:row r="907" ht="21" customHeight="1">
      <x:c r="A907" s="3" t="n">
        <x:v>15</x:v>
      </x:c>
      <x:c r="B907" s="3" t="str">
        <x:v>02:30</x:v>
      </x:c>
      <x:c r="C907" s="3" t="n">
        <x:v>3</x:v>
      </x:c>
      <x:c r="D907" s="3" t="n">
        <x:v>6</x:v>
      </x:c>
      <x:c r="E907" s="3" t="n">
        <x:v>1</x:v>
      </x:c>
      <x:c r="F907" s="3" t="n">
        <x:v>9</x:v>
      </x:c>
      <x:c r="G907" s="9" t="n">
        <x:v>0.1</x:v>
      </x:c>
      <x:c r="H907" s="9" t="n">
        <x:v>0.942884</x:v>
      </x:c>
      <x:c r="I907" s="9" t="n">
        <x:f>'Physical_Arcs'!R7</x:f>
        <x:v>11.027777777777779</x:v>
      </x:c>
      <x:c r="J907" s="9" t="n">
        <x:f>I907*'Parameters'!$C$18</x:f>
        <x:v>2.2055555555555557</x:v>
      </x:c>
      <x:c r="K907" s="9" t="n">
        <x:f>J907*'Parameters'!$C$19</x:f>
        <x:v>2.7569444444444446</x:v>
      </x:c>
      <x:c r="L907" s="9" t="n">
        <x:f>I907*(1-0.40)-J907</x:f>
        <x:v>4.411111111111111</x:v>
      </x:c>
      <x:c r="M907" s="9" t="n">
        <x:f>'Physical_Arcs'!S7</x:f>
        <x:v>11.027777777777779</x:v>
      </x:c>
      <x:c r="N907" s="9" t="n">
        <x:f>M907*'Parameters'!$C$18</x:f>
        <x:v>2.2055555555555557</x:v>
      </x:c>
      <x:c r="O907" s="9" t="n">
        <x:f>N907*'Parameters'!$C$19</x:f>
        <x:v>2.7569444444444446</x:v>
      </x:c>
      <x:c r="P907" s="9" t="n">
        <x:f>M907*(1-0.40)-N907</x:f>
        <x:v>4.411111111111111</x:v>
      </x:c>
      <x:c r="Q907" s="9" t="n">
        <x:f>'Physical_Arcs'!T7</x:f>
        <x:v>5.527777777777778</x:v>
      </x:c>
      <x:c r="R907" s="9" t="n">
        <x:f>Q907*'Parameters'!$C$18</x:f>
        <x:v>1.1055555555555556</x:v>
      </x:c>
      <x:c r="S907" s="9" t="n">
        <x:f>R907*'Parameters'!$C$19</x:f>
        <x:v>1.3819444444444446</x:v>
      </x:c>
      <x:c r="T907" s="9" t="n">
        <x:f>Q907*(1-0.40)-R907</x:f>
        <x:v>2.211111111111111</x:v>
      </x:c>
    </x:row>
    <x:row r="908" ht="21" customHeight="1">
      <x:c r="A908" s="3" t="n">
        <x:v>15</x:v>
      </x:c>
      <x:c r="B908" s="3" t="str">
        <x:v>02:30</x:v>
      </x:c>
      <x:c r="C908" s="3" t="n">
        <x:v>3</x:v>
      </x:c>
      <x:c r="D908" s="3" t="n">
        <x:v>7</x:v>
      </x:c>
      <x:c r="E908" s="3" t="n">
        <x:v>1</x:v>
      </x:c>
      <x:c r="F908" s="3" t="n">
        <x:v>5</x:v>
      </x:c>
      <x:c r="G908" s="9" t="n">
        <x:v>0.1</x:v>
      </x:c>
      <x:c r="H908" s="9" t="n">
        <x:v>1.038222</x:v>
      </x:c>
      <x:c r="I908" s="9" t="n">
        <x:f>'Physical_Arcs'!R8</x:f>
        <x:v>7.972222222222222</x:v>
      </x:c>
      <x:c r="J908" s="9" t="n">
        <x:f>I908*'Parameters'!$C$18</x:f>
        <x:v>1.5944444444444446</x:v>
      </x:c>
      <x:c r="K908" s="9" t="n">
        <x:f>J908*'Parameters'!$C$19</x:f>
        <x:v>1.9930555555555558</x:v>
      </x:c>
      <x:c r="L908" s="9" t="n">
        <x:f>I908*(1-0.40)-J908</x:f>
        <x:v>3.1888888888888887</x:v>
      </x:c>
      <x:c r="M908" s="9" t="n">
        <x:f>'Physical_Arcs'!S8</x:f>
        <x:v>7.972222222222222</x:v>
      </x:c>
      <x:c r="N908" s="9" t="n">
        <x:f>M908*'Parameters'!$C$18</x:f>
        <x:v>1.5944444444444446</x:v>
      </x:c>
      <x:c r="O908" s="9" t="n">
        <x:f>N908*'Parameters'!$C$19</x:f>
        <x:v>1.9930555555555558</x:v>
      </x:c>
      <x:c r="P908" s="9" t="n">
        <x:f>M908*(1-0.40)-N908</x:f>
        <x:v>3.1888888888888887</x:v>
      </x:c>
      <x:c r="Q908" s="9" t="n">
        <x:f>'Physical_Arcs'!T8</x:f>
        <x:v>4</x:v>
      </x:c>
      <x:c r="R908" s="9" t="n">
        <x:f>Q908*'Parameters'!$C$18</x:f>
        <x:v>0.8</x:v>
      </x:c>
      <x:c r="S908" s="9" t="n">
        <x:f>R908*'Parameters'!$C$19</x:f>
        <x:v>1</x:v>
      </x:c>
      <x:c r="T908" s="9" t="n">
        <x:f>Q908*(1-0.40)-R908</x:f>
        <x:v>1.5999999999999999</x:v>
      </x:c>
    </x:row>
    <x:row r="909" ht="21" customHeight="1">
      <x:c r="A909" s="3" t="n">
        <x:v>15</x:v>
      </x:c>
      <x:c r="B909" s="3" t="str">
        <x:v>02:30</x:v>
      </x:c>
      <x:c r="C909" s="3" t="n">
        <x:v>3</x:v>
      </x:c>
      <x:c r="D909" s="3" t="n">
        <x:v>8</x:v>
      </x:c>
      <x:c r="E909" s="3" t="n">
        <x:v>1</x:v>
      </x:c>
      <x:c r="F909" s="3" t="n">
        <x:v>3</x:v>
      </x:c>
      <x:c r="G909" s="9" t="n">
        <x:v>0.1</x:v>
      </x:c>
      <x:c r="H909" s="9" t="n">
        <x:v>1.122297</x:v>
      </x:c>
      <x:c r="I909" s="9" t="n">
        <x:f>'Physical_Arcs'!R9</x:f>
        <x:v>4.166666666666667</x:v>
      </x:c>
      <x:c r="J909" s="9" t="n">
        <x:f>I909*'Parameters'!$C$18</x:f>
        <x:v>0.8333333333333335</x:v>
      </x:c>
      <x:c r="K909" s="9" t="n">
        <x:f>J909*'Parameters'!$C$19</x:f>
        <x:v>1.041666666666667</x:v>
      </x:c>
      <x:c r="L909" s="9" t="n">
        <x:f>I909*(1-0.40)-J909</x:f>
        <x:v>1.6666666666666665</x:v>
      </x:c>
      <x:c r="M909" s="9" t="n">
        <x:f>'Physical_Arcs'!S9</x:f>
        <x:v>4.166666666666667</x:v>
      </x:c>
      <x:c r="N909" s="9" t="n">
        <x:f>M909*'Parameters'!$C$18</x:f>
        <x:v>0.8333333333333335</x:v>
      </x:c>
      <x:c r="O909" s="9" t="n">
        <x:f>N909*'Parameters'!$C$19</x:f>
        <x:v>1.041666666666667</x:v>
      </x:c>
      <x:c r="P909" s="9" t="n">
        <x:f>M909*(1-0.40)-N909</x:f>
        <x:v>1.6666666666666665</x:v>
      </x:c>
      <x:c r="Q909" s="9" t="n">
        <x:f>'Physical_Arcs'!T9</x:f>
        <x:v>2.0833333333333335</x:v>
      </x:c>
      <x:c r="R909" s="9" t="n">
        <x:f>Q909*'Parameters'!$C$18</x:f>
        <x:v>0.41666666666666674</x:v>
      </x:c>
      <x:c r="S909" s="9" t="n">
        <x:f>R909*'Parameters'!$C$19</x:f>
        <x:v>0.5208333333333335</x:v>
      </x:c>
      <x:c r="T909" s="9" t="n">
        <x:f>Q909*(1-0.40)-R909</x:f>
        <x:v>0.8333333333333333</x:v>
      </x:c>
    </x:row>
    <x:row r="910" ht="21" customHeight="1">
      <x:c r="A910" s="3" t="n">
        <x:v>15</x:v>
      </x:c>
      <x:c r="B910" s="3" t="str">
        <x:v>02:30</x:v>
      </x:c>
      <x:c r="C910" s="3" t="n">
        <x:v>3</x:v>
      </x:c>
      <x:c r="D910" s="3" t="n">
        <x:v>9</x:v>
      </x:c>
      <x:c r="E910" s="3" t="n">
        <x:v>1</x:v>
      </x:c>
      <x:c r="F910" s="3" t="n">
        <x:v>6</x:v>
      </x:c>
      <x:c r="G910" s="9" t="n">
        <x:v>0.1</x:v>
      </x:c>
      <x:c r="H910" s="9" t="n">
        <x:v>1.132682</x:v>
      </x:c>
      <x:c r="I910" s="9" t="n">
        <x:f>'Physical_Arcs'!R10</x:f>
        <x:v>2.138888888888889</x:v>
      </x:c>
      <x:c r="J910" s="9" t="n">
        <x:f>I910*'Parameters'!$C$18</x:f>
        <x:v>0.4277777777777778</x:v>
      </x:c>
      <x:c r="K910" s="9" t="n">
        <x:f>J910*'Parameters'!$C$19</x:f>
        <x:v>0.5347222222222223</x:v>
      </x:c>
      <x:c r="L910" s="9" t="n">
        <x:f>I910*(1-0.40)-J910</x:f>
        <x:v>0.8555555555555554</x:v>
      </x:c>
      <x:c r="M910" s="9" t="n">
        <x:f>'Physical_Arcs'!S10</x:f>
        <x:v>2.138888888888889</x:v>
      </x:c>
      <x:c r="N910" s="9" t="n">
        <x:f>M910*'Parameters'!$C$18</x:f>
        <x:v>0.4277777777777778</x:v>
      </x:c>
      <x:c r="O910" s="9" t="n">
        <x:f>N910*'Parameters'!$C$19</x:f>
        <x:v>0.5347222222222223</x:v>
      </x:c>
      <x:c r="P910" s="9" t="n">
        <x:f>M910*(1-0.40)-N910</x:f>
        <x:v>0.8555555555555554</x:v>
      </x:c>
      <x:c r="Q910" s="9" t="n">
        <x:f>'Physical_Arcs'!T10</x:f>
        <x:v>1.0833333333333333</x:v>
      </x:c>
      <x:c r="R910" s="9" t="n">
        <x:f>Q910*'Parameters'!$C$18</x:f>
        <x:v>0.21666666666666667</x:v>
      </x:c>
      <x:c r="S910" s="9" t="n">
        <x:f>R910*'Parameters'!$C$19</x:f>
        <x:v>0.27083333333333337</x:v>
      </x:c>
      <x:c r="T910" s="9" t="n">
        <x:f>Q910*(1-0.40)-R910</x:f>
        <x:v>0.43333333333333324</x:v>
      </x:c>
    </x:row>
    <x:row r="911" ht="21" customHeight="1">
      <x:c r="A911" s="3" t="n">
        <x:v>15</x:v>
      </x:c>
      <x:c r="B911" s="3" t="str">
        <x:v>02:30</x:v>
      </x:c>
      <x:c r="C911" s="3" t="n">
        <x:v>3</x:v>
      </x:c>
      <x:c r="D911" s="3" t="n">
        <x:v>10</x:v>
      </x:c>
      <x:c r="E911" s="3" t="n">
        <x:v>2</x:v>
      </x:c>
      <x:c r="F911" s="3" t="n">
        <x:v>3</x:v>
      </x:c>
      <x:c r="G911" s="9" t="n">
        <x:v>0.1</x:v>
      </x:c>
      <x:c r="H911" s="9" t="n">
        <x:v>0.871154</x:v>
      </x:c>
      <x:c r="I911" s="9" t="n">
        <x:f>'Physical_Arcs'!R11</x:f>
        <x:v>17.02777777777778</x:v>
      </x:c>
      <x:c r="J911" s="9" t="n">
        <x:f>I911*'Parameters'!$C$18</x:f>
        <x:v>3.405555555555556</x:v>
      </x:c>
      <x:c r="K911" s="9" t="n">
        <x:f>J911*'Parameters'!$C$19</x:f>
        <x:v>4.256944444444445</x:v>
      </x:c>
      <x:c r="L911" s="9" t="n">
        <x:f>I911*(1-0.40)-J911</x:f>
        <x:v>6.811111111111111</x:v>
      </x:c>
      <x:c r="M911" s="9" t="n">
        <x:f>'Physical_Arcs'!S11</x:f>
        <x:v>17.02777777777778</x:v>
      </x:c>
      <x:c r="N911" s="9" t="n">
        <x:f>M911*'Parameters'!$C$18</x:f>
        <x:v>3.405555555555556</x:v>
      </x:c>
      <x:c r="O911" s="9" t="n">
        <x:f>N911*'Parameters'!$C$19</x:f>
        <x:v>4.256944444444445</x:v>
      </x:c>
      <x:c r="P911" s="9" t="n">
        <x:f>M911*(1-0.40)-N911</x:f>
        <x:v>6.811111111111111</x:v>
      </x:c>
      <x:c r="Q911" s="9" t="n">
        <x:f>'Physical_Arcs'!T11</x:f>
        <x:v>17.02777777777778</x:v>
      </x:c>
      <x:c r="R911" s="9" t="n">
        <x:f>Q911*'Parameters'!$C$18</x:f>
        <x:v>3.405555555555556</x:v>
      </x:c>
      <x:c r="S911" s="9" t="n">
        <x:f>R911*'Parameters'!$C$19</x:f>
        <x:v>4.256944444444445</x:v>
      </x:c>
      <x:c r="T911" s="9" t="n">
        <x:f>Q911*(1-0.40)-R911</x:f>
        <x:v>6.811111111111111</x:v>
      </x:c>
    </x:row>
    <x:row r="912" ht="21" customHeight="1">
      <x:c r="A912" s="3" t="n">
        <x:v>15</x:v>
      </x:c>
      <x:c r="B912" s="3" t="str">
        <x:v>02:30</x:v>
      </x:c>
      <x:c r="C912" s="3" t="n">
        <x:v>3</x:v>
      </x:c>
      <x:c r="D912" s="3" t="n">
        <x:v>11</x:v>
      </x:c>
      <x:c r="E912" s="3" t="n">
        <x:v>2</x:v>
      </x:c>
      <x:c r="F912" s="3" t="n">
        <x:v>4</x:v>
      </x:c>
      <x:c r="G912" s="9" t="n">
        <x:v>0.1</x:v>
      </x:c>
      <x:c r="H912" s="9" t="n">
        <x:v>1.147412</x:v>
      </x:c>
      <x:c r="I912" s="9" t="n">
        <x:f>'Physical_Arcs'!R12</x:f>
        <x:v>7.972222222222222</x:v>
      </x:c>
      <x:c r="J912" s="9" t="n">
        <x:f>I912*'Parameters'!$C$18</x:f>
        <x:v>1.5944444444444446</x:v>
      </x:c>
      <x:c r="K912" s="9" t="n">
        <x:f>J912*'Parameters'!$C$19</x:f>
        <x:v>1.9930555555555558</x:v>
      </x:c>
      <x:c r="L912" s="9" t="n">
        <x:f>I912*(1-0.40)-J912</x:f>
        <x:v>3.1888888888888887</x:v>
      </x:c>
      <x:c r="M912" s="9" t="n">
        <x:f>'Physical_Arcs'!S12</x:f>
        <x:v>7.972222222222222</x:v>
      </x:c>
      <x:c r="N912" s="9" t="n">
        <x:f>M912*'Parameters'!$C$18</x:f>
        <x:v>1.5944444444444446</x:v>
      </x:c>
      <x:c r="O912" s="9" t="n">
        <x:f>N912*'Parameters'!$C$19</x:f>
        <x:v>1.9930555555555558</x:v>
      </x:c>
      <x:c r="P912" s="9" t="n">
        <x:f>M912*(1-0.40)-N912</x:f>
        <x:v>3.1888888888888887</x:v>
      </x:c>
      <x:c r="Q912" s="9" t="n">
        <x:f>'Physical_Arcs'!T12</x:f>
        <x:v>4</x:v>
      </x:c>
      <x:c r="R912" s="9" t="n">
        <x:f>Q912*'Parameters'!$C$18</x:f>
        <x:v>0.8</x:v>
      </x:c>
      <x:c r="S912" s="9" t="n">
        <x:f>R912*'Parameters'!$C$19</x:f>
        <x:v>1</x:v>
      </x:c>
      <x:c r="T912" s="9" t="n">
        <x:f>Q912*(1-0.40)-R912</x:f>
        <x:v>1.5999999999999999</x:v>
      </x:c>
    </x:row>
    <x:row r="913" ht="21" customHeight="1">
      <x:c r="A913" s="3" t="n">
        <x:v>15</x:v>
      </x:c>
      <x:c r="B913" s="3" t="str">
        <x:v>02:30</x:v>
      </x:c>
      <x:c r="C913" s="3" t="n">
        <x:v>3</x:v>
      </x:c>
      <x:c r="D913" s="3" t="n">
        <x:v>12</x:v>
      </x:c>
      <x:c r="E913" s="3" t="n">
        <x:v>2</x:v>
      </x:c>
      <x:c r="F913" s="3" t="n">
        <x:v>7</x:v>
      </x:c>
      <x:c r="G913" s="9" t="n">
        <x:v>0.1</x:v>
      </x:c>
      <x:c r="H913" s="9" t="n">
        <x:v>0.96729</x:v>
      </x:c>
      <x:c r="I913" s="9" t="n">
        <x:f>'Physical_Arcs'!R13</x:f>
        <x:v>4.611111111111111</x:v>
      </x:c>
      <x:c r="J913" s="9" t="n">
        <x:f>I913*'Parameters'!$C$18</x:f>
        <x:v>0.9222222222222222</x:v>
      </x:c>
      <x:c r="K913" s="9" t="n">
        <x:f>J913*'Parameters'!$C$19</x:f>
        <x:v>1.1527777777777777</x:v>
      </x:c>
      <x:c r="L913" s="9" t="n">
        <x:f>I913*(1-0.40)-J913</x:f>
        <x:v>1.844444444444444</x:v>
      </x:c>
      <x:c r="M913" s="9" t="n">
        <x:f>'Physical_Arcs'!S13</x:f>
        <x:v>4.611111111111111</x:v>
      </x:c>
      <x:c r="N913" s="9" t="n">
        <x:f>M913*'Parameters'!$C$18</x:f>
        <x:v>0.9222222222222222</x:v>
      </x:c>
      <x:c r="O913" s="9" t="n">
        <x:f>N913*'Parameters'!$C$19</x:f>
        <x:v>1.1527777777777777</x:v>
      </x:c>
      <x:c r="P913" s="9" t="n">
        <x:f>M913*(1-0.40)-N913</x:f>
        <x:v>1.844444444444444</x:v>
      </x:c>
      <x:c r="Q913" s="9" t="n">
        <x:f>'Physical_Arcs'!T13</x:f>
        <x:v>2.3055555555555554</x:v>
      </x:c>
      <x:c r="R913" s="9" t="n">
        <x:f>Q913*'Parameters'!$C$18</x:f>
        <x:v>0.4611111111111111</x:v>
      </x:c>
      <x:c r="S913" s="9" t="n">
        <x:f>R913*'Parameters'!$C$19</x:f>
        <x:v>0.5763888888888888</x:v>
      </x:c>
      <x:c r="T913" s="9" t="n">
        <x:f>Q913*(1-0.40)-R913</x:f>
        <x:v>0.922222222222222</x:v>
      </x:c>
    </x:row>
    <x:row r="914" ht="21" customHeight="1">
      <x:c r="A914" s="3" t="n">
        <x:v>15</x:v>
      </x:c>
      <x:c r="B914" s="3" t="str">
        <x:v>02:30</x:v>
      </x:c>
      <x:c r="C914" s="3" t="n">
        <x:v>3</x:v>
      </x:c>
      <x:c r="D914" s="3" t="n">
        <x:v>13</x:v>
      </x:c>
      <x:c r="E914" s="3" t="n">
        <x:v>2</x:v>
      </x:c>
      <x:c r="F914" s="3" t="n">
        <x:v>9</x:v>
      </x:c>
      <x:c r="G914" s="9" t="n">
        <x:v>0.1</x:v>
      </x:c>
      <x:c r="H914" s="9" t="n">
        <x:v>1.117625</x:v>
      </x:c>
      <x:c r="I914" s="9" t="n">
        <x:f>'Physical_Arcs'!R14</x:f>
        <x:v>8.666666666666666</x:v>
      </x:c>
      <x:c r="J914" s="9" t="n">
        <x:f>I914*'Parameters'!$C$18</x:f>
        <x:v>1.7333333333333334</x:v>
      </x:c>
      <x:c r="K914" s="9" t="n">
        <x:f>J914*'Parameters'!$C$19</x:f>
        <x:v>2.166666666666667</x:v>
      </x:c>
      <x:c r="L914" s="9" t="n">
        <x:f>I914*(1-0.40)-J914</x:f>
        <x:v>3.466666666666666</x:v>
      </x:c>
      <x:c r="M914" s="9" t="n">
        <x:f>'Physical_Arcs'!S14</x:f>
        <x:v>8.666666666666666</x:v>
      </x:c>
      <x:c r="N914" s="9" t="n">
        <x:f>M914*'Parameters'!$C$18</x:f>
        <x:v>1.7333333333333334</x:v>
      </x:c>
      <x:c r="O914" s="9" t="n">
        <x:f>N914*'Parameters'!$C$19</x:f>
        <x:v>2.166666666666667</x:v>
      </x:c>
      <x:c r="P914" s="9" t="n">
        <x:f>M914*(1-0.40)-N914</x:f>
        <x:v>3.466666666666666</x:v>
      </x:c>
      <x:c r="Q914" s="9" t="n">
        <x:f>'Physical_Arcs'!T14</x:f>
        <x:v>4.333333333333333</x:v>
      </x:c>
      <x:c r="R914" s="9" t="n">
        <x:f>Q914*'Parameters'!$C$18</x:f>
        <x:v>0.8666666666666667</x:v>
      </x:c>
      <x:c r="S914" s="9" t="n">
        <x:f>R914*'Parameters'!$C$19</x:f>
        <x:v>1.0833333333333335</x:v>
      </x:c>
      <x:c r="T914" s="9" t="n">
        <x:f>Q914*(1-0.40)-R914</x:f>
        <x:v>1.733333333333333</x:v>
      </x:c>
    </x:row>
    <x:row r="915" ht="21" customHeight="1">
      <x:c r="A915" s="3" t="n">
        <x:v>15</x:v>
      </x:c>
      <x:c r="B915" s="3" t="str">
        <x:v>02:30</x:v>
      </x:c>
      <x:c r="C915" s="3" t="n">
        <x:v>3</x:v>
      </x:c>
      <x:c r="D915" s="3" t="n">
        <x:v>14</x:v>
      </x:c>
      <x:c r="E915" s="3" t="n">
        <x:v>2</x:v>
      </x:c>
      <x:c r="F915" s="3" t="n">
        <x:v>8</x:v>
      </x:c>
      <x:c r="G915" s="9" t="n">
        <x:v>0.1</x:v>
      </x:c>
      <x:c r="H915" s="9" t="n">
        <x:v>1.144902</x:v>
      </x:c>
      <x:c r="I915" s="9" t="n">
        <x:f>'Physical_Arcs'!R15</x:f>
        <x:v>7.75</x:v>
      </x:c>
      <x:c r="J915" s="9" t="n">
        <x:f>I915*'Parameters'!$C$18</x:f>
        <x:v>1.55</x:v>
      </x:c>
      <x:c r="K915" s="9" t="n">
        <x:f>J915*'Parameters'!$C$19</x:f>
        <x:v>1.9375</x:v>
      </x:c>
      <x:c r="L915" s="9" t="n">
        <x:f>I915*(1-0.40)-J915</x:f>
        <x:v>3.0999999999999996</x:v>
      </x:c>
      <x:c r="M915" s="9" t="n">
        <x:f>'Physical_Arcs'!S15</x:f>
        <x:v>7.75</x:v>
      </x:c>
      <x:c r="N915" s="9" t="n">
        <x:f>M915*'Parameters'!$C$18</x:f>
        <x:v>1.55</x:v>
      </x:c>
      <x:c r="O915" s="9" t="n">
        <x:f>N915*'Parameters'!$C$19</x:f>
        <x:v>1.9375</x:v>
      </x:c>
      <x:c r="P915" s="9" t="n">
        <x:f>M915*(1-0.40)-N915</x:f>
        <x:v>3.0999999999999996</x:v>
      </x:c>
      <x:c r="Q915" s="9" t="n">
        <x:f>'Physical_Arcs'!T15</x:f>
        <x:v>3.888888888888889</x:v>
      </x:c>
      <x:c r="R915" s="9" t="n">
        <x:f>Q915*'Parameters'!$C$18</x:f>
        <x:v>0.7777777777777778</x:v>
      </x:c>
      <x:c r="S915" s="9" t="n">
        <x:f>R915*'Parameters'!$C$19</x:f>
        <x:v>0.9722222222222222</x:v>
      </x:c>
      <x:c r="T915" s="9" t="n">
        <x:f>Q915*(1-0.40)-R915</x:f>
        <x:v>1.5555555555555554</x:v>
      </x:c>
    </x:row>
    <x:row r="916" ht="21" customHeight="1">
      <x:c r="A916" s="3" t="n">
        <x:v>15</x:v>
      </x:c>
      <x:c r="B916" s="3" t="str">
        <x:v>02:30</x:v>
      </x:c>
      <x:c r="C916" s="3" t="n">
        <x:v>3</x:v>
      </x:c>
      <x:c r="D916" s="3" t="n">
        <x:v>15</x:v>
      </x:c>
      <x:c r="E916" s="3" t="n">
        <x:v>2</x:v>
      </x:c>
      <x:c r="F916" s="3" t="n">
        <x:v>10</x:v>
      </x:c>
      <x:c r="G916" s="9" t="n">
        <x:v>0.1</x:v>
      </x:c>
      <x:c r="H916" s="9" t="n">
        <x:v>1.146684</x:v>
      </x:c>
      <x:c r="I916" s="9" t="n">
        <x:f>'Physical_Arcs'!R16</x:f>
        <x:v>7.416666666666667</x:v>
      </x:c>
      <x:c r="J916" s="9" t="n">
        <x:f>I916*'Parameters'!$C$18</x:f>
        <x:v>1.4833333333333334</x:v>
      </x:c>
      <x:c r="K916" s="9" t="n">
        <x:f>J916*'Parameters'!$C$19</x:f>
        <x:v>1.8541666666666667</x:v>
      </x:c>
      <x:c r="L916" s="9" t="n">
        <x:f>I916*(1-0.40)-J916</x:f>
        <x:v>2.966666666666667</x:v>
      </x:c>
      <x:c r="M916" s="9" t="n">
        <x:f>'Physical_Arcs'!S16</x:f>
        <x:v>7.416666666666667</x:v>
      </x:c>
      <x:c r="N916" s="9" t="n">
        <x:f>M916*'Parameters'!$C$18</x:f>
        <x:v>1.4833333333333334</x:v>
      </x:c>
      <x:c r="O916" s="9" t="n">
        <x:f>N916*'Parameters'!$C$19</x:f>
        <x:v>1.8541666666666667</x:v>
      </x:c>
      <x:c r="P916" s="9" t="n">
        <x:f>M916*(1-0.40)-N916</x:f>
        <x:v>2.966666666666667</x:v>
      </x:c>
      <x:c r="Q916" s="9" t="n">
        <x:f>'Physical_Arcs'!T16</x:f>
        <x:v>3.7222222222222223</x:v>
      </x:c>
      <x:c r="R916" s="9" t="n">
        <x:f>Q916*'Parameters'!$C$18</x:f>
        <x:v>0.7444444444444445</x:v>
      </x:c>
      <x:c r="S916" s="9" t="n">
        <x:f>R916*'Parameters'!$C$19</x:f>
        <x:v>0.9305555555555556</x:v>
      </x:c>
      <x:c r="T916" s="9" t="n">
        <x:f>Q916*(1-0.40)-R916</x:f>
        <x:v>1.488888888888889</x:v>
      </x:c>
    </x:row>
    <x:row r="917" ht="21" customHeight="1">
      <x:c r="A917" s="3" t="n">
        <x:v>15</x:v>
      </x:c>
      <x:c r="B917" s="3" t="str">
        <x:v>02:30</x:v>
      </x:c>
      <x:c r="C917" s="3" t="n">
        <x:v>3</x:v>
      </x:c>
      <x:c r="D917" s="3" t="n">
        <x:v>16</x:v>
      </x:c>
      <x:c r="E917" s="3" t="n">
        <x:v>3</x:v>
      </x:c>
      <x:c r="F917" s="3" t="n">
        <x:v>4</x:v>
      </x:c>
      <x:c r="G917" s="9" t="n">
        <x:v>0.1</x:v>
      </x:c>
      <x:c r="H917" s="9" t="n">
        <x:v>1.017658</x:v>
      </x:c>
      <x:c r="I917" s="9" t="n">
        <x:f>'Physical_Arcs'!R17</x:f>
        <x:v>17.02777777777778</x:v>
      </x:c>
      <x:c r="J917" s="9" t="n">
        <x:f>I917*'Parameters'!$C$18</x:f>
        <x:v>3.405555555555556</x:v>
      </x:c>
      <x:c r="K917" s="9" t="n">
        <x:f>J917*'Parameters'!$C$19</x:f>
        <x:v>4.256944444444445</x:v>
      </x:c>
      <x:c r="L917" s="9" t="n">
        <x:f>I917*(1-0.40)-J917</x:f>
        <x:v>6.811111111111111</x:v>
      </x:c>
      <x:c r="M917" s="9" t="n">
        <x:f>'Physical_Arcs'!S17</x:f>
        <x:v>17.02777777777778</x:v>
      </x:c>
      <x:c r="N917" s="9" t="n">
        <x:f>M917*'Parameters'!$C$18</x:f>
        <x:v>3.405555555555556</x:v>
      </x:c>
      <x:c r="O917" s="9" t="n">
        <x:f>N917*'Parameters'!$C$19</x:f>
        <x:v>4.256944444444445</x:v>
      </x:c>
      <x:c r="P917" s="9" t="n">
        <x:f>M917*(1-0.40)-N917</x:f>
        <x:v>6.811111111111111</x:v>
      </x:c>
      <x:c r="Q917" s="9" t="n">
        <x:f>'Physical_Arcs'!T17</x:f>
        <x:v>17.02777777777778</x:v>
      </x:c>
      <x:c r="R917" s="9" t="n">
        <x:f>Q917*'Parameters'!$C$18</x:f>
        <x:v>3.405555555555556</x:v>
      </x:c>
      <x:c r="S917" s="9" t="n">
        <x:f>R917*'Parameters'!$C$19</x:f>
        <x:v>4.256944444444445</x:v>
      </x:c>
      <x:c r="T917" s="9" t="n">
        <x:f>Q917*(1-0.40)-R917</x:f>
        <x:v>6.811111111111111</x:v>
      </x:c>
    </x:row>
    <x:row r="918" ht="21" customHeight="1">
      <x:c r="A918" s="3" t="n">
        <x:v>15</x:v>
      </x:c>
      <x:c r="B918" s="3" t="str">
        <x:v>02:30</x:v>
      </x:c>
      <x:c r="C918" s="3" t="n">
        <x:v>3</x:v>
      </x:c>
      <x:c r="D918" s="3" t="n">
        <x:v>17</x:v>
      </x:c>
      <x:c r="E918" s="3" t="n">
        <x:v>3</x:v>
      </x:c>
      <x:c r="F918" s="3" t="n">
        <x:v>2</x:v>
      </x:c>
      <x:c r="G918" s="9" t="n">
        <x:v>0.1</x:v>
      </x:c>
      <x:c r="H918" s="9" t="n">
        <x:v>0.875995</x:v>
      </x:c>
      <x:c r="I918" s="9" t="n">
        <x:f>'Physical_Arcs'!R18</x:f>
        <x:v>10.666666666666666</x:v>
      </x:c>
      <x:c r="J918" s="9" t="n">
        <x:f>I918*'Parameters'!$C$18</x:f>
        <x:v>2.1333333333333333</x:v>
      </x:c>
      <x:c r="K918" s="9" t="n">
        <x:f>J918*'Parameters'!$C$19</x:f>
        <x:v>2.6666666666666665</x:v>
      </x:c>
      <x:c r="L918" s="9" t="n">
        <x:f>I918*(1-0.40)-J918</x:f>
        <x:v>4.266666666666666</x:v>
      </x:c>
      <x:c r="M918" s="9" t="n">
        <x:f>'Physical_Arcs'!S18</x:f>
        <x:v>10.666666666666666</x:v>
      </x:c>
      <x:c r="N918" s="9" t="n">
        <x:f>M918*'Parameters'!$C$18</x:f>
        <x:v>2.1333333333333333</x:v>
      </x:c>
      <x:c r="O918" s="9" t="n">
        <x:f>N918*'Parameters'!$C$19</x:f>
        <x:v>2.6666666666666665</x:v>
      </x:c>
      <x:c r="P918" s="9" t="n">
        <x:f>M918*(1-0.40)-N918</x:f>
        <x:v>4.266666666666666</x:v>
      </x:c>
      <x:c r="Q918" s="9" t="n">
        <x:f>'Physical_Arcs'!T18</x:f>
        <x:v>5.333333333333333</x:v>
      </x:c>
      <x:c r="R918" s="9" t="n">
        <x:f>Q918*'Parameters'!$C$18</x:f>
        <x:v>1.0666666666666667</x:v>
      </x:c>
      <x:c r="S918" s="9" t="n">
        <x:f>R918*'Parameters'!$C$19</x:f>
        <x:v>1.3333333333333333</x:v>
      </x:c>
      <x:c r="T918" s="9" t="n">
        <x:f>Q918*(1-0.40)-R918</x:f>
        <x:v>2.133333333333333</x:v>
      </x:c>
    </x:row>
    <x:row r="919" ht="21" customHeight="1">
      <x:c r="A919" s="3" t="n">
        <x:v>15</x:v>
      </x:c>
      <x:c r="B919" s="3" t="str">
        <x:v>02:30</x:v>
      </x:c>
      <x:c r="C919" s="3" t="n">
        <x:v>3</x:v>
      </x:c>
      <x:c r="D919" s="3" t="n">
        <x:v>18</x:v>
      </x:c>
      <x:c r="E919" s="3" t="n">
        <x:v>3</x:v>
      </x:c>
      <x:c r="F919" s="3" t="n">
        <x:v>1</x:v>
      </x:c>
      <x:c r="G919" s="9" t="n">
        <x:v>0.1</x:v>
      </x:c>
      <x:c r="H919" s="9" t="n">
        <x:v>1.015397</x:v>
      </x:c>
      <x:c r="I919" s="9" t="n">
        <x:f>'Physical_Arcs'!R19</x:f>
        <x:v>5.166666666666667</x:v>
      </x:c>
      <x:c r="J919" s="9" t="n">
        <x:f>I919*'Parameters'!$C$18</x:f>
        <x:v>1.0333333333333334</x:v>
      </x:c>
      <x:c r="K919" s="9" t="n">
        <x:f>J919*'Parameters'!$C$19</x:f>
        <x:v>1.2916666666666667</x:v>
      </x:c>
      <x:c r="L919" s="9" t="n">
        <x:f>I919*(1-0.40)-J919</x:f>
        <x:v>2.0666666666666664</x:v>
      </x:c>
      <x:c r="M919" s="9" t="n">
        <x:f>'Physical_Arcs'!S19</x:f>
        <x:v>5.166666666666667</x:v>
      </x:c>
      <x:c r="N919" s="9" t="n">
        <x:f>M919*'Parameters'!$C$18</x:f>
        <x:v>1.0333333333333334</x:v>
      </x:c>
      <x:c r="O919" s="9" t="n">
        <x:f>N919*'Parameters'!$C$19</x:f>
        <x:v>1.2916666666666667</x:v>
      </x:c>
      <x:c r="P919" s="9" t="n">
        <x:f>M919*(1-0.40)-N919</x:f>
        <x:v>2.0666666666666664</x:v>
      </x:c>
      <x:c r="Q919" s="9" t="n">
        <x:f>'Physical_Arcs'!T19</x:f>
        <x:v>2.5833333333333335</x:v>
      </x:c>
      <x:c r="R919" s="9" t="n">
        <x:f>Q919*'Parameters'!$C$18</x:f>
        <x:v>0.5166666666666667</x:v>
      </x:c>
      <x:c r="S919" s="9" t="n">
        <x:f>R919*'Parameters'!$C$19</x:f>
        <x:v>0.6458333333333334</x:v>
      </x:c>
      <x:c r="T919" s="9" t="n">
        <x:f>Q919*(1-0.40)-R919</x:f>
        <x:v>1.0333333333333332</x:v>
      </x:c>
    </x:row>
    <x:row r="920" ht="21" customHeight="1">
      <x:c r="A920" s="3" t="n">
        <x:v>15</x:v>
      </x:c>
      <x:c r="B920" s="3" t="str">
        <x:v>02:30</x:v>
      </x:c>
      <x:c r="C920" s="3" t="n">
        <x:v>3</x:v>
      </x:c>
      <x:c r="D920" s="3" t="n">
        <x:v>19</x:v>
      </x:c>
      <x:c r="E920" s="3" t="n">
        <x:v>3</x:v>
      </x:c>
      <x:c r="F920" s="3" t="n">
        <x:v>7</x:v>
      </x:c>
      <x:c r="G920" s="9" t="n">
        <x:v>0.1</x:v>
      </x:c>
      <x:c r="H920" s="9" t="n">
        <x:v>0.996008</x:v>
      </x:c>
      <x:c r="I920" s="9" t="n">
        <x:f>'Physical_Arcs'!R20</x:f>
        <x:v>5.75</x:v>
      </x:c>
      <x:c r="J920" s="9" t="n">
        <x:f>I920*'Parameters'!$C$18</x:f>
        <x:v>1.1500000000000001</x:v>
      </x:c>
      <x:c r="K920" s="9" t="n">
        <x:f>J920*'Parameters'!$C$19</x:f>
        <x:v>1.4375000000000002</x:v>
      </x:c>
      <x:c r="L920" s="9" t="n">
        <x:f>I920*(1-0.40)-J920</x:f>
        <x:v>2.3</x:v>
      </x:c>
      <x:c r="M920" s="9" t="n">
        <x:f>'Physical_Arcs'!S20</x:f>
        <x:v>5.75</x:v>
      </x:c>
      <x:c r="N920" s="9" t="n">
        <x:f>M920*'Parameters'!$C$18</x:f>
        <x:v>1.1500000000000001</x:v>
      </x:c>
      <x:c r="O920" s="9" t="n">
        <x:f>N920*'Parameters'!$C$19</x:f>
        <x:v>1.4375000000000002</x:v>
      </x:c>
      <x:c r="P920" s="9" t="n">
        <x:f>M920*(1-0.40)-N920</x:f>
        <x:v>2.3</x:v>
      </x:c>
      <x:c r="Q920" s="9" t="n">
        <x:f>'Physical_Arcs'!T20</x:f>
        <x:v>2.888888888888889</x:v>
      </x:c>
      <x:c r="R920" s="9" t="n">
        <x:f>Q920*'Parameters'!$C$18</x:f>
        <x:v>0.5777777777777778</x:v>
      </x:c>
      <x:c r="S920" s="9" t="n">
        <x:f>R920*'Parameters'!$C$19</x:f>
        <x:v>0.7222222222222223</x:v>
      </x:c>
      <x:c r="T920" s="9" t="n">
        <x:f>Q920*(1-0.40)-R920</x:f>
        <x:v>1.1555555555555554</x:v>
      </x:c>
    </x:row>
    <x:row r="921" ht="21" customHeight="1">
      <x:c r="A921" s="3" t="n">
        <x:v>15</x:v>
      </x:c>
      <x:c r="B921" s="3" t="str">
        <x:v>02:30</x:v>
      </x:c>
      <x:c r="C921" s="3" t="n">
        <x:v>3</x:v>
      </x:c>
      <x:c r="D921" s="3" t="n">
        <x:v>20</x:v>
      </x:c>
      <x:c r="E921" s="3" t="n">
        <x:v>3</x:v>
      </x:c>
      <x:c r="F921" s="3" t="n">
        <x:v>10</x:v>
      </x:c>
      <x:c r="G921" s="9" t="n">
        <x:v>0.1</x:v>
      </x:c>
      <x:c r="H921" s="9" t="n">
        <x:v>1.118855</x:v>
      </x:c>
      <x:c r="I921" s="9" t="n">
        <x:f>'Physical_Arcs'!R21</x:f>
        <x:v>5.166666666666667</x:v>
      </x:c>
      <x:c r="J921" s="9" t="n">
        <x:f>I921*'Parameters'!$C$18</x:f>
        <x:v>1.0333333333333334</x:v>
      </x:c>
      <x:c r="K921" s="9" t="n">
        <x:f>J921*'Parameters'!$C$19</x:f>
        <x:v>1.2916666666666667</x:v>
      </x:c>
      <x:c r="L921" s="9" t="n">
        <x:f>I921*(1-0.40)-J921</x:f>
        <x:v>2.0666666666666664</x:v>
      </x:c>
      <x:c r="M921" s="9" t="n">
        <x:f>'Physical_Arcs'!S21</x:f>
        <x:v>5.166666666666667</x:v>
      </x:c>
      <x:c r="N921" s="9" t="n">
        <x:f>M921*'Parameters'!$C$18</x:f>
        <x:v>1.0333333333333334</x:v>
      </x:c>
      <x:c r="O921" s="9" t="n">
        <x:f>N921*'Parameters'!$C$19</x:f>
        <x:v>1.2916666666666667</x:v>
      </x:c>
      <x:c r="P921" s="9" t="n">
        <x:f>M921*(1-0.40)-N921</x:f>
        <x:v>2.0666666666666664</x:v>
      </x:c>
      <x:c r="Q921" s="9" t="n">
        <x:f>'Physical_Arcs'!T21</x:f>
        <x:v>2.5833333333333335</x:v>
      </x:c>
      <x:c r="R921" s="9" t="n">
        <x:f>Q921*'Parameters'!$C$18</x:f>
        <x:v>0.5166666666666667</x:v>
      </x:c>
      <x:c r="S921" s="9" t="n">
        <x:f>R921*'Parameters'!$C$19</x:f>
        <x:v>0.6458333333333334</x:v>
      </x:c>
      <x:c r="T921" s="9" t="n">
        <x:f>Q921*(1-0.40)-R921</x:f>
        <x:v>1.0333333333333332</x:v>
      </x:c>
    </x:row>
    <x:row r="922" ht="21" customHeight="1">
      <x:c r="A922" s="3" t="n">
        <x:v>15</x:v>
      </x:c>
      <x:c r="B922" s="3" t="str">
        <x:v>02:30</x:v>
      </x:c>
      <x:c r="C922" s="3" t="n">
        <x:v>3</x:v>
      </x:c>
      <x:c r="D922" s="3" t="n">
        <x:v>21</x:v>
      </x:c>
      <x:c r="E922" s="3" t="n">
        <x:v>3</x:v>
      </x:c>
      <x:c r="F922" s="3" t="n">
        <x:v>9</x:v>
      </x:c>
      <x:c r="G922" s="9" t="n">
        <x:v>0.1</x:v>
      </x:c>
      <x:c r="H922" s="9" t="n">
        <x:v>0.947299</x:v>
      </x:c>
      <x:c r="I922" s="9" t="n">
        <x:f>'Physical_Arcs'!R22</x:f>
        <x:v>9.333333333333334</x:v>
      </x:c>
      <x:c r="J922" s="9" t="n">
        <x:f>I922*'Parameters'!$C$18</x:f>
        <x:v>1.866666666666667</x:v>
      </x:c>
      <x:c r="K922" s="9" t="n">
        <x:f>J922*'Parameters'!$C$19</x:f>
        <x:v>2.3333333333333335</x:v>
      </x:c>
      <x:c r="L922" s="9" t="n">
        <x:f>I922*(1-0.40)-J922</x:f>
        <x:v>3.7333333333333334</x:v>
      </x:c>
      <x:c r="M922" s="9" t="n">
        <x:f>'Physical_Arcs'!S22</x:f>
        <x:v>9.333333333333334</x:v>
      </x:c>
      <x:c r="N922" s="9" t="n">
        <x:f>M922*'Parameters'!$C$18</x:f>
        <x:v>1.866666666666667</x:v>
      </x:c>
      <x:c r="O922" s="9" t="n">
        <x:f>N922*'Parameters'!$C$19</x:f>
        <x:v>2.3333333333333335</x:v>
      </x:c>
      <x:c r="P922" s="9" t="n">
        <x:f>M922*(1-0.40)-N922</x:f>
        <x:v>3.7333333333333334</x:v>
      </x:c>
      <x:c r="Q922" s="9" t="n">
        <x:f>'Physical_Arcs'!T22</x:f>
        <x:v>4.666666666666667</x:v>
      </x:c>
      <x:c r="R922" s="9" t="n">
        <x:f>Q922*'Parameters'!$C$18</x:f>
        <x:v>0.9333333333333335</x:v>
      </x:c>
      <x:c r="S922" s="9" t="n">
        <x:f>R922*'Parameters'!$C$19</x:f>
        <x:v>1.1666666666666667</x:v>
      </x:c>
      <x:c r="T922" s="9" t="n">
        <x:f>Q922*(1-0.40)-R922</x:f>
        <x:v>1.8666666666666667</x:v>
      </x:c>
    </x:row>
    <x:row r="923" ht="21" customHeight="1">
      <x:c r="A923" s="3" t="n">
        <x:v>15</x:v>
      </x:c>
      <x:c r="B923" s="3" t="str">
        <x:v>02:30</x:v>
      </x:c>
      <x:c r="C923" s="3" t="n">
        <x:v>3</x:v>
      </x:c>
      <x:c r="D923" s="3" t="n">
        <x:v>22</x:v>
      </x:c>
      <x:c r="E923" s="3" t="n">
        <x:v>4</x:v>
      </x:c>
      <x:c r="F923" s="3" t="n">
        <x:v>5</x:v>
      </x:c>
      <x:c r="G923" s="9" t="n">
        <x:v>0.1</x:v>
      </x:c>
      <x:c r="H923" s="9" t="n">
        <x:v>0.958485</x:v>
      </x:c>
      <x:c r="I923" s="9" t="n">
        <x:f>'Physical_Arcs'!R23</x:f>
        <x:v>17.02777777777778</x:v>
      </x:c>
      <x:c r="J923" s="9" t="n">
        <x:f>I923*'Parameters'!$C$18</x:f>
        <x:v>3.405555555555556</x:v>
      </x:c>
      <x:c r="K923" s="9" t="n">
        <x:f>J923*'Parameters'!$C$19</x:f>
        <x:v>4.256944444444445</x:v>
      </x:c>
      <x:c r="L923" s="9" t="n">
        <x:f>I923*(1-0.40)-J923</x:f>
        <x:v>6.811111111111111</x:v>
      </x:c>
      <x:c r="M923" s="9" t="n">
        <x:f>'Physical_Arcs'!S23</x:f>
        <x:v>17.02777777777778</x:v>
      </x:c>
      <x:c r="N923" s="9" t="n">
        <x:f>M923*'Parameters'!$C$18</x:f>
        <x:v>3.405555555555556</x:v>
      </x:c>
      <x:c r="O923" s="9" t="n">
        <x:f>N923*'Parameters'!$C$19</x:f>
        <x:v>4.256944444444445</x:v>
      </x:c>
      <x:c r="P923" s="9" t="n">
        <x:f>M923*(1-0.40)-N923</x:f>
        <x:v>6.811111111111111</x:v>
      </x:c>
      <x:c r="Q923" s="9" t="n">
        <x:f>'Physical_Arcs'!T23</x:f>
        <x:v>17.02777777777778</x:v>
      </x:c>
      <x:c r="R923" s="9" t="n">
        <x:f>Q923*'Parameters'!$C$18</x:f>
        <x:v>3.405555555555556</x:v>
      </x:c>
      <x:c r="S923" s="9" t="n">
        <x:f>R923*'Parameters'!$C$19</x:f>
        <x:v>4.256944444444445</x:v>
      </x:c>
      <x:c r="T923" s="9" t="n">
        <x:f>Q923*(1-0.40)-R923</x:f>
        <x:v>6.811111111111111</x:v>
      </x:c>
    </x:row>
    <x:row r="924" ht="21" customHeight="1">
      <x:c r="A924" s="3" t="n">
        <x:v>15</x:v>
      </x:c>
      <x:c r="B924" s="3" t="str">
        <x:v>02:30</x:v>
      </x:c>
      <x:c r="C924" s="3" t="n">
        <x:v>3</x:v>
      </x:c>
      <x:c r="D924" s="3" t="n">
        <x:v>23</x:v>
      </x:c>
      <x:c r="E924" s="3" t="n">
        <x:v>4</x:v>
      </x:c>
      <x:c r="F924" s="3" t="n">
        <x:v>3</x:v>
      </x:c>
      <x:c r="G924" s="9" t="n">
        <x:v>0.1</x:v>
      </x:c>
      <x:c r="H924" s="9" t="n">
        <x:v>0.944916</x:v>
      </x:c>
      <x:c r="I924" s="9" t="n">
        <x:f>'Physical_Arcs'!R24</x:f>
        <x:v>9.333333333333334</x:v>
      </x:c>
      <x:c r="J924" s="9" t="n">
        <x:f>I924*'Parameters'!$C$18</x:f>
        <x:v>1.866666666666667</x:v>
      </x:c>
      <x:c r="K924" s="9" t="n">
        <x:f>J924*'Parameters'!$C$19</x:f>
        <x:v>2.3333333333333335</x:v>
      </x:c>
      <x:c r="L924" s="9" t="n">
        <x:f>I924*(1-0.40)-J924</x:f>
        <x:v>3.7333333333333334</x:v>
      </x:c>
      <x:c r="M924" s="9" t="n">
        <x:f>'Physical_Arcs'!S24</x:f>
        <x:v>9.333333333333334</x:v>
      </x:c>
      <x:c r="N924" s="9" t="n">
        <x:f>M924*'Parameters'!$C$18</x:f>
        <x:v>1.866666666666667</x:v>
      </x:c>
      <x:c r="O924" s="9" t="n">
        <x:f>N924*'Parameters'!$C$19</x:f>
        <x:v>2.3333333333333335</x:v>
      </x:c>
      <x:c r="P924" s="9" t="n">
        <x:f>M924*(1-0.40)-N924</x:f>
        <x:v>3.7333333333333334</x:v>
      </x:c>
      <x:c r="Q924" s="9" t="n">
        <x:f>'Physical_Arcs'!T24</x:f>
        <x:v>4.666666666666667</x:v>
      </x:c>
      <x:c r="R924" s="9" t="n">
        <x:f>Q924*'Parameters'!$C$18</x:f>
        <x:v>0.9333333333333335</x:v>
      </x:c>
      <x:c r="S924" s="9" t="n">
        <x:f>R924*'Parameters'!$C$19</x:f>
        <x:v>1.1666666666666667</x:v>
      </x:c>
      <x:c r="T924" s="9" t="n">
        <x:f>Q924*(1-0.40)-R924</x:f>
        <x:v>1.8666666666666667</x:v>
      </x:c>
    </x:row>
    <x:row r="925" ht="21" customHeight="1">
      <x:c r="A925" s="3" t="n">
        <x:v>15</x:v>
      </x:c>
      <x:c r="B925" s="3" t="str">
        <x:v>02:30</x:v>
      </x:c>
      <x:c r="C925" s="3" t="n">
        <x:v>3</x:v>
      </x:c>
      <x:c r="D925" s="3" t="n">
        <x:v>24</x:v>
      </x:c>
      <x:c r="E925" s="3" t="n">
        <x:v>4</x:v>
      </x:c>
      <x:c r="F925" s="3" t="n">
        <x:v>10</x:v>
      </x:c>
      <x:c r="G925" s="9" t="n">
        <x:v>0.1</x:v>
      </x:c>
      <x:c r="H925" s="9" t="n">
        <x:v>0.875461</x:v>
      </x:c>
      <x:c r="I925" s="9" t="n">
        <x:f>'Physical_Arcs'!R25</x:f>
        <x:v>7.194444444444445</x:v>
      </x:c>
      <x:c r="J925" s="9" t="n">
        <x:f>I925*'Parameters'!$C$18</x:f>
        <x:v>1.438888888888889</x:v>
      </x:c>
      <x:c r="K925" s="9" t="n">
        <x:f>J925*'Parameters'!$C$19</x:f>
        <x:v>1.7986111111111114</x:v>
      </x:c>
      <x:c r="L925" s="9" t="n">
        <x:f>I925*(1-0.40)-J925</x:f>
        <x:v>2.8777777777777773</x:v>
      </x:c>
      <x:c r="M925" s="9" t="n">
        <x:f>'Physical_Arcs'!S25</x:f>
        <x:v>7.194444444444445</x:v>
      </x:c>
      <x:c r="N925" s="9" t="n">
        <x:f>M925*'Parameters'!$C$18</x:f>
        <x:v>1.438888888888889</x:v>
      </x:c>
      <x:c r="O925" s="9" t="n">
        <x:f>N925*'Parameters'!$C$19</x:f>
        <x:v>1.7986111111111114</x:v>
      </x:c>
      <x:c r="P925" s="9" t="n">
        <x:f>M925*(1-0.40)-N925</x:f>
        <x:v>2.8777777777777773</x:v>
      </x:c>
      <x:c r="Q925" s="9" t="n">
        <x:f>'Physical_Arcs'!T25</x:f>
        <x:v>3.611111111111111</x:v>
      </x:c>
      <x:c r="R925" s="9" t="n">
        <x:f>Q925*'Parameters'!$C$18</x:f>
        <x:v>0.7222222222222223</x:v>
      </x:c>
      <x:c r="S925" s="9" t="n">
        <x:f>R925*'Parameters'!$C$19</x:f>
        <x:v>0.9027777777777779</x:v>
      </x:c>
      <x:c r="T925" s="9" t="n">
        <x:f>Q925*(1-0.40)-R925</x:f>
        <x:v>1.4444444444444442</x:v>
      </x:c>
    </x:row>
    <x:row r="926" ht="21" customHeight="1">
      <x:c r="A926" s="3" t="n">
        <x:v>15</x:v>
      </x:c>
      <x:c r="B926" s="3" t="str">
        <x:v>02:30</x:v>
      </x:c>
      <x:c r="C926" s="3" t="n">
        <x:v>3</x:v>
      </x:c>
      <x:c r="D926" s="3" t="n">
        <x:v>25</x:v>
      </x:c>
      <x:c r="E926" s="3" t="n">
        <x:v>4</x:v>
      </x:c>
      <x:c r="F926" s="3" t="n">
        <x:v>8</x:v>
      </x:c>
      <x:c r="G926" s="9" t="n">
        <x:v>0.1</x:v>
      </x:c>
      <x:c r="H926" s="9" t="n">
        <x:v>0.993326</x:v>
      </x:c>
      <x:c r="I926" s="9" t="n">
        <x:f>'Physical_Arcs'!R26</x:f>
        <x:v>5.277777777777778</x:v>
      </x:c>
      <x:c r="J926" s="9" t="n">
        <x:f>I926*'Parameters'!$C$18</x:f>
        <x:v>1.0555555555555556</x:v>
      </x:c>
      <x:c r="K926" s="9" t="n">
        <x:f>J926*'Parameters'!$C$19</x:f>
        <x:v>1.3194444444444444</x:v>
      </x:c>
      <x:c r="L926" s="9" t="n">
        <x:f>I926*(1-0.40)-J926</x:f>
        <x:v>2.1111111111111107</x:v>
      </x:c>
      <x:c r="M926" s="9" t="n">
        <x:f>'Physical_Arcs'!S26</x:f>
        <x:v>5.277777777777778</x:v>
      </x:c>
      <x:c r="N926" s="9" t="n">
        <x:f>M926*'Parameters'!$C$18</x:f>
        <x:v>1.0555555555555556</x:v>
      </x:c>
      <x:c r="O926" s="9" t="n">
        <x:f>N926*'Parameters'!$C$19</x:f>
        <x:v>1.3194444444444444</x:v>
      </x:c>
      <x:c r="P926" s="9" t="n">
        <x:f>M926*(1-0.40)-N926</x:f>
        <x:v>2.1111111111111107</x:v>
      </x:c>
      <x:c r="Q926" s="9" t="n">
        <x:f>'Physical_Arcs'!T26</x:f>
        <x:v>2.638888888888889</x:v>
      </x:c>
      <x:c r="R926" s="9" t="n">
        <x:f>Q926*'Parameters'!$C$18</x:f>
        <x:v>0.5277777777777778</x:v>
      </x:c>
      <x:c r="S926" s="9" t="n">
        <x:f>R926*'Parameters'!$C$19</x:f>
        <x:v>0.6597222222222222</x:v>
      </x:c>
      <x:c r="T926" s="9" t="n">
        <x:f>Q926*(1-0.40)-R926</x:f>
        <x:v>1.0555555555555554</x:v>
      </x:c>
    </x:row>
    <x:row r="927" ht="21" customHeight="1">
      <x:c r="A927" s="3" t="n">
        <x:v>15</x:v>
      </x:c>
      <x:c r="B927" s="3" t="str">
        <x:v>02:30</x:v>
      </x:c>
      <x:c r="C927" s="3" t="n">
        <x:v>3</x:v>
      </x:c>
      <x:c r="D927" s="3" t="n">
        <x:v>26</x:v>
      </x:c>
      <x:c r="E927" s="3" t="n">
        <x:v>4</x:v>
      </x:c>
      <x:c r="F927" s="3" t="n">
        <x:v>7</x:v>
      </x:c>
      <x:c r="G927" s="9" t="n">
        <x:v>0.1</x:v>
      </x:c>
      <x:c r="H927" s="9" t="n">
        <x:v>1.099203</x:v>
      </x:c>
      <x:c r="I927" s="9" t="n">
        <x:f>'Physical_Arcs'!R27</x:f>
        <x:v>6.527777777777778</x:v>
      </x:c>
      <x:c r="J927" s="9" t="n">
        <x:f>I927*'Parameters'!$C$18</x:f>
        <x:v>1.3055555555555556</x:v>
      </x:c>
      <x:c r="K927" s="9" t="n">
        <x:f>J927*'Parameters'!$C$19</x:f>
        <x:v>1.6319444444444444</x:v>
      </x:c>
      <x:c r="L927" s="9" t="n">
        <x:f>I927*(1-0.40)-J927</x:f>
        <x:v>2.6111111111111107</x:v>
      </x:c>
      <x:c r="M927" s="9" t="n">
        <x:f>'Physical_Arcs'!S27</x:f>
        <x:v>6.527777777777778</x:v>
      </x:c>
      <x:c r="N927" s="9" t="n">
        <x:f>M927*'Parameters'!$C$18</x:f>
        <x:v>1.3055555555555556</x:v>
      </x:c>
      <x:c r="O927" s="9" t="n">
        <x:f>N927*'Parameters'!$C$19</x:f>
        <x:v>1.6319444444444444</x:v>
      </x:c>
      <x:c r="P927" s="9" t="n">
        <x:f>M927*(1-0.40)-N927</x:f>
        <x:v>2.6111111111111107</x:v>
      </x:c>
      <x:c r="Q927" s="9" t="n">
        <x:f>'Physical_Arcs'!T27</x:f>
        <x:v>3.2777777777777777</x:v>
      </x:c>
      <x:c r="R927" s="9" t="n">
        <x:f>Q927*'Parameters'!$C$18</x:f>
        <x:v>0.6555555555555556</x:v>
      </x:c>
      <x:c r="S927" s="9" t="n">
        <x:f>R927*'Parameters'!$C$19</x:f>
        <x:v>0.8194444444444444</x:v>
      </x:c>
      <x:c r="T927" s="9" t="n">
        <x:f>Q927*(1-0.40)-R927</x:f>
        <x:v>1.311111111111111</x:v>
      </x:c>
    </x:row>
    <x:row r="928" ht="21" customHeight="1">
      <x:c r="A928" s="3" t="n">
        <x:v>15</x:v>
      </x:c>
      <x:c r="B928" s="3" t="str">
        <x:v>02:30</x:v>
      </x:c>
      <x:c r="C928" s="3" t="n">
        <x:v>3</x:v>
      </x:c>
      <x:c r="D928" s="3" t="n">
        <x:v>27</x:v>
      </x:c>
      <x:c r="E928" s="3" t="n">
        <x:v>4</x:v>
      </x:c>
      <x:c r="F928" s="3" t="n">
        <x:v>2</x:v>
      </x:c>
      <x:c r="G928" s="9" t="n">
        <x:v>0.1</x:v>
      </x:c>
      <x:c r="H928" s="9" t="n">
        <x:v>0.861111</x:v>
      </x:c>
      <x:c r="I928" s="9" t="n">
        <x:f>'Physical_Arcs'!R28</x:f>
        <x:v>4.944444444444445</x:v>
      </x:c>
      <x:c r="J928" s="9" t="n">
        <x:f>I928*'Parameters'!$C$18</x:f>
        <x:v>0.9888888888888889</x:v>
      </x:c>
      <x:c r="K928" s="9" t="n">
        <x:f>J928*'Parameters'!$C$19</x:f>
        <x:v>1.2361111111111112</x:v>
      </x:c>
      <x:c r="L928" s="9" t="n">
        <x:f>I928*(1-0.40)-J928</x:f>
        <x:v>1.9777777777777779</x:v>
      </x:c>
      <x:c r="M928" s="9" t="n">
        <x:f>'Physical_Arcs'!S28</x:f>
        <x:v>4.944444444444445</x:v>
      </x:c>
      <x:c r="N928" s="9" t="n">
        <x:f>M928*'Parameters'!$C$18</x:f>
        <x:v>0.9888888888888889</x:v>
      </x:c>
      <x:c r="O928" s="9" t="n">
        <x:f>N928*'Parameters'!$C$19</x:f>
        <x:v>1.2361111111111112</x:v>
      </x:c>
      <x:c r="P928" s="9" t="n">
        <x:f>M928*(1-0.40)-N928</x:f>
        <x:v>1.9777777777777779</x:v>
      </x:c>
      <x:c r="Q928" s="9" t="n">
        <x:f>'Physical_Arcs'!T28</x:f>
        <x:v>2.4722222222222223</x:v>
      </x:c>
      <x:c r="R928" s="9" t="n">
        <x:f>Q928*'Parameters'!$C$18</x:f>
        <x:v>0.49444444444444446</x:v>
      </x:c>
      <x:c r="S928" s="9" t="n">
        <x:f>R928*'Parameters'!$C$19</x:f>
        <x:v>0.6180555555555556</x:v>
      </x:c>
      <x:c r="T928" s="9" t="n">
        <x:f>Q928*(1-0.40)-R928</x:f>
        <x:v>0.9888888888888889</x:v>
      </x:c>
    </x:row>
    <x:row r="929" ht="21" customHeight="1">
      <x:c r="A929" s="3" t="n">
        <x:v>15</x:v>
      </x:c>
      <x:c r="B929" s="3" t="str">
        <x:v>02:30</x:v>
      </x:c>
      <x:c r="C929" s="3" t="n">
        <x:v>3</x:v>
      </x:c>
      <x:c r="D929" s="3" t="n">
        <x:v>28</x:v>
      </x:c>
      <x:c r="E929" s="3" t="n">
        <x:v>4</x:v>
      </x:c>
      <x:c r="F929" s="3" t="n">
        <x:v>6</x:v>
      </x:c>
      <x:c r="G929" s="9" t="n">
        <x:v>0.1</x:v>
      </x:c>
      <x:c r="H929" s="9" t="n">
        <x:v>1.137214</x:v>
      </x:c>
      <x:c r="I929" s="9" t="n">
        <x:f>'Physical_Arcs'!R29</x:f>
        <x:v>3.388888888888889</x:v>
      </x:c>
      <x:c r="J929" s="9" t="n">
        <x:f>I929*'Parameters'!$C$18</x:f>
        <x:v>0.6777777777777778</x:v>
      </x:c>
      <x:c r="K929" s="9" t="n">
        <x:f>J929*'Parameters'!$C$19</x:f>
        <x:v>0.8472222222222223</x:v>
      </x:c>
      <x:c r="L929" s="9" t="n">
        <x:f>I929*(1-0.40)-J929</x:f>
        <x:v>1.3555555555555554</x:v>
      </x:c>
      <x:c r="M929" s="9" t="n">
        <x:f>'Physical_Arcs'!S29</x:f>
        <x:v>3.388888888888889</x:v>
      </x:c>
      <x:c r="N929" s="9" t="n">
        <x:f>M929*'Parameters'!$C$18</x:f>
        <x:v>0.6777777777777778</x:v>
      </x:c>
      <x:c r="O929" s="9" t="n">
        <x:f>N929*'Parameters'!$C$19</x:f>
        <x:v>0.8472222222222223</x:v>
      </x:c>
      <x:c r="P929" s="9" t="n">
        <x:f>M929*(1-0.40)-N929</x:f>
        <x:v>1.3555555555555554</x:v>
      </x:c>
      <x:c r="Q929" s="9" t="n">
        <x:f>'Physical_Arcs'!T29</x:f>
        <x:v>1.6944444444444444</x:v>
      </x:c>
      <x:c r="R929" s="9" t="n">
        <x:f>Q929*'Parameters'!$C$18</x:f>
        <x:v>0.3388888888888889</x:v>
      </x:c>
      <x:c r="S929" s="9" t="n">
        <x:f>R929*'Parameters'!$C$19</x:f>
        <x:v>0.42361111111111116</x:v>
      </x:c>
      <x:c r="T929" s="9" t="n">
        <x:f>Q929*(1-0.40)-R929</x:f>
        <x:v>0.6777777777777777</x:v>
      </x:c>
    </x:row>
    <x:row r="930" ht="21" customHeight="1">
      <x:c r="A930" s="3" t="n">
        <x:v>15</x:v>
      </x:c>
      <x:c r="B930" s="3" t="str">
        <x:v>02:30</x:v>
      </x:c>
      <x:c r="C930" s="3" t="n">
        <x:v>3</x:v>
      </x:c>
      <x:c r="D930" s="3" t="n">
        <x:v>29</x:v>
      </x:c>
      <x:c r="E930" s="3" t="n">
        <x:v>5</x:v>
      </x:c>
      <x:c r="F930" s="3" t="n">
        <x:v>6</x:v>
      </x:c>
      <x:c r="G930" s="9" t="n">
        <x:v>0.1</x:v>
      </x:c>
      <x:c r="H930" s="9" t="n">
        <x:v>0.949994</x:v>
      </x:c>
      <x:c r="I930" s="9" t="n">
        <x:f>'Physical_Arcs'!R30</x:f>
        <x:v>17.02777777777778</x:v>
      </x:c>
      <x:c r="J930" s="9" t="n">
        <x:f>I930*'Parameters'!$C$18</x:f>
        <x:v>3.405555555555556</x:v>
      </x:c>
      <x:c r="K930" s="9" t="n">
        <x:f>J930*'Parameters'!$C$19</x:f>
        <x:v>4.256944444444445</x:v>
      </x:c>
      <x:c r="L930" s="9" t="n">
        <x:f>I930*(1-0.40)-J930</x:f>
        <x:v>6.811111111111111</x:v>
      </x:c>
      <x:c r="M930" s="9" t="n">
        <x:f>'Physical_Arcs'!S30</x:f>
        <x:v>17.02777777777778</x:v>
      </x:c>
      <x:c r="N930" s="9" t="n">
        <x:f>M930*'Parameters'!$C$18</x:f>
        <x:v>3.405555555555556</x:v>
      </x:c>
      <x:c r="O930" s="9" t="n">
        <x:f>N930*'Parameters'!$C$19</x:f>
        <x:v>4.256944444444445</x:v>
      </x:c>
      <x:c r="P930" s="9" t="n">
        <x:f>M930*(1-0.40)-N930</x:f>
        <x:v>6.811111111111111</x:v>
      </x:c>
      <x:c r="Q930" s="9" t="n">
        <x:f>'Physical_Arcs'!T30</x:f>
        <x:v>17.02777777777778</x:v>
      </x:c>
      <x:c r="R930" s="9" t="n">
        <x:f>Q930*'Parameters'!$C$18</x:f>
        <x:v>3.405555555555556</x:v>
      </x:c>
      <x:c r="S930" s="9" t="n">
        <x:f>R930*'Parameters'!$C$19</x:f>
        <x:v>4.256944444444445</x:v>
      </x:c>
      <x:c r="T930" s="9" t="n">
        <x:f>Q930*(1-0.40)-R930</x:f>
        <x:v>6.811111111111111</x:v>
      </x:c>
    </x:row>
    <x:row r="931" ht="21" customHeight="1">
      <x:c r="A931" s="3" t="n">
        <x:v>15</x:v>
      </x:c>
      <x:c r="B931" s="3" t="str">
        <x:v>02:30</x:v>
      </x:c>
      <x:c r="C931" s="3" t="n">
        <x:v>3</x:v>
      </x:c>
      <x:c r="D931" s="3" t="n">
        <x:v>30</x:v>
      </x:c>
      <x:c r="E931" s="3" t="n">
        <x:v>5</x:v>
      </x:c>
      <x:c r="F931" s="3" t="n">
        <x:v>2</x:v>
      </x:c>
      <x:c r="G931" s="9" t="n">
        <x:v>0.1</x:v>
      </x:c>
      <x:c r="H931" s="9" t="n">
        <x:v>0.882396</x:v>
      </x:c>
      <x:c r="I931" s="9" t="n">
        <x:f>'Physical_Arcs'!R31</x:f>
        <x:v>2.9444444444444446</x:v>
      </x:c>
      <x:c r="J931" s="9" t="n">
        <x:f>I931*'Parameters'!$C$18</x:f>
        <x:v>0.5888888888888889</x:v>
      </x:c>
      <x:c r="K931" s="9" t="n">
        <x:f>J931*'Parameters'!$C$19</x:f>
        <x:v>0.7361111111111112</x:v>
      </x:c>
      <x:c r="L931" s="9" t="n">
        <x:f>I931*(1-0.40)-J931</x:f>
        <x:v>1.177777777777778</x:v>
      </x:c>
      <x:c r="M931" s="9" t="n">
        <x:f>'Physical_Arcs'!S31</x:f>
        <x:v>2.9444444444444446</x:v>
      </x:c>
      <x:c r="N931" s="9" t="n">
        <x:f>M931*'Parameters'!$C$18</x:f>
        <x:v>0.5888888888888889</x:v>
      </x:c>
      <x:c r="O931" s="9" t="n">
        <x:f>N931*'Parameters'!$C$19</x:f>
        <x:v>0.7361111111111112</x:v>
      </x:c>
      <x:c r="P931" s="9" t="n">
        <x:f>M931*(1-0.40)-N931</x:f>
        <x:v>1.177777777777778</x:v>
      </x:c>
      <x:c r="Q931" s="9" t="n">
        <x:f>'Physical_Arcs'!T31</x:f>
        <x:v>1.4722222222222223</x:v>
      </x:c>
      <x:c r="R931" s="9" t="n">
        <x:f>Q931*'Parameters'!$C$18</x:f>
        <x:v>0.29444444444444445</x:v>
      </x:c>
      <x:c r="S931" s="9" t="n">
        <x:f>R931*'Parameters'!$C$19</x:f>
        <x:v>0.3680555555555556</x:v>
      </x:c>
      <x:c r="T931" s="9" t="n">
        <x:f>Q931*(1-0.40)-R931</x:f>
        <x:v>0.588888888888889</x:v>
      </x:c>
    </x:row>
    <x:row r="932" ht="21" customHeight="1">
      <x:c r="A932" s="3" t="n">
        <x:v>15</x:v>
      </x:c>
      <x:c r="B932" s="3" t="str">
        <x:v>02:30</x:v>
      </x:c>
      <x:c r="C932" s="3" t="n">
        <x:v>3</x:v>
      </x:c>
      <x:c r="D932" s="3" t="n">
        <x:v>31</x:v>
      </x:c>
      <x:c r="E932" s="3" t="n">
        <x:v>5</x:v>
      </x:c>
      <x:c r="F932" s="3" t="n">
        <x:v>8</x:v>
      </x:c>
      <x:c r="G932" s="9" t="n">
        <x:v>0.1</x:v>
      </x:c>
      <x:c r="H932" s="9" t="n">
        <x:v>0.986718</x:v>
      </x:c>
      <x:c r="I932" s="9" t="n">
        <x:f>'Physical_Arcs'!R32</x:f>
        <x:v>9.333333333333334</x:v>
      </x:c>
      <x:c r="J932" s="9" t="n">
        <x:f>I932*'Parameters'!$C$18</x:f>
        <x:v>1.866666666666667</x:v>
      </x:c>
      <x:c r="K932" s="9" t="n">
        <x:f>J932*'Parameters'!$C$19</x:f>
        <x:v>2.3333333333333335</x:v>
      </x:c>
      <x:c r="L932" s="9" t="n">
        <x:f>I932*(1-0.40)-J932</x:f>
        <x:v>3.7333333333333334</x:v>
      </x:c>
      <x:c r="M932" s="9" t="n">
        <x:f>'Physical_Arcs'!S32</x:f>
        <x:v>9.333333333333334</x:v>
      </x:c>
      <x:c r="N932" s="9" t="n">
        <x:f>M932*'Parameters'!$C$18</x:f>
        <x:v>1.866666666666667</x:v>
      </x:c>
      <x:c r="O932" s="9" t="n">
        <x:f>N932*'Parameters'!$C$19</x:f>
        <x:v>2.3333333333333335</x:v>
      </x:c>
      <x:c r="P932" s="9" t="n">
        <x:f>M932*(1-0.40)-N932</x:f>
        <x:v>3.7333333333333334</x:v>
      </x:c>
      <x:c r="Q932" s="9" t="n">
        <x:f>'Physical_Arcs'!T32</x:f>
        <x:v>4.666666666666667</x:v>
      </x:c>
      <x:c r="R932" s="9" t="n">
        <x:f>Q932*'Parameters'!$C$18</x:f>
        <x:v>0.9333333333333335</x:v>
      </x:c>
      <x:c r="S932" s="9" t="n">
        <x:f>R932*'Parameters'!$C$19</x:f>
        <x:v>1.1666666666666667</x:v>
      </x:c>
      <x:c r="T932" s="9" t="n">
        <x:f>Q932*(1-0.40)-R932</x:f>
        <x:v>1.8666666666666667</x:v>
      </x:c>
    </x:row>
    <x:row r="933" ht="21" customHeight="1">
      <x:c r="A933" s="3" t="n">
        <x:v>15</x:v>
      </x:c>
      <x:c r="B933" s="3" t="str">
        <x:v>02:30</x:v>
      </x:c>
      <x:c r="C933" s="3" t="n">
        <x:v>3</x:v>
      </x:c>
      <x:c r="D933" s="3" t="n">
        <x:v>32</x:v>
      </x:c>
      <x:c r="E933" s="3" t="n">
        <x:v>5</x:v>
      </x:c>
      <x:c r="F933" s="3" t="n">
        <x:v>3</x:v>
      </x:c>
      <x:c r="G933" s="9" t="n">
        <x:v>0.1</x:v>
      </x:c>
      <x:c r="H933" s="9" t="n">
        <x:v>1.089544</x:v>
      </x:c>
      <x:c r="I933" s="9" t="n">
        <x:f>'Physical_Arcs'!R33</x:f>
        <x:v>11.13888888888889</x:v>
      </x:c>
      <x:c r="J933" s="9" t="n">
        <x:f>I933*'Parameters'!$C$18</x:f>
        <x:v>2.227777777777778</x:v>
      </x:c>
      <x:c r="K933" s="9" t="n">
        <x:f>J933*'Parameters'!$C$19</x:f>
        <x:v>2.7847222222222223</x:v>
      </x:c>
      <x:c r="L933" s="9" t="n">
        <x:f>I933*(1-0.40)-J933</x:f>
        <x:v>4.455555555555556</x:v>
      </x:c>
      <x:c r="M933" s="9" t="n">
        <x:f>'Physical_Arcs'!S33</x:f>
        <x:v>11.13888888888889</x:v>
      </x:c>
      <x:c r="N933" s="9" t="n">
        <x:f>M933*'Parameters'!$C$18</x:f>
        <x:v>2.227777777777778</x:v>
      </x:c>
      <x:c r="O933" s="9" t="n">
        <x:f>N933*'Parameters'!$C$19</x:f>
        <x:v>2.7847222222222223</x:v>
      </x:c>
      <x:c r="P933" s="9" t="n">
        <x:f>M933*(1-0.40)-N933</x:f>
        <x:v>4.455555555555556</x:v>
      </x:c>
      <x:c r="Q933" s="9" t="n">
        <x:f>'Physical_Arcs'!T33</x:f>
        <x:v>5.583333333333333</x:v>
      </x:c>
      <x:c r="R933" s="9" t="n">
        <x:f>Q933*'Parameters'!$C$18</x:f>
        <x:v>1.1166666666666667</x:v>
      </x:c>
      <x:c r="S933" s="9" t="n">
        <x:f>R933*'Parameters'!$C$19</x:f>
        <x:v>1.3958333333333335</x:v>
      </x:c>
      <x:c r="T933" s="9" t="n">
        <x:f>Q933*(1-0.40)-R933</x:f>
        <x:v>2.233333333333333</x:v>
      </x:c>
    </x:row>
    <x:row r="934" ht="21" customHeight="1">
      <x:c r="A934" s="3" t="n">
        <x:v>15</x:v>
      </x:c>
      <x:c r="B934" s="3" t="str">
        <x:v>02:30</x:v>
      </x:c>
      <x:c r="C934" s="3" t="n">
        <x:v>3</x:v>
      </x:c>
      <x:c r="D934" s="3" t="n">
        <x:v>33</x:v>
      </x:c>
      <x:c r="E934" s="3" t="n">
        <x:v>5</x:v>
      </x:c>
      <x:c r="F934" s="3" t="n">
        <x:v>10</x:v>
      </x:c>
      <x:c r="G934" s="9" t="n">
        <x:v>0.1</x:v>
      </x:c>
      <x:c r="H934" s="9" t="n">
        <x:v>1.103596</x:v>
      </x:c>
      <x:c r="I934" s="9" t="n">
        <x:f>'Physical_Arcs'!R34</x:f>
        <x:v>4.611111111111111</x:v>
      </x:c>
      <x:c r="J934" s="9" t="n">
        <x:f>I934*'Parameters'!$C$18</x:f>
        <x:v>0.9222222222222222</x:v>
      </x:c>
      <x:c r="K934" s="9" t="n">
        <x:f>J934*'Parameters'!$C$19</x:f>
        <x:v>1.1527777777777777</x:v>
      </x:c>
      <x:c r="L934" s="9" t="n">
        <x:f>I934*(1-0.40)-J934</x:f>
        <x:v>1.844444444444444</x:v>
      </x:c>
      <x:c r="M934" s="9" t="n">
        <x:f>'Physical_Arcs'!S34</x:f>
        <x:v>4.611111111111111</x:v>
      </x:c>
      <x:c r="N934" s="9" t="n">
        <x:f>M934*'Parameters'!$C$18</x:f>
        <x:v>0.9222222222222222</x:v>
      </x:c>
      <x:c r="O934" s="9" t="n">
        <x:f>N934*'Parameters'!$C$19</x:f>
        <x:v>1.1527777777777777</x:v>
      </x:c>
      <x:c r="P934" s="9" t="n">
        <x:f>M934*(1-0.40)-N934</x:f>
        <x:v>1.844444444444444</x:v>
      </x:c>
      <x:c r="Q934" s="9" t="n">
        <x:f>'Physical_Arcs'!T34</x:f>
        <x:v>2.3055555555555554</x:v>
      </x:c>
      <x:c r="R934" s="9" t="n">
        <x:f>Q934*'Parameters'!$C$18</x:f>
        <x:v>0.4611111111111111</x:v>
      </x:c>
      <x:c r="S934" s="9" t="n">
        <x:f>R934*'Parameters'!$C$19</x:f>
        <x:v>0.5763888888888888</x:v>
      </x:c>
      <x:c r="T934" s="9" t="n">
        <x:f>Q934*(1-0.40)-R934</x:f>
        <x:v>0.922222222222222</x:v>
      </x:c>
    </x:row>
    <x:row r="935" ht="21" customHeight="1">
      <x:c r="A935" s="3" t="n">
        <x:v>15</x:v>
      </x:c>
      <x:c r="B935" s="3" t="str">
        <x:v>02:30</x:v>
      </x:c>
      <x:c r="C935" s="3" t="n">
        <x:v>3</x:v>
      </x:c>
      <x:c r="D935" s="3" t="n">
        <x:v>34</x:v>
      </x:c>
      <x:c r="E935" s="3" t="n">
        <x:v>6</x:v>
      </x:c>
      <x:c r="F935" s="3" t="n">
        <x:v>7</x:v>
      </x:c>
      <x:c r="G935" s="9" t="n">
        <x:v>0.1</x:v>
      </x:c>
      <x:c r="H935" s="9" t="n">
        <x:v>0.973887</x:v>
      </x:c>
      <x:c r="I935" s="9" t="n">
        <x:f>'Physical_Arcs'!R35</x:f>
        <x:v>17.02777777777778</x:v>
      </x:c>
      <x:c r="J935" s="9" t="n">
        <x:f>I935*'Parameters'!$C$18</x:f>
        <x:v>3.405555555555556</x:v>
      </x:c>
      <x:c r="K935" s="9" t="n">
        <x:f>J935*'Parameters'!$C$19</x:f>
        <x:v>4.256944444444445</x:v>
      </x:c>
      <x:c r="L935" s="9" t="n">
        <x:f>I935*(1-0.40)-J935</x:f>
        <x:v>6.811111111111111</x:v>
      </x:c>
      <x:c r="M935" s="9" t="n">
        <x:f>'Physical_Arcs'!S35</x:f>
        <x:v>17.02777777777778</x:v>
      </x:c>
      <x:c r="N935" s="9" t="n">
        <x:f>M935*'Parameters'!$C$18</x:f>
        <x:v>3.405555555555556</x:v>
      </x:c>
      <x:c r="O935" s="9" t="n">
        <x:f>N935*'Parameters'!$C$19</x:f>
        <x:v>4.256944444444445</x:v>
      </x:c>
      <x:c r="P935" s="9" t="n">
        <x:f>M935*(1-0.40)-N935</x:f>
        <x:v>6.811111111111111</x:v>
      </x:c>
      <x:c r="Q935" s="9" t="n">
        <x:f>'Physical_Arcs'!T35</x:f>
        <x:v>17.02777777777778</x:v>
      </x:c>
      <x:c r="R935" s="9" t="n">
        <x:f>Q935*'Parameters'!$C$18</x:f>
        <x:v>3.405555555555556</x:v>
      </x:c>
      <x:c r="S935" s="9" t="n">
        <x:f>R935*'Parameters'!$C$19</x:f>
        <x:v>4.256944444444445</x:v>
      </x:c>
      <x:c r="T935" s="9" t="n">
        <x:f>Q935*(1-0.40)-R935</x:f>
        <x:v>6.811111111111111</x:v>
      </x:c>
    </x:row>
    <x:row r="936" ht="21" customHeight="1">
      <x:c r="A936" s="3" t="n">
        <x:v>15</x:v>
      </x:c>
      <x:c r="B936" s="3" t="str">
        <x:v>02:30</x:v>
      </x:c>
      <x:c r="C936" s="3" t="n">
        <x:v>3</x:v>
      </x:c>
      <x:c r="D936" s="3" t="n">
        <x:v>35</x:v>
      </x:c>
      <x:c r="E936" s="3" t="n">
        <x:v>6</x:v>
      </x:c>
      <x:c r="F936" s="3" t="n">
        <x:v>10</x:v>
      </x:c>
      <x:c r="G936" s="9" t="n">
        <x:v>0.1</x:v>
      </x:c>
      <x:c r="H936" s="9" t="n">
        <x:v>1.009062</x:v>
      </x:c>
      <x:c r="I936" s="9" t="n">
        <x:f>'Physical_Arcs'!R36</x:f>
        <x:v>4.055555555555555</x:v>
      </x:c>
      <x:c r="J936" s="9" t="n">
        <x:f>I936*'Parameters'!$C$18</x:f>
        <x:v>0.8111111111111111</x:v>
      </x:c>
      <x:c r="K936" s="9" t="n">
        <x:f>J936*'Parameters'!$C$19</x:f>
        <x:v>1.0138888888888888</x:v>
      </x:c>
      <x:c r="L936" s="9" t="n">
        <x:f>I936*(1-0.40)-J936</x:f>
        <x:v>1.622222222222222</x:v>
      </x:c>
      <x:c r="M936" s="9" t="n">
        <x:f>'Physical_Arcs'!S36</x:f>
        <x:v>4.055555555555555</x:v>
      </x:c>
      <x:c r="N936" s="9" t="n">
        <x:f>M936*'Parameters'!$C$18</x:f>
        <x:v>0.8111111111111111</x:v>
      </x:c>
      <x:c r="O936" s="9" t="n">
        <x:f>N936*'Parameters'!$C$19</x:f>
        <x:v>1.0138888888888888</x:v>
      </x:c>
      <x:c r="P936" s="9" t="n">
        <x:f>M936*(1-0.40)-N936</x:f>
        <x:v>1.622222222222222</x:v>
      </x:c>
      <x:c r="Q936" s="9" t="n">
        <x:f>'Physical_Arcs'!T36</x:f>
        <x:v>2.0277777777777777</x:v>
      </x:c>
      <x:c r="R936" s="9" t="n">
        <x:f>Q936*'Parameters'!$C$18</x:f>
        <x:v>0.40555555555555556</x:v>
      </x:c>
      <x:c r="S936" s="9" t="n">
        <x:f>R936*'Parameters'!$C$19</x:f>
        <x:v>0.5069444444444444</x:v>
      </x:c>
      <x:c r="T936" s="9" t="n">
        <x:f>Q936*(1-0.40)-R936</x:f>
        <x:v>0.811111111111111</x:v>
      </x:c>
    </x:row>
    <x:row r="937" ht="21" customHeight="1">
      <x:c r="A937" s="3" t="n">
        <x:v>15</x:v>
      </x:c>
      <x:c r="B937" s="3" t="str">
        <x:v>02:30</x:v>
      </x:c>
      <x:c r="C937" s="3" t="n">
        <x:v>3</x:v>
      </x:c>
      <x:c r="D937" s="3" t="n">
        <x:v>36</x:v>
      </x:c>
      <x:c r="E937" s="3" t="n">
        <x:v>6</x:v>
      </x:c>
      <x:c r="F937" s="3" t="n">
        <x:v>8</x:v>
      </x:c>
      <x:c r="G937" s="9" t="n">
        <x:v>0.1</x:v>
      </x:c>
      <x:c r="H937" s="9" t="n">
        <x:v>1.132129</x:v>
      </x:c>
      <x:c r="I937" s="9" t="n">
        <x:f>'Physical_Arcs'!R37</x:f>
        <x:v>6.972222222222222</x:v>
      </x:c>
      <x:c r="J937" s="9" t="n">
        <x:f>I937*'Parameters'!$C$18</x:f>
        <x:v>1.3944444444444446</x:v>
      </x:c>
      <x:c r="K937" s="9" t="n">
        <x:f>J937*'Parameters'!$C$19</x:f>
        <x:v>1.7430555555555558</x:v>
      </x:c>
      <x:c r="L937" s="9" t="n">
        <x:f>I937*(1-0.40)-J937</x:f>
        <x:v>2.7888888888888888</x:v>
      </x:c>
      <x:c r="M937" s="9" t="n">
        <x:f>'Physical_Arcs'!S37</x:f>
        <x:v>6.972222222222222</x:v>
      </x:c>
      <x:c r="N937" s="9" t="n">
        <x:f>M937*'Parameters'!$C$18</x:f>
        <x:v>1.3944444444444446</x:v>
      </x:c>
      <x:c r="O937" s="9" t="n">
        <x:f>N937*'Parameters'!$C$19</x:f>
        <x:v>1.7430555555555558</x:v>
      </x:c>
      <x:c r="P937" s="9" t="n">
        <x:f>M937*(1-0.40)-N937</x:f>
        <x:v>2.7888888888888888</x:v>
      </x:c>
      <x:c r="Q937" s="9" t="n">
        <x:f>'Physical_Arcs'!T37</x:f>
        <x:v>3.5</x:v>
      </x:c>
      <x:c r="R937" s="9" t="n">
        <x:f>Q937*'Parameters'!$C$18</x:f>
        <x:v>0.7000000000000001</x:v>
      </x:c>
      <x:c r="S937" s="9" t="n">
        <x:f>R937*'Parameters'!$C$19</x:f>
        <x:v>0.8750000000000001</x:v>
      </x:c>
      <x:c r="T937" s="9" t="n">
        <x:f>Q937*(1-0.40)-R937</x:f>
        <x:v>1.4</x:v>
      </x:c>
    </x:row>
    <x:row r="938" ht="21" customHeight="1">
      <x:c r="A938" s="3" t="n">
        <x:v>15</x:v>
      </x:c>
      <x:c r="B938" s="3" t="str">
        <x:v>02:30</x:v>
      </x:c>
      <x:c r="C938" s="3" t="n">
        <x:v>3</x:v>
      </x:c>
      <x:c r="D938" s="3" t="n">
        <x:v>37</x:v>
      </x:c>
      <x:c r="E938" s="3" t="n">
        <x:v>6</x:v>
      </x:c>
      <x:c r="F938" s="3" t="n">
        <x:v>1</x:v>
      </x:c>
      <x:c r="G938" s="9" t="n">
        <x:v>0.1</x:v>
      </x:c>
      <x:c r="H938" s="9" t="n">
        <x:v>1.020746</x:v>
      </x:c>
      <x:c r="I938" s="9" t="n">
        <x:f>'Physical_Arcs'!R38</x:f>
        <x:v>6.305555555555555</x:v>
      </x:c>
      <x:c r="J938" s="9" t="n">
        <x:f>I938*'Parameters'!$C$18</x:f>
        <x:v>1.261111111111111</x:v>
      </x:c>
      <x:c r="K938" s="9" t="n">
        <x:f>J938*'Parameters'!$C$19</x:f>
        <x:v>1.5763888888888888</x:v>
      </x:c>
      <x:c r="L938" s="9" t="n">
        <x:f>I938*(1-0.40)-J938</x:f>
        <x:v>2.522222222222222</x:v>
      </x:c>
      <x:c r="M938" s="9" t="n">
        <x:f>'Physical_Arcs'!S38</x:f>
        <x:v>6.305555555555555</x:v>
      </x:c>
      <x:c r="N938" s="9" t="n">
        <x:f>M938*'Parameters'!$C$18</x:f>
        <x:v>1.261111111111111</x:v>
      </x:c>
      <x:c r="O938" s="9" t="n">
        <x:f>N938*'Parameters'!$C$19</x:f>
        <x:v>1.5763888888888888</x:v>
      </x:c>
      <x:c r="P938" s="9" t="n">
        <x:f>M938*(1-0.40)-N938</x:f>
        <x:v>2.522222222222222</x:v>
      </x:c>
      <x:c r="Q938" s="9" t="n">
        <x:f>'Physical_Arcs'!T38</x:f>
        <x:v>3.1666666666666665</x:v>
      </x:c>
      <x:c r="R938" s="9" t="n">
        <x:f>Q938*'Parameters'!$C$18</x:f>
        <x:v>0.6333333333333333</x:v>
      </x:c>
      <x:c r="S938" s="9" t="n">
        <x:f>R938*'Parameters'!$C$19</x:f>
        <x:v>0.7916666666666666</x:v>
      </x:c>
      <x:c r="T938" s="9" t="n">
        <x:f>Q938*(1-0.40)-R938</x:f>
        <x:v>1.2666666666666666</x:v>
      </x:c>
    </x:row>
    <x:row r="939" ht="21" customHeight="1">
      <x:c r="A939" s="3" t="n">
        <x:v>15</x:v>
      </x:c>
      <x:c r="B939" s="3" t="str">
        <x:v>02:30</x:v>
      </x:c>
      <x:c r="C939" s="3" t="n">
        <x:v>3</x:v>
      </x:c>
      <x:c r="D939" s="3" t="n">
        <x:v>38</x:v>
      </x:c>
      <x:c r="E939" s="3" t="n">
        <x:v>6</x:v>
      </x:c>
      <x:c r="F939" s="3" t="n">
        <x:v>3</x:v>
      </x:c>
      <x:c r="G939" s="9" t="n">
        <x:v>0.1</x:v>
      </x:c>
      <x:c r="H939" s="9" t="n">
        <x:v>1.149081</x:v>
      </x:c>
      <x:c r="I939" s="9" t="n">
        <x:f>'Physical_Arcs'!R39</x:f>
        <x:v>1.9166666666666667</x:v>
      </x:c>
      <x:c r="J939" s="9" t="n">
        <x:f>I939*'Parameters'!$C$18</x:f>
        <x:v>0.38333333333333336</x:v>
      </x:c>
      <x:c r="K939" s="9" t="n">
        <x:f>J939*'Parameters'!$C$19</x:f>
        <x:v>0.4791666666666667</x:v>
      </x:c>
      <x:c r="L939" s="9" t="n">
        <x:f>I939*(1-0.40)-J939</x:f>
        <x:v>0.7666666666666666</x:v>
      </x:c>
      <x:c r="M939" s="9" t="n">
        <x:f>'Physical_Arcs'!S39</x:f>
        <x:v>1.9166666666666667</x:v>
      </x:c>
      <x:c r="N939" s="9" t="n">
        <x:f>M939*'Parameters'!$C$18</x:f>
        <x:v>0.38333333333333336</x:v>
      </x:c>
      <x:c r="O939" s="9" t="n">
        <x:f>N939*'Parameters'!$C$19</x:f>
        <x:v>0.4791666666666667</x:v>
      </x:c>
      <x:c r="P939" s="9" t="n">
        <x:f>M939*(1-0.40)-N939</x:f>
        <x:v>0.7666666666666666</x:v>
      </x:c>
      <x:c r="Q939" s="9" t="n">
        <x:f>'Physical_Arcs'!T39</x:f>
        <x:v>0.9722222222222222</x:v>
      </x:c>
      <x:c r="R939" s="9" t="n">
        <x:f>Q939*'Parameters'!$C$18</x:f>
        <x:v>0.19444444444444445</x:v>
      </x:c>
      <x:c r="S939" s="9" t="n">
        <x:f>R939*'Parameters'!$C$19</x:f>
        <x:v>0.24305555555555555</x:v>
      </x:c>
      <x:c r="T939" s="9" t="n">
        <x:f>Q939*(1-0.40)-R939</x:f>
        <x:v>0.38888888888888884</x:v>
      </x:c>
    </x:row>
    <x:row r="940" ht="21" customHeight="1">
      <x:c r="A940" s="3" t="n">
        <x:v>15</x:v>
      </x:c>
      <x:c r="B940" s="3" t="str">
        <x:v>02:30</x:v>
      </x:c>
      <x:c r="C940" s="3" t="n">
        <x:v>3</x:v>
      </x:c>
      <x:c r="D940" s="3" t="n">
        <x:v>39</x:v>
      </x:c>
      <x:c r="E940" s="3" t="n">
        <x:v>7</x:v>
      </x:c>
      <x:c r="F940" s="3" t="n">
        <x:v>8</x:v>
      </x:c>
      <x:c r="G940" s="9" t="n">
        <x:v>0.1</x:v>
      </x:c>
      <x:c r="H940" s="9" t="n">
        <x:v>1.003268</x:v>
      </x:c>
      <x:c r="I940" s="9" t="n">
        <x:f>'Physical_Arcs'!R40</x:f>
        <x:v>17.02777777777778</x:v>
      </x:c>
      <x:c r="J940" s="9" t="n">
        <x:f>I940*'Parameters'!$C$18</x:f>
        <x:v>3.405555555555556</x:v>
      </x:c>
      <x:c r="K940" s="9" t="n">
        <x:f>J940*'Parameters'!$C$19</x:f>
        <x:v>4.256944444444445</x:v>
      </x:c>
      <x:c r="L940" s="9" t="n">
        <x:f>I940*(1-0.40)-J940</x:f>
        <x:v>6.811111111111111</x:v>
      </x:c>
      <x:c r="M940" s="9" t="n">
        <x:f>'Physical_Arcs'!S40</x:f>
        <x:v>17.02777777777778</x:v>
      </x:c>
      <x:c r="N940" s="9" t="n">
        <x:f>M940*'Parameters'!$C$18</x:f>
        <x:v>3.405555555555556</x:v>
      </x:c>
      <x:c r="O940" s="9" t="n">
        <x:f>N940*'Parameters'!$C$19</x:f>
        <x:v>4.256944444444445</x:v>
      </x:c>
      <x:c r="P940" s="9" t="n">
        <x:f>M940*(1-0.40)-N940</x:f>
        <x:v>6.811111111111111</x:v>
      </x:c>
      <x:c r="Q940" s="9" t="n">
        <x:f>'Physical_Arcs'!T40</x:f>
        <x:v>17.02777777777778</x:v>
      </x:c>
      <x:c r="R940" s="9" t="n">
        <x:f>Q940*'Parameters'!$C$18</x:f>
        <x:v>3.405555555555556</x:v>
      </x:c>
      <x:c r="S940" s="9" t="n">
        <x:f>R940*'Parameters'!$C$19</x:f>
        <x:v>4.256944444444445</x:v>
      </x:c>
      <x:c r="T940" s="9" t="n">
        <x:f>Q940*(1-0.40)-R940</x:f>
        <x:v>6.811111111111111</x:v>
      </x:c>
    </x:row>
    <x:row r="941" ht="21" customHeight="1">
      <x:c r="A941" s="3" t="n">
        <x:v>15</x:v>
      </x:c>
      <x:c r="B941" s="3" t="str">
        <x:v>02:30</x:v>
      </x:c>
      <x:c r="C941" s="3" t="n">
        <x:v>3</x:v>
      </x:c>
      <x:c r="D941" s="3" t="n">
        <x:v>40</x:v>
      </x:c>
      <x:c r="E941" s="3" t="n">
        <x:v>7</x:v>
      </x:c>
      <x:c r="F941" s="3" t="n">
        <x:v>1</x:v>
      </x:c>
      <x:c r="G941" s="9" t="n">
        <x:v>0.1</x:v>
      </x:c>
      <x:c r="H941" s="9" t="n">
        <x:v>1.057592</x:v>
      </x:c>
      <x:c r="I941" s="9" t="n">
        <x:f>'Physical_Arcs'!R41</x:f>
        <x:v>7.972222222222222</x:v>
      </x:c>
      <x:c r="J941" s="9" t="n">
        <x:f>I941*'Parameters'!$C$18</x:f>
        <x:v>1.5944444444444446</x:v>
      </x:c>
      <x:c r="K941" s="9" t="n">
        <x:f>J941*'Parameters'!$C$19</x:f>
        <x:v>1.9930555555555558</x:v>
      </x:c>
      <x:c r="L941" s="9" t="n">
        <x:f>I941*(1-0.40)-J941</x:f>
        <x:v>3.1888888888888887</x:v>
      </x:c>
      <x:c r="M941" s="9" t="n">
        <x:f>'Physical_Arcs'!S41</x:f>
        <x:v>7.972222222222222</x:v>
      </x:c>
      <x:c r="N941" s="9" t="n">
        <x:f>M941*'Parameters'!$C$18</x:f>
        <x:v>1.5944444444444446</x:v>
      </x:c>
      <x:c r="O941" s="9" t="n">
        <x:f>N941*'Parameters'!$C$19</x:f>
        <x:v>1.9930555555555558</x:v>
      </x:c>
      <x:c r="P941" s="9" t="n">
        <x:f>M941*(1-0.40)-N941</x:f>
        <x:v>3.1888888888888887</x:v>
      </x:c>
      <x:c r="Q941" s="9" t="n">
        <x:f>'Physical_Arcs'!T41</x:f>
        <x:v>4</x:v>
      </x:c>
      <x:c r="R941" s="9" t="n">
        <x:f>Q941*'Parameters'!$C$18</x:f>
        <x:v>0.8</x:v>
      </x:c>
      <x:c r="S941" s="9" t="n">
        <x:f>R941*'Parameters'!$C$19</x:f>
        <x:v>1</x:v>
      </x:c>
      <x:c r="T941" s="9" t="n">
        <x:f>Q941*(1-0.40)-R941</x:f>
        <x:v>1.5999999999999999</x:v>
      </x:c>
    </x:row>
    <x:row r="942" ht="21" customHeight="1">
      <x:c r="A942" s="3" t="n">
        <x:v>15</x:v>
      </x:c>
      <x:c r="B942" s="3" t="str">
        <x:v>02:30</x:v>
      </x:c>
      <x:c r="C942" s="3" t="n">
        <x:v>3</x:v>
      </x:c>
      <x:c r="D942" s="3" t="n">
        <x:v>41</x:v>
      </x:c>
      <x:c r="E942" s="3" t="n">
        <x:v>7</x:v>
      </x:c>
      <x:c r="F942" s="3" t="n">
        <x:v>9</x:v>
      </x:c>
      <x:c r="G942" s="9" t="n">
        <x:v>0.1</x:v>
      </x:c>
      <x:c r="H942" s="9" t="n">
        <x:v>1.14801</x:v>
      </x:c>
      <x:c r="I942" s="9" t="n">
        <x:f>'Physical_Arcs'!R42</x:f>
        <x:v>8.88888888888889</x:v>
      </x:c>
      <x:c r="J942" s="9" t="n">
        <x:f>I942*'Parameters'!$C$18</x:f>
        <x:v>1.777777777777778</x:v>
      </x:c>
      <x:c r="K942" s="9" t="n">
        <x:f>J942*'Parameters'!$C$19</x:f>
        <x:v>2.2222222222222223</x:v>
      </x:c>
      <x:c r="L942" s="9" t="n">
        <x:f>I942*(1-0.40)-J942</x:f>
        <x:v>3.5555555555555554</x:v>
      </x:c>
      <x:c r="M942" s="9" t="n">
        <x:f>'Physical_Arcs'!S42</x:f>
        <x:v>8.88888888888889</x:v>
      </x:c>
      <x:c r="N942" s="9" t="n">
        <x:f>M942*'Parameters'!$C$18</x:f>
        <x:v>1.777777777777778</x:v>
      </x:c>
      <x:c r="O942" s="9" t="n">
        <x:f>N942*'Parameters'!$C$19</x:f>
        <x:v>2.2222222222222223</x:v>
      </x:c>
      <x:c r="P942" s="9" t="n">
        <x:f>M942*(1-0.40)-N942</x:f>
        <x:v>3.5555555555555554</x:v>
      </x:c>
      <x:c r="Q942" s="9" t="n">
        <x:f>'Physical_Arcs'!T42</x:f>
        <x:v>4.444444444444445</x:v>
      </x:c>
      <x:c r="R942" s="9" t="n">
        <x:f>Q942*'Parameters'!$C$18</x:f>
        <x:v>0.888888888888889</x:v>
      </x:c>
      <x:c r="S942" s="9" t="n">
        <x:f>R942*'Parameters'!$C$19</x:f>
        <x:v>1.1111111111111112</x:v>
      </x:c>
      <x:c r="T942" s="9" t="n">
        <x:f>Q942*(1-0.40)-R942</x:f>
        <x:v>1.7777777777777777</x:v>
      </x:c>
    </x:row>
    <x:row r="943" ht="21" customHeight="1">
      <x:c r="A943" s="3" t="n">
        <x:v>15</x:v>
      </x:c>
      <x:c r="B943" s="3" t="str">
        <x:v>02:30</x:v>
      </x:c>
      <x:c r="C943" s="3" t="n">
        <x:v>3</x:v>
      </x:c>
      <x:c r="D943" s="3" t="n">
        <x:v>42</x:v>
      </x:c>
      <x:c r="E943" s="3" t="n">
        <x:v>7</x:v>
      </x:c>
      <x:c r="F943" s="3" t="n">
        <x:v>2</x:v>
      </x:c>
      <x:c r="G943" s="9" t="n">
        <x:v>0.1</x:v>
      </x:c>
      <x:c r="H943" s="9" t="n">
        <x:v>0.989237</x:v>
      </x:c>
      <x:c r="I943" s="9" t="n">
        <x:f>'Physical_Arcs'!R43</x:f>
        <x:v>9</x:v>
      </x:c>
      <x:c r="J943" s="9" t="n">
        <x:f>I943*'Parameters'!$C$18</x:f>
        <x:v>1.8</x:v>
      </x:c>
      <x:c r="K943" s="9" t="n">
        <x:f>J943*'Parameters'!$C$19</x:f>
        <x:v>2.25</x:v>
      </x:c>
      <x:c r="L943" s="9" t="n">
        <x:f>I943*(1-0.40)-J943</x:f>
        <x:v>3.5999999999999996</x:v>
      </x:c>
      <x:c r="M943" s="9" t="n">
        <x:f>'Physical_Arcs'!S43</x:f>
        <x:v>9</x:v>
      </x:c>
      <x:c r="N943" s="9" t="n">
        <x:f>M943*'Parameters'!$C$18</x:f>
        <x:v>1.8</x:v>
      </x:c>
      <x:c r="O943" s="9" t="n">
        <x:f>N943*'Parameters'!$C$19</x:f>
        <x:v>2.25</x:v>
      </x:c>
      <x:c r="P943" s="9" t="n">
        <x:f>M943*(1-0.40)-N943</x:f>
        <x:v>3.5999999999999996</x:v>
      </x:c>
      <x:c r="Q943" s="9" t="n">
        <x:f>'Physical_Arcs'!T43</x:f>
        <x:v>4.5</x:v>
      </x:c>
      <x:c r="R943" s="9" t="n">
        <x:f>Q943*'Parameters'!$C$18</x:f>
        <x:v>0.9</x:v>
      </x:c>
      <x:c r="S943" s="9" t="n">
        <x:f>R943*'Parameters'!$C$19</x:f>
        <x:v>1.125</x:v>
      </x:c>
      <x:c r="T943" s="9" t="n">
        <x:f>Q943*(1-0.40)-R943</x:f>
        <x:v>1.7999999999999998</x:v>
      </x:c>
    </x:row>
    <x:row r="944" ht="21" customHeight="1">
      <x:c r="A944" s="3" t="n">
        <x:v>15</x:v>
      </x:c>
      <x:c r="B944" s="3" t="str">
        <x:v>02:30</x:v>
      </x:c>
      <x:c r="C944" s="3" t="n">
        <x:v>3</x:v>
      </x:c>
      <x:c r="D944" s="3" t="n">
        <x:v>43</x:v>
      </x:c>
      <x:c r="E944" s="3" t="n">
        <x:v>7</x:v>
      </x:c>
      <x:c r="F944" s="3" t="n">
        <x:v>3</x:v>
      </x:c>
      <x:c r="G944" s="9" t="n">
        <x:v>0.1</x:v>
      </x:c>
      <x:c r="H944" s="9" t="n">
        <x:v>1.050432</x:v>
      </x:c>
      <x:c r="I944" s="9" t="n">
        <x:f>'Physical_Arcs'!R44</x:f>
        <x:v>7.638888888888889</x:v>
      </x:c>
      <x:c r="J944" s="9" t="n">
        <x:f>I944*'Parameters'!$C$18</x:f>
        <x:v>1.527777777777778</x:v>
      </x:c>
      <x:c r="K944" s="9" t="n">
        <x:f>J944*'Parameters'!$C$19</x:f>
        <x:v>1.9097222222222223</x:v>
      </x:c>
      <x:c r="L944" s="9" t="n">
        <x:f>I944*(1-0.40)-J944</x:f>
        <x:v>3.0555555555555554</x:v>
      </x:c>
      <x:c r="M944" s="9" t="n">
        <x:f>'Physical_Arcs'!S44</x:f>
        <x:v>7.638888888888889</x:v>
      </x:c>
      <x:c r="N944" s="9" t="n">
        <x:f>M944*'Parameters'!$C$18</x:f>
        <x:v>1.527777777777778</x:v>
      </x:c>
      <x:c r="O944" s="9" t="n">
        <x:f>N944*'Parameters'!$C$19</x:f>
        <x:v>1.9097222222222223</x:v>
      </x:c>
      <x:c r="P944" s="9" t="n">
        <x:f>M944*(1-0.40)-N944</x:f>
        <x:v>3.0555555555555554</x:v>
      </x:c>
      <x:c r="Q944" s="9" t="n">
        <x:f>'Physical_Arcs'!T44</x:f>
        <x:v>3.8333333333333335</x:v>
      </x:c>
      <x:c r="R944" s="9" t="n">
        <x:f>Q944*'Parameters'!$C$18</x:f>
        <x:v>0.7666666666666667</x:v>
      </x:c>
      <x:c r="S944" s="9" t="n">
        <x:f>R944*'Parameters'!$C$19</x:f>
        <x:v>0.9583333333333334</x:v>
      </x:c>
      <x:c r="T944" s="9" t="n">
        <x:f>Q944*(1-0.40)-R944</x:f>
        <x:v>1.5333333333333332</x:v>
      </x:c>
    </x:row>
    <x:row r="945" ht="21" customHeight="1">
      <x:c r="A945" s="3" t="n">
        <x:v>15</x:v>
      </x:c>
      <x:c r="B945" s="3" t="str">
        <x:v>02:30</x:v>
      </x:c>
      <x:c r="C945" s="3" t="n">
        <x:v>3</x:v>
      </x:c>
      <x:c r="D945" s="3" t="n">
        <x:v>44</x:v>
      </x:c>
      <x:c r="E945" s="3" t="n">
        <x:v>8</x:v>
      </x:c>
      <x:c r="F945" s="3" t="n">
        <x:v>9</x:v>
      </x:c>
      <x:c r="G945" s="9" t="n">
        <x:v>0.1</x:v>
      </x:c>
      <x:c r="H945" s="9" t="n">
        <x:v>0.868101</x:v>
      </x:c>
      <x:c r="I945" s="9" t="n">
        <x:f>'Physical_Arcs'!R45</x:f>
        <x:v>17.02777777777778</x:v>
      </x:c>
      <x:c r="J945" s="9" t="n">
        <x:f>I945*'Parameters'!$C$18</x:f>
        <x:v>3.405555555555556</x:v>
      </x:c>
      <x:c r="K945" s="9" t="n">
        <x:f>J945*'Parameters'!$C$19</x:f>
        <x:v>4.256944444444445</x:v>
      </x:c>
      <x:c r="L945" s="9" t="n">
        <x:f>I945*(1-0.40)-J945</x:f>
        <x:v>6.811111111111111</x:v>
      </x:c>
      <x:c r="M945" s="9" t="n">
        <x:f>'Physical_Arcs'!S45</x:f>
        <x:v>17.02777777777778</x:v>
      </x:c>
      <x:c r="N945" s="9" t="n">
        <x:f>M945*'Parameters'!$C$18</x:f>
        <x:v>3.405555555555556</x:v>
      </x:c>
      <x:c r="O945" s="9" t="n">
        <x:f>N945*'Parameters'!$C$19</x:f>
        <x:v>4.256944444444445</x:v>
      </x:c>
      <x:c r="P945" s="9" t="n">
        <x:f>M945*(1-0.40)-N945</x:f>
        <x:v>6.811111111111111</x:v>
      </x:c>
      <x:c r="Q945" s="9" t="n">
        <x:f>'Physical_Arcs'!T45</x:f>
        <x:v>17.02777777777778</x:v>
      </x:c>
      <x:c r="R945" s="9" t="n">
        <x:f>Q945*'Parameters'!$C$18</x:f>
        <x:v>3.405555555555556</x:v>
      </x:c>
      <x:c r="S945" s="9" t="n">
        <x:f>R945*'Parameters'!$C$19</x:f>
        <x:v>4.256944444444445</x:v>
      </x:c>
      <x:c r="T945" s="9" t="n">
        <x:f>Q945*(1-0.40)-R945</x:f>
        <x:v>6.811111111111111</x:v>
      </x:c>
    </x:row>
    <x:row r="946" ht="21" customHeight="1">
      <x:c r="A946" s="3" t="n">
        <x:v>15</x:v>
      </x:c>
      <x:c r="B946" s="3" t="str">
        <x:v>02:30</x:v>
      </x:c>
      <x:c r="C946" s="3" t="n">
        <x:v>3</x:v>
      </x:c>
      <x:c r="D946" s="3" t="n">
        <x:v>45</x:v>
      </x:c>
      <x:c r="E946" s="3" t="n">
        <x:v>8</x:v>
      </x:c>
      <x:c r="F946" s="3" t="n">
        <x:v>3</x:v>
      </x:c>
      <x:c r="G946" s="9" t="n">
        <x:v>0.1</x:v>
      </x:c>
      <x:c r="H946" s="9" t="n">
        <x:v>0.944958</x:v>
      </x:c>
      <x:c r="I946" s="9" t="n">
        <x:f>'Physical_Arcs'!R46</x:f>
        <x:v>5.388888888888889</x:v>
      </x:c>
      <x:c r="J946" s="9" t="n">
        <x:f>I946*'Parameters'!$C$18</x:f>
        <x:v>1.077777777777778</x:v>
      </x:c>
      <x:c r="K946" s="9" t="n">
        <x:f>J946*'Parameters'!$C$19</x:f>
        <x:v>1.3472222222222223</x:v>
      </x:c>
      <x:c r="L946" s="9" t="n">
        <x:f>I946*(1-0.40)-J946</x:f>
        <x:v>2.1555555555555554</x:v>
      </x:c>
      <x:c r="M946" s="9" t="n">
        <x:f>'Physical_Arcs'!S46</x:f>
        <x:v>5.388888888888889</x:v>
      </x:c>
      <x:c r="N946" s="9" t="n">
        <x:f>M946*'Parameters'!$C$18</x:f>
        <x:v>1.077777777777778</x:v>
      </x:c>
      <x:c r="O946" s="9" t="n">
        <x:f>N946*'Parameters'!$C$19</x:f>
        <x:v>1.3472222222222223</x:v>
      </x:c>
      <x:c r="P946" s="9" t="n">
        <x:f>M946*(1-0.40)-N946</x:f>
        <x:v>2.1555555555555554</x:v>
      </x:c>
      <x:c r="Q946" s="9" t="n">
        <x:f>'Physical_Arcs'!T46</x:f>
        <x:v>2.6944444444444446</x:v>
      </x:c>
      <x:c r="R946" s="9" t="n">
        <x:f>Q946*'Parameters'!$C$18</x:f>
        <x:v>0.538888888888889</x:v>
      </x:c>
      <x:c r="S946" s="9" t="n">
        <x:f>R946*'Parameters'!$C$19</x:f>
        <x:v>0.6736111111111112</x:v>
      </x:c>
      <x:c r="T946" s="9" t="n">
        <x:f>Q946*(1-0.40)-R946</x:f>
        <x:v>1.0777777777777777</x:v>
      </x:c>
    </x:row>
    <x:row r="947" ht="21" customHeight="1">
      <x:c r="A947" s="3" t="n">
        <x:v>15</x:v>
      </x:c>
      <x:c r="B947" s="3" t="str">
        <x:v>02:30</x:v>
      </x:c>
      <x:c r="C947" s="3" t="n">
        <x:v>3</x:v>
      </x:c>
      <x:c r="D947" s="3" t="n">
        <x:v>46</x:v>
      </x:c>
      <x:c r="E947" s="3" t="n">
        <x:v>8</x:v>
      </x:c>
      <x:c r="F947" s="3" t="n">
        <x:v>7</x:v>
      </x:c>
      <x:c r="G947" s="9" t="n">
        <x:v>0.1</x:v>
      </x:c>
      <x:c r="H947" s="9" t="n">
        <x:v>0.866232</x:v>
      </x:c>
      <x:c r="I947" s="9" t="n">
        <x:f>'Physical_Arcs'!R47</x:f>
        <x:v>5.388888888888889</x:v>
      </x:c>
      <x:c r="J947" s="9" t="n">
        <x:f>I947*'Parameters'!$C$18</x:f>
        <x:v>1.077777777777778</x:v>
      </x:c>
      <x:c r="K947" s="9" t="n">
        <x:f>J947*'Parameters'!$C$19</x:f>
        <x:v>1.3472222222222223</x:v>
      </x:c>
      <x:c r="L947" s="9" t="n">
        <x:f>I947*(1-0.40)-J947</x:f>
        <x:v>2.1555555555555554</x:v>
      </x:c>
      <x:c r="M947" s="9" t="n">
        <x:f>'Physical_Arcs'!S47</x:f>
        <x:v>5.388888888888889</x:v>
      </x:c>
      <x:c r="N947" s="9" t="n">
        <x:f>M947*'Parameters'!$C$18</x:f>
        <x:v>1.077777777777778</x:v>
      </x:c>
      <x:c r="O947" s="9" t="n">
        <x:f>N947*'Parameters'!$C$19</x:f>
        <x:v>1.3472222222222223</x:v>
      </x:c>
      <x:c r="P947" s="9" t="n">
        <x:f>M947*(1-0.40)-N947</x:f>
        <x:v>2.1555555555555554</x:v>
      </x:c>
      <x:c r="Q947" s="9" t="n">
        <x:f>'Physical_Arcs'!T47</x:f>
        <x:v>2.6944444444444446</x:v>
      </x:c>
      <x:c r="R947" s="9" t="n">
        <x:f>Q947*'Parameters'!$C$18</x:f>
        <x:v>0.538888888888889</x:v>
      </x:c>
      <x:c r="S947" s="9" t="n">
        <x:f>R947*'Parameters'!$C$19</x:f>
        <x:v>0.6736111111111112</x:v>
      </x:c>
      <x:c r="T947" s="9" t="n">
        <x:f>Q947*(1-0.40)-R947</x:f>
        <x:v>1.0777777777777777</x:v>
      </x:c>
    </x:row>
    <x:row r="948" ht="21" customHeight="1">
      <x:c r="A948" s="3" t="n">
        <x:v>15</x:v>
      </x:c>
      <x:c r="B948" s="3" t="str">
        <x:v>02:30</x:v>
      </x:c>
      <x:c r="C948" s="3" t="n">
        <x:v>3</x:v>
      </x:c>
      <x:c r="D948" s="3" t="n">
        <x:v>47</x:v>
      </x:c>
      <x:c r="E948" s="3" t="n">
        <x:v>8</x:v>
      </x:c>
      <x:c r="F948" s="3" t="n">
        <x:v>2</x:v>
      </x:c>
      <x:c r="G948" s="9" t="n">
        <x:v>0.1</x:v>
      </x:c>
      <x:c r="H948" s="9" t="n">
        <x:v>1.135644</x:v>
      </x:c>
      <x:c r="I948" s="9" t="n">
        <x:f>'Physical_Arcs'!R48</x:f>
        <x:v>8.083333333333334</x:v>
      </x:c>
      <x:c r="J948" s="9" t="n">
        <x:f>I948*'Parameters'!$C$18</x:f>
        <x:v>1.616666666666667</x:v>
      </x:c>
      <x:c r="K948" s="9" t="n">
        <x:f>J948*'Parameters'!$C$19</x:f>
        <x:v>2.0208333333333335</x:v>
      </x:c>
      <x:c r="L948" s="9" t="n">
        <x:f>I948*(1-0.40)-J948</x:f>
        <x:v>3.2333333333333334</x:v>
      </x:c>
      <x:c r="M948" s="9" t="n">
        <x:f>'Physical_Arcs'!S48</x:f>
        <x:v>8.083333333333334</x:v>
      </x:c>
      <x:c r="N948" s="9" t="n">
        <x:f>M948*'Parameters'!$C$18</x:f>
        <x:v>1.616666666666667</x:v>
      </x:c>
      <x:c r="O948" s="9" t="n">
        <x:f>N948*'Parameters'!$C$19</x:f>
        <x:v>2.0208333333333335</x:v>
      </x:c>
      <x:c r="P948" s="9" t="n">
        <x:f>M948*(1-0.40)-N948</x:f>
        <x:v>3.2333333333333334</x:v>
      </x:c>
      <x:c r="Q948" s="9" t="n">
        <x:f>'Physical_Arcs'!T48</x:f>
        <x:v>4.055555555555555</x:v>
      </x:c>
      <x:c r="R948" s="9" t="n">
        <x:f>Q948*'Parameters'!$C$18</x:f>
        <x:v>0.8111111111111111</x:v>
      </x:c>
      <x:c r="S948" s="9" t="n">
        <x:f>R948*'Parameters'!$C$19</x:f>
        <x:v>1.0138888888888888</x:v>
      </x:c>
      <x:c r="T948" s="9" t="n">
        <x:f>Q948*(1-0.40)-R948</x:f>
        <x:v>1.622222222222222</x:v>
      </x:c>
    </x:row>
    <x:row r="949" ht="21" customHeight="1">
      <x:c r="A949" s="3" t="n">
        <x:v>15</x:v>
      </x:c>
      <x:c r="B949" s="3" t="str">
        <x:v>02:30</x:v>
      </x:c>
      <x:c r="C949" s="3" t="n">
        <x:v>3</x:v>
      </x:c>
      <x:c r="D949" s="3" t="n">
        <x:v>48</x:v>
      </x:c>
      <x:c r="E949" s="3" t="n">
        <x:v>8</x:v>
      </x:c>
      <x:c r="F949" s="3" t="n">
        <x:v>6</x:v>
      </x:c>
      <x:c r="G949" s="9" t="n">
        <x:v>0.1</x:v>
      </x:c>
      <x:c r="H949" s="9" t="n">
        <x:v>0.850778</x:v>
      </x:c>
      <x:c r="I949" s="9" t="n">
        <x:f>'Physical_Arcs'!R49</x:f>
        <x:v>10.555555555555555</x:v>
      </x:c>
      <x:c r="J949" s="9" t="n">
        <x:f>I949*'Parameters'!$C$18</x:f>
        <x:v>2.111111111111111</x:v>
      </x:c>
      <x:c r="K949" s="9" t="n">
        <x:f>J949*'Parameters'!$C$19</x:f>
        <x:v>2.638888888888889</x:v>
      </x:c>
      <x:c r="L949" s="9" t="n">
        <x:f>I949*(1-0.40)-J949</x:f>
        <x:v>4.222222222222221</x:v>
      </x:c>
      <x:c r="M949" s="9" t="n">
        <x:f>'Physical_Arcs'!S49</x:f>
        <x:v>10.555555555555555</x:v>
      </x:c>
      <x:c r="N949" s="9" t="n">
        <x:f>M949*'Parameters'!$C$18</x:f>
        <x:v>2.111111111111111</x:v>
      </x:c>
      <x:c r="O949" s="9" t="n">
        <x:f>N949*'Parameters'!$C$19</x:f>
        <x:v>2.638888888888889</x:v>
      </x:c>
      <x:c r="P949" s="9" t="n">
        <x:f>M949*(1-0.40)-N949</x:f>
        <x:v>4.222222222222221</x:v>
      </x:c>
      <x:c r="Q949" s="9" t="n">
        <x:f>'Physical_Arcs'!T49</x:f>
        <x:v>5.277777777777778</x:v>
      </x:c>
      <x:c r="R949" s="9" t="n">
        <x:f>Q949*'Parameters'!$C$18</x:f>
        <x:v>1.0555555555555556</x:v>
      </x:c>
      <x:c r="S949" s="9" t="n">
        <x:f>R949*'Parameters'!$C$19</x:f>
        <x:v>1.3194444444444444</x:v>
      </x:c>
      <x:c r="T949" s="9" t="n">
        <x:f>Q949*(1-0.40)-R949</x:f>
        <x:v>2.1111111111111107</x:v>
      </x:c>
    </x:row>
    <x:row r="950" ht="21" customHeight="1">
      <x:c r="A950" s="3" t="n">
        <x:v>15</x:v>
      </x:c>
      <x:c r="B950" s="3" t="str">
        <x:v>02:30</x:v>
      </x:c>
      <x:c r="C950" s="3" t="n">
        <x:v>3</x:v>
      </x:c>
      <x:c r="D950" s="3" t="n">
        <x:v>49</x:v>
      </x:c>
      <x:c r="E950" s="3" t="n">
        <x:v>8</x:v>
      </x:c>
      <x:c r="F950" s="3" t="n">
        <x:v>4</x:v>
      </x:c>
      <x:c r="G950" s="9" t="n">
        <x:v>0.1</x:v>
      </x:c>
      <x:c r="H950" s="9" t="n">
        <x:v>0.904949</x:v>
      </x:c>
      <x:c r="I950" s="9" t="n">
        <x:f>'Physical_Arcs'!R50</x:f>
        <x:v>1.5833333333333333</x:v>
      </x:c>
      <x:c r="J950" s="9" t="n">
        <x:f>I950*'Parameters'!$C$18</x:f>
        <x:v>0.31666666666666665</x:v>
      </x:c>
      <x:c r="K950" s="9" t="n">
        <x:f>J950*'Parameters'!$C$19</x:f>
        <x:v>0.3958333333333333</x:v>
      </x:c>
      <x:c r="L950" s="9" t="n">
        <x:f>I950*(1-0.40)-J950</x:f>
        <x:v>0.6333333333333333</x:v>
      </x:c>
      <x:c r="M950" s="9" t="n">
        <x:f>'Physical_Arcs'!S50</x:f>
        <x:v>1.5833333333333333</x:v>
      </x:c>
      <x:c r="N950" s="9" t="n">
        <x:f>M950*'Parameters'!$C$18</x:f>
        <x:v>0.31666666666666665</x:v>
      </x:c>
      <x:c r="O950" s="9" t="n">
        <x:f>N950*'Parameters'!$C$19</x:f>
        <x:v>0.3958333333333333</x:v>
      </x:c>
      <x:c r="P950" s="9" t="n">
        <x:f>M950*(1-0.40)-N950</x:f>
        <x:v>0.6333333333333333</x:v>
      </x:c>
      <x:c r="Q950" s="9" t="n">
        <x:f>'Physical_Arcs'!T50</x:f>
        <x:v>0.8055555555555556</x:v>
      </x:c>
      <x:c r="R950" s="9" t="n">
        <x:f>Q950*'Parameters'!$C$18</x:f>
        <x:v>0.16111111111111112</x:v>
      </x:c>
      <x:c r="S950" s="9" t="n">
        <x:f>R950*'Parameters'!$C$19</x:f>
        <x:v>0.2013888888888889</x:v>
      </x:c>
      <x:c r="T950" s="9" t="n">
        <x:f>Q950*(1-0.40)-R950</x:f>
        <x:v>0.3222222222222222</x:v>
      </x:c>
    </x:row>
    <x:row r="951" ht="21" customHeight="1">
      <x:c r="A951" s="3" t="n">
        <x:v>15</x:v>
      </x:c>
      <x:c r="B951" s="3" t="str">
        <x:v>02:30</x:v>
      </x:c>
      <x:c r="C951" s="3" t="n">
        <x:v>3</x:v>
      </x:c>
      <x:c r="D951" s="3" t="n">
        <x:v>50</x:v>
      </x:c>
      <x:c r="E951" s="3" t="n">
        <x:v>8</x:v>
      </x:c>
      <x:c r="F951" s="3" t="n">
        <x:v>5</x:v>
      </x:c>
      <x:c r="G951" s="9" t="n">
        <x:v>0.1</x:v>
      </x:c>
      <x:c r="H951" s="9" t="n">
        <x:v>0.990416</x:v>
      </x:c>
      <x:c r="I951" s="9" t="n">
        <x:f>'Physical_Arcs'!R51</x:f>
        <x:v>10.777777777777779</x:v>
      </x:c>
      <x:c r="J951" s="9" t="n">
        <x:f>I951*'Parameters'!$C$18</x:f>
        <x:v>2.155555555555556</x:v>
      </x:c>
      <x:c r="K951" s="9" t="n">
        <x:f>J951*'Parameters'!$C$19</x:f>
        <x:v>2.6944444444444446</x:v>
      </x:c>
      <x:c r="L951" s="9" t="n">
        <x:f>I951*(1-0.40)-J951</x:f>
        <x:v>4.311111111111111</x:v>
      </x:c>
      <x:c r="M951" s="9" t="n">
        <x:f>'Physical_Arcs'!S51</x:f>
        <x:v>10.777777777777779</x:v>
      </x:c>
      <x:c r="N951" s="9" t="n">
        <x:f>M951*'Parameters'!$C$18</x:f>
        <x:v>2.155555555555556</x:v>
      </x:c>
      <x:c r="O951" s="9" t="n">
        <x:f>N951*'Parameters'!$C$19</x:f>
        <x:v>2.6944444444444446</x:v>
      </x:c>
      <x:c r="P951" s="9" t="n">
        <x:f>M951*(1-0.40)-N951</x:f>
        <x:v>4.311111111111111</x:v>
      </x:c>
      <x:c r="Q951" s="9" t="n">
        <x:f>'Physical_Arcs'!T51</x:f>
        <x:v>5.388888888888889</x:v>
      </x:c>
      <x:c r="R951" s="9" t="n">
        <x:f>Q951*'Parameters'!$C$18</x:f>
        <x:v>1.077777777777778</x:v>
      </x:c>
      <x:c r="S951" s="9" t="n">
        <x:f>R951*'Parameters'!$C$19</x:f>
        <x:v>1.3472222222222223</x:v>
      </x:c>
      <x:c r="T951" s="9" t="n">
        <x:f>Q951*(1-0.40)-R951</x:f>
        <x:v>2.1555555555555554</x:v>
      </x:c>
    </x:row>
    <x:row r="952" ht="21" customHeight="1">
      <x:c r="A952" s="3" t="n">
        <x:v>15</x:v>
      </x:c>
      <x:c r="B952" s="3" t="str">
        <x:v>02:30</x:v>
      </x:c>
      <x:c r="C952" s="3" t="n">
        <x:v>3</x:v>
      </x:c>
      <x:c r="D952" s="3" t="n">
        <x:v>51</x:v>
      </x:c>
      <x:c r="E952" s="3" t="n">
        <x:v>8</x:v>
      </x:c>
      <x:c r="F952" s="3" t="n">
        <x:v>1</x:v>
      </x:c>
      <x:c r="G952" s="9" t="n">
        <x:v>0.1</x:v>
      </x:c>
      <x:c r="H952" s="9" t="n">
        <x:v>1.039066</x:v>
      </x:c>
      <x:c r="I952" s="9" t="n">
        <x:f>'Physical_Arcs'!R52</x:f>
        <x:v>8.88888888888889</x:v>
      </x:c>
      <x:c r="J952" s="9" t="n">
        <x:f>I952*'Parameters'!$C$18</x:f>
        <x:v>1.777777777777778</x:v>
      </x:c>
      <x:c r="K952" s="9" t="n">
        <x:f>J952*'Parameters'!$C$19</x:f>
        <x:v>2.2222222222222223</x:v>
      </x:c>
      <x:c r="L952" s="9" t="n">
        <x:f>I952*(1-0.40)-J952</x:f>
        <x:v>3.5555555555555554</x:v>
      </x:c>
      <x:c r="M952" s="9" t="n">
        <x:f>'Physical_Arcs'!S52</x:f>
        <x:v>8.88888888888889</x:v>
      </x:c>
      <x:c r="N952" s="9" t="n">
        <x:f>M952*'Parameters'!$C$18</x:f>
        <x:v>1.777777777777778</x:v>
      </x:c>
      <x:c r="O952" s="9" t="n">
        <x:f>N952*'Parameters'!$C$19</x:f>
        <x:v>2.2222222222222223</x:v>
      </x:c>
      <x:c r="P952" s="9" t="n">
        <x:f>M952*(1-0.40)-N952</x:f>
        <x:v>3.5555555555555554</x:v>
      </x:c>
      <x:c r="Q952" s="9" t="n">
        <x:f>'Physical_Arcs'!T52</x:f>
        <x:v>4.444444444444445</x:v>
      </x:c>
      <x:c r="R952" s="9" t="n">
        <x:f>Q952*'Parameters'!$C$18</x:f>
        <x:v>0.888888888888889</x:v>
      </x:c>
      <x:c r="S952" s="9" t="n">
        <x:f>R952*'Parameters'!$C$19</x:f>
        <x:v>1.1111111111111112</x:v>
      </x:c>
      <x:c r="T952" s="9" t="n">
        <x:f>Q952*(1-0.40)-R952</x:f>
        <x:v>1.7777777777777777</x:v>
      </x:c>
    </x:row>
    <x:row r="953" ht="21" customHeight="1">
      <x:c r="A953" s="3" t="n">
        <x:v>15</x:v>
      </x:c>
      <x:c r="B953" s="3" t="str">
        <x:v>02:30</x:v>
      </x:c>
      <x:c r="C953" s="3" t="n">
        <x:v>3</x:v>
      </x:c>
      <x:c r="D953" s="3" t="n">
        <x:v>52</x:v>
      </x:c>
      <x:c r="E953" s="3" t="n">
        <x:v>9</x:v>
      </x:c>
      <x:c r="F953" s="3" t="n">
        <x:v>10</x:v>
      </x:c>
      <x:c r="G953" s="9" t="n">
        <x:v>0.1</x:v>
      </x:c>
      <x:c r="H953" s="9" t="n">
        <x:v>0.954096</x:v>
      </x:c>
      <x:c r="I953" s="9" t="n">
        <x:f>'Physical_Arcs'!R53</x:f>
        <x:v>17.02777777777778</x:v>
      </x:c>
      <x:c r="J953" s="9" t="n">
        <x:f>I953*'Parameters'!$C$18</x:f>
        <x:v>3.405555555555556</x:v>
      </x:c>
      <x:c r="K953" s="9" t="n">
        <x:f>J953*'Parameters'!$C$19</x:f>
        <x:v>4.256944444444445</x:v>
      </x:c>
      <x:c r="L953" s="9" t="n">
        <x:f>I953*(1-0.40)-J953</x:f>
        <x:v>6.811111111111111</x:v>
      </x:c>
      <x:c r="M953" s="9" t="n">
        <x:f>'Physical_Arcs'!S53</x:f>
        <x:v>17.02777777777778</x:v>
      </x:c>
      <x:c r="N953" s="9" t="n">
        <x:f>M953*'Parameters'!$C$18</x:f>
        <x:v>3.405555555555556</x:v>
      </x:c>
      <x:c r="O953" s="9" t="n">
        <x:f>N953*'Parameters'!$C$19</x:f>
        <x:v>4.256944444444445</x:v>
      </x:c>
      <x:c r="P953" s="9" t="n">
        <x:f>M953*(1-0.40)-N953</x:f>
        <x:v>6.811111111111111</x:v>
      </x:c>
      <x:c r="Q953" s="9" t="n">
        <x:f>'Physical_Arcs'!T53</x:f>
        <x:v>17.02777777777778</x:v>
      </x:c>
      <x:c r="R953" s="9" t="n">
        <x:f>Q953*'Parameters'!$C$18</x:f>
        <x:v>3.405555555555556</x:v>
      </x:c>
      <x:c r="S953" s="9" t="n">
        <x:f>R953*'Parameters'!$C$19</x:f>
        <x:v>4.256944444444445</x:v>
      </x:c>
      <x:c r="T953" s="9" t="n">
        <x:f>Q953*(1-0.40)-R953</x:f>
        <x:v>6.811111111111111</x:v>
      </x:c>
    </x:row>
    <x:row r="954" ht="21" customHeight="1">
      <x:c r="A954" s="3" t="n">
        <x:v>15</x:v>
      </x:c>
      <x:c r="B954" s="3" t="str">
        <x:v>02:30</x:v>
      </x:c>
      <x:c r="C954" s="3" t="n">
        <x:v>3</x:v>
      </x:c>
      <x:c r="D954" s="3" t="n">
        <x:v>53</x:v>
      </x:c>
      <x:c r="E954" s="3" t="n">
        <x:v>9</x:v>
      </x:c>
      <x:c r="F954" s="3" t="n">
        <x:v>6</x:v>
      </x:c>
      <x:c r="G954" s="9" t="n">
        <x:v>0.1</x:v>
      </x:c>
      <x:c r="H954" s="9" t="n">
        <x:v>1.125574</x:v>
      </x:c>
      <x:c r="I954" s="9" t="n">
        <x:f>'Physical_Arcs'!R54</x:f>
        <x:v>9.666666666666666</x:v>
      </x:c>
      <x:c r="J954" s="9" t="n">
        <x:f>I954*'Parameters'!$C$18</x:f>
        <x:v>1.9333333333333333</x:v>
      </x:c>
      <x:c r="K954" s="9" t="n">
        <x:f>J954*'Parameters'!$C$19</x:f>
        <x:v>2.4166666666666665</x:v>
      </x:c>
      <x:c r="L954" s="9" t="n">
        <x:f>I954*(1-0.40)-J954</x:f>
        <x:v>3.8666666666666663</x:v>
      </x:c>
      <x:c r="M954" s="9" t="n">
        <x:f>'Physical_Arcs'!S54</x:f>
        <x:v>9.666666666666666</x:v>
      </x:c>
      <x:c r="N954" s="9" t="n">
        <x:f>M954*'Parameters'!$C$18</x:f>
        <x:v>1.9333333333333333</x:v>
      </x:c>
      <x:c r="O954" s="9" t="n">
        <x:f>N954*'Parameters'!$C$19</x:f>
        <x:v>2.4166666666666665</x:v>
      </x:c>
      <x:c r="P954" s="9" t="n">
        <x:f>M954*(1-0.40)-N954</x:f>
        <x:v>3.8666666666666663</x:v>
      </x:c>
      <x:c r="Q954" s="9" t="n">
        <x:f>'Physical_Arcs'!T54</x:f>
        <x:v>4.833333333333333</x:v>
      </x:c>
      <x:c r="R954" s="9" t="n">
        <x:f>Q954*'Parameters'!$C$18</x:f>
        <x:v>0.9666666666666667</x:v>
      </x:c>
      <x:c r="S954" s="9" t="n">
        <x:f>R954*'Parameters'!$C$19</x:f>
        <x:v>1.2083333333333333</x:v>
      </x:c>
      <x:c r="T954" s="9" t="n">
        <x:f>Q954*(1-0.40)-R954</x:f>
        <x:v>1.9333333333333331</x:v>
      </x:c>
    </x:row>
    <x:row r="955" ht="21" customHeight="1">
      <x:c r="A955" s="3" t="n">
        <x:v>15</x:v>
      </x:c>
      <x:c r="B955" s="3" t="str">
        <x:v>02:30</x:v>
      </x:c>
      <x:c r="C955" s="3" t="n">
        <x:v>3</x:v>
      </x:c>
      <x:c r="D955" s="3" t="n">
        <x:v>54</x:v>
      </x:c>
      <x:c r="E955" s="3" t="n">
        <x:v>9</x:v>
      </x:c>
      <x:c r="F955" s="3" t="n">
        <x:v>2</x:v>
      </x:c>
      <x:c r="G955" s="9" t="n">
        <x:v>0.1</x:v>
      </x:c>
      <x:c r="H955" s="9" t="n">
        <x:v>0.854534</x:v>
      </x:c>
      <x:c r="I955" s="9" t="n">
        <x:f>'Physical_Arcs'!R55</x:f>
        <x:v>9.88888888888889</x:v>
      </x:c>
      <x:c r="J955" s="9" t="n">
        <x:f>I955*'Parameters'!$C$18</x:f>
        <x:v>1.9777777777777779</x:v>
      </x:c>
      <x:c r="K955" s="9" t="n">
        <x:f>J955*'Parameters'!$C$19</x:f>
        <x:v>2.4722222222222223</x:v>
      </x:c>
      <x:c r="L955" s="9" t="n">
        <x:f>I955*(1-0.40)-J955</x:f>
        <x:v>3.9555555555555557</x:v>
      </x:c>
      <x:c r="M955" s="9" t="n">
        <x:f>'Physical_Arcs'!S55</x:f>
        <x:v>9.88888888888889</x:v>
      </x:c>
      <x:c r="N955" s="9" t="n">
        <x:f>M955*'Parameters'!$C$18</x:f>
        <x:v>1.9777777777777779</x:v>
      </x:c>
      <x:c r="O955" s="9" t="n">
        <x:f>N955*'Parameters'!$C$19</x:f>
        <x:v>2.4722222222222223</x:v>
      </x:c>
      <x:c r="P955" s="9" t="n">
        <x:f>M955*(1-0.40)-N955</x:f>
        <x:v>3.9555555555555557</x:v>
      </x:c>
      <x:c r="Q955" s="9" t="n">
        <x:f>'Physical_Arcs'!T55</x:f>
        <x:v>4.944444444444445</x:v>
      </x:c>
      <x:c r="R955" s="9" t="n">
        <x:f>Q955*'Parameters'!$C$18</x:f>
        <x:v>0.9888888888888889</x:v>
      </x:c>
      <x:c r="S955" s="9" t="n">
        <x:f>R955*'Parameters'!$C$19</x:f>
        <x:v>1.2361111111111112</x:v>
      </x:c>
      <x:c r="T955" s="9" t="n">
        <x:f>Q955*(1-0.40)-R955</x:f>
        <x:v>1.9777777777777779</x:v>
      </x:c>
    </x:row>
    <x:row r="956" ht="21" customHeight="1">
      <x:c r="A956" s="3" t="n">
        <x:v>15</x:v>
      </x:c>
      <x:c r="B956" s="3" t="str">
        <x:v>02:30</x:v>
      </x:c>
      <x:c r="C956" s="3" t="n">
        <x:v>3</x:v>
      </x:c>
      <x:c r="D956" s="3" t="n">
        <x:v>55</x:v>
      </x:c>
      <x:c r="E956" s="3" t="n">
        <x:v>9</x:v>
      </x:c>
      <x:c r="F956" s="3" t="n">
        <x:v>7</x:v>
      </x:c>
      <x:c r="G956" s="9" t="n">
        <x:v>0.1</x:v>
      </x:c>
      <x:c r="H956" s="9" t="n">
        <x:v>0.900033</x:v>
      </x:c>
      <x:c r="I956" s="9" t="n">
        <x:f>'Physical_Arcs'!R56</x:f>
        <x:v>4.166666666666667</x:v>
      </x:c>
      <x:c r="J956" s="9" t="n">
        <x:f>I956*'Parameters'!$C$18</x:f>
        <x:v>0.8333333333333335</x:v>
      </x:c>
      <x:c r="K956" s="9" t="n">
        <x:f>J956*'Parameters'!$C$19</x:f>
        <x:v>1.041666666666667</x:v>
      </x:c>
      <x:c r="L956" s="9" t="n">
        <x:f>I956*(1-0.40)-J956</x:f>
        <x:v>1.6666666666666665</x:v>
      </x:c>
      <x:c r="M956" s="9" t="n">
        <x:f>'Physical_Arcs'!S56</x:f>
        <x:v>4.166666666666667</x:v>
      </x:c>
      <x:c r="N956" s="9" t="n">
        <x:f>M956*'Parameters'!$C$18</x:f>
        <x:v>0.8333333333333335</x:v>
      </x:c>
      <x:c r="O956" s="9" t="n">
        <x:f>N956*'Parameters'!$C$19</x:f>
        <x:v>1.041666666666667</x:v>
      </x:c>
      <x:c r="P956" s="9" t="n">
        <x:f>M956*(1-0.40)-N956</x:f>
        <x:v>1.6666666666666665</x:v>
      </x:c>
      <x:c r="Q956" s="9" t="n">
        <x:f>'Physical_Arcs'!T56</x:f>
        <x:v>2.0833333333333335</x:v>
      </x:c>
      <x:c r="R956" s="9" t="n">
        <x:f>Q956*'Parameters'!$C$18</x:f>
        <x:v>0.41666666666666674</x:v>
      </x:c>
      <x:c r="S956" s="9" t="n">
        <x:f>R956*'Parameters'!$C$19</x:f>
        <x:v>0.5208333333333335</x:v>
      </x:c>
      <x:c r="T956" s="9" t="n">
        <x:f>Q956*(1-0.40)-R956</x:f>
        <x:v>0.8333333333333333</x:v>
      </x:c>
    </x:row>
    <x:row r="957" ht="21" customHeight="1">
      <x:c r="A957" s="3" t="n">
        <x:v>15</x:v>
      </x:c>
      <x:c r="B957" s="3" t="str">
        <x:v>02:30</x:v>
      </x:c>
      <x:c r="C957" s="3" t="n">
        <x:v>3</x:v>
      </x:c>
      <x:c r="D957" s="3" t="n">
        <x:v>56</x:v>
      </x:c>
      <x:c r="E957" s="3" t="n">
        <x:v>9</x:v>
      </x:c>
      <x:c r="F957" s="3" t="n">
        <x:v>3</x:v>
      </x:c>
      <x:c r="G957" s="9" t="n">
        <x:v>0.1</x:v>
      </x:c>
      <x:c r="H957" s="9" t="n">
        <x:v>0.893428</x:v>
      </x:c>
      <x:c r="I957" s="9" t="n">
        <x:f>'Physical_Arcs'!R57</x:f>
        <x:v>3.7222222222222223</x:v>
      </x:c>
      <x:c r="J957" s="9" t="n">
        <x:f>I957*'Parameters'!$C$18</x:f>
        <x:v>0.7444444444444445</x:v>
      </x:c>
      <x:c r="K957" s="9" t="n">
        <x:f>J957*'Parameters'!$C$19</x:f>
        <x:v>0.9305555555555556</x:v>
      </x:c>
      <x:c r="L957" s="9" t="n">
        <x:f>I957*(1-0.40)-J957</x:f>
        <x:v>1.488888888888889</x:v>
      </x:c>
      <x:c r="M957" s="9" t="n">
        <x:f>'Physical_Arcs'!S57</x:f>
        <x:v>3.7222222222222223</x:v>
      </x:c>
      <x:c r="N957" s="9" t="n">
        <x:f>M957*'Parameters'!$C$18</x:f>
        <x:v>0.7444444444444445</x:v>
      </x:c>
      <x:c r="O957" s="9" t="n">
        <x:f>N957*'Parameters'!$C$19</x:f>
        <x:v>0.9305555555555556</x:v>
      </x:c>
      <x:c r="P957" s="9" t="n">
        <x:f>M957*(1-0.40)-N957</x:f>
        <x:v>1.488888888888889</x:v>
      </x:c>
      <x:c r="Q957" s="9" t="n">
        <x:f>'Physical_Arcs'!T57</x:f>
        <x:v>1.8611111111111112</x:v>
      </x:c>
      <x:c r="R957" s="9" t="n">
        <x:f>Q957*'Parameters'!$C$18</x:f>
        <x:v>0.37222222222222223</x:v>
      </x:c>
      <x:c r="S957" s="9" t="n">
        <x:f>R957*'Parameters'!$C$19</x:f>
        <x:v>0.4652777777777778</x:v>
      </x:c>
      <x:c r="T957" s="9" t="n">
        <x:f>Q957*(1-0.40)-R957</x:f>
        <x:v>0.7444444444444445</x:v>
      </x:c>
    </x:row>
    <x:row r="958" ht="21" customHeight="1">
      <x:c r="A958" s="3" t="n">
        <x:v>15</x:v>
      </x:c>
      <x:c r="B958" s="3" t="str">
        <x:v>02:30</x:v>
      </x:c>
      <x:c r="C958" s="3" t="n">
        <x:v>3</x:v>
      </x:c>
      <x:c r="D958" s="3" t="n">
        <x:v>57</x:v>
      </x:c>
      <x:c r="E958" s="3" t="n">
        <x:v>10</x:v>
      </x:c>
      <x:c r="F958" s="3" t="n">
        <x:v>1</x:v>
      </x:c>
      <x:c r="G958" s="9" t="n">
        <x:v>0.1</x:v>
      </x:c>
      <x:c r="H958" s="9" t="n">
        <x:v>1.027979</x:v>
      </x:c>
      <x:c r="I958" s="9" t="n">
        <x:f>'Physical_Arcs'!R58</x:f>
        <x:v>17.02777777777778</x:v>
      </x:c>
      <x:c r="J958" s="9" t="n">
        <x:f>I958*'Parameters'!$C$18</x:f>
        <x:v>3.405555555555556</x:v>
      </x:c>
      <x:c r="K958" s="9" t="n">
        <x:f>J958*'Parameters'!$C$19</x:f>
        <x:v>4.256944444444445</x:v>
      </x:c>
      <x:c r="L958" s="9" t="n">
        <x:f>I958*(1-0.40)-J958</x:f>
        <x:v>6.811111111111111</x:v>
      </x:c>
      <x:c r="M958" s="9" t="n">
        <x:f>'Physical_Arcs'!S58</x:f>
        <x:v>17.02777777777778</x:v>
      </x:c>
      <x:c r="N958" s="9" t="n">
        <x:f>M958*'Parameters'!$C$18</x:f>
        <x:v>3.405555555555556</x:v>
      </x:c>
      <x:c r="O958" s="9" t="n">
        <x:f>N958*'Parameters'!$C$19</x:f>
        <x:v>4.256944444444445</x:v>
      </x:c>
      <x:c r="P958" s="9" t="n">
        <x:f>M958*(1-0.40)-N958</x:f>
        <x:v>6.811111111111111</x:v>
      </x:c>
      <x:c r="Q958" s="9" t="n">
        <x:f>'Physical_Arcs'!T58</x:f>
        <x:v>17.02777777777778</x:v>
      </x:c>
      <x:c r="R958" s="9" t="n">
        <x:f>Q958*'Parameters'!$C$18</x:f>
        <x:v>3.405555555555556</x:v>
      </x:c>
      <x:c r="S958" s="9" t="n">
        <x:f>R958*'Parameters'!$C$19</x:f>
        <x:v>4.256944444444445</x:v>
      </x:c>
      <x:c r="T958" s="9" t="n">
        <x:f>Q958*(1-0.40)-R958</x:f>
        <x:v>6.811111111111111</x:v>
      </x:c>
    </x:row>
    <x:row r="959" ht="21" customHeight="1">
      <x:c r="A959" s="3" t="n">
        <x:v>15</x:v>
      </x:c>
      <x:c r="B959" s="3" t="str">
        <x:v>02:30</x:v>
      </x:c>
      <x:c r="C959" s="3" t="n">
        <x:v>3</x:v>
      </x:c>
      <x:c r="D959" s="3" t="n">
        <x:v>58</x:v>
      </x:c>
      <x:c r="E959" s="3" t="n">
        <x:v>10</x:v>
      </x:c>
      <x:c r="F959" s="3" t="n">
        <x:v>6</x:v>
      </x:c>
      <x:c r="G959" s="9" t="n">
        <x:v>0.1</x:v>
      </x:c>
      <x:c r="H959" s="9" t="n">
        <x:v>0.952676</x:v>
      </x:c>
      <x:c r="I959" s="9" t="n">
        <x:f>'Physical_Arcs'!R59</x:f>
        <x:v>6.305555555555555</x:v>
      </x:c>
      <x:c r="J959" s="9" t="n">
        <x:f>I959*'Parameters'!$C$18</x:f>
        <x:v>1.261111111111111</x:v>
      </x:c>
      <x:c r="K959" s="9" t="n">
        <x:f>J959*'Parameters'!$C$19</x:f>
        <x:v>1.5763888888888888</x:v>
      </x:c>
      <x:c r="L959" s="9" t="n">
        <x:f>I959*(1-0.40)-J959</x:f>
        <x:v>2.522222222222222</x:v>
      </x:c>
      <x:c r="M959" s="9" t="n">
        <x:f>'Physical_Arcs'!S59</x:f>
        <x:v>6.305555555555555</x:v>
      </x:c>
      <x:c r="N959" s="9" t="n">
        <x:f>M959*'Parameters'!$C$18</x:f>
        <x:v>1.261111111111111</x:v>
      </x:c>
      <x:c r="O959" s="9" t="n">
        <x:f>N959*'Parameters'!$C$19</x:f>
        <x:v>1.5763888888888888</x:v>
      </x:c>
      <x:c r="P959" s="9" t="n">
        <x:f>M959*(1-0.40)-N959</x:f>
        <x:v>2.522222222222222</x:v>
      </x:c>
      <x:c r="Q959" s="9" t="n">
        <x:f>'Physical_Arcs'!T59</x:f>
        <x:v>3.1666666666666665</x:v>
      </x:c>
      <x:c r="R959" s="9" t="n">
        <x:f>Q959*'Parameters'!$C$18</x:f>
        <x:v>0.6333333333333333</x:v>
      </x:c>
      <x:c r="S959" s="9" t="n">
        <x:f>R959*'Parameters'!$C$19</x:f>
        <x:v>0.7916666666666666</x:v>
      </x:c>
      <x:c r="T959" s="9" t="n">
        <x:f>Q959*(1-0.40)-R959</x:f>
        <x:v>1.2666666666666666</x:v>
      </x:c>
    </x:row>
    <x:row r="960" ht="21" customHeight="1">
      <x:c r="A960" s="3" t="n">
        <x:v>15</x:v>
      </x:c>
      <x:c r="B960" s="3" t="str">
        <x:v>02:30</x:v>
      </x:c>
      <x:c r="C960" s="3" t="n">
        <x:v>3</x:v>
      </x:c>
      <x:c r="D960" s="3" t="n">
        <x:v>59</x:v>
      </x:c>
      <x:c r="E960" s="3" t="n">
        <x:v>10</x:v>
      </x:c>
      <x:c r="F960" s="3" t="n">
        <x:v>4</x:v>
      </x:c>
      <x:c r="G960" s="9" t="n">
        <x:v>0.1</x:v>
      </x:c>
      <x:c r="H960" s="9" t="n">
        <x:v>1.114542</x:v>
      </x:c>
      <x:c r="I960" s="9" t="n">
        <x:f>'Physical_Arcs'!R60</x:f>
        <x:v>1.5833333333333333</x:v>
      </x:c>
      <x:c r="J960" s="9" t="n">
        <x:f>I960*'Parameters'!$C$18</x:f>
        <x:v>0.31666666666666665</x:v>
      </x:c>
      <x:c r="K960" s="9" t="n">
        <x:f>J960*'Parameters'!$C$19</x:f>
        <x:v>0.3958333333333333</x:v>
      </x:c>
      <x:c r="L960" s="9" t="n">
        <x:f>I960*(1-0.40)-J960</x:f>
        <x:v>0.6333333333333333</x:v>
      </x:c>
      <x:c r="M960" s="9" t="n">
        <x:f>'Physical_Arcs'!S60</x:f>
        <x:v>1.5833333333333333</x:v>
      </x:c>
      <x:c r="N960" s="9" t="n">
        <x:f>M960*'Parameters'!$C$18</x:f>
        <x:v>0.31666666666666665</x:v>
      </x:c>
      <x:c r="O960" s="9" t="n">
        <x:f>N960*'Parameters'!$C$19</x:f>
        <x:v>0.3958333333333333</x:v>
      </x:c>
      <x:c r="P960" s="9" t="n">
        <x:f>M960*(1-0.40)-N960</x:f>
        <x:v>0.6333333333333333</x:v>
      </x:c>
      <x:c r="Q960" s="9" t="n">
        <x:f>'Physical_Arcs'!T60</x:f>
        <x:v>0.8055555555555556</x:v>
      </x:c>
      <x:c r="R960" s="9" t="n">
        <x:f>Q960*'Parameters'!$C$18</x:f>
        <x:v>0.16111111111111112</x:v>
      </x:c>
      <x:c r="S960" s="9" t="n">
        <x:f>R960*'Parameters'!$C$19</x:f>
        <x:v>0.2013888888888889</x:v>
      </x:c>
      <x:c r="T960" s="9" t="n">
        <x:f>Q960*(1-0.40)-R960</x:f>
        <x:v>0.3222222222222222</x:v>
      </x:c>
    </x:row>
    <x:row r="961" ht="21" customHeight="1">
      <x:c r="A961" s="3" t="n">
        <x:v>15</x:v>
      </x:c>
      <x:c r="B961" s="3" t="str">
        <x:v>02:30</x:v>
      </x:c>
      <x:c r="C961" s="3" t="n">
        <x:v>3</x:v>
      </x:c>
      <x:c r="D961" s="3" t="n">
        <x:v>60</x:v>
      </x:c>
      <x:c r="E961" s="3" t="n">
        <x:v>10</x:v>
      </x:c>
      <x:c r="F961" s="3" t="n">
        <x:v>9</x:v>
      </x:c>
      <x:c r="G961" s="9" t="n">
        <x:v>0.1</x:v>
      </x:c>
      <x:c r="H961" s="9" t="n">
        <x:v>1.092245</x:v>
      </x:c>
      <x:c r="I961" s="9" t="n">
        <x:f>'Physical_Arcs'!R61</x:f>
        <x:v>10.333333333333334</x:v>
      </x:c>
      <x:c r="J961" s="9" t="n">
        <x:f>I961*'Parameters'!$C$18</x:f>
        <x:v>2.066666666666667</x:v>
      </x:c>
      <x:c r="K961" s="9" t="n">
        <x:f>J961*'Parameters'!$C$19</x:f>
        <x:v>2.5833333333333335</x:v>
      </x:c>
      <x:c r="L961" s="9" t="n">
        <x:f>I961*(1-0.40)-J961</x:f>
        <x:v>4.133333333333333</x:v>
      </x:c>
      <x:c r="M961" s="9" t="n">
        <x:f>'Physical_Arcs'!S61</x:f>
        <x:v>10.333333333333334</x:v>
      </x:c>
      <x:c r="N961" s="9" t="n">
        <x:f>M961*'Parameters'!$C$18</x:f>
        <x:v>2.066666666666667</x:v>
      </x:c>
      <x:c r="O961" s="9" t="n">
        <x:f>N961*'Parameters'!$C$19</x:f>
        <x:v>2.5833333333333335</x:v>
      </x:c>
      <x:c r="P961" s="9" t="n">
        <x:f>M961*(1-0.40)-N961</x:f>
        <x:v>4.133333333333333</x:v>
      </x:c>
      <x:c r="Q961" s="9" t="n">
        <x:f>'Physical_Arcs'!T61</x:f>
        <x:v>5.166666666666667</x:v>
      </x:c>
      <x:c r="R961" s="9" t="n">
        <x:f>Q961*'Parameters'!$C$18</x:f>
        <x:v>1.0333333333333334</x:v>
      </x:c>
      <x:c r="S961" s="9" t="n">
        <x:f>R961*'Parameters'!$C$19</x:f>
        <x:v>1.2916666666666667</x:v>
      </x:c>
      <x:c r="T961" s="9" t="n">
        <x:f>Q961*(1-0.40)-R961</x:f>
        <x:v>2.0666666666666664</x:v>
      </x:c>
    </x:row>
    <x:row r="962" ht="21" customHeight="1">
      <x:c r="A962" s="3" t="n">
        <x:v>16</x:v>
      </x:c>
      <x:c r="B962" s="3" t="str">
        <x:v>02:40</x:v>
      </x:c>
      <x:c r="C962" s="3" t="n">
        <x:v>3</x:v>
      </x:c>
      <x:c r="D962" s="3" t="n">
        <x:v>1</x:v>
      </x:c>
      <x:c r="E962" s="3" t="n">
        <x:v>1</x:v>
      </x:c>
      <x:c r="F962" s="3" t="n">
        <x:v>2</x:v>
      </x:c>
      <x:c r="G962" s="9" t="n">
        <x:v>0.1</x:v>
      </x:c>
      <x:c r="H962" s="9" t="n">
        <x:v>0.914787</x:v>
      </x:c>
      <x:c r="I962" s="9" t="n">
        <x:f>'Physical_Arcs'!R2</x:f>
        <x:v>17.02777777777778</x:v>
      </x:c>
      <x:c r="J962" s="9" t="n">
        <x:f>I962*'Parameters'!$C$18</x:f>
        <x:v>3.405555555555556</x:v>
      </x:c>
      <x:c r="K962" s="9" t="n">
        <x:f>J962*'Parameters'!$C$19</x:f>
        <x:v>4.256944444444445</x:v>
      </x:c>
      <x:c r="L962" s="9" t="n">
        <x:f>I962*(1-0.40)-J962</x:f>
        <x:v>6.811111111111111</x:v>
      </x:c>
      <x:c r="M962" s="9" t="n">
        <x:f>'Physical_Arcs'!S2</x:f>
        <x:v>17.02777777777778</x:v>
      </x:c>
      <x:c r="N962" s="9" t="n">
        <x:f>M962*'Parameters'!$C$18</x:f>
        <x:v>3.405555555555556</x:v>
      </x:c>
      <x:c r="O962" s="9" t="n">
        <x:f>N962*'Parameters'!$C$19</x:f>
        <x:v>4.256944444444445</x:v>
      </x:c>
      <x:c r="P962" s="9" t="n">
        <x:f>M962*(1-0.40)-N962</x:f>
        <x:v>6.811111111111111</x:v>
      </x:c>
      <x:c r="Q962" s="9" t="n">
        <x:f>'Physical_Arcs'!T2</x:f>
        <x:v>17.02777777777778</x:v>
      </x:c>
      <x:c r="R962" s="9" t="n">
        <x:f>Q962*'Parameters'!$C$18</x:f>
        <x:v>3.405555555555556</x:v>
      </x:c>
      <x:c r="S962" s="9" t="n">
        <x:f>R962*'Parameters'!$C$19</x:f>
        <x:v>4.256944444444445</x:v>
      </x:c>
      <x:c r="T962" s="9" t="n">
        <x:f>Q962*(1-0.40)-R962</x:f>
        <x:v>6.811111111111111</x:v>
      </x:c>
    </x:row>
    <x:row r="963" ht="21" customHeight="1">
      <x:c r="A963" s="3" t="n">
        <x:v>16</x:v>
      </x:c>
      <x:c r="B963" s="3" t="str">
        <x:v>02:40</x:v>
      </x:c>
      <x:c r="C963" s="3" t="n">
        <x:v>3</x:v>
      </x:c>
      <x:c r="D963" s="3" t="n">
        <x:v>2</x:v>
      </x:c>
      <x:c r="E963" s="3" t="n">
        <x:v>1</x:v>
      </x:c>
      <x:c r="F963" s="3" t="n">
        <x:v>10</x:v>
      </x:c>
      <x:c r="G963" s="9" t="n">
        <x:v>0.1</x:v>
      </x:c>
      <x:c r="H963" s="9" t="n">
        <x:v>1.003995</x:v>
      </x:c>
      <x:c r="I963" s="9" t="n">
        <x:f>'Physical_Arcs'!R3</x:f>
        <x:v>3.2777777777777777</x:v>
      </x:c>
      <x:c r="J963" s="9" t="n">
        <x:f>I963*'Parameters'!$C$18</x:f>
        <x:v>0.6555555555555556</x:v>
      </x:c>
      <x:c r="K963" s="9" t="n">
        <x:f>J963*'Parameters'!$C$19</x:f>
        <x:v>0.8194444444444444</x:v>
      </x:c>
      <x:c r="L963" s="9" t="n">
        <x:f>I963*(1-0.40)-J963</x:f>
        <x:v>1.311111111111111</x:v>
      </x:c>
      <x:c r="M963" s="9" t="n">
        <x:f>'Physical_Arcs'!S3</x:f>
        <x:v>3.2777777777777777</x:v>
      </x:c>
      <x:c r="N963" s="9" t="n">
        <x:f>M963*'Parameters'!$C$18</x:f>
        <x:v>0.6555555555555556</x:v>
      </x:c>
      <x:c r="O963" s="9" t="n">
        <x:f>N963*'Parameters'!$C$19</x:f>
        <x:v>0.8194444444444444</x:v>
      </x:c>
      <x:c r="P963" s="9" t="n">
        <x:f>M963*(1-0.40)-N963</x:f>
        <x:v>1.311111111111111</x:v>
      </x:c>
      <x:c r="Q963" s="9" t="n">
        <x:f>'Physical_Arcs'!T3</x:f>
        <x:v>1.6388888888888888</x:v>
      </x:c>
      <x:c r="R963" s="9" t="n">
        <x:f>Q963*'Parameters'!$C$18</x:f>
        <x:v>0.3277777777777778</x:v>
      </x:c>
      <x:c r="S963" s="9" t="n">
        <x:f>R963*'Parameters'!$C$19</x:f>
        <x:v>0.4097222222222222</x:v>
      </x:c>
      <x:c r="T963" s="9" t="n">
        <x:f>Q963*(1-0.40)-R963</x:f>
        <x:v>0.6555555555555554</x:v>
      </x:c>
    </x:row>
    <x:row r="964" ht="21" customHeight="1">
      <x:c r="A964" s="3" t="n">
        <x:v>16</x:v>
      </x:c>
      <x:c r="B964" s="3" t="str">
        <x:v>02:40</x:v>
      </x:c>
      <x:c r="C964" s="3" t="n">
        <x:v>3</x:v>
      </x:c>
      <x:c r="D964" s="3" t="n">
        <x:v>3</x:v>
      </x:c>
      <x:c r="E964" s="3" t="n">
        <x:v>1</x:v>
      </x:c>
      <x:c r="F964" s="3" t="n">
        <x:v>8</x:v>
      </x:c>
      <x:c r="G964" s="9" t="n">
        <x:v>0.1</x:v>
      </x:c>
      <x:c r="H964" s="9" t="n">
        <x:v>0.923863</x:v>
      </x:c>
      <x:c r="I964" s="9" t="n">
        <x:f>'Physical_Arcs'!R4</x:f>
        <x:v>6.083333333333333</x:v>
      </x:c>
      <x:c r="J964" s="9" t="n">
        <x:f>I964*'Parameters'!$C$18</x:f>
        <x:v>1.2166666666666668</x:v>
      </x:c>
      <x:c r="K964" s="9" t="n">
        <x:f>J964*'Parameters'!$C$19</x:f>
        <x:v>1.5208333333333335</x:v>
      </x:c>
      <x:c r="L964" s="9" t="n">
        <x:f>I964*(1-0.40)-J964</x:f>
        <x:v>2.4333333333333327</x:v>
      </x:c>
      <x:c r="M964" s="9" t="n">
        <x:f>'Physical_Arcs'!S4</x:f>
        <x:v>6.083333333333333</x:v>
      </x:c>
      <x:c r="N964" s="9" t="n">
        <x:f>M964*'Parameters'!$C$18</x:f>
        <x:v>1.2166666666666668</x:v>
      </x:c>
      <x:c r="O964" s="9" t="n">
        <x:f>N964*'Parameters'!$C$19</x:f>
        <x:v>1.5208333333333335</x:v>
      </x:c>
      <x:c r="P964" s="9" t="n">
        <x:f>M964*(1-0.40)-N964</x:f>
        <x:v>2.4333333333333327</x:v>
      </x:c>
      <x:c r="Q964" s="9" t="n">
        <x:f>'Physical_Arcs'!T4</x:f>
        <x:v>3.0555555555555554</x:v>
      </x:c>
      <x:c r="R964" s="9" t="n">
        <x:f>Q964*'Parameters'!$C$18</x:f>
        <x:v>0.6111111111111112</x:v>
      </x:c>
      <x:c r="S964" s="9" t="n">
        <x:f>R964*'Parameters'!$C$19</x:f>
        <x:v>0.763888888888889</x:v>
      </x:c>
      <x:c r="T964" s="9" t="n">
        <x:f>Q964*(1-0.40)-R964</x:f>
        <x:v>1.2222222222222219</x:v>
      </x:c>
    </x:row>
    <x:row r="965" ht="21" customHeight="1">
      <x:c r="A965" s="3" t="n">
        <x:v>16</x:v>
      </x:c>
      <x:c r="B965" s="3" t="str">
        <x:v>02:40</x:v>
      </x:c>
      <x:c r="C965" s="3" t="n">
        <x:v>3</x:v>
      </x:c>
      <x:c r="D965" s="3" t="n">
        <x:v>4</x:v>
      </x:c>
      <x:c r="E965" s="3" t="n">
        <x:v>1</x:v>
      </x:c>
      <x:c r="F965" s="3" t="n">
        <x:v>7</x:v>
      </x:c>
      <x:c r="G965" s="9" t="n">
        <x:v>0.1</x:v>
      </x:c>
      <x:c r="H965" s="9" t="n">
        <x:v>1.111072</x:v>
      </x:c>
      <x:c r="I965" s="9" t="n">
        <x:f>'Physical_Arcs'!R5</x:f>
        <x:v>9</x:v>
      </x:c>
      <x:c r="J965" s="9" t="n">
        <x:f>I965*'Parameters'!$C$18</x:f>
        <x:v>1.8</x:v>
      </x:c>
      <x:c r="K965" s="9" t="n">
        <x:f>J965*'Parameters'!$C$19</x:f>
        <x:v>2.25</x:v>
      </x:c>
      <x:c r="L965" s="9" t="n">
        <x:f>I965*(1-0.40)-J965</x:f>
        <x:v>3.5999999999999996</x:v>
      </x:c>
      <x:c r="M965" s="9" t="n">
        <x:f>'Physical_Arcs'!S5</x:f>
        <x:v>9</x:v>
      </x:c>
      <x:c r="N965" s="9" t="n">
        <x:f>M965*'Parameters'!$C$18</x:f>
        <x:v>1.8</x:v>
      </x:c>
      <x:c r="O965" s="9" t="n">
        <x:f>N965*'Parameters'!$C$19</x:f>
        <x:v>2.25</x:v>
      </x:c>
      <x:c r="P965" s="9" t="n">
        <x:f>M965*(1-0.40)-N965</x:f>
        <x:v>3.5999999999999996</x:v>
      </x:c>
      <x:c r="Q965" s="9" t="n">
        <x:f>'Physical_Arcs'!T5</x:f>
        <x:v>4.5</x:v>
      </x:c>
      <x:c r="R965" s="9" t="n">
        <x:f>Q965*'Parameters'!$C$18</x:f>
        <x:v>0.9</x:v>
      </x:c>
      <x:c r="S965" s="9" t="n">
        <x:f>R965*'Parameters'!$C$19</x:f>
        <x:v>1.125</x:v>
      </x:c>
      <x:c r="T965" s="9" t="n">
        <x:f>Q965*(1-0.40)-R965</x:f>
        <x:v>1.7999999999999998</x:v>
      </x:c>
    </x:row>
    <x:row r="966" ht="21" customHeight="1">
      <x:c r="A966" s="3" t="n">
        <x:v>16</x:v>
      </x:c>
      <x:c r="B966" s="3" t="str">
        <x:v>02:40</x:v>
      </x:c>
      <x:c r="C966" s="3" t="n">
        <x:v>3</x:v>
      </x:c>
      <x:c r="D966" s="3" t="n">
        <x:v>5</x:v>
      </x:c>
      <x:c r="E966" s="3" t="n">
        <x:v>1</x:v>
      </x:c>
      <x:c r="F966" s="3" t="n">
        <x:v>4</x:v>
      </x:c>
      <x:c r="G966" s="9" t="n">
        <x:v>0.1</x:v>
      </x:c>
      <x:c r="H966" s="9" t="n">
        <x:v>1.001665</x:v>
      </x:c>
      <x:c r="I966" s="9" t="n">
        <x:f>'Physical_Arcs'!R6</x:f>
        <x:v>4.166666666666667</x:v>
      </x:c>
      <x:c r="J966" s="9" t="n">
        <x:f>I966*'Parameters'!$C$18</x:f>
        <x:v>0.8333333333333335</x:v>
      </x:c>
      <x:c r="K966" s="9" t="n">
        <x:f>J966*'Parameters'!$C$19</x:f>
        <x:v>1.041666666666667</x:v>
      </x:c>
      <x:c r="L966" s="9" t="n">
        <x:f>I966*(1-0.40)-J966</x:f>
        <x:v>1.6666666666666665</x:v>
      </x:c>
      <x:c r="M966" s="9" t="n">
        <x:f>'Physical_Arcs'!S6</x:f>
        <x:v>4.166666666666667</x:v>
      </x:c>
      <x:c r="N966" s="9" t="n">
        <x:f>M966*'Parameters'!$C$18</x:f>
        <x:v>0.8333333333333335</x:v>
      </x:c>
      <x:c r="O966" s="9" t="n">
        <x:f>N966*'Parameters'!$C$19</x:f>
        <x:v>1.041666666666667</x:v>
      </x:c>
      <x:c r="P966" s="9" t="n">
        <x:f>M966*(1-0.40)-N966</x:f>
        <x:v>1.6666666666666665</x:v>
      </x:c>
      <x:c r="Q966" s="9" t="n">
        <x:f>'Physical_Arcs'!T6</x:f>
        <x:v>2.0833333333333335</x:v>
      </x:c>
      <x:c r="R966" s="9" t="n">
        <x:f>Q966*'Parameters'!$C$18</x:f>
        <x:v>0.41666666666666674</x:v>
      </x:c>
      <x:c r="S966" s="9" t="n">
        <x:f>R966*'Parameters'!$C$19</x:f>
        <x:v>0.5208333333333335</x:v>
      </x:c>
      <x:c r="T966" s="9" t="n">
        <x:f>Q966*(1-0.40)-R966</x:f>
        <x:v>0.8333333333333333</x:v>
      </x:c>
    </x:row>
    <x:row r="967" ht="21" customHeight="1">
      <x:c r="A967" s="3" t="n">
        <x:v>16</x:v>
      </x:c>
      <x:c r="B967" s="3" t="str">
        <x:v>02:40</x:v>
      </x:c>
      <x:c r="C967" s="3" t="n">
        <x:v>3</x:v>
      </x:c>
      <x:c r="D967" s="3" t="n">
        <x:v>6</x:v>
      </x:c>
      <x:c r="E967" s="3" t="n">
        <x:v>1</x:v>
      </x:c>
      <x:c r="F967" s="3" t="n">
        <x:v>9</x:v>
      </x:c>
      <x:c r="G967" s="9" t="n">
        <x:v>0.1</x:v>
      </x:c>
      <x:c r="H967" s="9" t="n">
        <x:v>0.942884</x:v>
      </x:c>
      <x:c r="I967" s="9" t="n">
        <x:f>'Physical_Arcs'!R7</x:f>
        <x:v>11.027777777777779</x:v>
      </x:c>
      <x:c r="J967" s="9" t="n">
        <x:f>I967*'Parameters'!$C$18</x:f>
        <x:v>2.2055555555555557</x:v>
      </x:c>
      <x:c r="K967" s="9" t="n">
        <x:f>J967*'Parameters'!$C$19</x:f>
        <x:v>2.7569444444444446</x:v>
      </x:c>
      <x:c r="L967" s="9" t="n">
        <x:f>I967*(1-0.40)-J967</x:f>
        <x:v>4.411111111111111</x:v>
      </x:c>
      <x:c r="M967" s="9" t="n">
        <x:f>'Physical_Arcs'!S7</x:f>
        <x:v>11.027777777777779</x:v>
      </x:c>
      <x:c r="N967" s="9" t="n">
        <x:f>M967*'Parameters'!$C$18</x:f>
        <x:v>2.2055555555555557</x:v>
      </x:c>
      <x:c r="O967" s="9" t="n">
        <x:f>N967*'Parameters'!$C$19</x:f>
        <x:v>2.7569444444444446</x:v>
      </x:c>
      <x:c r="P967" s="9" t="n">
        <x:f>M967*(1-0.40)-N967</x:f>
        <x:v>4.411111111111111</x:v>
      </x:c>
      <x:c r="Q967" s="9" t="n">
        <x:f>'Physical_Arcs'!T7</x:f>
        <x:v>5.527777777777778</x:v>
      </x:c>
      <x:c r="R967" s="9" t="n">
        <x:f>Q967*'Parameters'!$C$18</x:f>
        <x:v>1.1055555555555556</x:v>
      </x:c>
      <x:c r="S967" s="9" t="n">
        <x:f>R967*'Parameters'!$C$19</x:f>
        <x:v>1.3819444444444446</x:v>
      </x:c>
      <x:c r="T967" s="9" t="n">
        <x:f>Q967*(1-0.40)-R967</x:f>
        <x:v>2.211111111111111</x:v>
      </x:c>
    </x:row>
    <x:row r="968" ht="21" customHeight="1">
      <x:c r="A968" s="3" t="n">
        <x:v>16</x:v>
      </x:c>
      <x:c r="B968" s="3" t="str">
        <x:v>02:40</x:v>
      </x:c>
      <x:c r="C968" s="3" t="n">
        <x:v>3</x:v>
      </x:c>
      <x:c r="D968" s="3" t="n">
        <x:v>7</x:v>
      </x:c>
      <x:c r="E968" s="3" t="n">
        <x:v>1</x:v>
      </x:c>
      <x:c r="F968" s="3" t="n">
        <x:v>5</x:v>
      </x:c>
      <x:c r="G968" s="9" t="n">
        <x:v>0.1</x:v>
      </x:c>
      <x:c r="H968" s="9" t="n">
        <x:v>1.038222</x:v>
      </x:c>
      <x:c r="I968" s="9" t="n">
        <x:f>'Physical_Arcs'!R8</x:f>
        <x:v>7.972222222222222</x:v>
      </x:c>
      <x:c r="J968" s="9" t="n">
        <x:f>I968*'Parameters'!$C$18</x:f>
        <x:v>1.5944444444444446</x:v>
      </x:c>
      <x:c r="K968" s="9" t="n">
        <x:f>J968*'Parameters'!$C$19</x:f>
        <x:v>1.9930555555555558</x:v>
      </x:c>
      <x:c r="L968" s="9" t="n">
        <x:f>I968*(1-0.40)-J968</x:f>
        <x:v>3.1888888888888887</x:v>
      </x:c>
      <x:c r="M968" s="9" t="n">
        <x:f>'Physical_Arcs'!S8</x:f>
        <x:v>7.972222222222222</x:v>
      </x:c>
      <x:c r="N968" s="9" t="n">
        <x:f>M968*'Parameters'!$C$18</x:f>
        <x:v>1.5944444444444446</x:v>
      </x:c>
      <x:c r="O968" s="9" t="n">
        <x:f>N968*'Parameters'!$C$19</x:f>
        <x:v>1.9930555555555558</x:v>
      </x:c>
      <x:c r="P968" s="9" t="n">
        <x:f>M968*(1-0.40)-N968</x:f>
        <x:v>3.1888888888888887</x:v>
      </x:c>
      <x:c r="Q968" s="9" t="n">
        <x:f>'Physical_Arcs'!T8</x:f>
        <x:v>4</x:v>
      </x:c>
      <x:c r="R968" s="9" t="n">
        <x:f>Q968*'Parameters'!$C$18</x:f>
        <x:v>0.8</x:v>
      </x:c>
      <x:c r="S968" s="9" t="n">
        <x:f>R968*'Parameters'!$C$19</x:f>
        <x:v>1</x:v>
      </x:c>
      <x:c r="T968" s="9" t="n">
        <x:f>Q968*(1-0.40)-R968</x:f>
        <x:v>1.5999999999999999</x:v>
      </x:c>
    </x:row>
    <x:row r="969" ht="21" customHeight="1">
      <x:c r="A969" s="3" t="n">
        <x:v>16</x:v>
      </x:c>
      <x:c r="B969" s="3" t="str">
        <x:v>02:40</x:v>
      </x:c>
      <x:c r="C969" s="3" t="n">
        <x:v>3</x:v>
      </x:c>
      <x:c r="D969" s="3" t="n">
        <x:v>8</x:v>
      </x:c>
      <x:c r="E969" s="3" t="n">
        <x:v>1</x:v>
      </x:c>
      <x:c r="F969" s="3" t="n">
        <x:v>3</x:v>
      </x:c>
      <x:c r="G969" s="9" t="n">
        <x:v>0.1</x:v>
      </x:c>
      <x:c r="H969" s="9" t="n">
        <x:v>1.122297</x:v>
      </x:c>
      <x:c r="I969" s="9" t="n">
        <x:f>'Physical_Arcs'!R9</x:f>
        <x:v>4.166666666666667</x:v>
      </x:c>
      <x:c r="J969" s="9" t="n">
        <x:f>I969*'Parameters'!$C$18</x:f>
        <x:v>0.8333333333333335</x:v>
      </x:c>
      <x:c r="K969" s="9" t="n">
        <x:f>J969*'Parameters'!$C$19</x:f>
        <x:v>1.041666666666667</x:v>
      </x:c>
      <x:c r="L969" s="9" t="n">
        <x:f>I969*(1-0.40)-J969</x:f>
        <x:v>1.6666666666666665</x:v>
      </x:c>
      <x:c r="M969" s="9" t="n">
        <x:f>'Physical_Arcs'!S9</x:f>
        <x:v>4.166666666666667</x:v>
      </x:c>
      <x:c r="N969" s="9" t="n">
        <x:f>M969*'Parameters'!$C$18</x:f>
        <x:v>0.8333333333333335</x:v>
      </x:c>
      <x:c r="O969" s="9" t="n">
        <x:f>N969*'Parameters'!$C$19</x:f>
        <x:v>1.041666666666667</x:v>
      </x:c>
      <x:c r="P969" s="9" t="n">
        <x:f>M969*(1-0.40)-N969</x:f>
        <x:v>1.6666666666666665</x:v>
      </x:c>
      <x:c r="Q969" s="9" t="n">
        <x:f>'Physical_Arcs'!T9</x:f>
        <x:v>2.0833333333333335</x:v>
      </x:c>
      <x:c r="R969" s="9" t="n">
        <x:f>Q969*'Parameters'!$C$18</x:f>
        <x:v>0.41666666666666674</x:v>
      </x:c>
      <x:c r="S969" s="9" t="n">
        <x:f>R969*'Parameters'!$C$19</x:f>
        <x:v>0.5208333333333335</x:v>
      </x:c>
      <x:c r="T969" s="9" t="n">
        <x:f>Q969*(1-0.40)-R969</x:f>
        <x:v>0.8333333333333333</x:v>
      </x:c>
    </x:row>
    <x:row r="970" ht="21" customHeight="1">
      <x:c r="A970" s="3" t="n">
        <x:v>16</x:v>
      </x:c>
      <x:c r="B970" s="3" t="str">
        <x:v>02:40</x:v>
      </x:c>
      <x:c r="C970" s="3" t="n">
        <x:v>3</x:v>
      </x:c>
      <x:c r="D970" s="3" t="n">
        <x:v>9</x:v>
      </x:c>
      <x:c r="E970" s="3" t="n">
        <x:v>1</x:v>
      </x:c>
      <x:c r="F970" s="3" t="n">
        <x:v>6</x:v>
      </x:c>
      <x:c r="G970" s="9" t="n">
        <x:v>0.1</x:v>
      </x:c>
      <x:c r="H970" s="9" t="n">
        <x:v>1.132682</x:v>
      </x:c>
      <x:c r="I970" s="9" t="n">
        <x:f>'Physical_Arcs'!R10</x:f>
        <x:v>2.138888888888889</x:v>
      </x:c>
      <x:c r="J970" s="9" t="n">
        <x:f>I970*'Parameters'!$C$18</x:f>
        <x:v>0.4277777777777778</x:v>
      </x:c>
      <x:c r="K970" s="9" t="n">
        <x:f>J970*'Parameters'!$C$19</x:f>
        <x:v>0.5347222222222223</x:v>
      </x:c>
      <x:c r="L970" s="9" t="n">
        <x:f>I970*(1-0.40)-J970</x:f>
        <x:v>0.8555555555555554</x:v>
      </x:c>
      <x:c r="M970" s="9" t="n">
        <x:f>'Physical_Arcs'!S10</x:f>
        <x:v>2.138888888888889</x:v>
      </x:c>
      <x:c r="N970" s="9" t="n">
        <x:f>M970*'Parameters'!$C$18</x:f>
        <x:v>0.4277777777777778</x:v>
      </x:c>
      <x:c r="O970" s="9" t="n">
        <x:f>N970*'Parameters'!$C$19</x:f>
        <x:v>0.5347222222222223</x:v>
      </x:c>
      <x:c r="P970" s="9" t="n">
        <x:f>M970*(1-0.40)-N970</x:f>
        <x:v>0.8555555555555554</x:v>
      </x:c>
      <x:c r="Q970" s="9" t="n">
        <x:f>'Physical_Arcs'!T10</x:f>
        <x:v>1.0833333333333333</x:v>
      </x:c>
      <x:c r="R970" s="9" t="n">
        <x:f>Q970*'Parameters'!$C$18</x:f>
        <x:v>0.21666666666666667</x:v>
      </x:c>
      <x:c r="S970" s="9" t="n">
        <x:f>R970*'Parameters'!$C$19</x:f>
        <x:v>0.27083333333333337</x:v>
      </x:c>
      <x:c r="T970" s="9" t="n">
        <x:f>Q970*(1-0.40)-R970</x:f>
        <x:v>0.43333333333333324</x:v>
      </x:c>
    </x:row>
    <x:row r="971" ht="21" customHeight="1">
      <x:c r="A971" s="3" t="n">
        <x:v>16</x:v>
      </x:c>
      <x:c r="B971" s="3" t="str">
        <x:v>02:40</x:v>
      </x:c>
      <x:c r="C971" s="3" t="n">
        <x:v>3</x:v>
      </x:c>
      <x:c r="D971" s="3" t="n">
        <x:v>10</x:v>
      </x:c>
      <x:c r="E971" s="3" t="n">
        <x:v>2</x:v>
      </x:c>
      <x:c r="F971" s="3" t="n">
        <x:v>3</x:v>
      </x:c>
      <x:c r="G971" s="9" t="n">
        <x:v>0.1</x:v>
      </x:c>
      <x:c r="H971" s="9" t="n">
        <x:v>0.871154</x:v>
      </x:c>
      <x:c r="I971" s="9" t="n">
        <x:f>'Physical_Arcs'!R11</x:f>
        <x:v>17.02777777777778</x:v>
      </x:c>
      <x:c r="J971" s="9" t="n">
        <x:f>I971*'Parameters'!$C$18</x:f>
        <x:v>3.405555555555556</x:v>
      </x:c>
      <x:c r="K971" s="9" t="n">
        <x:f>J971*'Parameters'!$C$19</x:f>
        <x:v>4.256944444444445</x:v>
      </x:c>
      <x:c r="L971" s="9" t="n">
        <x:f>I971*(1-0.40)-J971</x:f>
        <x:v>6.811111111111111</x:v>
      </x:c>
      <x:c r="M971" s="9" t="n">
        <x:f>'Physical_Arcs'!S11</x:f>
        <x:v>17.02777777777778</x:v>
      </x:c>
      <x:c r="N971" s="9" t="n">
        <x:f>M971*'Parameters'!$C$18</x:f>
        <x:v>3.405555555555556</x:v>
      </x:c>
      <x:c r="O971" s="9" t="n">
        <x:f>N971*'Parameters'!$C$19</x:f>
        <x:v>4.256944444444445</x:v>
      </x:c>
      <x:c r="P971" s="9" t="n">
        <x:f>M971*(1-0.40)-N971</x:f>
        <x:v>6.811111111111111</x:v>
      </x:c>
      <x:c r="Q971" s="9" t="n">
        <x:f>'Physical_Arcs'!T11</x:f>
        <x:v>17.02777777777778</x:v>
      </x:c>
      <x:c r="R971" s="9" t="n">
        <x:f>Q971*'Parameters'!$C$18</x:f>
        <x:v>3.405555555555556</x:v>
      </x:c>
      <x:c r="S971" s="9" t="n">
        <x:f>R971*'Parameters'!$C$19</x:f>
        <x:v>4.256944444444445</x:v>
      </x:c>
      <x:c r="T971" s="9" t="n">
        <x:f>Q971*(1-0.40)-R971</x:f>
        <x:v>6.811111111111111</x:v>
      </x:c>
    </x:row>
    <x:row r="972" ht="21" customHeight="1">
      <x:c r="A972" s="3" t="n">
        <x:v>16</x:v>
      </x:c>
      <x:c r="B972" s="3" t="str">
        <x:v>02:40</x:v>
      </x:c>
      <x:c r="C972" s="3" t="n">
        <x:v>3</x:v>
      </x:c>
      <x:c r="D972" s="3" t="n">
        <x:v>11</x:v>
      </x:c>
      <x:c r="E972" s="3" t="n">
        <x:v>2</x:v>
      </x:c>
      <x:c r="F972" s="3" t="n">
        <x:v>4</x:v>
      </x:c>
      <x:c r="G972" s="9" t="n">
        <x:v>0.1</x:v>
      </x:c>
      <x:c r="H972" s="9" t="n">
        <x:v>1.147412</x:v>
      </x:c>
      <x:c r="I972" s="9" t="n">
        <x:f>'Physical_Arcs'!R12</x:f>
        <x:v>7.972222222222222</x:v>
      </x:c>
      <x:c r="J972" s="9" t="n">
        <x:f>I972*'Parameters'!$C$18</x:f>
        <x:v>1.5944444444444446</x:v>
      </x:c>
      <x:c r="K972" s="9" t="n">
        <x:f>J972*'Parameters'!$C$19</x:f>
        <x:v>1.9930555555555558</x:v>
      </x:c>
      <x:c r="L972" s="9" t="n">
        <x:f>I972*(1-0.40)-J972</x:f>
        <x:v>3.1888888888888887</x:v>
      </x:c>
      <x:c r="M972" s="9" t="n">
        <x:f>'Physical_Arcs'!S12</x:f>
        <x:v>7.972222222222222</x:v>
      </x:c>
      <x:c r="N972" s="9" t="n">
        <x:f>M972*'Parameters'!$C$18</x:f>
        <x:v>1.5944444444444446</x:v>
      </x:c>
      <x:c r="O972" s="9" t="n">
        <x:f>N972*'Parameters'!$C$19</x:f>
        <x:v>1.9930555555555558</x:v>
      </x:c>
      <x:c r="P972" s="9" t="n">
        <x:f>M972*(1-0.40)-N972</x:f>
        <x:v>3.1888888888888887</x:v>
      </x:c>
      <x:c r="Q972" s="9" t="n">
        <x:f>'Physical_Arcs'!T12</x:f>
        <x:v>4</x:v>
      </x:c>
      <x:c r="R972" s="9" t="n">
        <x:f>Q972*'Parameters'!$C$18</x:f>
        <x:v>0.8</x:v>
      </x:c>
      <x:c r="S972" s="9" t="n">
        <x:f>R972*'Parameters'!$C$19</x:f>
        <x:v>1</x:v>
      </x:c>
      <x:c r="T972" s="9" t="n">
        <x:f>Q972*(1-0.40)-R972</x:f>
        <x:v>1.5999999999999999</x:v>
      </x:c>
    </x:row>
    <x:row r="973" ht="21" customHeight="1">
      <x:c r="A973" s="3" t="n">
        <x:v>16</x:v>
      </x:c>
      <x:c r="B973" s="3" t="str">
        <x:v>02:40</x:v>
      </x:c>
      <x:c r="C973" s="3" t="n">
        <x:v>3</x:v>
      </x:c>
      <x:c r="D973" s="3" t="n">
        <x:v>12</x:v>
      </x:c>
      <x:c r="E973" s="3" t="n">
        <x:v>2</x:v>
      </x:c>
      <x:c r="F973" s="3" t="n">
        <x:v>7</x:v>
      </x:c>
      <x:c r="G973" s="9" t="n">
        <x:v>0.1</x:v>
      </x:c>
      <x:c r="H973" s="9" t="n">
        <x:v>0.96729</x:v>
      </x:c>
      <x:c r="I973" s="9" t="n">
        <x:f>'Physical_Arcs'!R13</x:f>
        <x:v>4.611111111111111</x:v>
      </x:c>
      <x:c r="J973" s="9" t="n">
        <x:f>I973*'Parameters'!$C$18</x:f>
        <x:v>0.9222222222222222</x:v>
      </x:c>
      <x:c r="K973" s="9" t="n">
        <x:f>J973*'Parameters'!$C$19</x:f>
        <x:v>1.1527777777777777</x:v>
      </x:c>
      <x:c r="L973" s="9" t="n">
        <x:f>I973*(1-0.40)-J973</x:f>
        <x:v>1.844444444444444</x:v>
      </x:c>
      <x:c r="M973" s="9" t="n">
        <x:f>'Physical_Arcs'!S13</x:f>
        <x:v>4.611111111111111</x:v>
      </x:c>
      <x:c r="N973" s="9" t="n">
        <x:f>M973*'Parameters'!$C$18</x:f>
        <x:v>0.9222222222222222</x:v>
      </x:c>
      <x:c r="O973" s="9" t="n">
        <x:f>N973*'Parameters'!$C$19</x:f>
        <x:v>1.1527777777777777</x:v>
      </x:c>
      <x:c r="P973" s="9" t="n">
        <x:f>M973*(1-0.40)-N973</x:f>
        <x:v>1.844444444444444</x:v>
      </x:c>
      <x:c r="Q973" s="9" t="n">
        <x:f>'Physical_Arcs'!T13</x:f>
        <x:v>2.3055555555555554</x:v>
      </x:c>
      <x:c r="R973" s="9" t="n">
        <x:f>Q973*'Parameters'!$C$18</x:f>
        <x:v>0.4611111111111111</x:v>
      </x:c>
      <x:c r="S973" s="9" t="n">
        <x:f>R973*'Parameters'!$C$19</x:f>
        <x:v>0.5763888888888888</x:v>
      </x:c>
      <x:c r="T973" s="9" t="n">
        <x:f>Q973*(1-0.40)-R973</x:f>
        <x:v>0.922222222222222</x:v>
      </x:c>
    </x:row>
    <x:row r="974" ht="21" customHeight="1">
      <x:c r="A974" s="3" t="n">
        <x:v>16</x:v>
      </x:c>
      <x:c r="B974" s="3" t="str">
        <x:v>02:40</x:v>
      </x:c>
      <x:c r="C974" s="3" t="n">
        <x:v>3</x:v>
      </x:c>
      <x:c r="D974" s="3" t="n">
        <x:v>13</x:v>
      </x:c>
      <x:c r="E974" s="3" t="n">
        <x:v>2</x:v>
      </x:c>
      <x:c r="F974" s="3" t="n">
        <x:v>9</x:v>
      </x:c>
      <x:c r="G974" s="9" t="n">
        <x:v>0.1</x:v>
      </x:c>
      <x:c r="H974" s="9" t="n">
        <x:v>1.117625</x:v>
      </x:c>
      <x:c r="I974" s="9" t="n">
        <x:f>'Physical_Arcs'!R14</x:f>
        <x:v>8.666666666666666</x:v>
      </x:c>
      <x:c r="J974" s="9" t="n">
        <x:f>I974*'Parameters'!$C$18</x:f>
        <x:v>1.7333333333333334</x:v>
      </x:c>
      <x:c r="K974" s="9" t="n">
        <x:f>J974*'Parameters'!$C$19</x:f>
        <x:v>2.166666666666667</x:v>
      </x:c>
      <x:c r="L974" s="9" t="n">
        <x:f>I974*(1-0.40)-J974</x:f>
        <x:v>3.466666666666666</x:v>
      </x:c>
      <x:c r="M974" s="9" t="n">
        <x:f>'Physical_Arcs'!S14</x:f>
        <x:v>8.666666666666666</x:v>
      </x:c>
      <x:c r="N974" s="9" t="n">
        <x:f>M974*'Parameters'!$C$18</x:f>
        <x:v>1.7333333333333334</x:v>
      </x:c>
      <x:c r="O974" s="9" t="n">
        <x:f>N974*'Parameters'!$C$19</x:f>
        <x:v>2.166666666666667</x:v>
      </x:c>
      <x:c r="P974" s="9" t="n">
        <x:f>M974*(1-0.40)-N974</x:f>
        <x:v>3.466666666666666</x:v>
      </x:c>
      <x:c r="Q974" s="9" t="n">
        <x:f>'Physical_Arcs'!T14</x:f>
        <x:v>4.333333333333333</x:v>
      </x:c>
      <x:c r="R974" s="9" t="n">
        <x:f>Q974*'Parameters'!$C$18</x:f>
        <x:v>0.8666666666666667</x:v>
      </x:c>
      <x:c r="S974" s="9" t="n">
        <x:f>R974*'Parameters'!$C$19</x:f>
        <x:v>1.0833333333333335</x:v>
      </x:c>
      <x:c r="T974" s="9" t="n">
        <x:f>Q974*(1-0.40)-R974</x:f>
        <x:v>1.733333333333333</x:v>
      </x:c>
    </x:row>
    <x:row r="975" ht="21" customHeight="1">
      <x:c r="A975" s="3" t="n">
        <x:v>16</x:v>
      </x:c>
      <x:c r="B975" s="3" t="str">
        <x:v>02:40</x:v>
      </x:c>
      <x:c r="C975" s="3" t="n">
        <x:v>3</x:v>
      </x:c>
      <x:c r="D975" s="3" t="n">
        <x:v>14</x:v>
      </x:c>
      <x:c r="E975" s="3" t="n">
        <x:v>2</x:v>
      </x:c>
      <x:c r="F975" s="3" t="n">
        <x:v>8</x:v>
      </x:c>
      <x:c r="G975" s="9" t="n">
        <x:v>0.1</x:v>
      </x:c>
      <x:c r="H975" s="9" t="n">
        <x:v>1.144902</x:v>
      </x:c>
      <x:c r="I975" s="9" t="n">
        <x:f>'Physical_Arcs'!R15</x:f>
        <x:v>7.75</x:v>
      </x:c>
      <x:c r="J975" s="9" t="n">
        <x:f>I975*'Parameters'!$C$18</x:f>
        <x:v>1.55</x:v>
      </x:c>
      <x:c r="K975" s="9" t="n">
        <x:f>J975*'Parameters'!$C$19</x:f>
        <x:v>1.9375</x:v>
      </x:c>
      <x:c r="L975" s="9" t="n">
        <x:f>I975*(1-0.40)-J975</x:f>
        <x:v>3.0999999999999996</x:v>
      </x:c>
      <x:c r="M975" s="9" t="n">
        <x:f>'Physical_Arcs'!S15</x:f>
        <x:v>7.75</x:v>
      </x:c>
      <x:c r="N975" s="9" t="n">
        <x:f>M975*'Parameters'!$C$18</x:f>
        <x:v>1.55</x:v>
      </x:c>
      <x:c r="O975" s="9" t="n">
        <x:f>N975*'Parameters'!$C$19</x:f>
        <x:v>1.9375</x:v>
      </x:c>
      <x:c r="P975" s="9" t="n">
        <x:f>M975*(1-0.40)-N975</x:f>
        <x:v>3.0999999999999996</x:v>
      </x:c>
      <x:c r="Q975" s="9" t="n">
        <x:f>'Physical_Arcs'!T15</x:f>
        <x:v>3.888888888888889</x:v>
      </x:c>
      <x:c r="R975" s="9" t="n">
        <x:f>Q975*'Parameters'!$C$18</x:f>
        <x:v>0.7777777777777778</x:v>
      </x:c>
      <x:c r="S975" s="9" t="n">
        <x:f>R975*'Parameters'!$C$19</x:f>
        <x:v>0.9722222222222222</x:v>
      </x:c>
      <x:c r="T975" s="9" t="n">
        <x:f>Q975*(1-0.40)-R975</x:f>
        <x:v>1.5555555555555554</x:v>
      </x:c>
    </x:row>
    <x:row r="976" ht="21" customHeight="1">
      <x:c r="A976" s="3" t="n">
        <x:v>16</x:v>
      </x:c>
      <x:c r="B976" s="3" t="str">
        <x:v>02:40</x:v>
      </x:c>
      <x:c r="C976" s="3" t="n">
        <x:v>3</x:v>
      </x:c>
      <x:c r="D976" s="3" t="n">
        <x:v>15</x:v>
      </x:c>
      <x:c r="E976" s="3" t="n">
        <x:v>2</x:v>
      </x:c>
      <x:c r="F976" s="3" t="n">
        <x:v>10</x:v>
      </x:c>
      <x:c r="G976" s="9" t="n">
        <x:v>0.1</x:v>
      </x:c>
      <x:c r="H976" s="9" t="n">
        <x:v>1.146684</x:v>
      </x:c>
      <x:c r="I976" s="9" t="n">
        <x:f>'Physical_Arcs'!R16</x:f>
        <x:v>7.416666666666667</x:v>
      </x:c>
      <x:c r="J976" s="9" t="n">
        <x:f>I976*'Parameters'!$C$18</x:f>
        <x:v>1.4833333333333334</x:v>
      </x:c>
      <x:c r="K976" s="9" t="n">
        <x:f>J976*'Parameters'!$C$19</x:f>
        <x:v>1.8541666666666667</x:v>
      </x:c>
      <x:c r="L976" s="9" t="n">
        <x:f>I976*(1-0.40)-J976</x:f>
        <x:v>2.966666666666667</x:v>
      </x:c>
      <x:c r="M976" s="9" t="n">
        <x:f>'Physical_Arcs'!S16</x:f>
        <x:v>7.416666666666667</x:v>
      </x:c>
      <x:c r="N976" s="9" t="n">
        <x:f>M976*'Parameters'!$C$18</x:f>
        <x:v>1.4833333333333334</x:v>
      </x:c>
      <x:c r="O976" s="9" t="n">
        <x:f>N976*'Parameters'!$C$19</x:f>
        <x:v>1.8541666666666667</x:v>
      </x:c>
      <x:c r="P976" s="9" t="n">
        <x:f>M976*(1-0.40)-N976</x:f>
        <x:v>2.966666666666667</x:v>
      </x:c>
      <x:c r="Q976" s="9" t="n">
        <x:f>'Physical_Arcs'!T16</x:f>
        <x:v>3.7222222222222223</x:v>
      </x:c>
      <x:c r="R976" s="9" t="n">
        <x:f>Q976*'Parameters'!$C$18</x:f>
        <x:v>0.7444444444444445</x:v>
      </x:c>
      <x:c r="S976" s="9" t="n">
        <x:f>R976*'Parameters'!$C$19</x:f>
        <x:v>0.9305555555555556</x:v>
      </x:c>
      <x:c r="T976" s="9" t="n">
        <x:f>Q976*(1-0.40)-R976</x:f>
        <x:v>1.488888888888889</x:v>
      </x:c>
    </x:row>
    <x:row r="977" ht="21" customHeight="1">
      <x:c r="A977" s="3" t="n">
        <x:v>16</x:v>
      </x:c>
      <x:c r="B977" s="3" t="str">
        <x:v>02:40</x:v>
      </x:c>
      <x:c r="C977" s="3" t="n">
        <x:v>3</x:v>
      </x:c>
      <x:c r="D977" s="3" t="n">
        <x:v>16</x:v>
      </x:c>
      <x:c r="E977" s="3" t="n">
        <x:v>3</x:v>
      </x:c>
      <x:c r="F977" s="3" t="n">
        <x:v>4</x:v>
      </x:c>
      <x:c r="G977" s="9" t="n">
        <x:v>0.1</x:v>
      </x:c>
      <x:c r="H977" s="9" t="n">
        <x:v>1.017658</x:v>
      </x:c>
      <x:c r="I977" s="9" t="n">
        <x:f>'Physical_Arcs'!R17</x:f>
        <x:v>17.02777777777778</x:v>
      </x:c>
      <x:c r="J977" s="9" t="n">
        <x:f>I977*'Parameters'!$C$18</x:f>
        <x:v>3.405555555555556</x:v>
      </x:c>
      <x:c r="K977" s="9" t="n">
        <x:f>J977*'Parameters'!$C$19</x:f>
        <x:v>4.256944444444445</x:v>
      </x:c>
      <x:c r="L977" s="9" t="n">
        <x:f>I977*(1-0.40)-J977</x:f>
        <x:v>6.811111111111111</x:v>
      </x:c>
      <x:c r="M977" s="9" t="n">
        <x:f>'Physical_Arcs'!S17</x:f>
        <x:v>17.02777777777778</x:v>
      </x:c>
      <x:c r="N977" s="9" t="n">
        <x:f>M977*'Parameters'!$C$18</x:f>
        <x:v>3.405555555555556</x:v>
      </x:c>
      <x:c r="O977" s="9" t="n">
        <x:f>N977*'Parameters'!$C$19</x:f>
        <x:v>4.256944444444445</x:v>
      </x:c>
      <x:c r="P977" s="9" t="n">
        <x:f>M977*(1-0.40)-N977</x:f>
        <x:v>6.811111111111111</x:v>
      </x:c>
      <x:c r="Q977" s="9" t="n">
        <x:f>'Physical_Arcs'!T17</x:f>
        <x:v>17.02777777777778</x:v>
      </x:c>
      <x:c r="R977" s="9" t="n">
        <x:f>Q977*'Parameters'!$C$18</x:f>
        <x:v>3.405555555555556</x:v>
      </x:c>
      <x:c r="S977" s="9" t="n">
        <x:f>R977*'Parameters'!$C$19</x:f>
        <x:v>4.256944444444445</x:v>
      </x:c>
      <x:c r="T977" s="9" t="n">
        <x:f>Q977*(1-0.40)-R977</x:f>
        <x:v>6.811111111111111</x:v>
      </x:c>
    </x:row>
    <x:row r="978" ht="21" customHeight="1">
      <x:c r="A978" s="3" t="n">
        <x:v>16</x:v>
      </x:c>
      <x:c r="B978" s="3" t="str">
        <x:v>02:40</x:v>
      </x:c>
      <x:c r="C978" s="3" t="n">
        <x:v>3</x:v>
      </x:c>
      <x:c r="D978" s="3" t="n">
        <x:v>17</x:v>
      </x:c>
      <x:c r="E978" s="3" t="n">
        <x:v>3</x:v>
      </x:c>
      <x:c r="F978" s="3" t="n">
        <x:v>2</x:v>
      </x:c>
      <x:c r="G978" s="9" t="n">
        <x:v>0.1</x:v>
      </x:c>
      <x:c r="H978" s="9" t="n">
        <x:v>0.875995</x:v>
      </x:c>
      <x:c r="I978" s="9" t="n">
        <x:f>'Physical_Arcs'!R18</x:f>
        <x:v>10.666666666666666</x:v>
      </x:c>
      <x:c r="J978" s="9" t="n">
        <x:f>I978*'Parameters'!$C$18</x:f>
        <x:v>2.1333333333333333</x:v>
      </x:c>
      <x:c r="K978" s="9" t="n">
        <x:f>J978*'Parameters'!$C$19</x:f>
        <x:v>2.6666666666666665</x:v>
      </x:c>
      <x:c r="L978" s="9" t="n">
        <x:f>I978*(1-0.40)-J978</x:f>
        <x:v>4.266666666666666</x:v>
      </x:c>
      <x:c r="M978" s="9" t="n">
        <x:f>'Physical_Arcs'!S18</x:f>
        <x:v>10.666666666666666</x:v>
      </x:c>
      <x:c r="N978" s="9" t="n">
        <x:f>M978*'Parameters'!$C$18</x:f>
        <x:v>2.1333333333333333</x:v>
      </x:c>
      <x:c r="O978" s="9" t="n">
        <x:f>N978*'Parameters'!$C$19</x:f>
        <x:v>2.6666666666666665</x:v>
      </x:c>
      <x:c r="P978" s="9" t="n">
        <x:f>M978*(1-0.40)-N978</x:f>
        <x:v>4.266666666666666</x:v>
      </x:c>
      <x:c r="Q978" s="9" t="n">
        <x:f>'Physical_Arcs'!T18</x:f>
        <x:v>5.333333333333333</x:v>
      </x:c>
      <x:c r="R978" s="9" t="n">
        <x:f>Q978*'Parameters'!$C$18</x:f>
        <x:v>1.0666666666666667</x:v>
      </x:c>
      <x:c r="S978" s="9" t="n">
        <x:f>R978*'Parameters'!$C$19</x:f>
        <x:v>1.3333333333333333</x:v>
      </x:c>
      <x:c r="T978" s="9" t="n">
        <x:f>Q978*(1-0.40)-R978</x:f>
        <x:v>2.133333333333333</x:v>
      </x:c>
    </x:row>
    <x:row r="979" ht="21" customHeight="1">
      <x:c r="A979" s="3" t="n">
        <x:v>16</x:v>
      </x:c>
      <x:c r="B979" s="3" t="str">
        <x:v>02:40</x:v>
      </x:c>
      <x:c r="C979" s="3" t="n">
        <x:v>3</x:v>
      </x:c>
      <x:c r="D979" s="3" t="n">
        <x:v>18</x:v>
      </x:c>
      <x:c r="E979" s="3" t="n">
        <x:v>3</x:v>
      </x:c>
      <x:c r="F979" s="3" t="n">
        <x:v>1</x:v>
      </x:c>
      <x:c r="G979" s="9" t="n">
        <x:v>0.1</x:v>
      </x:c>
      <x:c r="H979" s="9" t="n">
        <x:v>1.015397</x:v>
      </x:c>
      <x:c r="I979" s="9" t="n">
        <x:f>'Physical_Arcs'!R19</x:f>
        <x:v>5.166666666666667</x:v>
      </x:c>
      <x:c r="J979" s="9" t="n">
        <x:f>I979*'Parameters'!$C$18</x:f>
        <x:v>1.0333333333333334</x:v>
      </x:c>
      <x:c r="K979" s="9" t="n">
        <x:f>J979*'Parameters'!$C$19</x:f>
        <x:v>1.2916666666666667</x:v>
      </x:c>
      <x:c r="L979" s="9" t="n">
        <x:f>I979*(1-0.40)-J979</x:f>
        <x:v>2.0666666666666664</x:v>
      </x:c>
      <x:c r="M979" s="9" t="n">
        <x:f>'Physical_Arcs'!S19</x:f>
        <x:v>5.166666666666667</x:v>
      </x:c>
      <x:c r="N979" s="9" t="n">
        <x:f>M979*'Parameters'!$C$18</x:f>
        <x:v>1.0333333333333334</x:v>
      </x:c>
      <x:c r="O979" s="9" t="n">
        <x:f>N979*'Parameters'!$C$19</x:f>
        <x:v>1.2916666666666667</x:v>
      </x:c>
      <x:c r="P979" s="9" t="n">
        <x:f>M979*(1-0.40)-N979</x:f>
        <x:v>2.0666666666666664</x:v>
      </x:c>
      <x:c r="Q979" s="9" t="n">
        <x:f>'Physical_Arcs'!T19</x:f>
        <x:v>2.5833333333333335</x:v>
      </x:c>
      <x:c r="R979" s="9" t="n">
        <x:f>Q979*'Parameters'!$C$18</x:f>
        <x:v>0.5166666666666667</x:v>
      </x:c>
      <x:c r="S979" s="9" t="n">
        <x:f>R979*'Parameters'!$C$19</x:f>
        <x:v>0.6458333333333334</x:v>
      </x:c>
      <x:c r="T979" s="9" t="n">
        <x:f>Q979*(1-0.40)-R979</x:f>
        <x:v>1.0333333333333332</x:v>
      </x:c>
    </x:row>
    <x:row r="980" ht="21" customHeight="1">
      <x:c r="A980" s="3" t="n">
        <x:v>16</x:v>
      </x:c>
      <x:c r="B980" s="3" t="str">
        <x:v>02:40</x:v>
      </x:c>
      <x:c r="C980" s="3" t="n">
        <x:v>3</x:v>
      </x:c>
      <x:c r="D980" s="3" t="n">
        <x:v>19</x:v>
      </x:c>
      <x:c r="E980" s="3" t="n">
        <x:v>3</x:v>
      </x:c>
      <x:c r="F980" s="3" t="n">
        <x:v>7</x:v>
      </x:c>
      <x:c r="G980" s="9" t="n">
        <x:v>0.1</x:v>
      </x:c>
      <x:c r="H980" s="9" t="n">
        <x:v>0.996008</x:v>
      </x:c>
      <x:c r="I980" s="9" t="n">
        <x:f>'Physical_Arcs'!R20</x:f>
        <x:v>5.75</x:v>
      </x:c>
      <x:c r="J980" s="9" t="n">
        <x:f>I980*'Parameters'!$C$18</x:f>
        <x:v>1.1500000000000001</x:v>
      </x:c>
      <x:c r="K980" s="9" t="n">
        <x:f>J980*'Parameters'!$C$19</x:f>
        <x:v>1.4375000000000002</x:v>
      </x:c>
      <x:c r="L980" s="9" t="n">
        <x:f>I980*(1-0.40)-J980</x:f>
        <x:v>2.3</x:v>
      </x:c>
      <x:c r="M980" s="9" t="n">
        <x:f>'Physical_Arcs'!S20</x:f>
        <x:v>5.75</x:v>
      </x:c>
      <x:c r="N980" s="9" t="n">
        <x:f>M980*'Parameters'!$C$18</x:f>
        <x:v>1.1500000000000001</x:v>
      </x:c>
      <x:c r="O980" s="9" t="n">
        <x:f>N980*'Parameters'!$C$19</x:f>
        <x:v>1.4375000000000002</x:v>
      </x:c>
      <x:c r="P980" s="9" t="n">
        <x:f>M980*(1-0.40)-N980</x:f>
        <x:v>2.3</x:v>
      </x:c>
      <x:c r="Q980" s="9" t="n">
        <x:f>'Physical_Arcs'!T20</x:f>
        <x:v>2.888888888888889</x:v>
      </x:c>
      <x:c r="R980" s="9" t="n">
        <x:f>Q980*'Parameters'!$C$18</x:f>
        <x:v>0.5777777777777778</x:v>
      </x:c>
      <x:c r="S980" s="9" t="n">
        <x:f>R980*'Parameters'!$C$19</x:f>
        <x:v>0.7222222222222223</x:v>
      </x:c>
      <x:c r="T980" s="9" t="n">
        <x:f>Q980*(1-0.40)-R980</x:f>
        <x:v>1.1555555555555554</x:v>
      </x:c>
    </x:row>
    <x:row r="981" ht="21" customHeight="1">
      <x:c r="A981" s="3" t="n">
        <x:v>16</x:v>
      </x:c>
      <x:c r="B981" s="3" t="str">
        <x:v>02:40</x:v>
      </x:c>
      <x:c r="C981" s="3" t="n">
        <x:v>3</x:v>
      </x:c>
      <x:c r="D981" s="3" t="n">
        <x:v>20</x:v>
      </x:c>
      <x:c r="E981" s="3" t="n">
        <x:v>3</x:v>
      </x:c>
      <x:c r="F981" s="3" t="n">
        <x:v>10</x:v>
      </x:c>
      <x:c r="G981" s="9" t="n">
        <x:v>0.1</x:v>
      </x:c>
      <x:c r="H981" s="9" t="n">
        <x:v>1.118855</x:v>
      </x:c>
      <x:c r="I981" s="9" t="n">
        <x:f>'Physical_Arcs'!R21</x:f>
        <x:v>5.166666666666667</x:v>
      </x:c>
      <x:c r="J981" s="9" t="n">
        <x:f>I981*'Parameters'!$C$18</x:f>
        <x:v>1.0333333333333334</x:v>
      </x:c>
      <x:c r="K981" s="9" t="n">
        <x:f>J981*'Parameters'!$C$19</x:f>
        <x:v>1.2916666666666667</x:v>
      </x:c>
      <x:c r="L981" s="9" t="n">
        <x:f>I981*(1-0.40)-J981</x:f>
        <x:v>2.0666666666666664</x:v>
      </x:c>
      <x:c r="M981" s="9" t="n">
        <x:f>'Physical_Arcs'!S21</x:f>
        <x:v>5.166666666666667</x:v>
      </x:c>
      <x:c r="N981" s="9" t="n">
        <x:f>M981*'Parameters'!$C$18</x:f>
        <x:v>1.0333333333333334</x:v>
      </x:c>
      <x:c r="O981" s="9" t="n">
        <x:f>N981*'Parameters'!$C$19</x:f>
        <x:v>1.2916666666666667</x:v>
      </x:c>
      <x:c r="P981" s="9" t="n">
        <x:f>M981*(1-0.40)-N981</x:f>
        <x:v>2.0666666666666664</x:v>
      </x:c>
      <x:c r="Q981" s="9" t="n">
        <x:f>'Physical_Arcs'!T21</x:f>
        <x:v>2.5833333333333335</x:v>
      </x:c>
      <x:c r="R981" s="9" t="n">
        <x:f>Q981*'Parameters'!$C$18</x:f>
        <x:v>0.5166666666666667</x:v>
      </x:c>
      <x:c r="S981" s="9" t="n">
        <x:f>R981*'Parameters'!$C$19</x:f>
        <x:v>0.6458333333333334</x:v>
      </x:c>
      <x:c r="T981" s="9" t="n">
        <x:f>Q981*(1-0.40)-R981</x:f>
        <x:v>1.0333333333333332</x:v>
      </x:c>
    </x:row>
    <x:row r="982" ht="21" customHeight="1">
      <x:c r="A982" s="3" t="n">
        <x:v>16</x:v>
      </x:c>
      <x:c r="B982" s="3" t="str">
        <x:v>02:40</x:v>
      </x:c>
      <x:c r="C982" s="3" t="n">
        <x:v>3</x:v>
      </x:c>
      <x:c r="D982" s="3" t="n">
        <x:v>21</x:v>
      </x:c>
      <x:c r="E982" s="3" t="n">
        <x:v>3</x:v>
      </x:c>
      <x:c r="F982" s="3" t="n">
        <x:v>9</x:v>
      </x:c>
      <x:c r="G982" s="9" t="n">
        <x:v>0.1</x:v>
      </x:c>
      <x:c r="H982" s="9" t="n">
        <x:v>0.947299</x:v>
      </x:c>
      <x:c r="I982" s="9" t="n">
        <x:f>'Physical_Arcs'!R22</x:f>
        <x:v>9.333333333333334</x:v>
      </x:c>
      <x:c r="J982" s="9" t="n">
        <x:f>I982*'Parameters'!$C$18</x:f>
        <x:v>1.866666666666667</x:v>
      </x:c>
      <x:c r="K982" s="9" t="n">
        <x:f>J982*'Parameters'!$C$19</x:f>
        <x:v>2.3333333333333335</x:v>
      </x:c>
      <x:c r="L982" s="9" t="n">
        <x:f>I982*(1-0.40)-J982</x:f>
        <x:v>3.7333333333333334</x:v>
      </x:c>
      <x:c r="M982" s="9" t="n">
        <x:f>'Physical_Arcs'!S22</x:f>
        <x:v>9.333333333333334</x:v>
      </x:c>
      <x:c r="N982" s="9" t="n">
        <x:f>M982*'Parameters'!$C$18</x:f>
        <x:v>1.866666666666667</x:v>
      </x:c>
      <x:c r="O982" s="9" t="n">
        <x:f>N982*'Parameters'!$C$19</x:f>
        <x:v>2.3333333333333335</x:v>
      </x:c>
      <x:c r="P982" s="9" t="n">
        <x:f>M982*(1-0.40)-N982</x:f>
        <x:v>3.7333333333333334</x:v>
      </x:c>
      <x:c r="Q982" s="9" t="n">
        <x:f>'Physical_Arcs'!T22</x:f>
        <x:v>4.666666666666667</x:v>
      </x:c>
      <x:c r="R982" s="9" t="n">
        <x:f>Q982*'Parameters'!$C$18</x:f>
        <x:v>0.9333333333333335</x:v>
      </x:c>
      <x:c r="S982" s="9" t="n">
        <x:f>R982*'Parameters'!$C$19</x:f>
        <x:v>1.1666666666666667</x:v>
      </x:c>
      <x:c r="T982" s="9" t="n">
        <x:f>Q982*(1-0.40)-R982</x:f>
        <x:v>1.8666666666666667</x:v>
      </x:c>
    </x:row>
    <x:row r="983" ht="21" customHeight="1">
      <x:c r="A983" s="3" t="n">
        <x:v>16</x:v>
      </x:c>
      <x:c r="B983" s="3" t="str">
        <x:v>02:40</x:v>
      </x:c>
      <x:c r="C983" s="3" t="n">
        <x:v>3</x:v>
      </x:c>
      <x:c r="D983" s="3" t="n">
        <x:v>22</x:v>
      </x:c>
      <x:c r="E983" s="3" t="n">
        <x:v>4</x:v>
      </x:c>
      <x:c r="F983" s="3" t="n">
        <x:v>5</x:v>
      </x:c>
      <x:c r="G983" s="9" t="n">
        <x:v>0.1</x:v>
      </x:c>
      <x:c r="H983" s="9" t="n">
        <x:v>0.958485</x:v>
      </x:c>
      <x:c r="I983" s="9" t="n">
        <x:f>'Physical_Arcs'!R23</x:f>
        <x:v>17.02777777777778</x:v>
      </x:c>
      <x:c r="J983" s="9" t="n">
        <x:f>I983*'Parameters'!$C$18</x:f>
        <x:v>3.405555555555556</x:v>
      </x:c>
      <x:c r="K983" s="9" t="n">
        <x:f>J983*'Parameters'!$C$19</x:f>
        <x:v>4.256944444444445</x:v>
      </x:c>
      <x:c r="L983" s="9" t="n">
        <x:f>I983*(1-0.40)-J983</x:f>
        <x:v>6.811111111111111</x:v>
      </x:c>
      <x:c r="M983" s="9" t="n">
        <x:f>'Physical_Arcs'!S23</x:f>
        <x:v>17.02777777777778</x:v>
      </x:c>
      <x:c r="N983" s="9" t="n">
        <x:f>M983*'Parameters'!$C$18</x:f>
        <x:v>3.405555555555556</x:v>
      </x:c>
      <x:c r="O983" s="9" t="n">
        <x:f>N983*'Parameters'!$C$19</x:f>
        <x:v>4.256944444444445</x:v>
      </x:c>
      <x:c r="P983" s="9" t="n">
        <x:f>M983*(1-0.40)-N983</x:f>
        <x:v>6.811111111111111</x:v>
      </x:c>
      <x:c r="Q983" s="9" t="n">
        <x:f>'Physical_Arcs'!T23</x:f>
        <x:v>17.02777777777778</x:v>
      </x:c>
      <x:c r="R983" s="9" t="n">
        <x:f>Q983*'Parameters'!$C$18</x:f>
        <x:v>3.405555555555556</x:v>
      </x:c>
      <x:c r="S983" s="9" t="n">
        <x:f>R983*'Parameters'!$C$19</x:f>
        <x:v>4.256944444444445</x:v>
      </x:c>
      <x:c r="T983" s="9" t="n">
        <x:f>Q983*(1-0.40)-R983</x:f>
        <x:v>6.811111111111111</x:v>
      </x:c>
    </x:row>
    <x:row r="984" ht="21" customHeight="1">
      <x:c r="A984" s="3" t="n">
        <x:v>16</x:v>
      </x:c>
      <x:c r="B984" s="3" t="str">
        <x:v>02:40</x:v>
      </x:c>
      <x:c r="C984" s="3" t="n">
        <x:v>3</x:v>
      </x:c>
      <x:c r="D984" s="3" t="n">
        <x:v>23</x:v>
      </x:c>
      <x:c r="E984" s="3" t="n">
        <x:v>4</x:v>
      </x:c>
      <x:c r="F984" s="3" t="n">
        <x:v>3</x:v>
      </x:c>
      <x:c r="G984" s="9" t="n">
        <x:v>0.1</x:v>
      </x:c>
      <x:c r="H984" s="9" t="n">
        <x:v>0.944916</x:v>
      </x:c>
      <x:c r="I984" s="9" t="n">
        <x:f>'Physical_Arcs'!R24</x:f>
        <x:v>9.333333333333334</x:v>
      </x:c>
      <x:c r="J984" s="9" t="n">
        <x:f>I984*'Parameters'!$C$18</x:f>
        <x:v>1.866666666666667</x:v>
      </x:c>
      <x:c r="K984" s="9" t="n">
        <x:f>J984*'Parameters'!$C$19</x:f>
        <x:v>2.3333333333333335</x:v>
      </x:c>
      <x:c r="L984" s="9" t="n">
        <x:f>I984*(1-0.40)-J984</x:f>
        <x:v>3.7333333333333334</x:v>
      </x:c>
      <x:c r="M984" s="9" t="n">
        <x:f>'Physical_Arcs'!S24</x:f>
        <x:v>9.333333333333334</x:v>
      </x:c>
      <x:c r="N984" s="9" t="n">
        <x:f>M984*'Parameters'!$C$18</x:f>
        <x:v>1.866666666666667</x:v>
      </x:c>
      <x:c r="O984" s="9" t="n">
        <x:f>N984*'Parameters'!$C$19</x:f>
        <x:v>2.3333333333333335</x:v>
      </x:c>
      <x:c r="P984" s="9" t="n">
        <x:f>M984*(1-0.40)-N984</x:f>
        <x:v>3.7333333333333334</x:v>
      </x:c>
      <x:c r="Q984" s="9" t="n">
        <x:f>'Physical_Arcs'!T24</x:f>
        <x:v>4.666666666666667</x:v>
      </x:c>
      <x:c r="R984" s="9" t="n">
        <x:f>Q984*'Parameters'!$C$18</x:f>
        <x:v>0.9333333333333335</x:v>
      </x:c>
      <x:c r="S984" s="9" t="n">
        <x:f>R984*'Parameters'!$C$19</x:f>
        <x:v>1.1666666666666667</x:v>
      </x:c>
      <x:c r="T984" s="9" t="n">
        <x:f>Q984*(1-0.40)-R984</x:f>
        <x:v>1.8666666666666667</x:v>
      </x:c>
    </x:row>
    <x:row r="985" ht="21" customHeight="1">
      <x:c r="A985" s="3" t="n">
        <x:v>16</x:v>
      </x:c>
      <x:c r="B985" s="3" t="str">
        <x:v>02:40</x:v>
      </x:c>
      <x:c r="C985" s="3" t="n">
        <x:v>3</x:v>
      </x:c>
      <x:c r="D985" s="3" t="n">
        <x:v>24</x:v>
      </x:c>
      <x:c r="E985" s="3" t="n">
        <x:v>4</x:v>
      </x:c>
      <x:c r="F985" s="3" t="n">
        <x:v>10</x:v>
      </x:c>
      <x:c r="G985" s="9" t="n">
        <x:v>0.1</x:v>
      </x:c>
      <x:c r="H985" s="9" t="n">
        <x:v>0.875461</x:v>
      </x:c>
      <x:c r="I985" s="9" t="n">
        <x:f>'Physical_Arcs'!R25</x:f>
        <x:v>7.194444444444445</x:v>
      </x:c>
      <x:c r="J985" s="9" t="n">
        <x:f>I985*'Parameters'!$C$18</x:f>
        <x:v>1.438888888888889</x:v>
      </x:c>
      <x:c r="K985" s="9" t="n">
        <x:f>J985*'Parameters'!$C$19</x:f>
        <x:v>1.7986111111111114</x:v>
      </x:c>
      <x:c r="L985" s="9" t="n">
        <x:f>I985*(1-0.40)-J985</x:f>
        <x:v>2.8777777777777773</x:v>
      </x:c>
      <x:c r="M985" s="9" t="n">
        <x:f>'Physical_Arcs'!S25</x:f>
        <x:v>7.194444444444445</x:v>
      </x:c>
      <x:c r="N985" s="9" t="n">
        <x:f>M985*'Parameters'!$C$18</x:f>
        <x:v>1.438888888888889</x:v>
      </x:c>
      <x:c r="O985" s="9" t="n">
        <x:f>N985*'Parameters'!$C$19</x:f>
        <x:v>1.7986111111111114</x:v>
      </x:c>
      <x:c r="P985" s="9" t="n">
        <x:f>M985*(1-0.40)-N985</x:f>
        <x:v>2.8777777777777773</x:v>
      </x:c>
      <x:c r="Q985" s="9" t="n">
        <x:f>'Physical_Arcs'!T25</x:f>
        <x:v>3.611111111111111</x:v>
      </x:c>
      <x:c r="R985" s="9" t="n">
        <x:f>Q985*'Parameters'!$C$18</x:f>
        <x:v>0.7222222222222223</x:v>
      </x:c>
      <x:c r="S985" s="9" t="n">
        <x:f>R985*'Parameters'!$C$19</x:f>
        <x:v>0.9027777777777779</x:v>
      </x:c>
      <x:c r="T985" s="9" t="n">
        <x:f>Q985*(1-0.40)-R985</x:f>
        <x:v>1.4444444444444442</x:v>
      </x:c>
    </x:row>
    <x:row r="986" ht="21" customHeight="1">
      <x:c r="A986" s="3" t="n">
        <x:v>16</x:v>
      </x:c>
      <x:c r="B986" s="3" t="str">
        <x:v>02:40</x:v>
      </x:c>
      <x:c r="C986" s="3" t="n">
        <x:v>3</x:v>
      </x:c>
      <x:c r="D986" s="3" t="n">
        <x:v>25</x:v>
      </x:c>
      <x:c r="E986" s="3" t="n">
        <x:v>4</x:v>
      </x:c>
      <x:c r="F986" s="3" t="n">
        <x:v>8</x:v>
      </x:c>
      <x:c r="G986" s="9" t="n">
        <x:v>0.1</x:v>
      </x:c>
      <x:c r="H986" s="9" t="n">
        <x:v>0.993326</x:v>
      </x:c>
      <x:c r="I986" s="9" t="n">
        <x:f>'Physical_Arcs'!R26</x:f>
        <x:v>5.277777777777778</x:v>
      </x:c>
      <x:c r="J986" s="9" t="n">
        <x:f>I986*'Parameters'!$C$18</x:f>
        <x:v>1.0555555555555556</x:v>
      </x:c>
      <x:c r="K986" s="9" t="n">
        <x:f>J986*'Parameters'!$C$19</x:f>
        <x:v>1.3194444444444444</x:v>
      </x:c>
      <x:c r="L986" s="9" t="n">
        <x:f>I986*(1-0.40)-J986</x:f>
        <x:v>2.1111111111111107</x:v>
      </x:c>
      <x:c r="M986" s="9" t="n">
        <x:f>'Physical_Arcs'!S26</x:f>
        <x:v>5.277777777777778</x:v>
      </x:c>
      <x:c r="N986" s="9" t="n">
        <x:f>M986*'Parameters'!$C$18</x:f>
        <x:v>1.0555555555555556</x:v>
      </x:c>
      <x:c r="O986" s="9" t="n">
        <x:f>N986*'Parameters'!$C$19</x:f>
        <x:v>1.3194444444444444</x:v>
      </x:c>
      <x:c r="P986" s="9" t="n">
        <x:f>M986*(1-0.40)-N986</x:f>
        <x:v>2.1111111111111107</x:v>
      </x:c>
      <x:c r="Q986" s="9" t="n">
        <x:f>'Physical_Arcs'!T26</x:f>
        <x:v>2.638888888888889</x:v>
      </x:c>
      <x:c r="R986" s="9" t="n">
        <x:f>Q986*'Parameters'!$C$18</x:f>
        <x:v>0.5277777777777778</x:v>
      </x:c>
      <x:c r="S986" s="9" t="n">
        <x:f>R986*'Parameters'!$C$19</x:f>
        <x:v>0.6597222222222222</x:v>
      </x:c>
      <x:c r="T986" s="9" t="n">
        <x:f>Q986*(1-0.40)-R986</x:f>
        <x:v>1.0555555555555554</x:v>
      </x:c>
    </x:row>
    <x:row r="987" ht="21" customHeight="1">
      <x:c r="A987" s="3" t="n">
        <x:v>16</x:v>
      </x:c>
      <x:c r="B987" s="3" t="str">
        <x:v>02:40</x:v>
      </x:c>
      <x:c r="C987" s="3" t="n">
        <x:v>3</x:v>
      </x:c>
      <x:c r="D987" s="3" t="n">
        <x:v>26</x:v>
      </x:c>
      <x:c r="E987" s="3" t="n">
        <x:v>4</x:v>
      </x:c>
      <x:c r="F987" s="3" t="n">
        <x:v>7</x:v>
      </x:c>
      <x:c r="G987" s="9" t="n">
        <x:v>0.1</x:v>
      </x:c>
      <x:c r="H987" s="9" t="n">
        <x:v>1.099203</x:v>
      </x:c>
      <x:c r="I987" s="9" t="n">
        <x:f>'Physical_Arcs'!R27</x:f>
        <x:v>6.527777777777778</x:v>
      </x:c>
      <x:c r="J987" s="9" t="n">
        <x:f>I987*'Parameters'!$C$18</x:f>
        <x:v>1.3055555555555556</x:v>
      </x:c>
      <x:c r="K987" s="9" t="n">
        <x:f>J987*'Parameters'!$C$19</x:f>
        <x:v>1.6319444444444444</x:v>
      </x:c>
      <x:c r="L987" s="9" t="n">
        <x:f>I987*(1-0.40)-J987</x:f>
        <x:v>2.6111111111111107</x:v>
      </x:c>
      <x:c r="M987" s="9" t="n">
        <x:f>'Physical_Arcs'!S27</x:f>
        <x:v>6.527777777777778</x:v>
      </x:c>
      <x:c r="N987" s="9" t="n">
        <x:f>M987*'Parameters'!$C$18</x:f>
        <x:v>1.3055555555555556</x:v>
      </x:c>
      <x:c r="O987" s="9" t="n">
        <x:f>N987*'Parameters'!$C$19</x:f>
        <x:v>1.6319444444444444</x:v>
      </x:c>
      <x:c r="P987" s="9" t="n">
        <x:f>M987*(1-0.40)-N987</x:f>
        <x:v>2.6111111111111107</x:v>
      </x:c>
      <x:c r="Q987" s="9" t="n">
        <x:f>'Physical_Arcs'!T27</x:f>
        <x:v>3.2777777777777777</x:v>
      </x:c>
      <x:c r="R987" s="9" t="n">
        <x:f>Q987*'Parameters'!$C$18</x:f>
        <x:v>0.6555555555555556</x:v>
      </x:c>
      <x:c r="S987" s="9" t="n">
        <x:f>R987*'Parameters'!$C$19</x:f>
        <x:v>0.8194444444444444</x:v>
      </x:c>
      <x:c r="T987" s="9" t="n">
        <x:f>Q987*(1-0.40)-R987</x:f>
        <x:v>1.311111111111111</x:v>
      </x:c>
    </x:row>
    <x:row r="988" ht="21" customHeight="1">
      <x:c r="A988" s="3" t="n">
        <x:v>16</x:v>
      </x:c>
      <x:c r="B988" s="3" t="str">
        <x:v>02:40</x:v>
      </x:c>
      <x:c r="C988" s="3" t="n">
        <x:v>3</x:v>
      </x:c>
      <x:c r="D988" s="3" t="n">
        <x:v>27</x:v>
      </x:c>
      <x:c r="E988" s="3" t="n">
        <x:v>4</x:v>
      </x:c>
      <x:c r="F988" s="3" t="n">
        <x:v>2</x:v>
      </x:c>
      <x:c r="G988" s="9" t="n">
        <x:v>0.1</x:v>
      </x:c>
      <x:c r="H988" s="9" t="n">
        <x:v>0.861111</x:v>
      </x:c>
      <x:c r="I988" s="9" t="n">
        <x:f>'Physical_Arcs'!R28</x:f>
        <x:v>4.944444444444445</x:v>
      </x:c>
      <x:c r="J988" s="9" t="n">
        <x:f>I988*'Parameters'!$C$18</x:f>
        <x:v>0.9888888888888889</x:v>
      </x:c>
      <x:c r="K988" s="9" t="n">
        <x:f>J988*'Parameters'!$C$19</x:f>
        <x:v>1.2361111111111112</x:v>
      </x:c>
      <x:c r="L988" s="9" t="n">
        <x:f>I988*(1-0.40)-J988</x:f>
        <x:v>1.9777777777777779</x:v>
      </x:c>
      <x:c r="M988" s="9" t="n">
        <x:f>'Physical_Arcs'!S28</x:f>
        <x:v>4.944444444444445</x:v>
      </x:c>
      <x:c r="N988" s="9" t="n">
        <x:f>M988*'Parameters'!$C$18</x:f>
        <x:v>0.9888888888888889</x:v>
      </x:c>
      <x:c r="O988" s="9" t="n">
        <x:f>N988*'Parameters'!$C$19</x:f>
        <x:v>1.2361111111111112</x:v>
      </x:c>
      <x:c r="P988" s="9" t="n">
        <x:f>M988*(1-0.40)-N988</x:f>
        <x:v>1.9777777777777779</x:v>
      </x:c>
      <x:c r="Q988" s="9" t="n">
        <x:f>'Physical_Arcs'!T28</x:f>
        <x:v>2.4722222222222223</x:v>
      </x:c>
      <x:c r="R988" s="9" t="n">
        <x:f>Q988*'Parameters'!$C$18</x:f>
        <x:v>0.49444444444444446</x:v>
      </x:c>
      <x:c r="S988" s="9" t="n">
        <x:f>R988*'Parameters'!$C$19</x:f>
        <x:v>0.6180555555555556</x:v>
      </x:c>
      <x:c r="T988" s="9" t="n">
        <x:f>Q988*(1-0.40)-R988</x:f>
        <x:v>0.9888888888888889</x:v>
      </x:c>
    </x:row>
    <x:row r="989" ht="21" customHeight="1">
      <x:c r="A989" s="3" t="n">
        <x:v>16</x:v>
      </x:c>
      <x:c r="B989" s="3" t="str">
        <x:v>02:40</x:v>
      </x:c>
      <x:c r="C989" s="3" t="n">
        <x:v>3</x:v>
      </x:c>
      <x:c r="D989" s="3" t="n">
        <x:v>28</x:v>
      </x:c>
      <x:c r="E989" s="3" t="n">
        <x:v>4</x:v>
      </x:c>
      <x:c r="F989" s="3" t="n">
        <x:v>6</x:v>
      </x:c>
      <x:c r="G989" s="9" t="n">
        <x:v>0.1</x:v>
      </x:c>
      <x:c r="H989" s="9" t="n">
        <x:v>1.137214</x:v>
      </x:c>
      <x:c r="I989" s="9" t="n">
        <x:f>'Physical_Arcs'!R29</x:f>
        <x:v>3.388888888888889</x:v>
      </x:c>
      <x:c r="J989" s="9" t="n">
        <x:f>I989*'Parameters'!$C$18</x:f>
        <x:v>0.6777777777777778</x:v>
      </x:c>
      <x:c r="K989" s="9" t="n">
        <x:f>J989*'Parameters'!$C$19</x:f>
        <x:v>0.8472222222222223</x:v>
      </x:c>
      <x:c r="L989" s="9" t="n">
        <x:f>I989*(1-0.40)-J989</x:f>
        <x:v>1.3555555555555554</x:v>
      </x:c>
      <x:c r="M989" s="9" t="n">
        <x:f>'Physical_Arcs'!S29</x:f>
        <x:v>3.388888888888889</x:v>
      </x:c>
      <x:c r="N989" s="9" t="n">
        <x:f>M989*'Parameters'!$C$18</x:f>
        <x:v>0.6777777777777778</x:v>
      </x:c>
      <x:c r="O989" s="9" t="n">
        <x:f>N989*'Parameters'!$C$19</x:f>
        <x:v>0.8472222222222223</x:v>
      </x:c>
      <x:c r="P989" s="9" t="n">
        <x:f>M989*(1-0.40)-N989</x:f>
        <x:v>1.3555555555555554</x:v>
      </x:c>
      <x:c r="Q989" s="9" t="n">
        <x:f>'Physical_Arcs'!T29</x:f>
        <x:v>1.6944444444444444</x:v>
      </x:c>
      <x:c r="R989" s="9" t="n">
        <x:f>Q989*'Parameters'!$C$18</x:f>
        <x:v>0.3388888888888889</x:v>
      </x:c>
      <x:c r="S989" s="9" t="n">
        <x:f>R989*'Parameters'!$C$19</x:f>
        <x:v>0.42361111111111116</x:v>
      </x:c>
      <x:c r="T989" s="9" t="n">
        <x:f>Q989*(1-0.40)-R989</x:f>
        <x:v>0.6777777777777777</x:v>
      </x:c>
    </x:row>
    <x:row r="990" ht="21" customHeight="1">
      <x:c r="A990" s="3" t="n">
        <x:v>16</x:v>
      </x:c>
      <x:c r="B990" s="3" t="str">
        <x:v>02:40</x:v>
      </x:c>
      <x:c r="C990" s="3" t="n">
        <x:v>3</x:v>
      </x:c>
      <x:c r="D990" s="3" t="n">
        <x:v>29</x:v>
      </x:c>
      <x:c r="E990" s="3" t="n">
        <x:v>5</x:v>
      </x:c>
      <x:c r="F990" s="3" t="n">
        <x:v>6</x:v>
      </x:c>
      <x:c r="G990" s="9" t="n">
        <x:v>0.1</x:v>
      </x:c>
      <x:c r="H990" s="9" t="n">
        <x:v>0.949994</x:v>
      </x:c>
      <x:c r="I990" s="9" t="n">
        <x:f>'Physical_Arcs'!R30</x:f>
        <x:v>17.02777777777778</x:v>
      </x:c>
      <x:c r="J990" s="9" t="n">
        <x:f>I990*'Parameters'!$C$18</x:f>
        <x:v>3.405555555555556</x:v>
      </x:c>
      <x:c r="K990" s="9" t="n">
        <x:f>J990*'Parameters'!$C$19</x:f>
        <x:v>4.256944444444445</x:v>
      </x:c>
      <x:c r="L990" s="9" t="n">
        <x:f>I990*(1-0.40)-J990</x:f>
        <x:v>6.811111111111111</x:v>
      </x:c>
      <x:c r="M990" s="9" t="n">
        <x:f>'Physical_Arcs'!S30</x:f>
        <x:v>17.02777777777778</x:v>
      </x:c>
      <x:c r="N990" s="9" t="n">
        <x:f>M990*'Parameters'!$C$18</x:f>
        <x:v>3.405555555555556</x:v>
      </x:c>
      <x:c r="O990" s="9" t="n">
        <x:f>N990*'Parameters'!$C$19</x:f>
        <x:v>4.256944444444445</x:v>
      </x:c>
      <x:c r="P990" s="9" t="n">
        <x:f>M990*(1-0.40)-N990</x:f>
        <x:v>6.811111111111111</x:v>
      </x:c>
      <x:c r="Q990" s="9" t="n">
        <x:f>'Physical_Arcs'!T30</x:f>
        <x:v>17.02777777777778</x:v>
      </x:c>
      <x:c r="R990" s="9" t="n">
        <x:f>Q990*'Parameters'!$C$18</x:f>
        <x:v>3.405555555555556</x:v>
      </x:c>
      <x:c r="S990" s="9" t="n">
        <x:f>R990*'Parameters'!$C$19</x:f>
        <x:v>4.256944444444445</x:v>
      </x:c>
      <x:c r="T990" s="9" t="n">
        <x:f>Q990*(1-0.40)-R990</x:f>
        <x:v>6.811111111111111</x:v>
      </x:c>
    </x:row>
    <x:row r="991" ht="21" customHeight="1">
      <x:c r="A991" s="3" t="n">
        <x:v>16</x:v>
      </x:c>
      <x:c r="B991" s="3" t="str">
        <x:v>02:40</x:v>
      </x:c>
      <x:c r="C991" s="3" t="n">
        <x:v>3</x:v>
      </x:c>
      <x:c r="D991" s="3" t="n">
        <x:v>30</x:v>
      </x:c>
      <x:c r="E991" s="3" t="n">
        <x:v>5</x:v>
      </x:c>
      <x:c r="F991" s="3" t="n">
        <x:v>2</x:v>
      </x:c>
      <x:c r="G991" s="9" t="n">
        <x:v>0.1</x:v>
      </x:c>
      <x:c r="H991" s="9" t="n">
        <x:v>0.882396</x:v>
      </x:c>
      <x:c r="I991" s="9" t="n">
        <x:f>'Physical_Arcs'!R31</x:f>
        <x:v>2.9444444444444446</x:v>
      </x:c>
      <x:c r="J991" s="9" t="n">
        <x:f>I991*'Parameters'!$C$18</x:f>
        <x:v>0.5888888888888889</x:v>
      </x:c>
      <x:c r="K991" s="9" t="n">
        <x:f>J991*'Parameters'!$C$19</x:f>
        <x:v>0.7361111111111112</x:v>
      </x:c>
      <x:c r="L991" s="9" t="n">
        <x:f>I991*(1-0.40)-J991</x:f>
        <x:v>1.177777777777778</x:v>
      </x:c>
      <x:c r="M991" s="9" t="n">
        <x:f>'Physical_Arcs'!S31</x:f>
        <x:v>2.9444444444444446</x:v>
      </x:c>
      <x:c r="N991" s="9" t="n">
        <x:f>M991*'Parameters'!$C$18</x:f>
        <x:v>0.5888888888888889</x:v>
      </x:c>
      <x:c r="O991" s="9" t="n">
        <x:f>N991*'Parameters'!$C$19</x:f>
        <x:v>0.7361111111111112</x:v>
      </x:c>
      <x:c r="P991" s="9" t="n">
        <x:f>M991*(1-0.40)-N991</x:f>
        <x:v>1.177777777777778</x:v>
      </x:c>
      <x:c r="Q991" s="9" t="n">
        <x:f>'Physical_Arcs'!T31</x:f>
        <x:v>1.4722222222222223</x:v>
      </x:c>
      <x:c r="R991" s="9" t="n">
        <x:f>Q991*'Parameters'!$C$18</x:f>
        <x:v>0.29444444444444445</x:v>
      </x:c>
      <x:c r="S991" s="9" t="n">
        <x:f>R991*'Parameters'!$C$19</x:f>
        <x:v>0.3680555555555556</x:v>
      </x:c>
      <x:c r="T991" s="9" t="n">
        <x:f>Q991*(1-0.40)-R991</x:f>
        <x:v>0.588888888888889</x:v>
      </x:c>
    </x:row>
    <x:row r="992" ht="21" customHeight="1">
      <x:c r="A992" s="3" t="n">
        <x:v>16</x:v>
      </x:c>
      <x:c r="B992" s="3" t="str">
        <x:v>02:40</x:v>
      </x:c>
      <x:c r="C992" s="3" t="n">
        <x:v>3</x:v>
      </x:c>
      <x:c r="D992" s="3" t="n">
        <x:v>31</x:v>
      </x:c>
      <x:c r="E992" s="3" t="n">
        <x:v>5</x:v>
      </x:c>
      <x:c r="F992" s="3" t="n">
        <x:v>8</x:v>
      </x:c>
      <x:c r="G992" s="9" t="n">
        <x:v>0.1</x:v>
      </x:c>
      <x:c r="H992" s="9" t="n">
        <x:v>0.986718</x:v>
      </x:c>
      <x:c r="I992" s="9" t="n">
        <x:f>'Physical_Arcs'!R32</x:f>
        <x:v>9.333333333333334</x:v>
      </x:c>
      <x:c r="J992" s="9" t="n">
        <x:f>I992*'Parameters'!$C$18</x:f>
        <x:v>1.866666666666667</x:v>
      </x:c>
      <x:c r="K992" s="9" t="n">
        <x:f>J992*'Parameters'!$C$19</x:f>
        <x:v>2.3333333333333335</x:v>
      </x:c>
      <x:c r="L992" s="9" t="n">
        <x:f>I992*(1-0.40)-J992</x:f>
        <x:v>3.7333333333333334</x:v>
      </x:c>
      <x:c r="M992" s="9" t="n">
        <x:f>'Physical_Arcs'!S32</x:f>
        <x:v>9.333333333333334</x:v>
      </x:c>
      <x:c r="N992" s="9" t="n">
        <x:f>M992*'Parameters'!$C$18</x:f>
        <x:v>1.866666666666667</x:v>
      </x:c>
      <x:c r="O992" s="9" t="n">
        <x:f>N992*'Parameters'!$C$19</x:f>
        <x:v>2.3333333333333335</x:v>
      </x:c>
      <x:c r="P992" s="9" t="n">
        <x:f>M992*(1-0.40)-N992</x:f>
        <x:v>3.7333333333333334</x:v>
      </x:c>
      <x:c r="Q992" s="9" t="n">
        <x:f>'Physical_Arcs'!T32</x:f>
        <x:v>4.666666666666667</x:v>
      </x:c>
      <x:c r="R992" s="9" t="n">
        <x:f>Q992*'Parameters'!$C$18</x:f>
        <x:v>0.9333333333333335</x:v>
      </x:c>
      <x:c r="S992" s="9" t="n">
        <x:f>R992*'Parameters'!$C$19</x:f>
        <x:v>1.1666666666666667</x:v>
      </x:c>
      <x:c r="T992" s="9" t="n">
        <x:f>Q992*(1-0.40)-R992</x:f>
        <x:v>1.8666666666666667</x:v>
      </x:c>
    </x:row>
    <x:row r="993" ht="21" customHeight="1">
      <x:c r="A993" s="3" t="n">
        <x:v>16</x:v>
      </x:c>
      <x:c r="B993" s="3" t="str">
        <x:v>02:40</x:v>
      </x:c>
      <x:c r="C993" s="3" t="n">
        <x:v>3</x:v>
      </x:c>
      <x:c r="D993" s="3" t="n">
        <x:v>32</x:v>
      </x:c>
      <x:c r="E993" s="3" t="n">
        <x:v>5</x:v>
      </x:c>
      <x:c r="F993" s="3" t="n">
        <x:v>3</x:v>
      </x:c>
      <x:c r="G993" s="9" t="n">
        <x:v>0.1</x:v>
      </x:c>
      <x:c r="H993" s="9" t="n">
        <x:v>1.089544</x:v>
      </x:c>
      <x:c r="I993" s="9" t="n">
        <x:f>'Physical_Arcs'!R33</x:f>
        <x:v>11.13888888888889</x:v>
      </x:c>
      <x:c r="J993" s="9" t="n">
        <x:f>I993*'Parameters'!$C$18</x:f>
        <x:v>2.227777777777778</x:v>
      </x:c>
      <x:c r="K993" s="9" t="n">
        <x:f>J993*'Parameters'!$C$19</x:f>
        <x:v>2.7847222222222223</x:v>
      </x:c>
      <x:c r="L993" s="9" t="n">
        <x:f>I993*(1-0.40)-J993</x:f>
        <x:v>4.455555555555556</x:v>
      </x:c>
      <x:c r="M993" s="9" t="n">
        <x:f>'Physical_Arcs'!S33</x:f>
        <x:v>11.13888888888889</x:v>
      </x:c>
      <x:c r="N993" s="9" t="n">
        <x:f>M993*'Parameters'!$C$18</x:f>
        <x:v>2.227777777777778</x:v>
      </x:c>
      <x:c r="O993" s="9" t="n">
        <x:f>N993*'Parameters'!$C$19</x:f>
        <x:v>2.7847222222222223</x:v>
      </x:c>
      <x:c r="P993" s="9" t="n">
        <x:f>M993*(1-0.40)-N993</x:f>
        <x:v>4.455555555555556</x:v>
      </x:c>
      <x:c r="Q993" s="9" t="n">
        <x:f>'Physical_Arcs'!T33</x:f>
        <x:v>5.583333333333333</x:v>
      </x:c>
      <x:c r="R993" s="9" t="n">
        <x:f>Q993*'Parameters'!$C$18</x:f>
        <x:v>1.1166666666666667</x:v>
      </x:c>
      <x:c r="S993" s="9" t="n">
        <x:f>R993*'Parameters'!$C$19</x:f>
        <x:v>1.3958333333333335</x:v>
      </x:c>
      <x:c r="T993" s="9" t="n">
        <x:f>Q993*(1-0.40)-R993</x:f>
        <x:v>2.233333333333333</x:v>
      </x:c>
    </x:row>
    <x:row r="994" ht="21" customHeight="1">
      <x:c r="A994" s="3" t="n">
        <x:v>16</x:v>
      </x:c>
      <x:c r="B994" s="3" t="str">
        <x:v>02:40</x:v>
      </x:c>
      <x:c r="C994" s="3" t="n">
        <x:v>3</x:v>
      </x:c>
      <x:c r="D994" s="3" t="n">
        <x:v>33</x:v>
      </x:c>
      <x:c r="E994" s="3" t="n">
        <x:v>5</x:v>
      </x:c>
      <x:c r="F994" s="3" t="n">
        <x:v>10</x:v>
      </x:c>
      <x:c r="G994" s="9" t="n">
        <x:v>0.1</x:v>
      </x:c>
      <x:c r="H994" s="9" t="n">
        <x:v>1.103596</x:v>
      </x:c>
      <x:c r="I994" s="9" t="n">
        <x:f>'Physical_Arcs'!R34</x:f>
        <x:v>4.611111111111111</x:v>
      </x:c>
      <x:c r="J994" s="9" t="n">
        <x:f>I994*'Parameters'!$C$18</x:f>
        <x:v>0.9222222222222222</x:v>
      </x:c>
      <x:c r="K994" s="9" t="n">
        <x:f>J994*'Parameters'!$C$19</x:f>
        <x:v>1.1527777777777777</x:v>
      </x:c>
      <x:c r="L994" s="9" t="n">
        <x:f>I994*(1-0.40)-J994</x:f>
        <x:v>1.844444444444444</x:v>
      </x:c>
      <x:c r="M994" s="9" t="n">
        <x:f>'Physical_Arcs'!S34</x:f>
        <x:v>4.611111111111111</x:v>
      </x:c>
      <x:c r="N994" s="9" t="n">
        <x:f>M994*'Parameters'!$C$18</x:f>
        <x:v>0.9222222222222222</x:v>
      </x:c>
      <x:c r="O994" s="9" t="n">
        <x:f>N994*'Parameters'!$C$19</x:f>
        <x:v>1.1527777777777777</x:v>
      </x:c>
      <x:c r="P994" s="9" t="n">
        <x:f>M994*(1-0.40)-N994</x:f>
        <x:v>1.844444444444444</x:v>
      </x:c>
      <x:c r="Q994" s="9" t="n">
        <x:f>'Physical_Arcs'!T34</x:f>
        <x:v>2.3055555555555554</x:v>
      </x:c>
      <x:c r="R994" s="9" t="n">
        <x:f>Q994*'Parameters'!$C$18</x:f>
        <x:v>0.4611111111111111</x:v>
      </x:c>
      <x:c r="S994" s="9" t="n">
        <x:f>R994*'Parameters'!$C$19</x:f>
        <x:v>0.5763888888888888</x:v>
      </x:c>
      <x:c r="T994" s="9" t="n">
        <x:f>Q994*(1-0.40)-R994</x:f>
        <x:v>0.922222222222222</x:v>
      </x:c>
    </x:row>
    <x:row r="995" ht="21" customHeight="1">
      <x:c r="A995" s="3" t="n">
        <x:v>16</x:v>
      </x:c>
      <x:c r="B995" s="3" t="str">
        <x:v>02:40</x:v>
      </x:c>
      <x:c r="C995" s="3" t="n">
        <x:v>3</x:v>
      </x:c>
      <x:c r="D995" s="3" t="n">
        <x:v>34</x:v>
      </x:c>
      <x:c r="E995" s="3" t="n">
        <x:v>6</x:v>
      </x:c>
      <x:c r="F995" s="3" t="n">
        <x:v>7</x:v>
      </x:c>
      <x:c r="G995" s="9" t="n">
        <x:v>0.1</x:v>
      </x:c>
      <x:c r="H995" s="9" t="n">
        <x:v>0.973887</x:v>
      </x:c>
      <x:c r="I995" s="9" t="n">
        <x:f>'Physical_Arcs'!R35</x:f>
        <x:v>17.02777777777778</x:v>
      </x:c>
      <x:c r="J995" s="9" t="n">
        <x:f>I995*'Parameters'!$C$18</x:f>
        <x:v>3.405555555555556</x:v>
      </x:c>
      <x:c r="K995" s="9" t="n">
        <x:f>J995*'Parameters'!$C$19</x:f>
        <x:v>4.256944444444445</x:v>
      </x:c>
      <x:c r="L995" s="9" t="n">
        <x:f>I995*(1-0.40)-J995</x:f>
        <x:v>6.811111111111111</x:v>
      </x:c>
      <x:c r="M995" s="9" t="n">
        <x:f>'Physical_Arcs'!S35</x:f>
        <x:v>17.02777777777778</x:v>
      </x:c>
      <x:c r="N995" s="9" t="n">
        <x:f>M995*'Parameters'!$C$18</x:f>
        <x:v>3.405555555555556</x:v>
      </x:c>
      <x:c r="O995" s="9" t="n">
        <x:f>N995*'Parameters'!$C$19</x:f>
        <x:v>4.256944444444445</x:v>
      </x:c>
      <x:c r="P995" s="9" t="n">
        <x:f>M995*(1-0.40)-N995</x:f>
        <x:v>6.811111111111111</x:v>
      </x:c>
      <x:c r="Q995" s="9" t="n">
        <x:f>'Physical_Arcs'!T35</x:f>
        <x:v>17.02777777777778</x:v>
      </x:c>
      <x:c r="R995" s="9" t="n">
        <x:f>Q995*'Parameters'!$C$18</x:f>
        <x:v>3.405555555555556</x:v>
      </x:c>
      <x:c r="S995" s="9" t="n">
        <x:f>R995*'Parameters'!$C$19</x:f>
        <x:v>4.256944444444445</x:v>
      </x:c>
      <x:c r="T995" s="9" t="n">
        <x:f>Q995*(1-0.40)-R995</x:f>
        <x:v>6.811111111111111</x:v>
      </x:c>
    </x:row>
    <x:row r="996" ht="21" customHeight="1">
      <x:c r="A996" s="3" t="n">
        <x:v>16</x:v>
      </x:c>
      <x:c r="B996" s="3" t="str">
        <x:v>02:40</x:v>
      </x:c>
      <x:c r="C996" s="3" t="n">
        <x:v>3</x:v>
      </x:c>
      <x:c r="D996" s="3" t="n">
        <x:v>35</x:v>
      </x:c>
      <x:c r="E996" s="3" t="n">
        <x:v>6</x:v>
      </x:c>
      <x:c r="F996" s="3" t="n">
        <x:v>10</x:v>
      </x:c>
      <x:c r="G996" s="9" t="n">
        <x:v>0.1</x:v>
      </x:c>
      <x:c r="H996" s="9" t="n">
        <x:v>1.009062</x:v>
      </x:c>
      <x:c r="I996" s="9" t="n">
        <x:f>'Physical_Arcs'!R36</x:f>
        <x:v>4.055555555555555</x:v>
      </x:c>
      <x:c r="J996" s="9" t="n">
        <x:f>I996*'Parameters'!$C$18</x:f>
        <x:v>0.8111111111111111</x:v>
      </x:c>
      <x:c r="K996" s="9" t="n">
        <x:f>J996*'Parameters'!$C$19</x:f>
        <x:v>1.0138888888888888</x:v>
      </x:c>
      <x:c r="L996" s="9" t="n">
        <x:f>I996*(1-0.40)-J996</x:f>
        <x:v>1.622222222222222</x:v>
      </x:c>
      <x:c r="M996" s="9" t="n">
        <x:f>'Physical_Arcs'!S36</x:f>
        <x:v>4.055555555555555</x:v>
      </x:c>
      <x:c r="N996" s="9" t="n">
        <x:f>M996*'Parameters'!$C$18</x:f>
        <x:v>0.8111111111111111</x:v>
      </x:c>
      <x:c r="O996" s="9" t="n">
        <x:f>N996*'Parameters'!$C$19</x:f>
        <x:v>1.0138888888888888</x:v>
      </x:c>
      <x:c r="P996" s="9" t="n">
        <x:f>M996*(1-0.40)-N996</x:f>
        <x:v>1.622222222222222</x:v>
      </x:c>
      <x:c r="Q996" s="9" t="n">
        <x:f>'Physical_Arcs'!T36</x:f>
        <x:v>2.0277777777777777</x:v>
      </x:c>
      <x:c r="R996" s="9" t="n">
        <x:f>Q996*'Parameters'!$C$18</x:f>
        <x:v>0.40555555555555556</x:v>
      </x:c>
      <x:c r="S996" s="9" t="n">
        <x:f>R996*'Parameters'!$C$19</x:f>
        <x:v>0.5069444444444444</x:v>
      </x:c>
      <x:c r="T996" s="9" t="n">
        <x:f>Q996*(1-0.40)-R996</x:f>
        <x:v>0.811111111111111</x:v>
      </x:c>
    </x:row>
    <x:row r="997" ht="21" customHeight="1">
      <x:c r="A997" s="3" t="n">
        <x:v>16</x:v>
      </x:c>
      <x:c r="B997" s="3" t="str">
        <x:v>02:40</x:v>
      </x:c>
      <x:c r="C997" s="3" t="n">
        <x:v>3</x:v>
      </x:c>
      <x:c r="D997" s="3" t="n">
        <x:v>36</x:v>
      </x:c>
      <x:c r="E997" s="3" t="n">
        <x:v>6</x:v>
      </x:c>
      <x:c r="F997" s="3" t="n">
        <x:v>8</x:v>
      </x:c>
      <x:c r="G997" s="9" t="n">
        <x:v>0.1</x:v>
      </x:c>
      <x:c r="H997" s="9" t="n">
        <x:v>1.132129</x:v>
      </x:c>
      <x:c r="I997" s="9" t="n">
        <x:f>'Physical_Arcs'!R37</x:f>
        <x:v>6.972222222222222</x:v>
      </x:c>
      <x:c r="J997" s="9" t="n">
        <x:f>I997*'Parameters'!$C$18</x:f>
        <x:v>1.3944444444444446</x:v>
      </x:c>
      <x:c r="K997" s="9" t="n">
        <x:f>J997*'Parameters'!$C$19</x:f>
        <x:v>1.7430555555555558</x:v>
      </x:c>
      <x:c r="L997" s="9" t="n">
        <x:f>I997*(1-0.40)-J997</x:f>
        <x:v>2.7888888888888888</x:v>
      </x:c>
      <x:c r="M997" s="9" t="n">
        <x:f>'Physical_Arcs'!S37</x:f>
        <x:v>6.972222222222222</x:v>
      </x:c>
      <x:c r="N997" s="9" t="n">
        <x:f>M997*'Parameters'!$C$18</x:f>
        <x:v>1.3944444444444446</x:v>
      </x:c>
      <x:c r="O997" s="9" t="n">
        <x:f>N997*'Parameters'!$C$19</x:f>
        <x:v>1.7430555555555558</x:v>
      </x:c>
      <x:c r="P997" s="9" t="n">
        <x:f>M997*(1-0.40)-N997</x:f>
        <x:v>2.7888888888888888</x:v>
      </x:c>
      <x:c r="Q997" s="9" t="n">
        <x:f>'Physical_Arcs'!T37</x:f>
        <x:v>3.5</x:v>
      </x:c>
      <x:c r="R997" s="9" t="n">
        <x:f>Q997*'Parameters'!$C$18</x:f>
        <x:v>0.7000000000000001</x:v>
      </x:c>
      <x:c r="S997" s="9" t="n">
        <x:f>R997*'Parameters'!$C$19</x:f>
        <x:v>0.8750000000000001</x:v>
      </x:c>
      <x:c r="T997" s="9" t="n">
        <x:f>Q997*(1-0.40)-R997</x:f>
        <x:v>1.4</x:v>
      </x:c>
    </x:row>
    <x:row r="998" ht="21" customHeight="1">
      <x:c r="A998" s="3" t="n">
        <x:v>16</x:v>
      </x:c>
      <x:c r="B998" s="3" t="str">
        <x:v>02:40</x:v>
      </x:c>
      <x:c r="C998" s="3" t="n">
        <x:v>3</x:v>
      </x:c>
      <x:c r="D998" s="3" t="n">
        <x:v>37</x:v>
      </x:c>
      <x:c r="E998" s="3" t="n">
        <x:v>6</x:v>
      </x:c>
      <x:c r="F998" s="3" t="n">
        <x:v>1</x:v>
      </x:c>
      <x:c r="G998" s="9" t="n">
        <x:v>0.1</x:v>
      </x:c>
      <x:c r="H998" s="9" t="n">
        <x:v>1.020746</x:v>
      </x:c>
      <x:c r="I998" s="9" t="n">
        <x:f>'Physical_Arcs'!R38</x:f>
        <x:v>6.305555555555555</x:v>
      </x:c>
      <x:c r="J998" s="9" t="n">
        <x:f>I998*'Parameters'!$C$18</x:f>
        <x:v>1.261111111111111</x:v>
      </x:c>
      <x:c r="K998" s="9" t="n">
        <x:f>J998*'Parameters'!$C$19</x:f>
        <x:v>1.5763888888888888</x:v>
      </x:c>
      <x:c r="L998" s="9" t="n">
        <x:f>I998*(1-0.40)-J998</x:f>
        <x:v>2.522222222222222</x:v>
      </x:c>
      <x:c r="M998" s="9" t="n">
        <x:f>'Physical_Arcs'!S38</x:f>
        <x:v>6.305555555555555</x:v>
      </x:c>
      <x:c r="N998" s="9" t="n">
        <x:f>M998*'Parameters'!$C$18</x:f>
        <x:v>1.261111111111111</x:v>
      </x:c>
      <x:c r="O998" s="9" t="n">
        <x:f>N998*'Parameters'!$C$19</x:f>
        <x:v>1.5763888888888888</x:v>
      </x:c>
      <x:c r="P998" s="9" t="n">
        <x:f>M998*(1-0.40)-N998</x:f>
        <x:v>2.522222222222222</x:v>
      </x:c>
      <x:c r="Q998" s="9" t="n">
        <x:f>'Physical_Arcs'!T38</x:f>
        <x:v>3.1666666666666665</x:v>
      </x:c>
      <x:c r="R998" s="9" t="n">
        <x:f>Q998*'Parameters'!$C$18</x:f>
        <x:v>0.6333333333333333</x:v>
      </x:c>
      <x:c r="S998" s="9" t="n">
        <x:f>R998*'Parameters'!$C$19</x:f>
        <x:v>0.7916666666666666</x:v>
      </x:c>
      <x:c r="T998" s="9" t="n">
        <x:f>Q998*(1-0.40)-R998</x:f>
        <x:v>1.2666666666666666</x:v>
      </x:c>
    </x:row>
    <x:row r="999" ht="21" customHeight="1">
      <x:c r="A999" s="3" t="n">
        <x:v>16</x:v>
      </x:c>
      <x:c r="B999" s="3" t="str">
        <x:v>02:40</x:v>
      </x:c>
      <x:c r="C999" s="3" t="n">
        <x:v>3</x:v>
      </x:c>
      <x:c r="D999" s="3" t="n">
        <x:v>38</x:v>
      </x:c>
      <x:c r="E999" s="3" t="n">
        <x:v>6</x:v>
      </x:c>
      <x:c r="F999" s="3" t="n">
        <x:v>3</x:v>
      </x:c>
      <x:c r="G999" s="9" t="n">
        <x:v>0.1</x:v>
      </x:c>
      <x:c r="H999" s="9" t="n">
        <x:v>1.149081</x:v>
      </x:c>
      <x:c r="I999" s="9" t="n">
        <x:f>'Physical_Arcs'!R39</x:f>
        <x:v>1.9166666666666667</x:v>
      </x:c>
      <x:c r="J999" s="9" t="n">
        <x:f>I999*'Parameters'!$C$18</x:f>
        <x:v>0.38333333333333336</x:v>
      </x:c>
      <x:c r="K999" s="9" t="n">
        <x:f>J999*'Parameters'!$C$19</x:f>
        <x:v>0.4791666666666667</x:v>
      </x:c>
      <x:c r="L999" s="9" t="n">
        <x:f>I999*(1-0.40)-J999</x:f>
        <x:v>0.7666666666666666</x:v>
      </x:c>
      <x:c r="M999" s="9" t="n">
        <x:f>'Physical_Arcs'!S39</x:f>
        <x:v>1.9166666666666667</x:v>
      </x:c>
      <x:c r="N999" s="9" t="n">
        <x:f>M999*'Parameters'!$C$18</x:f>
        <x:v>0.38333333333333336</x:v>
      </x:c>
      <x:c r="O999" s="9" t="n">
        <x:f>N999*'Parameters'!$C$19</x:f>
        <x:v>0.4791666666666667</x:v>
      </x:c>
      <x:c r="P999" s="9" t="n">
        <x:f>M999*(1-0.40)-N999</x:f>
        <x:v>0.7666666666666666</x:v>
      </x:c>
      <x:c r="Q999" s="9" t="n">
        <x:f>'Physical_Arcs'!T39</x:f>
        <x:v>0.9722222222222222</x:v>
      </x:c>
      <x:c r="R999" s="9" t="n">
        <x:f>Q999*'Parameters'!$C$18</x:f>
        <x:v>0.19444444444444445</x:v>
      </x:c>
      <x:c r="S999" s="9" t="n">
        <x:f>R999*'Parameters'!$C$19</x:f>
        <x:v>0.24305555555555555</x:v>
      </x:c>
      <x:c r="T999" s="9" t="n">
        <x:f>Q999*(1-0.40)-R999</x:f>
        <x:v>0.38888888888888884</x:v>
      </x:c>
    </x:row>
    <x:row r="1000" ht="21" customHeight="1">
      <x:c r="A1000" s="3" t="n">
        <x:v>16</x:v>
      </x:c>
      <x:c r="B1000" s="3" t="str">
        <x:v>02:40</x:v>
      </x:c>
      <x:c r="C1000" s="3" t="n">
        <x:v>3</x:v>
      </x:c>
      <x:c r="D1000" s="3" t="n">
        <x:v>39</x:v>
      </x:c>
      <x:c r="E1000" s="3" t="n">
        <x:v>7</x:v>
      </x:c>
      <x:c r="F1000" s="3" t="n">
        <x:v>8</x:v>
      </x:c>
      <x:c r="G1000" s="9" t="n">
        <x:v>0.1</x:v>
      </x:c>
      <x:c r="H1000" s="9" t="n">
        <x:v>1.003268</x:v>
      </x:c>
      <x:c r="I1000" s="9" t="n">
        <x:f>'Physical_Arcs'!R40</x:f>
        <x:v>17.02777777777778</x:v>
      </x:c>
      <x:c r="J1000" s="9" t="n">
        <x:f>I1000*'Parameters'!$C$18</x:f>
        <x:v>3.405555555555556</x:v>
      </x:c>
      <x:c r="K1000" s="9" t="n">
        <x:f>J1000*'Parameters'!$C$19</x:f>
        <x:v>4.256944444444445</x:v>
      </x:c>
      <x:c r="L1000" s="9" t="n">
        <x:f>I1000*(1-0.40)-J1000</x:f>
        <x:v>6.811111111111111</x:v>
      </x:c>
      <x:c r="M1000" s="9" t="n">
        <x:f>'Physical_Arcs'!S40</x:f>
        <x:v>17.02777777777778</x:v>
      </x:c>
      <x:c r="N1000" s="9" t="n">
        <x:f>M1000*'Parameters'!$C$18</x:f>
        <x:v>3.405555555555556</x:v>
      </x:c>
      <x:c r="O1000" s="9" t="n">
        <x:f>N1000*'Parameters'!$C$19</x:f>
        <x:v>4.256944444444445</x:v>
      </x:c>
      <x:c r="P1000" s="9" t="n">
        <x:f>M1000*(1-0.40)-N1000</x:f>
        <x:v>6.811111111111111</x:v>
      </x:c>
      <x:c r="Q1000" s="9" t="n">
        <x:f>'Physical_Arcs'!T40</x:f>
        <x:v>17.02777777777778</x:v>
      </x:c>
      <x:c r="R1000" s="9" t="n">
        <x:f>Q1000*'Parameters'!$C$18</x:f>
        <x:v>3.405555555555556</x:v>
      </x:c>
      <x:c r="S1000" s="9" t="n">
        <x:f>R1000*'Parameters'!$C$19</x:f>
        <x:v>4.256944444444445</x:v>
      </x:c>
      <x:c r="T1000" s="9" t="n">
        <x:f>Q1000*(1-0.40)-R1000</x:f>
        <x:v>6.811111111111111</x:v>
      </x:c>
    </x:row>
    <x:row r="1001" ht="21" customHeight="1">
      <x:c r="A1001" s="3" t="n">
        <x:v>16</x:v>
      </x:c>
      <x:c r="B1001" s="3" t="str">
        <x:v>02:40</x:v>
      </x:c>
      <x:c r="C1001" s="3" t="n">
        <x:v>3</x:v>
      </x:c>
      <x:c r="D1001" s="3" t="n">
        <x:v>40</x:v>
      </x:c>
      <x:c r="E1001" s="3" t="n">
        <x:v>7</x:v>
      </x:c>
      <x:c r="F1001" s="3" t="n">
        <x:v>1</x:v>
      </x:c>
      <x:c r="G1001" s="9" t="n">
        <x:v>0.1</x:v>
      </x:c>
      <x:c r="H1001" s="9" t="n">
        <x:v>1.057592</x:v>
      </x:c>
      <x:c r="I1001" s="9" t="n">
        <x:f>'Physical_Arcs'!R41</x:f>
        <x:v>7.972222222222222</x:v>
      </x:c>
      <x:c r="J1001" s="9" t="n">
        <x:f>I1001*'Parameters'!$C$18</x:f>
        <x:v>1.5944444444444446</x:v>
      </x:c>
      <x:c r="K1001" s="9" t="n">
        <x:f>J1001*'Parameters'!$C$19</x:f>
        <x:v>1.9930555555555558</x:v>
      </x:c>
      <x:c r="L1001" s="9" t="n">
        <x:f>I1001*(1-0.40)-J1001</x:f>
        <x:v>3.1888888888888887</x:v>
      </x:c>
      <x:c r="M1001" s="9" t="n">
        <x:f>'Physical_Arcs'!S41</x:f>
        <x:v>7.972222222222222</x:v>
      </x:c>
      <x:c r="N1001" s="9" t="n">
        <x:f>M1001*'Parameters'!$C$18</x:f>
        <x:v>1.5944444444444446</x:v>
      </x:c>
      <x:c r="O1001" s="9" t="n">
        <x:f>N1001*'Parameters'!$C$19</x:f>
        <x:v>1.9930555555555558</x:v>
      </x:c>
      <x:c r="P1001" s="9" t="n">
        <x:f>M1001*(1-0.40)-N1001</x:f>
        <x:v>3.1888888888888887</x:v>
      </x:c>
      <x:c r="Q1001" s="9" t="n">
        <x:f>'Physical_Arcs'!T41</x:f>
        <x:v>4</x:v>
      </x:c>
      <x:c r="R1001" s="9" t="n">
        <x:f>Q1001*'Parameters'!$C$18</x:f>
        <x:v>0.8</x:v>
      </x:c>
      <x:c r="S1001" s="9" t="n">
        <x:f>R1001*'Parameters'!$C$19</x:f>
        <x:v>1</x:v>
      </x:c>
      <x:c r="T1001" s="9" t="n">
        <x:f>Q1001*(1-0.40)-R1001</x:f>
        <x:v>1.5999999999999999</x:v>
      </x:c>
    </x:row>
    <x:row r="1002" ht="21" customHeight="1">
      <x:c r="A1002" s="3" t="n">
        <x:v>16</x:v>
      </x:c>
      <x:c r="B1002" s="3" t="str">
        <x:v>02:40</x:v>
      </x:c>
      <x:c r="C1002" s="3" t="n">
        <x:v>3</x:v>
      </x:c>
      <x:c r="D1002" s="3" t="n">
        <x:v>41</x:v>
      </x:c>
      <x:c r="E1002" s="3" t="n">
        <x:v>7</x:v>
      </x:c>
      <x:c r="F1002" s="3" t="n">
        <x:v>9</x:v>
      </x:c>
      <x:c r="G1002" s="9" t="n">
        <x:v>0.1</x:v>
      </x:c>
      <x:c r="H1002" s="9" t="n">
        <x:v>1.14801</x:v>
      </x:c>
      <x:c r="I1002" s="9" t="n">
        <x:f>'Physical_Arcs'!R42</x:f>
        <x:v>8.88888888888889</x:v>
      </x:c>
      <x:c r="J1002" s="9" t="n">
        <x:f>I1002*'Parameters'!$C$18</x:f>
        <x:v>1.777777777777778</x:v>
      </x:c>
      <x:c r="K1002" s="9" t="n">
        <x:f>J1002*'Parameters'!$C$19</x:f>
        <x:v>2.2222222222222223</x:v>
      </x:c>
      <x:c r="L1002" s="9" t="n">
        <x:f>I1002*(1-0.40)-J1002</x:f>
        <x:v>3.5555555555555554</x:v>
      </x:c>
      <x:c r="M1002" s="9" t="n">
        <x:f>'Physical_Arcs'!S42</x:f>
        <x:v>8.88888888888889</x:v>
      </x:c>
      <x:c r="N1002" s="9" t="n">
        <x:f>M1002*'Parameters'!$C$18</x:f>
        <x:v>1.777777777777778</x:v>
      </x:c>
      <x:c r="O1002" s="9" t="n">
        <x:f>N1002*'Parameters'!$C$19</x:f>
        <x:v>2.2222222222222223</x:v>
      </x:c>
      <x:c r="P1002" s="9" t="n">
        <x:f>M1002*(1-0.40)-N1002</x:f>
        <x:v>3.5555555555555554</x:v>
      </x:c>
      <x:c r="Q1002" s="9" t="n">
        <x:f>'Physical_Arcs'!T42</x:f>
        <x:v>4.444444444444445</x:v>
      </x:c>
      <x:c r="R1002" s="9" t="n">
        <x:f>Q1002*'Parameters'!$C$18</x:f>
        <x:v>0.888888888888889</x:v>
      </x:c>
      <x:c r="S1002" s="9" t="n">
        <x:f>R1002*'Parameters'!$C$19</x:f>
        <x:v>1.1111111111111112</x:v>
      </x:c>
      <x:c r="T1002" s="9" t="n">
        <x:f>Q1002*(1-0.40)-R1002</x:f>
        <x:v>1.7777777777777777</x:v>
      </x:c>
    </x:row>
    <x:row r="1003" ht="21" customHeight="1">
      <x:c r="A1003" s="3" t="n">
        <x:v>16</x:v>
      </x:c>
      <x:c r="B1003" s="3" t="str">
        <x:v>02:40</x:v>
      </x:c>
      <x:c r="C1003" s="3" t="n">
        <x:v>3</x:v>
      </x:c>
      <x:c r="D1003" s="3" t="n">
        <x:v>42</x:v>
      </x:c>
      <x:c r="E1003" s="3" t="n">
        <x:v>7</x:v>
      </x:c>
      <x:c r="F1003" s="3" t="n">
        <x:v>2</x:v>
      </x:c>
      <x:c r="G1003" s="9" t="n">
        <x:v>0.1</x:v>
      </x:c>
      <x:c r="H1003" s="9" t="n">
        <x:v>0.989237</x:v>
      </x:c>
      <x:c r="I1003" s="9" t="n">
        <x:f>'Physical_Arcs'!R43</x:f>
        <x:v>9</x:v>
      </x:c>
      <x:c r="J1003" s="9" t="n">
        <x:f>I1003*'Parameters'!$C$18</x:f>
        <x:v>1.8</x:v>
      </x:c>
      <x:c r="K1003" s="9" t="n">
        <x:f>J1003*'Parameters'!$C$19</x:f>
        <x:v>2.25</x:v>
      </x:c>
      <x:c r="L1003" s="9" t="n">
        <x:f>I1003*(1-0.40)-J1003</x:f>
        <x:v>3.5999999999999996</x:v>
      </x:c>
      <x:c r="M1003" s="9" t="n">
        <x:f>'Physical_Arcs'!S43</x:f>
        <x:v>9</x:v>
      </x:c>
      <x:c r="N1003" s="9" t="n">
        <x:f>M1003*'Parameters'!$C$18</x:f>
        <x:v>1.8</x:v>
      </x:c>
      <x:c r="O1003" s="9" t="n">
        <x:f>N1003*'Parameters'!$C$19</x:f>
        <x:v>2.25</x:v>
      </x:c>
      <x:c r="P1003" s="9" t="n">
        <x:f>M1003*(1-0.40)-N1003</x:f>
        <x:v>3.5999999999999996</x:v>
      </x:c>
      <x:c r="Q1003" s="9" t="n">
        <x:f>'Physical_Arcs'!T43</x:f>
        <x:v>4.5</x:v>
      </x:c>
      <x:c r="R1003" s="9" t="n">
        <x:f>Q1003*'Parameters'!$C$18</x:f>
        <x:v>0.9</x:v>
      </x:c>
      <x:c r="S1003" s="9" t="n">
        <x:f>R1003*'Parameters'!$C$19</x:f>
        <x:v>1.125</x:v>
      </x:c>
      <x:c r="T1003" s="9" t="n">
        <x:f>Q1003*(1-0.40)-R1003</x:f>
        <x:v>1.7999999999999998</x:v>
      </x:c>
    </x:row>
    <x:row r="1004" ht="21" customHeight="1">
      <x:c r="A1004" s="3" t="n">
        <x:v>16</x:v>
      </x:c>
      <x:c r="B1004" s="3" t="str">
        <x:v>02:40</x:v>
      </x:c>
      <x:c r="C1004" s="3" t="n">
        <x:v>3</x:v>
      </x:c>
      <x:c r="D1004" s="3" t="n">
        <x:v>43</x:v>
      </x:c>
      <x:c r="E1004" s="3" t="n">
        <x:v>7</x:v>
      </x:c>
      <x:c r="F1004" s="3" t="n">
        <x:v>3</x:v>
      </x:c>
      <x:c r="G1004" s="9" t="n">
        <x:v>0.1</x:v>
      </x:c>
      <x:c r="H1004" s="9" t="n">
        <x:v>1.050432</x:v>
      </x:c>
      <x:c r="I1004" s="9" t="n">
        <x:f>'Physical_Arcs'!R44</x:f>
        <x:v>7.638888888888889</x:v>
      </x:c>
      <x:c r="J1004" s="9" t="n">
        <x:f>I1004*'Parameters'!$C$18</x:f>
        <x:v>1.527777777777778</x:v>
      </x:c>
      <x:c r="K1004" s="9" t="n">
        <x:f>J1004*'Parameters'!$C$19</x:f>
        <x:v>1.9097222222222223</x:v>
      </x:c>
      <x:c r="L1004" s="9" t="n">
        <x:f>I1004*(1-0.40)-J1004</x:f>
        <x:v>3.0555555555555554</x:v>
      </x:c>
      <x:c r="M1004" s="9" t="n">
        <x:f>'Physical_Arcs'!S44</x:f>
        <x:v>7.638888888888889</x:v>
      </x:c>
      <x:c r="N1004" s="9" t="n">
        <x:f>M1004*'Parameters'!$C$18</x:f>
        <x:v>1.527777777777778</x:v>
      </x:c>
      <x:c r="O1004" s="9" t="n">
        <x:f>N1004*'Parameters'!$C$19</x:f>
        <x:v>1.9097222222222223</x:v>
      </x:c>
      <x:c r="P1004" s="9" t="n">
        <x:f>M1004*(1-0.40)-N1004</x:f>
        <x:v>3.0555555555555554</x:v>
      </x:c>
      <x:c r="Q1004" s="9" t="n">
        <x:f>'Physical_Arcs'!T44</x:f>
        <x:v>3.8333333333333335</x:v>
      </x:c>
      <x:c r="R1004" s="9" t="n">
        <x:f>Q1004*'Parameters'!$C$18</x:f>
        <x:v>0.7666666666666667</x:v>
      </x:c>
      <x:c r="S1004" s="9" t="n">
        <x:f>R1004*'Parameters'!$C$19</x:f>
        <x:v>0.9583333333333334</x:v>
      </x:c>
      <x:c r="T1004" s="9" t="n">
        <x:f>Q1004*(1-0.40)-R1004</x:f>
        <x:v>1.5333333333333332</x:v>
      </x:c>
    </x:row>
    <x:row r="1005" ht="21" customHeight="1">
      <x:c r="A1005" s="3" t="n">
        <x:v>16</x:v>
      </x:c>
      <x:c r="B1005" s="3" t="str">
        <x:v>02:40</x:v>
      </x:c>
      <x:c r="C1005" s="3" t="n">
        <x:v>3</x:v>
      </x:c>
      <x:c r="D1005" s="3" t="n">
        <x:v>44</x:v>
      </x:c>
      <x:c r="E1005" s="3" t="n">
        <x:v>8</x:v>
      </x:c>
      <x:c r="F1005" s="3" t="n">
        <x:v>9</x:v>
      </x:c>
      <x:c r="G1005" s="9" t="n">
        <x:v>0.1</x:v>
      </x:c>
      <x:c r="H1005" s="9" t="n">
        <x:v>0.868101</x:v>
      </x:c>
      <x:c r="I1005" s="9" t="n">
        <x:f>'Physical_Arcs'!R45</x:f>
        <x:v>17.02777777777778</x:v>
      </x:c>
      <x:c r="J1005" s="9" t="n">
        <x:f>I1005*'Parameters'!$C$18</x:f>
        <x:v>3.405555555555556</x:v>
      </x:c>
      <x:c r="K1005" s="9" t="n">
        <x:f>J1005*'Parameters'!$C$19</x:f>
        <x:v>4.256944444444445</x:v>
      </x:c>
      <x:c r="L1005" s="9" t="n">
        <x:f>I1005*(1-0.40)-J1005</x:f>
        <x:v>6.811111111111111</x:v>
      </x:c>
      <x:c r="M1005" s="9" t="n">
        <x:f>'Physical_Arcs'!S45</x:f>
        <x:v>17.02777777777778</x:v>
      </x:c>
      <x:c r="N1005" s="9" t="n">
        <x:f>M1005*'Parameters'!$C$18</x:f>
        <x:v>3.405555555555556</x:v>
      </x:c>
      <x:c r="O1005" s="9" t="n">
        <x:f>N1005*'Parameters'!$C$19</x:f>
        <x:v>4.256944444444445</x:v>
      </x:c>
      <x:c r="P1005" s="9" t="n">
        <x:f>M1005*(1-0.40)-N1005</x:f>
        <x:v>6.811111111111111</x:v>
      </x:c>
      <x:c r="Q1005" s="9" t="n">
        <x:f>'Physical_Arcs'!T45</x:f>
        <x:v>17.02777777777778</x:v>
      </x:c>
      <x:c r="R1005" s="9" t="n">
        <x:f>Q1005*'Parameters'!$C$18</x:f>
        <x:v>3.405555555555556</x:v>
      </x:c>
      <x:c r="S1005" s="9" t="n">
        <x:f>R1005*'Parameters'!$C$19</x:f>
        <x:v>4.256944444444445</x:v>
      </x:c>
      <x:c r="T1005" s="9" t="n">
        <x:f>Q1005*(1-0.40)-R1005</x:f>
        <x:v>6.811111111111111</x:v>
      </x:c>
    </x:row>
    <x:row r="1006" ht="21" customHeight="1">
      <x:c r="A1006" s="3" t="n">
        <x:v>16</x:v>
      </x:c>
      <x:c r="B1006" s="3" t="str">
        <x:v>02:40</x:v>
      </x:c>
      <x:c r="C1006" s="3" t="n">
        <x:v>3</x:v>
      </x:c>
      <x:c r="D1006" s="3" t="n">
        <x:v>45</x:v>
      </x:c>
      <x:c r="E1006" s="3" t="n">
        <x:v>8</x:v>
      </x:c>
      <x:c r="F1006" s="3" t="n">
        <x:v>3</x:v>
      </x:c>
      <x:c r="G1006" s="9" t="n">
        <x:v>0.1</x:v>
      </x:c>
      <x:c r="H1006" s="9" t="n">
        <x:v>0.944958</x:v>
      </x:c>
      <x:c r="I1006" s="9" t="n">
        <x:f>'Physical_Arcs'!R46</x:f>
        <x:v>5.388888888888889</x:v>
      </x:c>
      <x:c r="J1006" s="9" t="n">
        <x:f>I1006*'Parameters'!$C$18</x:f>
        <x:v>1.077777777777778</x:v>
      </x:c>
      <x:c r="K1006" s="9" t="n">
        <x:f>J1006*'Parameters'!$C$19</x:f>
        <x:v>1.3472222222222223</x:v>
      </x:c>
      <x:c r="L1006" s="9" t="n">
        <x:f>I1006*(1-0.40)-J1006</x:f>
        <x:v>2.1555555555555554</x:v>
      </x:c>
      <x:c r="M1006" s="9" t="n">
        <x:f>'Physical_Arcs'!S46</x:f>
        <x:v>5.388888888888889</x:v>
      </x:c>
      <x:c r="N1006" s="9" t="n">
        <x:f>M1006*'Parameters'!$C$18</x:f>
        <x:v>1.077777777777778</x:v>
      </x:c>
      <x:c r="O1006" s="9" t="n">
        <x:f>N1006*'Parameters'!$C$19</x:f>
        <x:v>1.3472222222222223</x:v>
      </x:c>
      <x:c r="P1006" s="9" t="n">
        <x:f>M1006*(1-0.40)-N1006</x:f>
        <x:v>2.1555555555555554</x:v>
      </x:c>
      <x:c r="Q1006" s="9" t="n">
        <x:f>'Physical_Arcs'!T46</x:f>
        <x:v>2.6944444444444446</x:v>
      </x:c>
      <x:c r="R1006" s="9" t="n">
        <x:f>Q1006*'Parameters'!$C$18</x:f>
        <x:v>0.538888888888889</x:v>
      </x:c>
      <x:c r="S1006" s="9" t="n">
        <x:f>R1006*'Parameters'!$C$19</x:f>
        <x:v>0.6736111111111112</x:v>
      </x:c>
      <x:c r="T1006" s="9" t="n">
        <x:f>Q1006*(1-0.40)-R1006</x:f>
        <x:v>1.0777777777777777</x:v>
      </x:c>
    </x:row>
    <x:row r="1007" ht="21" customHeight="1">
      <x:c r="A1007" s="3" t="n">
        <x:v>16</x:v>
      </x:c>
      <x:c r="B1007" s="3" t="str">
        <x:v>02:40</x:v>
      </x:c>
      <x:c r="C1007" s="3" t="n">
        <x:v>3</x:v>
      </x:c>
      <x:c r="D1007" s="3" t="n">
        <x:v>46</x:v>
      </x:c>
      <x:c r="E1007" s="3" t="n">
        <x:v>8</x:v>
      </x:c>
      <x:c r="F1007" s="3" t="n">
        <x:v>7</x:v>
      </x:c>
      <x:c r="G1007" s="9" t="n">
        <x:v>0.1</x:v>
      </x:c>
      <x:c r="H1007" s="9" t="n">
        <x:v>0.866232</x:v>
      </x:c>
      <x:c r="I1007" s="9" t="n">
        <x:f>'Physical_Arcs'!R47</x:f>
        <x:v>5.388888888888889</x:v>
      </x:c>
      <x:c r="J1007" s="9" t="n">
        <x:f>I1007*'Parameters'!$C$18</x:f>
        <x:v>1.077777777777778</x:v>
      </x:c>
      <x:c r="K1007" s="9" t="n">
        <x:f>J1007*'Parameters'!$C$19</x:f>
        <x:v>1.3472222222222223</x:v>
      </x:c>
      <x:c r="L1007" s="9" t="n">
        <x:f>I1007*(1-0.40)-J1007</x:f>
        <x:v>2.1555555555555554</x:v>
      </x:c>
      <x:c r="M1007" s="9" t="n">
        <x:f>'Physical_Arcs'!S47</x:f>
        <x:v>5.388888888888889</x:v>
      </x:c>
      <x:c r="N1007" s="9" t="n">
        <x:f>M1007*'Parameters'!$C$18</x:f>
        <x:v>1.077777777777778</x:v>
      </x:c>
      <x:c r="O1007" s="9" t="n">
        <x:f>N1007*'Parameters'!$C$19</x:f>
        <x:v>1.3472222222222223</x:v>
      </x:c>
      <x:c r="P1007" s="9" t="n">
        <x:f>M1007*(1-0.40)-N1007</x:f>
        <x:v>2.1555555555555554</x:v>
      </x:c>
      <x:c r="Q1007" s="9" t="n">
        <x:f>'Physical_Arcs'!T47</x:f>
        <x:v>2.6944444444444446</x:v>
      </x:c>
      <x:c r="R1007" s="9" t="n">
        <x:f>Q1007*'Parameters'!$C$18</x:f>
        <x:v>0.538888888888889</x:v>
      </x:c>
      <x:c r="S1007" s="9" t="n">
        <x:f>R1007*'Parameters'!$C$19</x:f>
        <x:v>0.6736111111111112</x:v>
      </x:c>
      <x:c r="T1007" s="9" t="n">
        <x:f>Q1007*(1-0.40)-R1007</x:f>
        <x:v>1.0777777777777777</x:v>
      </x:c>
    </x:row>
    <x:row r="1008" ht="21" customHeight="1">
      <x:c r="A1008" s="3" t="n">
        <x:v>16</x:v>
      </x:c>
      <x:c r="B1008" s="3" t="str">
        <x:v>02:40</x:v>
      </x:c>
      <x:c r="C1008" s="3" t="n">
        <x:v>3</x:v>
      </x:c>
      <x:c r="D1008" s="3" t="n">
        <x:v>47</x:v>
      </x:c>
      <x:c r="E1008" s="3" t="n">
        <x:v>8</x:v>
      </x:c>
      <x:c r="F1008" s="3" t="n">
        <x:v>2</x:v>
      </x:c>
      <x:c r="G1008" s="9" t="n">
        <x:v>0.1</x:v>
      </x:c>
      <x:c r="H1008" s="9" t="n">
        <x:v>1.135644</x:v>
      </x:c>
      <x:c r="I1008" s="9" t="n">
        <x:f>'Physical_Arcs'!R48</x:f>
        <x:v>8.083333333333334</x:v>
      </x:c>
      <x:c r="J1008" s="9" t="n">
        <x:f>I1008*'Parameters'!$C$18</x:f>
        <x:v>1.616666666666667</x:v>
      </x:c>
      <x:c r="K1008" s="9" t="n">
        <x:f>J1008*'Parameters'!$C$19</x:f>
        <x:v>2.0208333333333335</x:v>
      </x:c>
      <x:c r="L1008" s="9" t="n">
        <x:f>I1008*(1-0.40)-J1008</x:f>
        <x:v>3.2333333333333334</x:v>
      </x:c>
      <x:c r="M1008" s="9" t="n">
        <x:f>'Physical_Arcs'!S48</x:f>
        <x:v>8.083333333333334</x:v>
      </x:c>
      <x:c r="N1008" s="9" t="n">
        <x:f>M1008*'Parameters'!$C$18</x:f>
        <x:v>1.616666666666667</x:v>
      </x:c>
      <x:c r="O1008" s="9" t="n">
        <x:f>N1008*'Parameters'!$C$19</x:f>
        <x:v>2.0208333333333335</x:v>
      </x:c>
      <x:c r="P1008" s="9" t="n">
        <x:f>M1008*(1-0.40)-N1008</x:f>
        <x:v>3.2333333333333334</x:v>
      </x:c>
      <x:c r="Q1008" s="9" t="n">
        <x:f>'Physical_Arcs'!T48</x:f>
        <x:v>4.055555555555555</x:v>
      </x:c>
      <x:c r="R1008" s="9" t="n">
        <x:f>Q1008*'Parameters'!$C$18</x:f>
        <x:v>0.8111111111111111</x:v>
      </x:c>
      <x:c r="S1008" s="9" t="n">
        <x:f>R1008*'Parameters'!$C$19</x:f>
        <x:v>1.0138888888888888</x:v>
      </x:c>
      <x:c r="T1008" s="9" t="n">
        <x:f>Q1008*(1-0.40)-R1008</x:f>
        <x:v>1.622222222222222</x:v>
      </x:c>
    </x:row>
    <x:row r="1009" ht="21" customHeight="1">
      <x:c r="A1009" s="3" t="n">
        <x:v>16</x:v>
      </x:c>
      <x:c r="B1009" s="3" t="str">
        <x:v>02:40</x:v>
      </x:c>
      <x:c r="C1009" s="3" t="n">
        <x:v>3</x:v>
      </x:c>
      <x:c r="D1009" s="3" t="n">
        <x:v>48</x:v>
      </x:c>
      <x:c r="E1009" s="3" t="n">
        <x:v>8</x:v>
      </x:c>
      <x:c r="F1009" s="3" t="n">
        <x:v>6</x:v>
      </x:c>
      <x:c r="G1009" s="9" t="n">
        <x:v>0.1</x:v>
      </x:c>
      <x:c r="H1009" s="9" t="n">
        <x:v>0.850778</x:v>
      </x:c>
      <x:c r="I1009" s="9" t="n">
        <x:f>'Physical_Arcs'!R49</x:f>
        <x:v>10.555555555555555</x:v>
      </x:c>
      <x:c r="J1009" s="9" t="n">
        <x:f>I1009*'Parameters'!$C$18</x:f>
        <x:v>2.111111111111111</x:v>
      </x:c>
      <x:c r="K1009" s="9" t="n">
        <x:f>J1009*'Parameters'!$C$19</x:f>
        <x:v>2.638888888888889</x:v>
      </x:c>
      <x:c r="L1009" s="9" t="n">
        <x:f>I1009*(1-0.40)-J1009</x:f>
        <x:v>4.222222222222221</x:v>
      </x:c>
      <x:c r="M1009" s="9" t="n">
        <x:f>'Physical_Arcs'!S49</x:f>
        <x:v>10.555555555555555</x:v>
      </x:c>
      <x:c r="N1009" s="9" t="n">
        <x:f>M1009*'Parameters'!$C$18</x:f>
        <x:v>2.111111111111111</x:v>
      </x:c>
      <x:c r="O1009" s="9" t="n">
        <x:f>N1009*'Parameters'!$C$19</x:f>
        <x:v>2.638888888888889</x:v>
      </x:c>
      <x:c r="P1009" s="9" t="n">
        <x:f>M1009*(1-0.40)-N1009</x:f>
        <x:v>4.222222222222221</x:v>
      </x:c>
      <x:c r="Q1009" s="9" t="n">
        <x:f>'Physical_Arcs'!T49</x:f>
        <x:v>5.277777777777778</x:v>
      </x:c>
      <x:c r="R1009" s="9" t="n">
        <x:f>Q1009*'Parameters'!$C$18</x:f>
        <x:v>1.0555555555555556</x:v>
      </x:c>
      <x:c r="S1009" s="9" t="n">
        <x:f>R1009*'Parameters'!$C$19</x:f>
        <x:v>1.3194444444444444</x:v>
      </x:c>
      <x:c r="T1009" s="9" t="n">
        <x:f>Q1009*(1-0.40)-R1009</x:f>
        <x:v>2.1111111111111107</x:v>
      </x:c>
    </x:row>
    <x:row r="1010" ht="21" customHeight="1">
      <x:c r="A1010" s="3" t="n">
        <x:v>16</x:v>
      </x:c>
      <x:c r="B1010" s="3" t="str">
        <x:v>02:40</x:v>
      </x:c>
      <x:c r="C1010" s="3" t="n">
        <x:v>3</x:v>
      </x:c>
      <x:c r="D1010" s="3" t="n">
        <x:v>49</x:v>
      </x:c>
      <x:c r="E1010" s="3" t="n">
        <x:v>8</x:v>
      </x:c>
      <x:c r="F1010" s="3" t="n">
        <x:v>4</x:v>
      </x:c>
      <x:c r="G1010" s="9" t="n">
        <x:v>0.1</x:v>
      </x:c>
      <x:c r="H1010" s="9" t="n">
        <x:v>0.904949</x:v>
      </x:c>
      <x:c r="I1010" s="9" t="n">
        <x:f>'Physical_Arcs'!R50</x:f>
        <x:v>1.5833333333333333</x:v>
      </x:c>
      <x:c r="J1010" s="9" t="n">
        <x:f>I1010*'Parameters'!$C$18</x:f>
        <x:v>0.31666666666666665</x:v>
      </x:c>
      <x:c r="K1010" s="9" t="n">
        <x:f>J1010*'Parameters'!$C$19</x:f>
        <x:v>0.3958333333333333</x:v>
      </x:c>
      <x:c r="L1010" s="9" t="n">
        <x:f>I1010*(1-0.40)-J1010</x:f>
        <x:v>0.6333333333333333</x:v>
      </x:c>
      <x:c r="M1010" s="9" t="n">
        <x:f>'Physical_Arcs'!S50</x:f>
        <x:v>1.5833333333333333</x:v>
      </x:c>
      <x:c r="N1010" s="9" t="n">
        <x:f>M1010*'Parameters'!$C$18</x:f>
        <x:v>0.31666666666666665</x:v>
      </x:c>
      <x:c r="O1010" s="9" t="n">
        <x:f>N1010*'Parameters'!$C$19</x:f>
        <x:v>0.3958333333333333</x:v>
      </x:c>
      <x:c r="P1010" s="9" t="n">
        <x:f>M1010*(1-0.40)-N1010</x:f>
        <x:v>0.6333333333333333</x:v>
      </x:c>
      <x:c r="Q1010" s="9" t="n">
        <x:f>'Physical_Arcs'!T50</x:f>
        <x:v>0.8055555555555556</x:v>
      </x:c>
      <x:c r="R1010" s="9" t="n">
        <x:f>Q1010*'Parameters'!$C$18</x:f>
        <x:v>0.16111111111111112</x:v>
      </x:c>
      <x:c r="S1010" s="9" t="n">
        <x:f>R1010*'Parameters'!$C$19</x:f>
        <x:v>0.2013888888888889</x:v>
      </x:c>
      <x:c r="T1010" s="9" t="n">
        <x:f>Q1010*(1-0.40)-R1010</x:f>
        <x:v>0.3222222222222222</x:v>
      </x:c>
    </x:row>
    <x:row r="1011" ht="21" customHeight="1">
      <x:c r="A1011" s="3" t="n">
        <x:v>16</x:v>
      </x:c>
      <x:c r="B1011" s="3" t="str">
        <x:v>02:40</x:v>
      </x:c>
      <x:c r="C1011" s="3" t="n">
        <x:v>3</x:v>
      </x:c>
      <x:c r="D1011" s="3" t="n">
        <x:v>50</x:v>
      </x:c>
      <x:c r="E1011" s="3" t="n">
        <x:v>8</x:v>
      </x:c>
      <x:c r="F1011" s="3" t="n">
        <x:v>5</x:v>
      </x:c>
      <x:c r="G1011" s="9" t="n">
        <x:v>0.1</x:v>
      </x:c>
      <x:c r="H1011" s="9" t="n">
        <x:v>0.990416</x:v>
      </x:c>
      <x:c r="I1011" s="9" t="n">
        <x:f>'Physical_Arcs'!R51</x:f>
        <x:v>10.777777777777779</x:v>
      </x:c>
      <x:c r="J1011" s="9" t="n">
        <x:f>I1011*'Parameters'!$C$18</x:f>
        <x:v>2.155555555555556</x:v>
      </x:c>
      <x:c r="K1011" s="9" t="n">
        <x:f>J1011*'Parameters'!$C$19</x:f>
        <x:v>2.6944444444444446</x:v>
      </x:c>
      <x:c r="L1011" s="9" t="n">
        <x:f>I1011*(1-0.40)-J1011</x:f>
        <x:v>4.311111111111111</x:v>
      </x:c>
      <x:c r="M1011" s="9" t="n">
        <x:f>'Physical_Arcs'!S51</x:f>
        <x:v>10.777777777777779</x:v>
      </x:c>
      <x:c r="N1011" s="9" t="n">
        <x:f>M1011*'Parameters'!$C$18</x:f>
        <x:v>2.155555555555556</x:v>
      </x:c>
      <x:c r="O1011" s="9" t="n">
        <x:f>N1011*'Parameters'!$C$19</x:f>
        <x:v>2.6944444444444446</x:v>
      </x:c>
      <x:c r="P1011" s="9" t="n">
        <x:f>M1011*(1-0.40)-N1011</x:f>
        <x:v>4.311111111111111</x:v>
      </x:c>
      <x:c r="Q1011" s="9" t="n">
        <x:f>'Physical_Arcs'!T51</x:f>
        <x:v>5.388888888888889</x:v>
      </x:c>
      <x:c r="R1011" s="9" t="n">
        <x:f>Q1011*'Parameters'!$C$18</x:f>
        <x:v>1.077777777777778</x:v>
      </x:c>
      <x:c r="S1011" s="9" t="n">
        <x:f>R1011*'Parameters'!$C$19</x:f>
        <x:v>1.3472222222222223</x:v>
      </x:c>
      <x:c r="T1011" s="9" t="n">
        <x:f>Q1011*(1-0.40)-R1011</x:f>
        <x:v>2.1555555555555554</x:v>
      </x:c>
    </x:row>
    <x:row r="1012" ht="21" customHeight="1">
      <x:c r="A1012" s="3" t="n">
        <x:v>16</x:v>
      </x:c>
      <x:c r="B1012" s="3" t="str">
        <x:v>02:40</x:v>
      </x:c>
      <x:c r="C1012" s="3" t="n">
        <x:v>3</x:v>
      </x:c>
      <x:c r="D1012" s="3" t="n">
        <x:v>51</x:v>
      </x:c>
      <x:c r="E1012" s="3" t="n">
        <x:v>8</x:v>
      </x:c>
      <x:c r="F1012" s="3" t="n">
        <x:v>1</x:v>
      </x:c>
      <x:c r="G1012" s="9" t="n">
        <x:v>0.1</x:v>
      </x:c>
      <x:c r="H1012" s="9" t="n">
        <x:v>1.039066</x:v>
      </x:c>
      <x:c r="I1012" s="9" t="n">
        <x:f>'Physical_Arcs'!R52</x:f>
        <x:v>8.88888888888889</x:v>
      </x:c>
      <x:c r="J1012" s="9" t="n">
        <x:f>I1012*'Parameters'!$C$18</x:f>
        <x:v>1.777777777777778</x:v>
      </x:c>
      <x:c r="K1012" s="9" t="n">
        <x:f>J1012*'Parameters'!$C$19</x:f>
        <x:v>2.2222222222222223</x:v>
      </x:c>
      <x:c r="L1012" s="9" t="n">
        <x:f>I1012*(1-0.40)-J1012</x:f>
        <x:v>3.5555555555555554</x:v>
      </x:c>
      <x:c r="M1012" s="9" t="n">
        <x:f>'Physical_Arcs'!S52</x:f>
        <x:v>8.88888888888889</x:v>
      </x:c>
      <x:c r="N1012" s="9" t="n">
        <x:f>M1012*'Parameters'!$C$18</x:f>
        <x:v>1.777777777777778</x:v>
      </x:c>
      <x:c r="O1012" s="9" t="n">
        <x:f>N1012*'Parameters'!$C$19</x:f>
        <x:v>2.2222222222222223</x:v>
      </x:c>
      <x:c r="P1012" s="9" t="n">
        <x:f>M1012*(1-0.40)-N1012</x:f>
        <x:v>3.5555555555555554</x:v>
      </x:c>
      <x:c r="Q1012" s="9" t="n">
        <x:f>'Physical_Arcs'!T52</x:f>
        <x:v>4.444444444444445</x:v>
      </x:c>
      <x:c r="R1012" s="9" t="n">
        <x:f>Q1012*'Parameters'!$C$18</x:f>
        <x:v>0.888888888888889</x:v>
      </x:c>
      <x:c r="S1012" s="9" t="n">
        <x:f>R1012*'Parameters'!$C$19</x:f>
        <x:v>1.1111111111111112</x:v>
      </x:c>
      <x:c r="T1012" s="9" t="n">
        <x:f>Q1012*(1-0.40)-R1012</x:f>
        <x:v>1.7777777777777777</x:v>
      </x:c>
    </x:row>
    <x:row r="1013" ht="21" customHeight="1">
      <x:c r="A1013" s="3" t="n">
        <x:v>16</x:v>
      </x:c>
      <x:c r="B1013" s="3" t="str">
        <x:v>02:40</x:v>
      </x:c>
      <x:c r="C1013" s="3" t="n">
        <x:v>3</x:v>
      </x:c>
      <x:c r="D1013" s="3" t="n">
        <x:v>52</x:v>
      </x:c>
      <x:c r="E1013" s="3" t="n">
        <x:v>9</x:v>
      </x:c>
      <x:c r="F1013" s="3" t="n">
        <x:v>10</x:v>
      </x:c>
      <x:c r="G1013" s="9" t="n">
        <x:v>0.1</x:v>
      </x:c>
      <x:c r="H1013" s="9" t="n">
        <x:v>0.954096</x:v>
      </x:c>
      <x:c r="I1013" s="9" t="n">
        <x:f>'Physical_Arcs'!R53</x:f>
        <x:v>17.02777777777778</x:v>
      </x:c>
      <x:c r="J1013" s="9" t="n">
        <x:f>I1013*'Parameters'!$C$18</x:f>
        <x:v>3.405555555555556</x:v>
      </x:c>
      <x:c r="K1013" s="9" t="n">
        <x:f>J1013*'Parameters'!$C$19</x:f>
        <x:v>4.256944444444445</x:v>
      </x:c>
      <x:c r="L1013" s="9" t="n">
        <x:f>I1013*(1-0.40)-J1013</x:f>
        <x:v>6.811111111111111</x:v>
      </x:c>
      <x:c r="M1013" s="9" t="n">
        <x:f>'Physical_Arcs'!S53</x:f>
        <x:v>17.02777777777778</x:v>
      </x:c>
      <x:c r="N1013" s="9" t="n">
        <x:f>M1013*'Parameters'!$C$18</x:f>
        <x:v>3.405555555555556</x:v>
      </x:c>
      <x:c r="O1013" s="9" t="n">
        <x:f>N1013*'Parameters'!$C$19</x:f>
        <x:v>4.256944444444445</x:v>
      </x:c>
      <x:c r="P1013" s="9" t="n">
        <x:f>M1013*(1-0.40)-N1013</x:f>
        <x:v>6.811111111111111</x:v>
      </x:c>
      <x:c r="Q1013" s="9" t="n">
        <x:f>'Physical_Arcs'!T53</x:f>
        <x:v>17.02777777777778</x:v>
      </x:c>
      <x:c r="R1013" s="9" t="n">
        <x:f>Q1013*'Parameters'!$C$18</x:f>
        <x:v>3.405555555555556</x:v>
      </x:c>
      <x:c r="S1013" s="9" t="n">
        <x:f>R1013*'Parameters'!$C$19</x:f>
        <x:v>4.256944444444445</x:v>
      </x:c>
      <x:c r="T1013" s="9" t="n">
        <x:f>Q1013*(1-0.40)-R1013</x:f>
        <x:v>6.811111111111111</x:v>
      </x:c>
    </x:row>
    <x:row r="1014" ht="21" customHeight="1">
      <x:c r="A1014" s="3" t="n">
        <x:v>16</x:v>
      </x:c>
      <x:c r="B1014" s="3" t="str">
        <x:v>02:40</x:v>
      </x:c>
      <x:c r="C1014" s="3" t="n">
        <x:v>3</x:v>
      </x:c>
      <x:c r="D1014" s="3" t="n">
        <x:v>53</x:v>
      </x:c>
      <x:c r="E1014" s="3" t="n">
        <x:v>9</x:v>
      </x:c>
      <x:c r="F1014" s="3" t="n">
        <x:v>6</x:v>
      </x:c>
      <x:c r="G1014" s="9" t="n">
        <x:v>0.1</x:v>
      </x:c>
      <x:c r="H1014" s="9" t="n">
        <x:v>1.125574</x:v>
      </x:c>
      <x:c r="I1014" s="9" t="n">
        <x:f>'Physical_Arcs'!R54</x:f>
        <x:v>9.666666666666666</x:v>
      </x:c>
      <x:c r="J1014" s="9" t="n">
        <x:f>I1014*'Parameters'!$C$18</x:f>
        <x:v>1.9333333333333333</x:v>
      </x:c>
      <x:c r="K1014" s="9" t="n">
        <x:f>J1014*'Parameters'!$C$19</x:f>
        <x:v>2.4166666666666665</x:v>
      </x:c>
      <x:c r="L1014" s="9" t="n">
        <x:f>I1014*(1-0.40)-J1014</x:f>
        <x:v>3.8666666666666663</x:v>
      </x:c>
      <x:c r="M1014" s="9" t="n">
        <x:f>'Physical_Arcs'!S54</x:f>
        <x:v>9.666666666666666</x:v>
      </x:c>
      <x:c r="N1014" s="9" t="n">
        <x:f>M1014*'Parameters'!$C$18</x:f>
        <x:v>1.9333333333333333</x:v>
      </x:c>
      <x:c r="O1014" s="9" t="n">
        <x:f>N1014*'Parameters'!$C$19</x:f>
        <x:v>2.4166666666666665</x:v>
      </x:c>
      <x:c r="P1014" s="9" t="n">
        <x:f>M1014*(1-0.40)-N1014</x:f>
        <x:v>3.8666666666666663</x:v>
      </x:c>
      <x:c r="Q1014" s="9" t="n">
        <x:f>'Physical_Arcs'!T54</x:f>
        <x:v>4.833333333333333</x:v>
      </x:c>
      <x:c r="R1014" s="9" t="n">
        <x:f>Q1014*'Parameters'!$C$18</x:f>
        <x:v>0.9666666666666667</x:v>
      </x:c>
      <x:c r="S1014" s="9" t="n">
        <x:f>R1014*'Parameters'!$C$19</x:f>
        <x:v>1.2083333333333333</x:v>
      </x:c>
      <x:c r="T1014" s="9" t="n">
        <x:f>Q1014*(1-0.40)-R1014</x:f>
        <x:v>1.9333333333333331</x:v>
      </x:c>
    </x:row>
    <x:row r="1015" ht="21" customHeight="1">
      <x:c r="A1015" s="3" t="n">
        <x:v>16</x:v>
      </x:c>
      <x:c r="B1015" s="3" t="str">
        <x:v>02:40</x:v>
      </x:c>
      <x:c r="C1015" s="3" t="n">
        <x:v>3</x:v>
      </x:c>
      <x:c r="D1015" s="3" t="n">
        <x:v>54</x:v>
      </x:c>
      <x:c r="E1015" s="3" t="n">
        <x:v>9</x:v>
      </x:c>
      <x:c r="F1015" s="3" t="n">
        <x:v>2</x:v>
      </x:c>
      <x:c r="G1015" s="9" t="n">
        <x:v>0.1</x:v>
      </x:c>
      <x:c r="H1015" s="9" t="n">
        <x:v>0.854534</x:v>
      </x:c>
      <x:c r="I1015" s="9" t="n">
        <x:f>'Physical_Arcs'!R55</x:f>
        <x:v>9.88888888888889</x:v>
      </x:c>
      <x:c r="J1015" s="9" t="n">
        <x:f>I1015*'Parameters'!$C$18</x:f>
        <x:v>1.9777777777777779</x:v>
      </x:c>
      <x:c r="K1015" s="9" t="n">
        <x:f>J1015*'Parameters'!$C$19</x:f>
        <x:v>2.4722222222222223</x:v>
      </x:c>
      <x:c r="L1015" s="9" t="n">
        <x:f>I1015*(1-0.40)-J1015</x:f>
        <x:v>3.9555555555555557</x:v>
      </x:c>
      <x:c r="M1015" s="9" t="n">
        <x:f>'Physical_Arcs'!S55</x:f>
        <x:v>9.88888888888889</x:v>
      </x:c>
      <x:c r="N1015" s="9" t="n">
        <x:f>M1015*'Parameters'!$C$18</x:f>
        <x:v>1.9777777777777779</x:v>
      </x:c>
      <x:c r="O1015" s="9" t="n">
        <x:f>N1015*'Parameters'!$C$19</x:f>
        <x:v>2.4722222222222223</x:v>
      </x:c>
      <x:c r="P1015" s="9" t="n">
        <x:f>M1015*(1-0.40)-N1015</x:f>
        <x:v>3.9555555555555557</x:v>
      </x:c>
      <x:c r="Q1015" s="9" t="n">
        <x:f>'Physical_Arcs'!T55</x:f>
        <x:v>4.944444444444445</x:v>
      </x:c>
      <x:c r="R1015" s="9" t="n">
        <x:f>Q1015*'Parameters'!$C$18</x:f>
        <x:v>0.9888888888888889</x:v>
      </x:c>
      <x:c r="S1015" s="9" t="n">
        <x:f>R1015*'Parameters'!$C$19</x:f>
        <x:v>1.2361111111111112</x:v>
      </x:c>
      <x:c r="T1015" s="9" t="n">
        <x:f>Q1015*(1-0.40)-R1015</x:f>
        <x:v>1.9777777777777779</x:v>
      </x:c>
    </x:row>
    <x:row r="1016" ht="21" customHeight="1">
      <x:c r="A1016" s="3" t="n">
        <x:v>16</x:v>
      </x:c>
      <x:c r="B1016" s="3" t="str">
        <x:v>02:40</x:v>
      </x:c>
      <x:c r="C1016" s="3" t="n">
        <x:v>3</x:v>
      </x:c>
      <x:c r="D1016" s="3" t="n">
        <x:v>55</x:v>
      </x:c>
      <x:c r="E1016" s="3" t="n">
        <x:v>9</x:v>
      </x:c>
      <x:c r="F1016" s="3" t="n">
        <x:v>7</x:v>
      </x:c>
      <x:c r="G1016" s="9" t="n">
        <x:v>0.1</x:v>
      </x:c>
      <x:c r="H1016" s="9" t="n">
        <x:v>0.900033</x:v>
      </x:c>
      <x:c r="I1016" s="9" t="n">
        <x:f>'Physical_Arcs'!R56</x:f>
        <x:v>4.166666666666667</x:v>
      </x:c>
      <x:c r="J1016" s="9" t="n">
        <x:f>I1016*'Parameters'!$C$18</x:f>
        <x:v>0.8333333333333335</x:v>
      </x:c>
      <x:c r="K1016" s="9" t="n">
        <x:f>J1016*'Parameters'!$C$19</x:f>
        <x:v>1.041666666666667</x:v>
      </x:c>
      <x:c r="L1016" s="9" t="n">
        <x:f>I1016*(1-0.40)-J1016</x:f>
        <x:v>1.6666666666666665</x:v>
      </x:c>
      <x:c r="M1016" s="9" t="n">
        <x:f>'Physical_Arcs'!S56</x:f>
        <x:v>4.166666666666667</x:v>
      </x:c>
      <x:c r="N1016" s="9" t="n">
        <x:f>M1016*'Parameters'!$C$18</x:f>
        <x:v>0.8333333333333335</x:v>
      </x:c>
      <x:c r="O1016" s="9" t="n">
        <x:f>N1016*'Parameters'!$C$19</x:f>
        <x:v>1.041666666666667</x:v>
      </x:c>
      <x:c r="P1016" s="9" t="n">
        <x:f>M1016*(1-0.40)-N1016</x:f>
        <x:v>1.6666666666666665</x:v>
      </x:c>
      <x:c r="Q1016" s="9" t="n">
        <x:f>'Physical_Arcs'!T56</x:f>
        <x:v>2.0833333333333335</x:v>
      </x:c>
      <x:c r="R1016" s="9" t="n">
        <x:f>Q1016*'Parameters'!$C$18</x:f>
        <x:v>0.41666666666666674</x:v>
      </x:c>
      <x:c r="S1016" s="9" t="n">
        <x:f>R1016*'Parameters'!$C$19</x:f>
        <x:v>0.5208333333333335</x:v>
      </x:c>
      <x:c r="T1016" s="9" t="n">
        <x:f>Q1016*(1-0.40)-R1016</x:f>
        <x:v>0.8333333333333333</x:v>
      </x:c>
    </x:row>
    <x:row r="1017" ht="21" customHeight="1">
      <x:c r="A1017" s="3" t="n">
        <x:v>16</x:v>
      </x:c>
      <x:c r="B1017" s="3" t="str">
        <x:v>02:40</x:v>
      </x:c>
      <x:c r="C1017" s="3" t="n">
        <x:v>3</x:v>
      </x:c>
      <x:c r="D1017" s="3" t="n">
        <x:v>56</x:v>
      </x:c>
      <x:c r="E1017" s="3" t="n">
        <x:v>9</x:v>
      </x:c>
      <x:c r="F1017" s="3" t="n">
        <x:v>3</x:v>
      </x:c>
      <x:c r="G1017" s="9" t="n">
        <x:v>0.1</x:v>
      </x:c>
      <x:c r="H1017" s="9" t="n">
        <x:v>0.893428</x:v>
      </x:c>
      <x:c r="I1017" s="9" t="n">
        <x:f>'Physical_Arcs'!R57</x:f>
        <x:v>3.7222222222222223</x:v>
      </x:c>
      <x:c r="J1017" s="9" t="n">
        <x:f>I1017*'Parameters'!$C$18</x:f>
        <x:v>0.7444444444444445</x:v>
      </x:c>
      <x:c r="K1017" s="9" t="n">
        <x:f>J1017*'Parameters'!$C$19</x:f>
        <x:v>0.9305555555555556</x:v>
      </x:c>
      <x:c r="L1017" s="9" t="n">
        <x:f>I1017*(1-0.40)-J1017</x:f>
        <x:v>1.488888888888889</x:v>
      </x:c>
      <x:c r="M1017" s="9" t="n">
        <x:f>'Physical_Arcs'!S57</x:f>
        <x:v>3.7222222222222223</x:v>
      </x:c>
      <x:c r="N1017" s="9" t="n">
        <x:f>M1017*'Parameters'!$C$18</x:f>
        <x:v>0.7444444444444445</x:v>
      </x:c>
      <x:c r="O1017" s="9" t="n">
        <x:f>N1017*'Parameters'!$C$19</x:f>
        <x:v>0.9305555555555556</x:v>
      </x:c>
      <x:c r="P1017" s="9" t="n">
        <x:f>M1017*(1-0.40)-N1017</x:f>
        <x:v>1.488888888888889</x:v>
      </x:c>
      <x:c r="Q1017" s="9" t="n">
        <x:f>'Physical_Arcs'!T57</x:f>
        <x:v>1.8611111111111112</x:v>
      </x:c>
      <x:c r="R1017" s="9" t="n">
        <x:f>Q1017*'Parameters'!$C$18</x:f>
        <x:v>0.37222222222222223</x:v>
      </x:c>
      <x:c r="S1017" s="9" t="n">
        <x:f>R1017*'Parameters'!$C$19</x:f>
        <x:v>0.4652777777777778</x:v>
      </x:c>
      <x:c r="T1017" s="9" t="n">
        <x:f>Q1017*(1-0.40)-R1017</x:f>
        <x:v>0.7444444444444445</x:v>
      </x:c>
    </x:row>
    <x:row r="1018" ht="21" customHeight="1">
      <x:c r="A1018" s="3" t="n">
        <x:v>16</x:v>
      </x:c>
      <x:c r="B1018" s="3" t="str">
        <x:v>02:40</x:v>
      </x:c>
      <x:c r="C1018" s="3" t="n">
        <x:v>3</x:v>
      </x:c>
      <x:c r="D1018" s="3" t="n">
        <x:v>57</x:v>
      </x:c>
      <x:c r="E1018" s="3" t="n">
        <x:v>10</x:v>
      </x:c>
      <x:c r="F1018" s="3" t="n">
        <x:v>1</x:v>
      </x:c>
      <x:c r="G1018" s="9" t="n">
        <x:v>0.1</x:v>
      </x:c>
      <x:c r="H1018" s="9" t="n">
        <x:v>1.027979</x:v>
      </x:c>
      <x:c r="I1018" s="9" t="n">
        <x:f>'Physical_Arcs'!R58</x:f>
        <x:v>17.02777777777778</x:v>
      </x:c>
      <x:c r="J1018" s="9" t="n">
        <x:f>I1018*'Parameters'!$C$18</x:f>
        <x:v>3.405555555555556</x:v>
      </x:c>
      <x:c r="K1018" s="9" t="n">
        <x:f>J1018*'Parameters'!$C$19</x:f>
        <x:v>4.256944444444445</x:v>
      </x:c>
      <x:c r="L1018" s="9" t="n">
        <x:f>I1018*(1-0.40)-J1018</x:f>
        <x:v>6.811111111111111</x:v>
      </x:c>
      <x:c r="M1018" s="9" t="n">
        <x:f>'Physical_Arcs'!S58</x:f>
        <x:v>17.02777777777778</x:v>
      </x:c>
      <x:c r="N1018" s="9" t="n">
        <x:f>M1018*'Parameters'!$C$18</x:f>
        <x:v>3.405555555555556</x:v>
      </x:c>
      <x:c r="O1018" s="9" t="n">
        <x:f>N1018*'Parameters'!$C$19</x:f>
        <x:v>4.256944444444445</x:v>
      </x:c>
      <x:c r="P1018" s="9" t="n">
        <x:f>M1018*(1-0.40)-N1018</x:f>
        <x:v>6.811111111111111</x:v>
      </x:c>
      <x:c r="Q1018" s="9" t="n">
        <x:f>'Physical_Arcs'!T58</x:f>
        <x:v>17.02777777777778</x:v>
      </x:c>
      <x:c r="R1018" s="9" t="n">
        <x:f>Q1018*'Parameters'!$C$18</x:f>
        <x:v>3.405555555555556</x:v>
      </x:c>
      <x:c r="S1018" s="9" t="n">
        <x:f>R1018*'Parameters'!$C$19</x:f>
        <x:v>4.256944444444445</x:v>
      </x:c>
      <x:c r="T1018" s="9" t="n">
        <x:f>Q1018*(1-0.40)-R1018</x:f>
        <x:v>6.811111111111111</x:v>
      </x:c>
    </x:row>
    <x:row r="1019" ht="21" customHeight="1">
      <x:c r="A1019" s="3" t="n">
        <x:v>16</x:v>
      </x:c>
      <x:c r="B1019" s="3" t="str">
        <x:v>02:40</x:v>
      </x:c>
      <x:c r="C1019" s="3" t="n">
        <x:v>3</x:v>
      </x:c>
      <x:c r="D1019" s="3" t="n">
        <x:v>58</x:v>
      </x:c>
      <x:c r="E1019" s="3" t="n">
        <x:v>10</x:v>
      </x:c>
      <x:c r="F1019" s="3" t="n">
        <x:v>6</x:v>
      </x:c>
      <x:c r="G1019" s="9" t="n">
        <x:v>0.1</x:v>
      </x:c>
      <x:c r="H1019" s="9" t="n">
        <x:v>0.952676</x:v>
      </x:c>
      <x:c r="I1019" s="9" t="n">
        <x:f>'Physical_Arcs'!R59</x:f>
        <x:v>6.305555555555555</x:v>
      </x:c>
      <x:c r="J1019" s="9" t="n">
        <x:f>I1019*'Parameters'!$C$18</x:f>
        <x:v>1.261111111111111</x:v>
      </x:c>
      <x:c r="K1019" s="9" t="n">
        <x:f>J1019*'Parameters'!$C$19</x:f>
        <x:v>1.5763888888888888</x:v>
      </x:c>
      <x:c r="L1019" s="9" t="n">
        <x:f>I1019*(1-0.40)-J1019</x:f>
        <x:v>2.522222222222222</x:v>
      </x:c>
      <x:c r="M1019" s="9" t="n">
        <x:f>'Physical_Arcs'!S59</x:f>
        <x:v>6.305555555555555</x:v>
      </x:c>
      <x:c r="N1019" s="9" t="n">
        <x:f>M1019*'Parameters'!$C$18</x:f>
        <x:v>1.261111111111111</x:v>
      </x:c>
      <x:c r="O1019" s="9" t="n">
        <x:f>N1019*'Parameters'!$C$19</x:f>
        <x:v>1.5763888888888888</x:v>
      </x:c>
      <x:c r="P1019" s="9" t="n">
        <x:f>M1019*(1-0.40)-N1019</x:f>
        <x:v>2.522222222222222</x:v>
      </x:c>
      <x:c r="Q1019" s="9" t="n">
        <x:f>'Physical_Arcs'!T59</x:f>
        <x:v>3.1666666666666665</x:v>
      </x:c>
      <x:c r="R1019" s="9" t="n">
        <x:f>Q1019*'Parameters'!$C$18</x:f>
        <x:v>0.6333333333333333</x:v>
      </x:c>
      <x:c r="S1019" s="9" t="n">
        <x:f>R1019*'Parameters'!$C$19</x:f>
        <x:v>0.7916666666666666</x:v>
      </x:c>
      <x:c r="T1019" s="9" t="n">
        <x:f>Q1019*(1-0.40)-R1019</x:f>
        <x:v>1.2666666666666666</x:v>
      </x:c>
    </x:row>
    <x:row r="1020" ht="21" customHeight="1">
      <x:c r="A1020" s="3" t="n">
        <x:v>16</x:v>
      </x:c>
      <x:c r="B1020" s="3" t="str">
        <x:v>02:40</x:v>
      </x:c>
      <x:c r="C1020" s="3" t="n">
        <x:v>3</x:v>
      </x:c>
      <x:c r="D1020" s="3" t="n">
        <x:v>59</x:v>
      </x:c>
      <x:c r="E1020" s="3" t="n">
        <x:v>10</x:v>
      </x:c>
      <x:c r="F1020" s="3" t="n">
        <x:v>4</x:v>
      </x:c>
      <x:c r="G1020" s="9" t="n">
        <x:v>0.1</x:v>
      </x:c>
      <x:c r="H1020" s="9" t="n">
        <x:v>1.114542</x:v>
      </x:c>
      <x:c r="I1020" s="9" t="n">
        <x:f>'Physical_Arcs'!R60</x:f>
        <x:v>1.5833333333333333</x:v>
      </x:c>
      <x:c r="J1020" s="9" t="n">
        <x:f>I1020*'Parameters'!$C$18</x:f>
        <x:v>0.31666666666666665</x:v>
      </x:c>
      <x:c r="K1020" s="9" t="n">
        <x:f>J1020*'Parameters'!$C$19</x:f>
        <x:v>0.3958333333333333</x:v>
      </x:c>
      <x:c r="L1020" s="9" t="n">
        <x:f>I1020*(1-0.40)-J1020</x:f>
        <x:v>0.6333333333333333</x:v>
      </x:c>
      <x:c r="M1020" s="9" t="n">
        <x:f>'Physical_Arcs'!S60</x:f>
        <x:v>1.5833333333333333</x:v>
      </x:c>
      <x:c r="N1020" s="9" t="n">
        <x:f>M1020*'Parameters'!$C$18</x:f>
        <x:v>0.31666666666666665</x:v>
      </x:c>
      <x:c r="O1020" s="9" t="n">
        <x:f>N1020*'Parameters'!$C$19</x:f>
        <x:v>0.3958333333333333</x:v>
      </x:c>
      <x:c r="P1020" s="9" t="n">
        <x:f>M1020*(1-0.40)-N1020</x:f>
        <x:v>0.6333333333333333</x:v>
      </x:c>
      <x:c r="Q1020" s="9" t="n">
        <x:f>'Physical_Arcs'!T60</x:f>
        <x:v>0.8055555555555556</x:v>
      </x:c>
      <x:c r="R1020" s="9" t="n">
        <x:f>Q1020*'Parameters'!$C$18</x:f>
        <x:v>0.16111111111111112</x:v>
      </x:c>
      <x:c r="S1020" s="9" t="n">
        <x:f>R1020*'Parameters'!$C$19</x:f>
        <x:v>0.2013888888888889</x:v>
      </x:c>
      <x:c r="T1020" s="9" t="n">
        <x:f>Q1020*(1-0.40)-R1020</x:f>
        <x:v>0.3222222222222222</x:v>
      </x:c>
    </x:row>
    <x:row r="1021" ht="21" customHeight="1">
      <x:c r="A1021" s="3" t="n">
        <x:v>16</x:v>
      </x:c>
      <x:c r="B1021" s="3" t="str">
        <x:v>02:40</x:v>
      </x:c>
      <x:c r="C1021" s="3" t="n">
        <x:v>3</x:v>
      </x:c>
      <x:c r="D1021" s="3" t="n">
        <x:v>60</x:v>
      </x:c>
      <x:c r="E1021" s="3" t="n">
        <x:v>10</x:v>
      </x:c>
      <x:c r="F1021" s="3" t="n">
        <x:v>9</x:v>
      </x:c>
      <x:c r="G1021" s="9" t="n">
        <x:v>0.1</x:v>
      </x:c>
      <x:c r="H1021" s="9" t="n">
        <x:v>1.092245</x:v>
      </x:c>
      <x:c r="I1021" s="9" t="n">
        <x:f>'Physical_Arcs'!R61</x:f>
        <x:v>10.333333333333334</x:v>
      </x:c>
      <x:c r="J1021" s="9" t="n">
        <x:f>I1021*'Parameters'!$C$18</x:f>
        <x:v>2.066666666666667</x:v>
      </x:c>
      <x:c r="K1021" s="9" t="n">
        <x:f>J1021*'Parameters'!$C$19</x:f>
        <x:v>2.5833333333333335</x:v>
      </x:c>
      <x:c r="L1021" s="9" t="n">
        <x:f>I1021*(1-0.40)-J1021</x:f>
        <x:v>4.133333333333333</x:v>
      </x:c>
      <x:c r="M1021" s="9" t="n">
        <x:f>'Physical_Arcs'!S61</x:f>
        <x:v>10.333333333333334</x:v>
      </x:c>
      <x:c r="N1021" s="9" t="n">
        <x:f>M1021*'Parameters'!$C$18</x:f>
        <x:v>2.066666666666667</x:v>
      </x:c>
      <x:c r="O1021" s="9" t="n">
        <x:f>N1021*'Parameters'!$C$19</x:f>
        <x:v>2.5833333333333335</x:v>
      </x:c>
      <x:c r="P1021" s="9" t="n">
        <x:f>M1021*(1-0.40)-N1021</x:f>
        <x:v>4.133333333333333</x:v>
      </x:c>
      <x:c r="Q1021" s="9" t="n">
        <x:f>'Physical_Arcs'!T61</x:f>
        <x:v>5.166666666666667</x:v>
      </x:c>
      <x:c r="R1021" s="9" t="n">
        <x:f>Q1021*'Parameters'!$C$18</x:f>
        <x:v>1.0333333333333334</x:v>
      </x:c>
      <x:c r="S1021" s="9" t="n">
        <x:f>R1021*'Parameters'!$C$19</x:f>
        <x:v>1.2916666666666667</x:v>
      </x:c>
      <x:c r="T1021" s="9" t="n">
        <x:f>Q1021*(1-0.40)-R1021</x:f>
        <x:v>2.0666666666666664</x:v>
      </x:c>
    </x:row>
    <x:row r="1022" ht="21" customHeight="1">
      <x:c r="A1022" s="3" t="n">
        <x:v>17</x:v>
      </x:c>
      <x:c r="B1022" s="3" t="str">
        <x:v>02:50</x:v>
      </x:c>
      <x:c r="C1022" s="3" t="n">
        <x:v>3</x:v>
      </x:c>
      <x:c r="D1022" s="3" t="n">
        <x:v>1</x:v>
      </x:c>
      <x:c r="E1022" s="3" t="n">
        <x:v>1</x:v>
      </x:c>
      <x:c r="F1022" s="3" t="n">
        <x:v>2</x:v>
      </x:c>
      <x:c r="G1022" s="9" t="n">
        <x:v>0.1</x:v>
      </x:c>
      <x:c r="H1022" s="9" t="n">
        <x:v>0.914787</x:v>
      </x:c>
      <x:c r="I1022" s="9" t="n">
        <x:f>'Physical_Arcs'!R2</x:f>
        <x:v>17.02777777777778</x:v>
      </x:c>
      <x:c r="J1022" s="9" t="n">
        <x:f>I1022*'Parameters'!$C$18</x:f>
        <x:v>3.405555555555556</x:v>
      </x:c>
      <x:c r="K1022" s="9" t="n">
        <x:f>J1022*'Parameters'!$C$19</x:f>
        <x:v>4.256944444444445</x:v>
      </x:c>
      <x:c r="L1022" s="9" t="n">
        <x:f>I1022*(1-0.40)-J1022</x:f>
        <x:v>6.811111111111111</x:v>
      </x:c>
      <x:c r="M1022" s="9" t="n">
        <x:f>'Physical_Arcs'!S2</x:f>
        <x:v>17.02777777777778</x:v>
      </x:c>
      <x:c r="N1022" s="9" t="n">
        <x:f>M1022*'Parameters'!$C$18</x:f>
        <x:v>3.405555555555556</x:v>
      </x:c>
      <x:c r="O1022" s="9" t="n">
        <x:f>N1022*'Parameters'!$C$19</x:f>
        <x:v>4.256944444444445</x:v>
      </x:c>
      <x:c r="P1022" s="9" t="n">
        <x:f>M1022*(1-0.40)-N1022</x:f>
        <x:v>6.811111111111111</x:v>
      </x:c>
      <x:c r="Q1022" s="9" t="n">
        <x:f>'Physical_Arcs'!T2</x:f>
        <x:v>17.02777777777778</x:v>
      </x:c>
      <x:c r="R1022" s="9" t="n">
        <x:f>Q1022*'Parameters'!$C$18</x:f>
        <x:v>3.405555555555556</x:v>
      </x:c>
      <x:c r="S1022" s="9" t="n">
        <x:f>R1022*'Parameters'!$C$19</x:f>
        <x:v>4.256944444444445</x:v>
      </x:c>
      <x:c r="T1022" s="9" t="n">
        <x:f>Q1022*(1-0.40)-R1022</x:f>
        <x:v>6.811111111111111</x:v>
      </x:c>
    </x:row>
    <x:row r="1023" ht="21" customHeight="1">
      <x:c r="A1023" s="3" t="n">
        <x:v>17</x:v>
      </x:c>
      <x:c r="B1023" s="3" t="str">
        <x:v>02:50</x:v>
      </x:c>
      <x:c r="C1023" s="3" t="n">
        <x:v>3</x:v>
      </x:c>
      <x:c r="D1023" s="3" t="n">
        <x:v>2</x:v>
      </x:c>
      <x:c r="E1023" s="3" t="n">
        <x:v>1</x:v>
      </x:c>
      <x:c r="F1023" s="3" t="n">
        <x:v>10</x:v>
      </x:c>
      <x:c r="G1023" s="9" t="n">
        <x:v>0.1</x:v>
      </x:c>
      <x:c r="H1023" s="9" t="n">
        <x:v>1.003995</x:v>
      </x:c>
      <x:c r="I1023" s="9" t="n">
        <x:f>'Physical_Arcs'!R3</x:f>
        <x:v>3.2777777777777777</x:v>
      </x:c>
      <x:c r="J1023" s="9" t="n">
        <x:f>I1023*'Parameters'!$C$18</x:f>
        <x:v>0.6555555555555556</x:v>
      </x:c>
      <x:c r="K1023" s="9" t="n">
        <x:f>J1023*'Parameters'!$C$19</x:f>
        <x:v>0.8194444444444444</x:v>
      </x:c>
      <x:c r="L1023" s="9" t="n">
        <x:f>I1023*(1-0.40)-J1023</x:f>
        <x:v>1.311111111111111</x:v>
      </x:c>
      <x:c r="M1023" s="9" t="n">
        <x:f>'Physical_Arcs'!S3</x:f>
        <x:v>3.2777777777777777</x:v>
      </x:c>
      <x:c r="N1023" s="9" t="n">
        <x:f>M1023*'Parameters'!$C$18</x:f>
        <x:v>0.6555555555555556</x:v>
      </x:c>
      <x:c r="O1023" s="9" t="n">
        <x:f>N1023*'Parameters'!$C$19</x:f>
        <x:v>0.8194444444444444</x:v>
      </x:c>
      <x:c r="P1023" s="9" t="n">
        <x:f>M1023*(1-0.40)-N1023</x:f>
        <x:v>1.311111111111111</x:v>
      </x:c>
      <x:c r="Q1023" s="9" t="n">
        <x:f>'Physical_Arcs'!T3</x:f>
        <x:v>1.6388888888888888</x:v>
      </x:c>
      <x:c r="R1023" s="9" t="n">
        <x:f>Q1023*'Parameters'!$C$18</x:f>
        <x:v>0.3277777777777778</x:v>
      </x:c>
      <x:c r="S1023" s="9" t="n">
        <x:f>R1023*'Parameters'!$C$19</x:f>
        <x:v>0.4097222222222222</x:v>
      </x:c>
      <x:c r="T1023" s="9" t="n">
        <x:f>Q1023*(1-0.40)-R1023</x:f>
        <x:v>0.6555555555555554</x:v>
      </x:c>
    </x:row>
    <x:row r="1024" ht="21" customHeight="1">
      <x:c r="A1024" s="3" t="n">
        <x:v>17</x:v>
      </x:c>
      <x:c r="B1024" s="3" t="str">
        <x:v>02:50</x:v>
      </x:c>
      <x:c r="C1024" s="3" t="n">
        <x:v>3</x:v>
      </x:c>
      <x:c r="D1024" s="3" t="n">
        <x:v>3</x:v>
      </x:c>
      <x:c r="E1024" s="3" t="n">
        <x:v>1</x:v>
      </x:c>
      <x:c r="F1024" s="3" t="n">
        <x:v>8</x:v>
      </x:c>
      <x:c r="G1024" s="9" t="n">
        <x:v>0.1</x:v>
      </x:c>
      <x:c r="H1024" s="9" t="n">
        <x:v>0.923863</x:v>
      </x:c>
      <x:c r="I1024" s="9" t="n">
        <x:f>'Physical_Arcs'!R4</x:f>
        <x:v>6.083333333333333</x:v>
      </x:c>
      <x:c r="J1024" s="9" t="n">
        <x:f>I1024*'Parameters'!$C$18</x:f>
        <x:v>1.2166666666666668</x:v>
      </x:c>
      <x:c r="K1024" s="9" t="n">
        <x:f>J1024*'Parameters'!$C$19</x:f>
        <x:v>1.5208333333333335</x:v>
      </x:c>
      <x:c r="L1024" s="9" t="n">
        <x:f>I1024*(1-0.40)-J1024</x:f>
        <x:v>2.4333333333333327</x:v>
      </x:c>
      <x:c r="M1024" s="9" t="n">
        <x:f>'Physical_Arcs'!S4</x:f>
        <x:v>6.083333333333333</x:v>
      </x:c>
      <x:c r="N1024" s="9" t="n">
        <x:f>M1024*'Parameters'!$C$18</x:f>
        <x:v>1.2166666666666668</x:v>
      </x:c>
      <x:c r="O1024" s="9" t="n">
        <x:f>N1024*'Parameters'!$C$19</x:f>
        <x:v>1.5208333333333335</x:v>
      </x:c>
      <x:c r="P1024" s="9" t="n">
        <x:f>M1024*(1-0.40)-N1024</x:f>
        <x:v>2.4333333333333327</x:v>
      </x:c>
      <x:c r="Q1024" s="9" t="n">
        <x:f>'Physical_Arcs'!T4</x:f>
        <x:v>3.0555555555555554</x:v>
      </x:c>
      <x:c r="R1024" s="9" t="n">
        <x:f>Q1024*'Parameters'!$C$18</x:f>
        <x:v>0.6111111111111112</x:v>
      </x:c>
      <x:c r="S1024" s="9" t="n">
        <x:f>R1024*'Parameters'!$C$19</x:f>
        <x:v>0.763888888888889</x:v>
      </x:c>
      <x:c r="T1024" s="9" t="n">
        <x:f>Q1024*(1-0.40)-R1024</x:f>
        <x:v>1.2222222222222219</x:v>
      </x:c>
    </x:row>
    <x:row r="1025" ht="21" customHeight="1">
      <x:c r="A1025" s="3" t="n">
        <x:v>17</x:v>
      </x:c>
      <x:c r="B1025" s="3" t="str">
        <x:v>02:50</x:v>
      </x:c>
      <x:c r="C1025" s="3" t="n">
        <x:v>3</x:v>
      </x:c>
      <x:c r="D1025" s="3" t="n">
        <x:v>4</x:v>
      </x:c>
      <x:c r="E1025" s="3" t="n">
        <x:v>1</x:v>
      </x:c>
      <x:c r="F1025" s="3" t="n">
        <x:v>7</x:v>
      </x:c>
      <x:c r="G1025" s="9" t="n">
        <x:v>0.1</x:v>
      </x:c>
      <x:c r="H1025" s="9" t="n">
        <x:v>1.111072</x:v>
      </x:c>
      <x:c r="I1025" s="9" t="n">
        <x:f>'Physical_Arcs'!R5</x:f>
        <x:v>9</x:v>
      </x:c>
      <x:c r="J1025" s="9" t="n">
        <x:f>I1025*'Parameters'!$C$18</x:f>
        <x:v>1.8</x:v>
      </x:c>
      <x:c r="K1025" s="9" t="n">
        <x:f>J1025*'Parameters'!$C$19</x:f>
        <x:v>2.25</x:v>
      </x:c>
      <x:c r="L1025" s="9" t="n">
        <x:f>I1025*(1-0.40)-J1025</x:f>
        <x:v>3.5999999999999996</x:v>
      </x:c>
      <x:c r="M1025" s="9" t="n">
        <x:f>'Physical_Arcs'!S5</x:f>
        <x:v>9</x:v>
      </x:c>
      <x:c r="N1025" s="9" t="n">
        <x:f>M1025*'Parameters'!$C$18</x:f>
        <x:v>1.8</x:v>
      </x:c>
      <x:c r="O1025" s="9" t="n">
        <x:f>N1025*'Parameters'!$C$19</x:f>
        <x:v>2.25</x:v>
      </x:c>
      <x:c r="P1025" s="9" t="n">
        <x:f>M1025*(1-0.40)-N1025</x:f>
        <x:v>3.5999999999999996</x:v>
      </x:c>
      <x:c r="Q1025" s="9" t="n">
        <x:f>'Physical_Arcs'!T5</x:f>
        <x:v>4.5</x:v>
      </x:c>
      <x:c r="R1025" s="9" t="n">
        <x:f>Q1025*'Parameters'!$C$18</x:f>
        <x:v>0.9</x:v>
      </x:c>
      <x:c r="S1025" s="9" t="n">
        <x:f>R1025*'Parameters'!$C$19</x:f>
        <x:v>1.125</x:v>
      </x:c>
      <x:c r="T1025" s="9" t="n">
        <x:f>Q1025*(1-0.40)-R1025</x:f>
        <x:v>1.7999999999999998</x:v>
      </x:c>
    </x:row>
    <x:row r="1026" ht="21" customHeight="1">
      <x:c r="A1026" s="3" t="n">
        <x:v>17</x:v>
      </x:c>
      <x:c r="B1026" s="3" t="str">
        <x:v>02:50</x:v>
      </x:c>
      <x:c r="C1026" s="3" t="n">
        <x:v>3</x:v>
      </x:c>
      <x:c r="D1026" s="3" t="n">
        <x:v>5</x:v>
      </x:c>
      <x:c r="E1026" s="3" t="n">
        <x:v>1</x:v>
      </x:c>
      <x:c r="F1026" s="3" t="n">
        <x:v>4</x:v>
      </x:c>
      <x:c r="G1026" s="9" t="n">
        <x:v>0.1</x:v>
      </x:c>
      <x:c r="H1026" s="9" t="n">
        <x:v>1.001665</x:v>
      </x:c>
      <x:c r="I1026" s="9" t="n">
        <x:f>'Physical_Arcs'!R6</x:f>
        <x:v>4.166666666666667</x:v>
      </x:c>
      <x:c r="J1026" s="9" t="n">
        <x:f>I1026*'Parameters'!$C$18</x:f>
        <x:v>0.8333333333333335</x:v>
      </x:c>
      <x:c r="K1026" s="9" t="n">
        <x:f>J1026*'Parameters'!$C$19</x:f>
        <x:v>1.041666666666667</x:v>
      </x:c>
      <x:c r="L1026" s="9" t="n">
        <x:f>I1026*(1-0.40)-J1026</x:f>
        <x:v>1.6666666666666665</x:v>
      </x:c>
      <x:c r="M1026" s="9" t="n">
        <x:f>'Physical_Arcs'!S6</x:f>
        <x:v>4.166666666666667</x:v>
      </x:c>
      <x:c r="N1026" s="9" t="n">
        <x:f>M1026*'Parameters'!$C$18</x:f>
        <x:v>0.8333333333333335</x:v>
      </x:c>
      <x:c r="O1026" s="9" t="n">
        <x:f>N1026*'Parameters'!$C$19</x:f>
        <x:v>1.041666666666667</x:v>
      </x:c>
      <x:c r="P1026" s="9" t="n">
        <x:f>M1026*(1-0.40)-N1026</x:f>
        <x:v>1.6666666666666665</x:v>
      </x:c>
      <x:c r="Q1026" s="9" t="n">
        <x:f>'Physical_Arcs'!T6</x:f>
        <x:v>2.0833333333333335</x:v>
      </x:c>
      <x:c r="R1026" s="9" t="n">
        <x:f>Q1026*'Parameters'!$C$18</x:f>
        <x:v>0.41666666666666674</x:v>
      </x:c>
      <x:c r="S1026" s="9" t="n">
        <x:f>R1026*'Parameters'!$C$19</x:f>
        <x:v>0.5208333333333335</x:v>
      </x:c>
      <x:c r="T1026" s="9" t="n">
        <x:f>Q1026*(1-0.40)-R1026</x:f>
        <x:v>0.8333333333333333</x:v>
      </x:c>
    </x:row>
    <x:row r="1027" ht="21" customHeight="1">
      <x:c r="A1027" s="3" t="n">
        <x:v>17</x:v>
      </x:c>
      <x:c r="B1027" s="3" t="str">
        <x:v>02:50</x:v>
      </x:c>
      <x:c r="C1027" s="3" t="n">
        <x:v>3</x:v>
      </x:c>
      <x:c r="D1027" s="3" t="n">
        <x:v>6</x:v>
      </x:c>
      <x:c r="E1027" s="3" t="n">
        <x:v>1</x:v>
      </x:c>
      <x:c r="F1027" s="3" t="n">
        <x:v>9</x:v>
      </x:c>
      <x:c r="G1027" s="9" t="n">
        <x:v>0.1</x:v>
      </x:c>
      <x:c r="H1027" s="9" t="n">
        <x:v>0.942884</x:v>
      </x:c>
      <x:c r="I1027" s="9" t="n">
        <x:f>'Physical_Arcs'!R7</x:f>
        <x:v>11.027777777777779</x:v>
      </x:c>
      <x:c r="J1027" s="9" t="n">
        <x:f>I1027*'Parameters'!$C$18</x:f>
        <x:v>2.2055555555555557</x:v>
      </x:c>
      <x:c r="K1027" s="9" t="n">
        <x:f>J1027*'Parameters'!$C$19</x:f>
        <x:v>2.7569444444444446</x:v>
      </x:c>
      <x:c r="L1027" s="9" t="n">
        <x:f>I1027*(1-0.40)-J1027</x:f>
        <x:v>4.411111111111111</x:v>
      </x:c>
      <x:c r="M1027" s="9" t="n">
        <x:f>'Physical_Arcs'!S7</x:f>
        <x:v>11.027777777777779</x:v>
      </x:c>
      <x:c r="N1027" s="9" t="n">
        <x:f>M1027*'Parameters'!$C$18</x:f>
        <x:v>2.2055555555555557</x:v>
      </x:c>
      <x:c r="O1027" s="9" t="n">
        <x:f>N1027*'Parameters'!$C$19</x:f>
        <x:v>2.7569444444444446</x:v>
      </x:c>
      <x:c r="P1027" s="9" t="n">
        <x:f>M1027*(1-0.40)-N1027</x:f>
        <x:v>4.411111111111111</x:v>
      </x:c>
      <x:c r="Q1027" s="9" t="n">
        <x:f>'Physical_Arcs'!T7</x:f>
        <x:v>5.527777777777778</x:v>
      </x:c>
      <x:c r="R1027" s="9" t="n">
        <x:f>Q1027*'Parameters'!$C$18</x:f>
        <x:v>1.1055555555555556</x:v>
      </x:c>
      <x:c r="S1027" s="9" t="n">
        <x:f>R1027*'Parameters'!$C$19</x:f>
        <x:v>1.3819444444444446</x:v>
      </x:c>
      <x:c r="T1027" s="9" t="n">
        <x:f>Q1027*(1-0.40)-R1027</x:f>
        <x:v>2.211111111111111</x:v>
      </x:c>
    </x:row>
    <x:row r="1028" ht="21" customHeight="1">
      <x:c r="A1028" s="3" t="n">
        <x:v>17</x:v>
      </x:c>
      <x:c r="B1028" s="3" t="str">
        <x:v>02:50</x:v>
      </x:c>
      <x:c r="C1028" s="3" t="n">
        <x:v>3</x:v>
      </x:c>
      <x:c r="D1028" s="3" t="n">
        <x:v>7</x:v>
      </x:c>
      <x:c r="E1028" s="3" t="n">
        <x:v>1</x:v>
      </x:c>
      <x:c r="F1028" s="3" t="n">
        <x:v>5</x:v>
      </x:c>
      <x:c r="G1028" s="9" t="n">
        <x:v>0.1</x:v>
      </x:c>
      <x:c r="H1028" s="9" t="n">
        <x:v>1.038222</x:v>
      </x:c>
      <x:c r="I1028" s="9" t="n">
        <x:f>'Physical_Arcs'!R8</x:f>
        <x:v>7.972222222222222</x:v>
      </x:c>
      <x:c r="J1028" s="9" t="n">
        <x:f>I1028*'Parameters'!$C$18</x:f>
        <x:v>1.5944444444444446</x:v>
      </x:c>
      <x:c r="K1028" s="9" t="n">
        <x:f>J1028*'Parameters'!$C$19</x:f>
        <x:v>1.9930555555555558</x:v>
      </x:c>
      <x:c r="L1028" s="9" t="n">
        <x:f>I1028*(1-0.40)-J1028</x:f>
        <x:v>3.1888888888888887</x:v>
      </x:c>
      <x:c r="M1028" s="9" t="n">
        <x:f>'Physical_Arcs'!S8</x:f>
        <x:v>7.972222222222222</x:v>
      </x:c>
      <x:c r="N1028" s="9" t="n">
        <x:f>M1028*'Parameters'!$C$18</x:f>
        <x:v>1.5944444444444446</x:v>
      </x:c>
      <x:c r="O1028" s="9" t="n">
        <x:f>N1028*'Parameters'!$C$19</x:f>
        <x:v>1.9930555555555558</x:v>
      </x:c>
      <x:c r="P1028" s="9" t="n">
        <x:f>M1028*(1-0.40)-N1028</x:f>
        <x:v>3.1888888888888887</x:v>
      </x:c>
      <x:c r="Q1028" s="9" t="n">
        <x:f>'Physical_Arcs'!T8</x:f>
        <x:v>4</x:v>
      </x:c>
      <x:c r="R1028" s="9" t="n">
        <x:f>Q1028*'Parameters'!$C$18</x:f>
        <x:v>0.8</x:v>
      </x:c>
      <x:c r="S1028" s="9" t="n">
        <x:f>R1028*'Parameters'!$C$19</x:f>
        <x:v>1</x:v>
      </x:c>
      <x:c r="T1028" s="9" t="n">
        <x:f>Q1028*(1-0.40)-R1028</x:f>
        <x:v>1.5999999999999999</x:v>
      </x:c>
    </x:row>
    <x:row r="1029" ht="21" customHeight="1">
      <x:c r="A1029" s="3" t="n">
        <x:v>17</x:v>
      </x:c>
      <x:c r="B1029" s="3" t="str">
        <x:v>02:50</x:v>
      </x:c>
      <x:c r="C1029" s="3" t="n">
        <x:v>3</x:v>
      </x:c>
      <x:c r="D1029" s="3" t="n">
        <x:v>8</x:v>
      </x:c>
      <x:c r="E1029" s="3" t="n">
        <x:v>1</x:v>
      </x:c>
      <x:c r="F1029" s="3" t="n">
        <x:v>3</x:v>
      </x:c>
      <x:c r="G1029" s="9" t="n">
        <x:v>0.1</x:v>
      </x:c>
      <x:c r="H1029" s="9" t="n">
        <x:v>1.122297</x:v>
      </x:c>
      <x:c r="I1029" s="9" t="n">
        <x:f>'Physical_Arcs'!R9</x:f>
        <x:v>4.166666666666667</x:v>
      </x:c>
      <x:c r="J1029" s="9" t="n">
        <x:f>I1029*'Parameters'!$C$18</x:f>
        <x:v>0.8333333333333335</x:v>
      </x:c>
      <x:c r="K1029" s="9" t="n">
        <x:f>J1029*'Parameters'!$C$19</x:f>
        <x:v>1.041666666666667</x:v>
      </x:c>
      <x:c r="L1029" s="9" t="n">
        <x:f>I1029*(1-0.40)-J1029</x:f>
        <x:v>1.6666666666666665</x:v>
      </x:c>
      <x:c r="M1029" s="9" t="n">
        <x:f>'Physical_Arcs'!S9</x:f>
        <x:v>4.166666666666667</x:v>
      </x:c>
      <x:c r="N1029" s="9" t="n">
        <x:f>M1029*'Parameters'!$C$18</x:f>
        <x:v>0.8333333333333335</x:v>
      </x:c>
      <x:c r="O1029" s="9" t="n">
        <x:f>N1029*'Parameters'!$C$19</x:f>
        <x:v>1.041666666666667</x:v>
      </x:c>
      <x:c r="P1029" s="9" t="n">
        <x:f>M1029*(1-0.40)-N1029</x:f>
        <x:v>1.6666666666666665</x:v>
      </x:c>
      <x:c r="Q1029" s="9" t="n">
        <x:f>'Physical_Arcs'!T9</x:f>
        <x:v>2.0833333333333335</x:v>
      </x:c>
      <x:c r="R1029" s="9" t="n">
        <x:f>Q1029*'Parameters'!$C$18</x:f>
        <x:v>0.41666666666666674</x:v>
      </x:c>
      <x:c r="S1029" s="9" t="n">
        <x:f>R1029*'Parameters'!$C$19</x:f>
        <x:v>0.5208333333333335</x:v>
      </x:c>
      <x:c r="T1029" s="9" t="n">
        <x:f>Q1029*(1-0.40)-R1029</x:f>
        <x:v>0.8333333333333333</x:v>
      </x:c>
    </x:row>
    <x:row r="1030" ht="21" customHeight="1">
      <x:c r="A1030" s="3" t="n">
        <x:v>17</x:v>
      </x:c>
      <x:c r="B1030" s="3" t="str">
        <x:v>02:50</x:v>
      </x:c>
      <x:c r="C1030" s="3" t="n">
        <x:v>3</x:v>
      </x:c>
      <x:c r="D1030" s="3" t="n">
        <x:v>9</x:v>
      </x:c>
      <x:c r="E1030" s="3" t="n">
        <x:v>1</x:v>
      </x:c>
      <x:c r="F1030" s="3" t="n">
        <x:v>6</x:v>
      </x:c>
      <x:c r="G1030" s="9" t="n">
        <x:v>0.1</x:v>
      </x:c>
      <x:c r="H1030" s="9" t="n">
        <x:v>1.132682</x:v>
      </x:c>
      <x:c r="I1030" s="9" t="n">
        <x:f>'Physical_Arcs'!R10</x:f>
        <x:v>2.138888888888889</x:v>
      </x:c>
      <x:c r="J1030" s="9" t="n">
        <x:f>I1030*'Parameters'!$C$18</x:f>
        <x:v>0.4277777777777778</x:v>
      </x:c>
      <x:c r="K1030" s="9" t="n">
        <x:f>J1030*'Parameters'!$C$19</x:f>
        <x:v>0.5347222222222223</x:v>
      </x:c>
      <x:c r="L1030" s="9" t="n">
        <x:f>I1030*(1-0.40)-J1030</x:f>
        <x:v>0.8555555555555554</x:v>
      </x:c>
      <x:c r="M1030" s="9" t="n">
        <x:f>'Physical_Arcs'!S10</x:f>
        <x:v>2.138888888888889</x:v>
      </x:c>
      <x:c r="N1030" s="9" t="n">
        <x:f>M1030*'Parameters'!$C$18</x:f>
        <x:v>0.4277777777777778</x:v>
      </x:c>
      <x:c r="O1030" s="9" t="n">
        <x:f>N1030*'Parameters'!$C$19</x:f>
        <x:v>0.5347222222222223</x:v>
      </x:c>
      <x:c r="P1030" s="9" t="n">
        <x:f>M1030*(1-0.40)-N1030</x:f>
        <x:v>0.8555555555555554</x:v>
      </x:c>
      <x:c r="Q1030" s="9" t="n">
        <x:f>'Physical_Arcs'!T10</x:f>
        <x:v>1.0833333333333333</x:v>
      </x:c>
      <x:c r="R1030" s="9" t="n">
        <x:f>Q1030*'Parameters'!$C$18</x:f>
        <x:v>0.21666666666666667</x:v>
      </x:c>
      <x:c r="S1030" s="9" t="n">
        <x:f>R1030*'Parameters'!$C$19</x:f>
        <x:v>0.27083333333333337</x:v>
      </x:c>
      <x:c r="T1030" s="9" t="n">
        <x:f>Q1030*(1-0.40)-R1030</x:f>
        <x:v>0.43333333333333324</x:v>
      </x:c>
    </x:row>
    <x:row r="1031" ht="21" customHeight="1">
      <x:c r="A1031" s="3" t="n">
        <x:v>17</x:v>
      </x:c>
      <x:c r="B1031" s="3" t="str">
        <x:v>02:50</x:v>
      </x:c>
      <x:c r="C1031" s="3" t="n">
        <x:v>3</x:v>
      </x:c>
      <x:c r="D1031" s="3" t="n">
        <x:v>10</x:v>
      </x:c>
      <x:c r="E1031" s="3" t="n">
        <x:v>2</x:v>
      </x:c>
      <x:c r="F1031" s="3" t="n">
        <x:v>3</x:v>
      </x:c>
      <x:c r="G1031" s="9" t="n">
        <x:v>0.1</x:v>
      </x:c>
      <x:c r="H1031" s="9" t="n">
        <x:v>0.871154</x:v>
      </x:c>
      <x:c r="I1031" s="9" t="n">
        <x:f>'Physical_Arcs'!R11</x:f>
        <x:v>17.02777777777778</x:v>
      </x:c>
      <x:c r="J1031" s="9" t="n">
        <x:f>I1031*'Parameters'!$C$18</x:f>
        <x:v>3.405555555555556</x:v>
      </x:c>
      <x:c r="K1031" s="9" t="n">
        <x:f>J1031*'Parameters'!$C$19</x:f>
        <x:v>4.256944444444445</x:v>
      </x:c>
      <x:c r="L1031" s="9" t="n">
        <x:f>I1031*(1-0.40)-J1031</x:f>
        <x:v>6.811111111111111</x:v>
      </x:c>
      <x:c r="M1031" s="9" t="n">
        <x:f>'Physical_Arcs'!S11</x:f>
        <x:v>17.02777777777778</x:v>
      </x:c>
      <x:c r="N1031" s="9" t="n">
        <x:f>M1031*'Parameters'!$C$18</x:f>
        <x:v>3.405555555555556</x:v>
      </x:c>
      <x:c r="O1031" s="9" t="n">
        <x:f>N1031*'Parameters'!$C$19</x:f>
        <x:v>4.256944444444445</x:v>
      </x:c>
      <x:c r="P1031" s="9" t="n">
        <x:f>M1031*(1-0.40)-N1031</x:f>
        <x:v>6.811111111111111</x:v>
      </x:c>
      <x:c r="Q1031" s="9" t="n">
        <x:f>'Physical_Arcs'!T11</x:f>
        <x:v>17.02777777777778</x:v>
      </x:c>
      <x:c r="R1031" s="9" t="n">
        <x:f>Q1031*'Parameters'!$C$18</x:f>
        <x:v>3.405555555555556</x:v>
      </x:c>
      <x:c r="S1031" s="9" t="n">
        <x:f>R1031*'Parameters'!$C$19</x:f>
        <x:v>4.256944444444445</x:v>
      </x:c>
      <x:c r="T1031" s="9" t="n">
        <x:f>Q1031*(1-0.40)-R1031</x:f>
        <x:v>6.811111111111111</x:v>
      </x:c>
    </x:row>
    <x:row r="1032" ht="21" customHeight="1">
      <x:c r="A1032" s="3" t="n">
        <x:v>17</x:v>
      </x:c>
      <x:c r="B1032" s="3" t="str">
        <x:v>02:50</x:v>
      </x:c>
      <x:c r="C1032" s="3" t="n">
        <x:v>3</x:v>
      </x:c>
      <x:c r="D1032" s="3" t="n">
        <x:v>11</x:v>
      </x:c>
      <x:c r="E1032" s="3" t="n">
        <x:v>2</x:v>
      </x:c>
      <x:c r="F1032" s="3" t="n">
        <x:v>4</x:v>
      </x:c>
      <x:c r="G1032" s="9" t="n">
        <x:v>0.1</x:v>
      </x:c>
      <x:c r="H1032" s="9" t="n">
        <x:v>1.147412</x:v>
      </x:c>
      <x:c r="I1032" s="9" t="n">
        <x:f>'Physical_Arcs'!R12</x:f>
        <x:v>7.972222222222222</x:v>
      </x:c>
      <x:c r="J1032" s="9" t="n">
        <x:f>I1032*'Parameters'!$C$18</x:f>
        <x:v>1.5944444444444446</x:v>
      </x:c>
      <x:c r="K1032" s="9" t="n">
        <x:f>J1032*'Parameters'!$C$19</x:f>
        <x:v>1.9930555555555558</x:v>
      </x:c>
      <x:c r="L1032" s="9" t="n">
        <x:f>I1032*(1-0.40)-J1032</x:f>
        <x:v>3.1888888888888887</x:v>
      </x:c>
      <x:c r="M1032" s="9" t="n">
        <x:f>'Physical_Arcs'!S12</x:f>
        <x:v>7.972222222222222</x:v>
      </x:c>
      <x:c r="N1032" s="9" t="n">
        <x:f>M1032*'Parameters'!$C$18</x:f>
        <x:v>1.5944444444444446</x:v>
      </x:c>
      <x:c r="O1032" s="9" t="n">
        <x:f>N1032*'Parameters'!$C$19</x:f>
        <x:v>1.9930555555555558</x:v>
      </x:c>
      <x:c r="P1032" s="9" t="n">
        <x:f>M1032*(1-0.40)-N1032</x:f>
        <x:v>3.1888888888888887</x:v>
      </x:c>
      <x:c r="Q1032" s="9" t="n">
        <x:f>'Physical_Arcs'!T12</x:f>
        <x:v>4</x:v>
      </x:c>
      <x:c r="R1032" s="9" t="n">
        <x:f>Q1032*'Parameters'!$C$18</x:f>
        <x:v>0.8</x:v>
      </x:c>
      <x:c r="S1032" s="9" t="n">
        <x:f>R1032*'Parameters'!$C$19</x:f>
        <x:v>1</x:v>
      </x:c>
      <x:c r="T1032" s="9" t="n">
        <x:f>Q1032*(1-0.40)-R1032</x:f>
        <x:v>1.5999999999999999</x:v>
      </x:c>
    </x:row>
    <x:row r="1033" ht="21" customHeight="1">
      <x:c r="A1033" s="3" t="n">
        <x:v>17</x:v>
      </x:c>
      <x:c r="B1033" s="3" t="str">
        <x:v>02:50</x:v>
      </x:c>
      <x:c r="C1033" s="3" t="n">
        <x:v>3</x:v>
      </x:c>
      <x:c r="D1033" s="3" t="n">
        <x:v>12</x:v>
      </x:c>
      <x:c r="E1033" s="3" t="n">
        <x:v>2</x:v>
      </x:c>
      <x:c r="F1033" s="3" t="n">
        <x:v>7</x:v>
      </x:c>
      <x:c r="G1033" s="9" t="n">
        <x:v>0.1</x:v>
      </x:c>
      <x:c r="H1033" s="9" t="n">
        <x:v>0.96729</x:v>
      </x:c>
      <x:c r="I1033" s="9" t="n">
        <x:f>'Physical_Arcs'!R13</x:f>
        <x:v>4.611111111111111</x:v>
      </x:c>
      <x:c r="J1033" s="9" t="n">
        <x:f>I1033*'Parameters'!$C$18</x:f>
        <x:v>0.9222222222222222</x:v>
      </x:c>
      <x:c r="K1033" s="9" t="n">
        <x:f>J1033*'Parameters'!$C$19</x:f>
        <x:v>1.1527777777777777</x:v>
      </x:c>
      <x:c r="L1033" s="9" t="n">
        <x:f>I1033*(1-0.40)-J1033</x:f>
        <x:v>1.844444444444444</x:v>
      </x:c>
      <x:c r="M1033" s="9" t="n">
        <x:f>'Physical_Arcs'!S13</x:f>
        <x:v>4.611111111111111</x:v>
      </x:c>
      <x:c r="N1033" s="9" t="n">
        <x:f>M1033*'Parameters'!$C$18</x:f>
        <x:v>0.9222222222222222</x:v>
      </x:c>
      <x:c r="O1033" s="9" t="n">
        <x:f>N1033*'Parameters'!$C$19</x:f>
        <x:v>1.1527777777777777</x:v>
      </x:c>
      <x:c r="P1033" s="9" t="n">
        <x:f>M1033*(1-0.40)-N1033</x:f>
        <x:v>1.844444444444444</x:v>
      </x:c>
      <x:c r="Q1033" s="9" t="n">
        <x:f>'Physical_Arcs'!T13</x:f>
        <x:v>2.3055555555555554</x:v>
      </x:c>
      <x:c r="R1033" s="9" t="n">
        <x:f>Q1033*'Parameters'!$C$18</x:f>
        <x:v>0.4611111111111111</x:v>
      </x:c>
      <x:c r="S1033" s="9" t="n">
        <x:f>R1033*'Parameters'!$C$19</x:f>
        <x:v>0.5763888888888888</x:v>
      </x:c>
      <x:c r="T1033" s="9" t="n">
        <x:f>Q1033*(1-0.40)-R1033</x:f>
        <x:v>0.922222222222222</x:v>
      </x:c>
    </x:row>
    <x:row r="1034" ht="21" customHeight="1">
      <x:c r="A1034" s="3" t="n">
        <x:v>17</x:v>
      </x:c>
      <x:c r="B1034" s="3" t="str">
        <x:v>02:50</x:v>
      </x:c>
      <x:c r="C1034" s="3" t="n">
        <x:v>3</x:v>
      </x:c>
      <x:c r="D1034" s="3" t="n">
        <x:v>13</x:v>
      </x:c>
      <x:c r="E1034" s="3" t="n">
        <x:v>2</x:v>
      </x:c>
      <x:c r="F1034" s="3" t="n">
        <x:v>9</x:v>
      </x:c>
      <x:c r="G1034" s="9" t="n">
        <x:v>0.1</x:v>
      </x:c>
      <x:c r="H1034" s="9" t="n">
        <x:v>1.117625</x:v>
      </x:c>
      <x:c r="I1034" s="9" t="n">
        <x:f>'Physical_Arcs'!R14</x:f>
        <x:v>8.666666666666666</x:v>
      </x:c>
      <x:c r="J1034" s="9" t="n">
        <x:f>I1034*'Parameters'!$C$18</x:f>
        <x:v>1.7333333333333334</x:v>
      </x:c>
      <x:c r="K1034" s="9" t="n">
        <x:f>J1034*'Parameters'!$C$19</x:f>
        <x:v>2.166666666666667</x:v>
      </x:c>
      <x:c r="L1034" s="9" t="n">
        <x:f>I1034*(1-0.40)-J1034</x:f>
        <x:v>3.466666666666666</x:v>
      </x:c>
      <x:c r="M1034" s="9" t="n">
        <x:f>'Physical_Arcs'!S14</x:f>
        <x:v>8.666666666666666</x:v>
      </x:c>
      <x:c r="N1034" s="9" t="n">
        <x:f>M1034*'Parameters'!$C$18</x:f>
        <x:v>1.7333333333333334</x:v>
      </x:c>
      <x:c r="O1034" s="9" t="n">
        <x:f>N1034*'Parameters'!$C$19</x:f>
        <x:v>2.166666666666667</x:v>
      </x:c>
      <x:c r="P1034" s="9" t="n">
        <x:f>M1034*(1-0.40)-N1034</x:f>
        <x:v>3.466666666666666</x:v>
      </x:c>
      <x:c r="Q1034" s="9" t="n">
        <x:f>'Physical_Arcs'!T14</x:f>
        <x:v>4.333333333333333</x:v>
      </x:c>
      <x:c r="R1034" s="9" t="n">
        <x:f>Q1034*'Parameters'!$C$18</x:f>
        <x:v>0.8666666666666667</x:v>
      </x:c>
      <x:c r="S1034" s="9" t="n">
        <x:f>R1034*'Parameters'!$C$19</x:f>
        <x:v>1.0833333333333335</x:v>
      </x:c>
      <x:c r="T1034" s="9" t="n">
        <x:f>Q1034*(1-0.40)-R1034</x:f>
        <x:v>1.733333333333333</x:v>
      </x:c>
    </x:row>
    <x:row r="1035" ht="21" customHeight="1">
      <x:c r="A1035" s="3" t="n">
        <x:v>17</x:v>
      </x:c>
      <x:c r="B1035" s="3" t="str">
        <x:v>02:50</x:v>
      </x:c>
      <x:c r="C1035" s="3" t="n">
        <x:v>3</x:v>
      </x:c>
      <x:c r="D1035" s="3" t="n">
        <x:v>14</x:v>
      </x:c>
      <x:c r="E1035" s="3" t="n">
        <x:v>2</x:v>
      </x:c>
      <x:c r="F1035" s="3" t="n">
        <x:v>8</x:v>
      </x:c>
      <x:c r="G1035" s="9" t="n">
        <x:v>0.1</x:v>
      </x:c>
      <x:c r="H1035" s="9" t="n">
        <x:v>1.144902</x:v>
      </x:c>
      <x:c r="I1035" s="9" t="n">
        <x:f>'Physical_Arcs'!R15</x:f>
        <x:v>7.75</x:v>
      </x:c>
      <x:c r="J1035" s="9" t="n">
        <x:f>I1035*'Parameters'!$C$18</x:f>
        <x:v>1.55</x:v>
      </x:c>
      <x:c r="K1035" s="9" t="n">
        <x:f>J1035*'Parameters'!$C$19</x:f>
        <x:v>1.9375</x:v>
      </x:c>
      <x:c r="L1035" s="9" t="n">
        <x:f>I1035*(1-0.40)-J1035</x:f>
        <x:v>3.0999999999999996</x:v>
      </x:c>
      <x:c r="M1035" s="9" t="n">
        <x:f>'Physical_Arcs'!S15</x:f>
        <x:v>7.75</x:v>
      </x:c>
      <x:c r="N1035" s="9" t="n">
        <x:f>M1035*'Parameters'!$C$18</x:f>
        <x:v>1.55</x:v>
      </x:c>
      <x:c r="O1035" s="9" t="n">
        <x:f>N1035*'Parameters'!$C$19</x:f>
        <x:v>1.9375</x:v>
      </x:c>
      <x:c r="P1035" s="9" t="n">
        <x:f>M1035*(1-0.40)-N1035</x:f>
        <x:v>3.0999999999999996</x:v>
      </x:c>
      <x:c r="Q1035" s="9" t="n">
        <x:f>'Physical_Arcs'!T15</x:f>
        <x:v>3.888888888888889</x:v>
      </x:c>
      <x:c r="R1035" s="9" t="n">
        <x:f>Q1035*'Parameters'!$C$18</x:f>
        <x:v>0.7777777777777778</x:v>
      </x:c>
      <x:c r="S1035" s="9" t="n">
        <x:f>R1035*'Parameters'!$C$19</x:f>
        <x:v>0.9722222222222222</x:v>
      </x:c>
      <x:c r="T1035" s="9" t="n">
        <x:f>Q1035*(1-0.40)-R1035</x:f>
        <x:v>1.5555555555555554</x:v>
      </x:c>
    </x:row>
    <x:row r="1036" ht="21" customHeight="1">
      <x:c r="A1036" s="3" t="n">
        <x:v>17</x:v>
      </x:c>
      <x:c r="B1036" s="3" t="str">
        <x:v>02:50</x:v>
      </x:c>
      <x:c r="C1036" s="3" t="n">
        <x:v>3</x:v>
      </x:c>
      <x:c r="D1036" s="3" t="n">
        <x:v>15</x:v>
      </x:c>
      <x:c r="E1036" s="3" t="n">
        <x:v>2</x:v>
      </x:c>
      <x:c r="F1036" s="3" t="n">
        <x:v>10</x:v>
      </x:c>
      <x:c r="G1036" s="9" t="n">
        <x:v>0.1</x:v>
      </x:c>
      <x:c r="H1036" s="9" t="n">
        <x:v>1.146684</x:v>
      </x:c>
      <x:c r="I1036" s="9" t="n">
        <x:f>'Physical_Arcs'!R16</x:f>
        <x:v>7.416666666666667</x:v>
      </x:c>
      <x:c r="J1036" s="9" t="n">
        <x:f>I1036*'Parameters'!$C$18</x:f>
        <x:v>1.4833333333333334</x:v>
      </x:c>
      <x:c r="K1036" s="9" t="n">
        <x:f>J1036*'Parameters'!$C$19</x:f>
        <x:v>1.8541666666666667</x:v>
      </x:c>
      <x:c r="L1036" s="9" t="n">
        <x:f>I1036*(1-0.40)-J1036</x:f>
        <x:v>2.966666666666667</x:v>
      </x:c>
      <x:c r="M1036" s="9" t="n">
        <x:f>'Physical_Arcs'!S16</x:f>
        <x:v>7.416666666666667</x:v>
      </x:c>
      <x:c r="N1036" s="9" t="n">
        <x:f>M1036*'Parameters'!$C$18</x:f>
        <x:v>1.4833333333333334</x:v>
      </x:c>
      <x:c r="O1036" s="9" t="n">
        <x:f>N1036*'Parameters'!$C$19</x:f>
        <x:v>1.8541666666666667</x:v>
      </x:c>
      <x:c r="P1036" s="9" t="n">
        <x:f>M1036*(1-0.40)-N1036</x:f>
        <x:v>2.966666666666667</x:v>
      </x:c>
      <x:c r="Q1036" s="9" t="n">
        <x:f>'Physical_Arcs'!T16</x:f>
        <x:v>3.7222222222222223</x:v>
      </x:c>
      <x:c r="R1036" s="9" t="n">
        <x:f>Q1036*'Parameters'!$C$18</x:f>
        <x:v>0.7444444444444445</x:v>
      </x:c>
      <x:c r="S1036" s="9" t="n">
        <x:f>R1036*'Parameters'!$C$19</x:f>
        <x:v>0.9305555555555556</x:v>
      </x:c>
      <x:c r="T1036" s="9" t="n">
        <x:f>Q1036*(1-0.40)-R1036</x:f>
        <x:v>1.488888888888889</x:v>
      </x:c>
    </x:row>
    <x:row r="1037" ht="21" customHeight="1">
      <x:c r="A1037" s="3" t="n">
        <x:v>17</x:v>
      </x:c>
      <x:c r="B1037" s="3" t="str">
        <x:v>02:50</x:v>
      </x:c>
      <x:c r="C1037" s="3" t="n">
        <x:v>3</x:v>
      </x:c>
      <x:c r="D1037" s="3" t="n">
        <x:v>16</x:v>
      </x:c>
      <x:c r="E1037" s="3" t="n">
        <x:v>3</x:v>
      </x:c>
      <x:c r="F1037" s="3" t="n">
        <x:v>4</x:v>
      </x:c>
      <x:c r="G1037" s="9" t="n">
        <x:v>0.1</x:v>
      </x:c>
      <x:c r="H1037" s="9" t="n">
        <x:v>1.017658</x:v>
      </x:c>
      <x:c r="I1037" s="9" t="n">
        <x:f>'Physical_Arcs'!R17</x:f>
        <x:v>17.02777777777778</x:v>
      </x:c>
      <x:c r="J1037" s="9" t="n">
        <x:f>I1037*'Parameters'!$C$18</x:f>
        <x:v>3.405555555555556</x:v>
      </x:c>
      <x:c r="K1037" s="9" t="n">
        <x:f>J1037*'Parameters'!$C$19</x:f>
        <x:v>4.256944444444445</x:v>
      </x:c>
      <x:c r="L1037" s="9" t="n">
        <x:f>I1037*(1-0.40)-J1037</x:f>
        <x:v>6.811111111111111</x:v>
      </x:c>
      <x:c r="M1037" s="9" t="n">
        <x:f>'Physical_Arcs'!S17</x:f>
        <x:v>17.02777777777778</x:v>
      </x:c>
      <x:c r="N1037" s="9" t="n">
        <x:f>M1037*'Parameters'!$C$18</x:f>
        <x:v>3.405555555555556</x:v>
      </x:c>
      <x:c r="O1037" s="9" t="n">
        <x:f>N1037*'Parameters'!$C$19</x:f>
        <x:v>4.256944444444445</x:v>
      </x:c>
      <x:c r="P1037" s="9" t="n">
        <x:f>M1037*(1-0.40)-N1037</x:f>
        <x:v>6.811111111111111</x:v>
      </x:c>
      <x:c r="Q1037" s="9" t="n">
        <x:f>'Physical_Arcs'!T17</x:f>
        <x:v>17.02777777777778</x:v>
      </x:c>
      <x:c r="R1037" s="9" t="n">
        <x:f>Q1037*'Parameters'!$C$18</x:f>
        <x:v>3.405555555555556</x:v>
      </x:c>
      <x:c r="S1037" s="9" t="n">
        <x:f>R1037*'Parameters'!$C$19</x:f>
        <x:v>4.256944444444445</x:v>
      </x:c>
      <x:c r="T1037" s="9" t="n">
        <x:f>Q1037*(1-0.40)-R1037</x:f>
        <x:v>6.811111111111111</x:v>
      </x:c>
    </x:row>
    <x:row r="1038" ht="21" customHeight="1">
      <x:c r="A1038" s="3" t="n">
        <x:v>17</x:v>
      </x:c>
      <x:c r="B1038" s="3" t="str">
        <x:v>02:50</x:v>
      </x:c>
      <x:c r="C1038" s="3" t="n">
        <x:v>3</x:v>
      </x:c>
      <x:c r="D1038" s="3" t="n">
        <x:v>17</x:v>
      </x:c>
      <x:c r="E1038" s="3" t="n">
        <x:v>3</x:v>
      </x:c>
      <x:c r="F1038" s="3" t="n">
        <x:v>2</x:v>
      </x:c>
      <x:c r="G1038" s="9" t="n">
        <x:v>0.1</x:v>
      </x:c>
      <x:c r="H1038" s="9" t="n">
        <x:v>0.875995</x:v>
      </x:c>
      <x:c r="I1038" s="9" t="n">
        <x:f>'Physical_Arcs'!R18</x:f>
        <x:v>10.666666666666666</x:v>
      </x:c>
      <x:c r="J1038" s="9" t="n">
        <x:f>I1038*'Parameters'!$C$18</x:f>
        <x:v>2.1333333333333333</x:v>
      </x:c>
      <x:c r="K1038" s="9" t="n">
        <x:f>J1038*'Parameters'!$C$19</x:f>
        <x:v>2.6666666666666665</x:v>
      </x:c>
      <x:c r="L1038" s="9" t="n">
        <x:f>I1038*(1-0.40)-J1038</x:f>
        <x:v>4.266666666666666</x:v>
      </x:c>
      <x:c r="M1038" s="9" t="n">
        <x:f>'Physical_Arcs'!S18</x:f>
        <x:v>10.666666666666666</x:v>
      </x:c>
      <x:c r="N1038" s="9" t="n">
        <x:f>M1038*'Parameters'!$C$18</x:f>
        <x:v>2.1333333333333333</x:v>
      </x:c>
      <x:c r="O1038" s="9" t="n">
        <x:f>N1038*'Parameters'!$C$19</x:f>
        <x:v>2.6666666666666665</x:v>
      </x:c>
      <x:c r="P1038" s="9" t="n">
        <x:f>M1038*(1-0.40)-N1038</x:f>
        <x:v>4.266666666666666</x:v>
      </x:c>
      <x:c r="Q1038" s="9" t="n">
        <x:f>'Physical_Arcs'!T18</x:f>
        <x:v>5.333333333333333</x:v>
      </x:c>
      <x:c r="R1038" s="9" t="n">
        <x:f>Q1038*'Parameters'!$C$18</x:f>
        <x:v>1.0666666666666667</x:v>
      </x:c>
      <x:c r="S1038" s="9" t="n">
        <x:f>R1038*'Parameters'!$C$19</x:f>
        <x:v>1.3333333333333333</x:v>
      </x:c>
      <x:c r="T1038" s="9" t="n">
        <x:f>Q1038*(1-0.40)-R1038</x:f>
        <x:v>2.133333333333333</x:v>
      </x:c>
    </x:row>
    <x:row r="1039" ht="21" customHeight="1">
      <x:c r="A1039" s="3" t="n">
        <x:v>17</x:v>
      </x:c>
      <x:c r="B1039" s="3" t="str">
        <x:v>02:50</x:v>
      </x:c>
      <x:c r="C1039" s="3" t="n">
        <x:v>3</x:v>
      </x:c>
      <x:c r="D1039" s="3" t="n">
        <x:v>18</x:v>
      </x:c>
      <x:c r="E1039" s="3" t="n">
        <x:v>3</x:v>
      </x:c>
      <x:c r="F1039" s="3" t="n">
        <x:v>1</x:v>
      </x:c>
      <x:c r="G1039" s="9" t="n">
        <x:v>0.1</x:v>
      </x:c>
      <x:c r="H1039" s="9" t="n">
        <x:v>1.015397</x:v>
      </x:c>
      <x:c r="I1039" s="9" t="n">
        <x:f>'Physical_Arcs'!R19</x:f>
        <x:v>5.166666666666667</x:v>
      </x:c>
      <x:c r="J1039" s="9" t="n">
        <x:f>I1039*'Parameters'!$C$18</x:f>
        <x:v>1.0333333333333334</x:v>
      </x:c>
      <x:c r="K1039" s="9" t="n">
        <x:f>J1039*'Parameters'!$C$19</x:f>
        <x:v>1.2916666666666667</x:v>
      </x:c>
      <x:c r="L1039" s="9" t="n">
        <x:f>I1039*(1-0.40)-J1039</x:f>
        <x:v>2.0666666666666664</x:v>
      </x:c>
      <x:c r="M1039" s="9" t="n">
        <x:f>'Physical_Arcs'!S19</x:f>
        <x:v>5.166666666666667</x:v>
      </x:c>
      <x:c r="N1039" s="9" t="n">
        <x:f>M1039*'Parameters'!$C$18</x:f>
        <x:v>1.0333333333333334</x:v>
      </x:c>
      <x:c r="O1039" s="9" t="n">
        <x:f>N1039*'Parameters'!$C$19</x:f>
        <x:v>1.2916666666666667</x:v>
      </x:c>
      <x:c r="P1039" s="9" t="n">
        <x:f>M1039*(1-0.40)-N1039</x:f>
        <x:v>2.0666666666666664</x:v>
      </x:c>
      <x:c r="Q1039" s="9" t="n">
        <x:f>'Physical_Arcs'!T19</x:f>
        <x:v>2.5833333333333335</x:v>
      </x:c>
      <x:c r="R1039" s="9" t="n">
        <x:f>Q1039*'Parameters'!$C$18</x:f>
        <x:v>0.5166666666666667</x:v>
      </x:c>
      <x:c r="S1039" s="9" t="n">
        <x:f>R1039*'Parameters'!$C$19</x:f>
        <x:v>0.6458333333333334</x:v>
      </x:c>
      <x:c r="T1039" s="9" t="n">
        <x:f>Q1039*(1-0.40)-R1039</x:f>
        <x:v>1.0333333333333332</x:v>
      </x:c>
    </x:row>
    <x:row r="1040" ht="21" customHeight="1">
      <x:c r="A1040" s="3" t="n">
        <x:v>17</x:v>
      </x:c>
      <x:c r="B1040" s="3" t="str">
        <x:v>02:50</x:v>
      </x:c>
      <x:c r="C1040" s="3" t="n">
        <x:v>3</x:v>
      </x:c>
      <x:c r="D1040" s="3" t="n">
        <x:v>19</x:v>
      </x:c>
      <x:c r="E1040" s="3" t="n">
        <x:v>3</x:v>
      </x:c>
      <x:c r="F1040" s="3" t="n">
        <x:v>7</x:v>
      </x:c>
      <x:c r="G1040" s="9" t="n">
        <x:v>0.1</x:v>
      </x:c>
      <x:c r="H1040" s="9" t="n">
        <x:v>0.996008</x:v>
      </x:c>
      <x:c r="I1040" s="9" t="n">
        <x:f>'Physical_Arcs'!R20</x:f>
        <x:v>5.75</x:v>
      </x:c>
      <x:c r="J1040" s="9" t="n">
        <x:f>I1040*'Parameters'!$C$18</x:f>
        <x:v>1.1500000000000001</x:v>
      </x:c>
      <x:c r="K1040" s="9" t="n">
        <x:f>J1040*'Parameters'!$C$19</x:f>
        <x:v>1.4375000000000002</x:v>
      </x:c>
      <x:c r="L1040" s="9" t="n">
        <x:f>I1040*(1-0.40)-J1040</x:f>
        <x:v>2.3</x:v>
      </x:c>
      <x:c r="M1040" s="9" t="n">
        <x:f>'Physical_Arcs'!S20</x:f>
        <x:v>5.75</x:v>
      </x:c>
      <x:c r="N1040" s="9" t="n">
        <x:f>M1040*'Parameters'!$C$18</x:f>
        <x:v>1.1500000000000001</x:v>
      </x:c>
      <x:c r="O1040" s="9" t="n">
        <x:f>N1040*'Parameters'!$C$19</x:f>
        <x:v>1.4375000000000002</x:v>
      </x:c>
      <x:c r="P1040" s="9" t="n">
        <x:f>M1040*(1-0.40)-N1040</x:f>
        <x:v>2.3</x:v>
      </x:c>
      <x:c r="Q1040" s="9" t="n">
        <x:f>'Physical_Arcs'!T20</x:f>
        <x:v>2.888888888888889</x:v>
      </x:c>
      <x:c r="R1040" s="9" t="n">
        <x:f>Q1040*'Parameters'!$C$18</x:f>
        <x:v>0.5777777777777778</x:v>
      </x:c>
      <x:c r="S1040" s="9" t="n">
        <x:f>R1040*'Parameters'!$C$19</x:f>
        <x:v>0.7222222222222223</x:v>
      </x:c>
      <x:c r="T1040" s="9" t="n">
        <x:f>Q1040*(1-0.40)-R1040</x:f>
        <x:v>1.1555555555555554</x:v>
      </x:c>
    </x:row>
    <x:row r="1041" ht="21" customHeight="1">
      <x:c r="A1041" s="3" t="n">
        <x:v>17</x:v>
      </x:c>
      <x:c r="B1041" s="3" t="str">
        <x:v>02:50</x:v>
      </x:c>
      <x:c r="C1041" s="3" t="n">
        <x:v>3</x:v>
      </x:c>
      <x:c r="D1041" s="3" t="n">
        <x:v>20</x:v>
      </x:c>
      <x:c r="E1041" s="3" t="n">
        <x:v>3</x:v>
      </x:c>
      <x:c r="F1041" s="3" t="n">
        <x:v>10</x:v>
      </x:c>
      <x:c r="G1041" s="9" t="n">
        <x:v>0.1</x:v>
      </x:c>
      <x:c r="H1041" s="9" t="n">
        <x:v>1.118855</x:v>
      </x:c>
      <x:c r="I1041" s="9" t="n">
        <x:f>'Physical_Arcs'!R21</x:f>
        <x:v>5.166666666666667</x:v>
      </x:c>
      <x:c r="J1041" s="9" t="n">
        <x:f>I1041*'Parameters'!$C$18</x:f>
        <x:v>1.0333333333333334</x:v>
      </x:c>
      <x:c r="K1041" s="9" t="n">
        <x:f>J1041*'Parameters'!$C$19</x:f>
        <x:v>1.2916666666666667</x:v>
      </x:c>
      <x:c r="L1041" s="9" t="n">
        <x:f>I1041*(1-0.40)-J1041</x:f>
        <x:v>2.0666666666666664</x:v>
      </x:c>
      <x:c r="M1041" s="9" t="n">
        <x:f>'Physical_Arcs'!S21</x:f>
        <x:v>5.166666666666667</x:v>
      </x:c>
      <x:c r="N1041" s="9" t="n">
        <x:f>M1041*'Parameters'!$C$18</x:f>
        <x:v>1.0333333333333334</x:v>
      </x:c>
      <x:c r="O1041" s="9" t="n">
        <x:f>N1041*'Parameters'!$C$19</x:f>
        <x:v>1.2916666666666667</x:v>
      </x:c>
      <x:c r="P1041" s="9" t="n">
        <x:f>M1041*(1-0.40)-N1041</x:f>
        <x:v>2.0666666666666664</x:v>
      </x:c>
      <x:c r="Q1041" s="9" t="n">
        <x:f>'Physical_Arcs'!T21</x:f>
        <x:v>2.5833333333333335</x:v>
      </x:c>
      <x:c r="R1041" s="9" t="n">
        <x:f>Q1041*'Parameters'!$C$18</x:f>
        <x:v>0.5166666666666667</x:v>
      </x:c>
      <x:c r="S1041" s="9" t="n">
        <x:f>R1041*'Parameters'!$C$19</x:f>
        <x:v>0.6458333333333334</x:v>
      </x:c>
      <x:c r="T1041" s="9" t="n">
        <x:f>Q1041*(1-0.40)-R1041</x:f>
        <x:v>1.0333333333333332</x:v>
      </x:c>
    </x:row>
    <x:row r="1042" ht="21" customHeight="1">
      <x:c r="A1042" s="3" t="n">
        <x:v>17</x:v>
      </x:c>
      <x:c r="B1042" s="3" t="str">
        <x:v>02:50</x:v>
      </x:c>
      <x:c r="C1042" s="3" t="n">
        <x:v>3</x:v>
      </x:c>
      <x:c r="D1042" s="3" t="n">
        <x:v>21</x:v>
      </x:c>
      <x:c r="E1042" s="3" t="n">
        <x:v>3</x:v>
      </x:c>
      <x:c r="F1042" s="3" t="n">
        <x:v>9</x:v>
      </x:c>
      <x:c r="G1042" s="9" t="n">
        <x:v>0.1</x:v>
      </x:c>
      <x:c r="H1042" s="9" t="n">
        <x:v>0.947299</x:v>
      </x:c>
      <x:c r="I1042" s="9" t="n">
        <x:f>'Physical_Arcs'!R22</x:f>
        <x:v>9.333333333333334</x:v>
      </x:c>
      <x:c r="J1042" s="9" t="n">
        <x:f>I1042*'Parameters'!$C$18</x:f>
        <x:v>1.866666666666667</x:v>
      </x:c>
      <x:c r="K1042" s="9" t="n">
        <x:f>J1042*'Parameters'!$C$19</x:f>
        <x:v>2.3333333333333335</x:v>
      </x:c>
      <x:c r="L1042" s="9" t="n">
        <x:f>I1042*(1-0.40)-J1042</x:f>
        <x:v>3.7333333333333334</x:v>
      </x:c>
      <x:c r="M1042" s="9" t="n">
        <x:f>'Physical_Arcs'!S22</x:f>
        <x:v>9.333333333333334</x:v>
      </x:c>
      <x:c r="N1042" s="9" t="n">
        <x:f>M1042*'Parameters'!$C$18</x:f>
        <x:v>1.866666666666667</x:v>
      </x:c>
      <x:c r="O1042" s="9" t="n">
        <x:f>N1042*'Parameters'!$C$19</x:f>
        <x:v>2.3333333333333335</x:v>
      </x:c>
      <x:c r="P1042" s="9" t="n">
        <x:f>M1042*(1-0.40)-N1042</x:f>
        <x:v>3.7333333333333334</x:v>
      </x:c>
      <x:c r="Q1042" s="9" t="n">
        <x:f>'Physical_Arcs'!T22</x:f>
        <x:v>4.666666666666667</x:v>
      </x:c>
      <x:c r="R1042" s="9" t="n">
        <x:f>Q1042*'Parameters'!$C$18</x:f>
        <x:v>0.9333333333333335</x:v>
      </x:c>
      <x:c r="S1042" s="9" t="n">
        <x:f>R1042*'Parameters'!$C$19</x:f>
        <x:v>1.1666666666666667</x:v>
      </x:c>
      <x:c r="T1042" s="9" t="n">
        <x:f>Q1042*(1-0.40)-R1042</x:f>
        <x:v>1.8666666666666667</x:v>
      </x:c>
    </x:row>
    <x:row r="1043" ht="21" customHeight="1">
      <x:c r="A1043" s="3" t="n">
        <x:v>17</x:v>
      </x:c>
      <x:c r="B1043" s="3" t="str">
        <x:v>02:50</x:v>
      </x:c>
      <x:c r="C1043" s="3" t="n">
        <x:v>3</x:v>
      </x:c>
      <x:c r="D1043" s="3" t="n">
        <x:v>22</x:v>
      </x:c>
      <x:c r="E1043" s="3" t="n">
        <x:v>4</x:v>
      </x:c>
      <x:c r="F1043" s="3" t="n">
        <x:v>5</x:v>
      </x:c>
      <x:c r="G1043" s="9" t="n">
        <x:v>0.1</x:v>
      </x:c>
      <x:c r="H1043" s="9" t="n">
        <x:v>0.958485</x:v>
      </x:c>
      <x:c r="I1043" s="9" t="n">
        <x:f>'Physical_Arcs'!R23</x:f>
        <x:v>17.02777777777778</x:v>
      </x:c>
      <x:c r="J1043" s="9" t="n">
        <x:f>I1043*'Parameters'!$C$18</x:f>
        <x:v>3.405555555555556</x:v>
      </x:c>
      <x:c r="K1043" s="9" t="n">
        <x:f>J1043*'Parameters'!$C$19</x:f>
        <x:v>4.256944444444445</x:v>
      </x:c>
      <x:c r="L1043" s="9" t="n">
        <x:f>I1043*(1-0.40)-J1043</x:f>
        <x:v>6.811111111111111</x:v>
      </x:c>
      <x:c r="M1043" s="9" t="n">
        <x:f>'Physical_Arcs'!S23</x:f>
        <x:v>17.02777777777778</x:v>
      </x:c>
      <x:c r="N1043" s="9" t="n">
        <x:f>M1043*'Parameters'!$C$18</x:f>
        <x:v>3.405555555555556</x:v>
      </x:c>
      <x:c r="O1043" s="9" t="n">
        <x:f>N1043*'Parameters'!$C$19</x:f>
        <x:v>4.256944444444445</x:v>
      </x:c>
      <x:c r="P1043" s="9" t="n">
        <x:f>M1043*(1-0.40)-N1043</x:f>
        <x:v>6.811111111111111</x:v>
      </x:c>
      <x:c r="Q1043" s="9" t="n">
        <x:f>'Physical_Arcs'!T23</x:f>
        <x:v>17.02777777777778</x:v>
      </x:c>
      <x:c r="R1043" s="9" t="n">
        <x:f>Q1043*'Parameters'!$C$18</x:f>
        <x:v>3.405555555555556</x:v>
      </x:c>
      <x:c r="S1043" s="9" t="n">
        <x:f>R1043*'Parameters'!$C$19</x:f>
        <x:v>4.256944444444445</x:v>
      </x:c>
      <x:c r="T1043" s="9" t="n">
        <x:f>Q1043*(1-0.40)-R1043</x:f>
        <x:v>6.811111111111111</x:v>
      </x:c>
    </x:row>
    <x:row r="1044" ht="21" customHeight="1">
      <x:c r="A1044" s="3" t="n">
        <x:v>17</x:v>
      </x:c>
      <x:c r="B1044" s="3" t="str">
        <x:v>02:50</x:v>
      </x:c>
      <x:c r="C1044" s="3" t="n">
        <x:v>3</x:v>
      </x:c>
      <x:c r="D1044" s="3" t="n">
        <x:v>23</x:v>
      </x:c>
      <x:c r="E1044" s="3" t="n">
        <x:v>4</x:v>
      </x:c>
      <x:c r="F1044" s="3" t="n">
        <x:v>3</x:v>
      </x:c>
      <x:c r="G1044" s="9" t="n">
        <x:v>0.1</x:v>
      </x:c>
      <x:c r="H1044" s="9" t="n">
        <x:v>0.944916</x:v>
      </x:c>
      <x:c r="I1044" s="9" t="n">
        <x:f>'Physical_Arcs'!R24</x:f>
        <x:v>9.333333333333334</x:v>
      </x:c>
      <x:c r="J1044" s="9" t="n">
        <x:f>I1044*'Parameters'!$C$18</x:f>
        <x:v>1.866666666666667</x:v>
      </x:c>
      <x:c r="K1044" s="9" t="n">
        <x:f>J1044*'Parameters'!$C$19</x:f>
        <x:v>2.3333333333333335</x:v>
      </x:c>
      <x:c r="L1044" s="9" t="n">
        <x:f>I1044*(1-0.40)-J1044</x:f>
        <x:v>3.7333333333333334</x:v>
      </x:c>
      <x:c r="M1044" s="9" t="n">
        <x:f>'Physical_Arcs'!S24</x:f>
        <x:v>9.333333333333334</x:v>
      </x:c>
      <x:c r="N1044" s="9" t="n">
        <x:f>M1044*'Parameters'!$C$18</x:f>
        <x:v>1.866666666666667</x:v>
      </x:c>
      <x:c r="O1044" s="9" t="n">
        <x:f>N1044*'Parameters'!$C$19</x:f>
        <x:v>2.3333333333333335</x:v>
      </x:c>
      <x:c r="P1044" s="9" t="n">
        <x:f>M1044*(1-0.40)-N1044</x:f>
        <x:v>3.7333333333333334</x:v>
      </x:c>
      <x:c r="Q1044" s="9" t="n">
        <x:f>'Physical_Arcs'!T24</x:f>
        <x:v>4.666666666666667</x:v>
      </x:c>
      <x:c r="R1044" s="9" t="n">
        <x:f>Q1044*'Parameters'!$C$18</x:f>
        <x:v>0.9333333333333335</x:v>
      </x:c>
      <x:c r="S1044" s="9" t="n">
        <x:f>R1044*'Parameters'!$C$19</x:f>
        <x:v>1.1666666666666667</x:v>
      </x:c>
      <x:c r="T1044" s="9" t="n">
        <x:f>Q1044*(1-0.40)-R1044</x:f>
        <x:v>1.8666666666666667</x:v>
      </x:c>
    </x:row>
    <x:row r="1045" ht="21" customHeight="1">
      <x:c r="A1045" s="3" t="n">
        <x:v>17</x:v>
      </x:c>
      <x:c r="B1045" s="3" t="str">
        <x:v>02:50</x:v>
      </x:c>
      <x:c r="C1045" s="3" t="n">
        <x:v>3</x:v>
      </x:c>
      <x:c r="D1045" s="3" t="n">
        <x:v>24</x:v>
      </x:c>
      <x:c r="E1045" s="3" t="n">
        <x:v>4</x:v>
      </x:c>
      <x:c r="F1045" s="3" t="n">
        <x:v>10</x:v>
      </x:c>
      <x:c r="G1045" s="9" t="n">
        <x:v>0.1</x:v>
      </x:c>
      <x:c r="H1045" s="9" t="n">
        <x:v>0.875461</x:v>
      </x:c>
      <x:c r="I1045" s="9" t="n">
        <x:f>'Physical_Arcs'!R25</x:f>
        <x:v>7.194444444444445</x:v>
      </x:c>
      <x:c r="J1045" s="9" t="n">
        <x:f>I1045*'Parameters'!$C$18</x:f>
        <x:v>1.438888888888889</x:v>
      </x:c>
      <x:c r="K1045" s="9" t="n">
        <x:f>J1045*'Parameters'!$C$19</x:f>
        <x:v>1.7986111111111114</x:v>
      </x:c>
      <x:c r="L1045" s="9" t="n">
        <x:f>I1045*(1-0.40)-J1045</x:f>
        <x:v>2.8777777777777773</x:v>
      </x:c>
      <x:c r="M1045" s="9" t="n">
        <x:f>'Physical_Arcs'!S25</x:f>
        <x:v>7.194444444444445</x:v>
      </x:c>
      <x:c r="N1045" s="9" t="n">
        <x:f>M1045*'Parameters'!$C$18</x:f>
        <x:v>1.438888888888889</x:v>
      </x:c>
      <x:c r="O1045" s="9" t="n">
        <x:f>N1045*'Parameters'!$C$19</x:f>
        <x:v>1.7986111111111114</x:v>
      </x:c>
      <x:c r="P1045" s="9" t="n">
        <x:f>M1045*(1-0.40)-N1045</x:f>
        <x:v>2.8777777777777773</x:v>
      </x:c>
      <x:c r="Q1045" s="9" t="n">
        <x:f>'Physical_Arcs'!T25</x:f>
        <x:v>3.611111111111111</x:v>
      </x:c>
      <x:c r="R1045" s="9" t="n">
        <x:f>Q1045*'Parameters'!$C$18</x:f>
        <x:v>0.7222222222222223</x:v>
      </x:c>
      <x:c r="S1045" s="9" t="n">
        <x:f>R1045*'Parameters'!$C$19</x:f>
        <x:v>0.9027777777777779</x:v>
      </x:c>
      <x:c r="T1045" s="9" t="n">
        <x:f>Q1045*(1-0.40)-R1045</x:f>
        <x:v>1.4444444444444442</x:v>
      </x:c>
    </x:row>
    <x:row r="1046" ht="21" customHeight="1">
      <x:c r="A1046" s="3" t="n">
        <x:v>17</x:v>
      </x:c>
      <x:c r="B1046" s="3" t="str">
        <x:v>02:50</x:v>
      </x:c>
      <x:c r="C1046" s="3" t="n">
        <x:v>3</x:v>
      </x:c>
      <x:c r="D1046" s="3" t="n">
        <x:v>25</x:v>
      </x:c>
      <x:c r="E1046" s="3" t="n">
        <x:v>4</x:v>
      </x:c>
      <x:c r="F1046" s="3" t="n">
        <x:v>8</x:v>
      </x:c>
      <x:c r="G1046" s="9" t="n">
        <x:v>0.1</x:v>
      </x:c>
      <x:c r="H1046" s="9" t="n">
        <x:v>0.993326</x:v>
      </x:c>
      <x:c r="I1046" s="9" t="n">
        <x:f>'Physical_Arcs'!R26</x:f>
        <x:v>5.277777777777778</x:v>
      </x:c>
      <x:c r="J1046" s="9" t="n">
        <x:f>I1046*'Parameters'!$C$18</x:f>
        <x:v>1.0555555555555556</x:v>
      </x:c>
      <x:c r="K1046" s="9" t="n">
        <x:f>J1046*'Parameters'!$C$19</x:f>
        <x:v>1.3194444444444444</x:v>
      </x:c>
      <x:c r="L1046" s="9" t="n">
        <x:f>I1046*(1-0.40)-J1046</x:f>
        <x:v>2.1111111111111107</x:v>
      </x:c>
      <x:c r="M1046" s="9" t="n">
        <x:f>'Physical_Arcs'!S26</x:f>
        <x:v>5.277777777777778</x:v>
      </x:c>
      <x:c r="N1046" s="9" t="n">
        <x:f>M1046*'Parameters'!$C$18</x:f>
        <x:v>1.0555555555555556</x:v>
      </x:c>
      <x:c r="O1046" s="9" t="n">
        <x:f>N1046*'Parameters'!$C$19</x:f>
        <x:v>1.3194444444444444</x:v>
      </x:c>
      <x:c r="P1046" s="9" t="n">
        <x:f>M1046*(1-0.40)-N1046</x:f>
        <x:v>2.1111111111111107</x:v>
      </x:c>
      <x:c r="Q1046" s="9" t="n">
        <x:f>'Physical_Arcs'!T26</x:f>
        <x:v>2.638888888888889</x:v>
      </x:c>
      <x:c r="R1046" s="9" t="n">
        <x:f>Q1046*'Parameters'!$C$18</x:f>
        <x:v>0.5277777777777778</x:v>
      </x:c>
      <x:c r="S1046" s="9" t="n">
        <x:f>R1046*'Parameters'!$C$19</x:f>
        <x:v>0.6597222222222222</x:v>
      </x:c>
      <x:c r="T1046" s="9" t="n">
        <x:f>Q1046*(1-0.40)-R1046</x:f>
        <x:v>1.0555555555555554</x:v>
      </x:c>
    </x:row>
    <x:row r="1047" ht="21" customHeight="1">
      <x:c r="A1047" s="3" t="n">
        <x:v>17</x:v>
      </x:c>
      <x:c r="B1047" s="3" t="str">
        <x:v>02:50</x:v>
      </x:c>
      <x:c r="C1047" s="3" t="n">
        <x:v>3</x:v>
      </x:c>
      <x:c r="D1047" s="3" t="n">
        <x:v>26</x:v>
      </x:c>
      <x:c r="E1047" s="3" t="n">
        <x:v>4</x:v>
      </x:c>
      <x:c r="F1047" s="3" t="n">
        <x:v>7</x:v>
      </x:c>
      <x:c r="G1047" s="9" t="n">
        <x:v>0.1</x:v>
      </x:c>
      <x:c r="H1047" s="9" t="n">
        <x:v>1.099203</x:v>
      </x:c>
      <x:c r="I1047" s="9" t="n">
        <x:f>'Physical_Arcs'!R27</x:f>
        <x:v>6.527777777777778</x:v>
      </x:c>
      <x:c r="J1047" s="9" t="n">
        <x:f>I1047*'Parameters'!$C$18</x:f>
        <x:v>1.3055555555555556</x:v>
      </x:c>
      <x:c r="K1047" s="9" t="n">
        <x:f>J1047*'Parameters'!$C$19</x:f>
        <x:v>1.6319444444444444</x:v>
      </x:c>
      <x:c r="L1047" s="9" t="n">
        <x:f>I1047*(1-0.40)-J1047</x:f>
        <x:v>2.6111111111111107</x:v>
      </x:c>
      <x:c r="M1047" s="9" t="n">
        <x:f>'Physical_Arcs'!S27</x:f>
        <x:v>6.527777777777778</x:v>
      </x:c>
      <x:c r="N1047" s="9" t="n">
        <x:f>M1047*'Parameters'!$C$18</x:f>
        <x:v>1.3055555555555556</x:v>
      </x:c>
      <x:c r="O1047" s="9" t="n">
        <x:f>N1047*'Parameters'!$C$19</x:f>
        <x:v>1.6319444444444444</x:v>
      </x:c>
      <x:c r="P1047" s="9" t="n">
        <x:f>M1047*(1-0.40)-N1047</x:f>
        <x:v>2.6111111111111107</x:v>
      </x:c>
      <x:c r="Q1047" s="9" t="n">
        <x:f>'Physical_Arcs'!T27</x:f>
        <x:v>3.2777777777777777</x:v>
      </x:c>
      <x:c r="R1047" s="9" t="n">
        <x:f>Q1047*'Parameters'!$C$18</x:f>
        <x:v>0.6555555555555556</x:v>
      </x:c>
      <x:c r="S1047" s="9" t="n">
        <x:f>R1047*'Parameters'!$C$19</x:f>
        <x:v>0.8194444444444444</x:v>
      </x:c>
      <x:c r="T1047" s="9" t="n">
        <x:f>Q1047*(1-0.40)-R1047</x:f>
        <x:v>1.311111111111111</x:v>
      </x:c>
    </x:row>
    <x:row r="1048" ht="21" customHeight="1">
      <x:c r="A1048" s="3" t="n">
        <x:v>17</x:v>
      </x:c>
      <x:c r="B1048" s="3" t="str">
        <x:v>02:50</x:v>
      </x:c>
      <x:c r="C1048" s="3" t="n">
        <x:v>3</x:v>
      </x:c>
      <x:c r="D1048" s="3" t="n">
        <x:v>27</x:v>
      </x:c>
      <x:c r="E1048" s="3" t="n">
        <x:v>4</x:v>
      </x:c>
      <x:c r="F1048" s="3" t="n">
        <x:v>2</x:v>
      </x:c>
      <x:c r="G1048" s="9" t="n">
        <x:v>0.1</x:v>
      </x:c>
      <x:c r="H1048" s="9" t="n">
        <x:v>0.861111</x:v>
      </x:c>
      <x:c r="I1048" s="9" t="n">
        <x:f>'Physical_Arcs'!R28</x:f>
        <x:v>4.944444444444445</x:v>
      </x:c>
      <x:c r="J1048" s="9" t="n">
        <x:f>I1048*'Parameters'!$C$18</x:f>
        <x:v>0.9888888888888889</x:v>
      </x:c>
      <x:c r="K1048" s="9" t="n">
        <x:f>J1048*'Parameters'!$C$19</x:f>
        <x:v>1.2361111111111112</x:v>
      </x:c>
      <x:c r="L1048" s="9" t="n">
        <x:f>I1048*(1-0.40)-J1048</x:f>
        <x:v>1.9777777777777779</x:v>
      </x:c>
      <x:c r="M1048" s="9" t="n">
        <x:f>'Physical_Arcs'!S28</x:f>
        <x:v>4.944444444444445</x:v>
      </x:c>
      <x:c r="N1048" s="9" t="n">
        <x:f>M1048*'Parameters'!$C$18</x:f>
        <x:v>0.9888888888888889</x:v>
      </x:c>
      <x:c r="O1048" s="9" t="n">
        <x:f>N1048*'Parameters'!$C$19</x:f>
        <x:v>1.2361111111111112</x:v>
      </x:c>
      <x:c r="P1048" s="9" t="n">
        <x:f>M1048*(1-0.40)-N1048</x:f>
        <x:v>1.9777777777777779</x:v>
      </x:c>
      <x:c r="Q1048" s="9" t="n">
        <x:f>'Physical_Arcs'!T28</x:f>
        <x:v>2.4722222222222223</x:v>
      </x:c>
      <x:c r="R1048" s="9" t="n">
        <x:f>Q1048*'Parameters'!$C$18</x:f>
        <x:v>0.49444444444444446</x:v>
      </x:c>
      <x:c r="S1048" s="9" t="n">
        <x:f>R1048*'Parameters'!$C$19</x:f>
        <x:v>0.6180555555555556</x:v>
      </x:c>
      <x:c r="T1048" s="9" t="n">
        <x:f>Q1048*(1-0.40)-R1048</x:f>
        <x:v>0.9888888888888889</x:v>
      </x:c>
    </x:row>
    <x:row r="1049" ht="21" customHeight="1">
      <x:c r="A1049" s="3" t="n">
        <x:v>17</x:v>
      </x:c>
      <x:c r="B1049" s="3" t="str">
        <x:v>02:50</x:v>
      </x:c>
      <x:c r="C1049" s="3" t="n">
        <x:v>3</x:v>
      </x:c>
      <x:c r="D1049" s="3" t="n">
        <x:v>28</x:v>
      </x:c>
      <x:c r="E1049" s="3" t="n">
        <x:v>4</x:v>
      </x:c>
      <x:c r="F1049" s="3" t="n">
        <x:v>6</x:v>
      </x:c>
      <x:c r="G1049" s="9" t="n">
        <x:v>0.1</x:v>
      </x:c>
      <x:c r="H1049" s="9" t="n">
        <x:v>1.137214</x:v>
      </x:c>
      <x:c r="I1049" s="9" t="n">
        <x:f>'Physical_Arcs'!R29</x:f>
        <x:v>3.388888888888889</x:v>
      </x:c>
      <x:c r="J1049" s="9" t="n">
        <x:f>I1049*'Parameters'!$C$18</x:f>
        <x:v>0.6777777777777778</x:v>
      </x:c>
      <x:c r="K1049" s="9" t="n">
        <x:f>J1049*'Parameters'!$C$19</x:f>
        <x:v>0.8472222222222223</x:v>
      </x:c>
      <x:c r="L1049" s="9" t="n">
        <x:f>I1049*(1-0.40)-J1049</x:f>
        <x:v>1.3555555555555554</x:v>
      </x:c>
      <x:c r="M1049" s="9" t="n">
        <x:f>'Physical_Arcs'!S29</x:f>
        <x:v>3.388888888888889</x:v>
      </x:c>
      <x:c r="N1049" s="9" t="n">
        <x:f>M1049*'Parameters'!$C$18</x:f>
        <x:v>0.6777777777777778</x:v>
      </x:c>
      <x:c r="O1049" s="9" t="n">
        <x:f>N1049*'Parameters'!$C$19</x:f>
        <x:v>0.8472222222222223</x:v>
      </x:c>
      <x:c r="P1049" s="9" t="n">
        <x:f>M1049*(1-0.40)-N1049</x:f>
        <x:v>1.3555555555555554</x:v>
      </x:c>
      <x:c r="Q1049" s="9" t="n">
        <x:f>'Physical_Arcs'!T29</x:f>
        <x:v>1.6944444444444444</x:v>
      </x:c>
      <x:c r="R1049" s="9" t="n">
        <x:f>Q1049*'Parameters'!$C$18</x:f>
        <x:v>0.3388888888888889</x:v>
      </x:c>
      <x:c r="S1049" s="9" t="n">
        <x:f>R1049*'Parameters'!$C$19</x:f>
        <x:v>0.42361111111111116</x:v>
      </x:c>
      <x:c r="T1049" s="9" t="n">
        <x:f>Q1049*(1-0.40)-R1049</x:f>
        <x:v>0.6777777777777777</x:v>
      </x:c>
    </x:row>
    <x:row r="1050" ht="21" customHeight="1">
      <x:c r="A1050" s="3" t="n">
        <x:v>17</x:v>
      </x:c>
      <x:c r="B1050" s="3" t="str">
        <x:v>02:50</x:v>
      </x:c>
      <x:c r="C1050" s="3" t="n">
        <x:v>3</x:v>
      </x:c>
      <x:c r="D1050" s="3" t="n">
        <x:v>29</x:v>
      </x:c>
      <x:c r="E1050" s="3" t="n">
        <x:v>5</x:v>
      </x:c>
      <x:c r="F1050" s="3" t="n">
        <x:v>6</x:v>
      </x:c>
      <x:c r="G1050" s="9" t="n">
        <x:v>0.1</x:v>
      </x:c>
      <x:c r="H1050" s="9" t="n">
        <x:v>0.949994</x:v>
      </x:c>
      <x:c r="I1050" s="9" t="n">
        <x:f>'Physical_Arcs'!R30</x:f>
        <x:v>17.02777777777778</x:v>
      </x:c>
      <x:c r="J1050" s="9" t="n">
        <x:f>I1050*'Parameters'!$C$18</x:f>
        <x:v>3.405555555555556</x:v>
      </x:c>
      <x:c r="K1050" s="9" t="n">
        <x:f>J1050*'Parameters'!$C$19</x:f>
        <x:v>4.256944444444445</x:v>
      </x:c>
      <x:c r="L1050" s="9" t="n">
        <x:f>I1050*(1-0.40)-J1050</x:f>
        <x:v>6.811111111111111</x:v>
      </x:c>
      <x:c r="M1050" s="9" t="n">
        <x:f>'Physical_Arcs'!S30</x:f>
        <x:v>17.02777777777778</x:v>
      </x:c>
      <x:c r="N1050" s="9" t="n">
        <x:f>M1050*'Parameters'!$C$18</x:f>
        <x:v>3.405555555555556</x:v>
      </x:c>
      <x:c r="O1050" s="9" t="n">
        <x:f>N1050*'Parameters'!$C$19</x:f>
        <x:v>4.256944444444445</x:v>
      </x:c>
      <x:c r="P1050" s="9" t="n">
        <x:f>M1050*(1-0.40)-N1050</x:f>
        <x:v>6.811111111111111</x:v>
      </x:c>
      <x:c r="Q1050" s="9" t="n">
        <x:f>'Physical_Arcs'!T30</x:f>
        <x:v>17.02777777777778</x:v>
      </x:c>
      <x:c r="R1050" s="9" t="n">
        <x:f>Q1050*'Parameters'!$C$18</x:f>
        <x:v>3.405555555555556</x:v>
      </x:c>
      <x:c r="S1050" s="9" t="n">
        <x:f>R1050*'Parameters'!$C$19</x:f>
        <x:v>4.256944444444445</x:v>
      </x:c>
      <x:c r="T1050" s="9" t="n">
        <x:f>Q1050*(1-0.40)-R1050</x:f>
        <x:v>6.811111111111111</x:v>
      </x:c>
    </x:row>
    <x:row r="1051" ht="21" customHeight="1">
      <x:c r="A1051" s="3" t="n">
        <x:v>17</x:v>
      </x:c>
      <x:c r="B1051" s="3" t="str">
        <x:v>02:50</x:v>
      </x:c>
      <x:c r="C1051" s="3" t="n">
        <x:v>3</x:v>
      </x:c>
      <x:c r="D1051" s="3" t="n">
        <x:v>30</x:v>
      </x:c>
      <x:c r="E1051" s="3" t="n">
        <x:v>5</x:v>
      </x:c>
      <x:c r="F1051" s="3" t="n">
        <x:v>2</x:v>
      </x:c>
      <x:c r="G1051" s="9" t="n">
        <x:v>0.1</x:v>
      </x:c>
      <x:c r="H1051" s="9" t="n">
        <x:v>0.882396</x:v>
      </x:c>
      <x:c r="I1051" s="9" t="n">
        <x:f>'Physical_Arcs'!R31</x:f>
        <x:v>2.9444444444444446</x:v>
      </x:c>
      <x:c r="J1051" s="9" t="n">
        <x:f>I1051*'Parameters'!$C$18</x:f>
        <x:v>0.5888888888888889</x:v>
      </x:c>
      <x:c r="K1051" s="9" t="n">
        <x:f>J1051*'Parameters'!$C$19</x:f>
        <x:v>0.7361111111111112</x:v>
      </x:c>
      <x:c r="L1051" s="9" t="n">
        <x:f>I1051*(1-0.40)-J1051</x:f>
        <x:v>1.177777777777778</x:v>
      </x:c>
      <x:c r="M1051" s="9" t="n">
        <x:f>'Physical_Arcs'!S31</x:f>
        <x:v>2.9444444444444446</x:v>
      </x:c>
      <x:c r="N1051" s="9" t="n">
        <x:f>M1051*'Parameters'!$C$18</x:f>
        <x:v>0.5888888888888889</x:v>
      </x:c>
      <x:c r="O1051" s="9" t="n">
        <x:f>N1051*'Parameters'!$C$19</x:f>
        <x:v>0.7361111111111112</x:v>
      </x:c>
      <x:c r="P1051" s="9" t="n">
        <x:f>M1051*(1-0.40)-N1051</x:f>
        <x:v>1.177777777777778</x:v>
      </x:c>
      <x:c r="Q1051" s="9" t="n">
        <x:f>'Physical_Arcs'!T31</x:f>
        <x:v>1.4722222222222223</x:v>
      </x:c>
      <x:c r="R1051" s="9" t="n">
        <x:f>Q1051*'Parameters'!$C$18</x:f>
        <x:v>0.29444444444444445</x:v>
      </x:c>
      <x:c r="S1051" s="9" t="n">
        <x:f>R1051*'Parameters'!$C$19</x:f>
        <x:v>0.3680555555555556</x:v>
      </x:c>
      <x:c r="T1051" s="9" t="n">
        <x:f>Q1051*(1-0.40)-R1051</x:f>
        <x:v>0.588888888888889</x:v>
      </x:c>
    </x:row>
    <x:row r="1052" ht="21" customHeight="1">
      <x:c r="A1052" s="3" t="n">
        <x:v>17</x:v>
      </x:c>
      <x:c r="B1052" s="3" t="str">
        <x:v>02:50</x:v>
      </x:c>
      <x:c r="C1052" s="3" t="n">
        <x:v>3</x:v>
      </x:c>
      <x:c r="D1052" s="3" t="n">
        <x:v>31</x:v>
      </x:c>
      <x:c r="E1052" s="3" t="n">
        <x:v>5</x:v>
      </x:c>
      <x:c r="F1052" s="3" t="n">
        <x:v>8</x:v>
      </x:c>
      <x:c r="G1052" s="9" t="n">
        <x:v>0.1</x:v>
      </x:c>
      <x:c r="H1052" s="9" t="n">
        <x:v>0.986718</x:v>
      </x:c>
      <x:c r="I1052" s="9" t="n">
        <x:f>'Physical_Arcs'!R32</x:f>
        <x:v>9.333333333333334</x:v>
      </x:c>
      <x:c r="J1052" s="9" t="n">
        <x:f>I1052*'Parameters'!$C$18</x:f>
        <x:v>1.866666666666667</x:v>
      </x:c>
      <x:c r="K1052" s="9" t="n">
        <x:f>J1052*'Parameters'!$C$19</x:f>
        <x:v>2.3333333333333335</x:v>
      </x:c>
      <x:c r="L1052" s="9" t="n">
        <x:f>I1052*(1-0.40)-J1052</x:f>
        <x:v>3.7333333333333334</x:v>
      </x:c>
      <x:c r="M1052" s="9" t="n">
        <x:f>'Physical_Arcs'!S32</x:f>
        <x:v>9.333333333333334</x:v>
      </x:c>
      <x:c r="N1052" s="9" t="n">
        <x:f>M1052*'Parameters'!$C$18</x:f>
        <x:v>1.866666666666667</x:v>
      </x:c>
      <x:c r="O1052" s="9" t="n">
        <x:f>N1052*'Parameters'!$C$19</x:f>
        <x:v>2.3333333333333335</x:v>
      </x:c>
      <x:c r="P1052" s="9" t="n">
        <x:f>M1052*(1-0.40)-N1052</x:f>
        <x:v>3.7333333333333334</x:v>
      </x:c>
      <x:c r="Q1052" s="9" t="n">
        <x:f>'Physical_Arcs'!T32</x:f>
        <x:v>4.666666666666667</x:v>
      </x:c>
      <x:c r="R1052" s="9" t="n">
        <x:f>Q1052*'Parameters'!$C$18</x:f>
        <x:v>0.9333333333333335</x:v>
      </x:c>
      <x:c r="S1052" s="9" t="n">
        <x:f>R1052*'Parameters'!$C$19</x:f>
        <x:v>1.1666666666666667</x:v>
      </x:c>
      <x:c r="T1052" s="9" t="n">
        <x:f>Q1052*(1-0.40)-R1052</x:f>
        <x:v>1.8666666666666667</x:v>
      </x:c>
    </x:row>
    <x:row r="1053" ht="21" customHeight="1">
      <x:c r="A1053" s="3" t="n">
        <x:v>17</x:v>
      </x:c>
      <x:c r="B1053" s="3" t="str">
        <x:v>02:50</x:v>
      </x:c>
      <x:c r="C1053" s="3" t="n">
        <x:v>3</x:v>
      </x:c>
      <x:c r="D1053" s="3" t="n">
        <x:v>32</x:v>
      </x:c>
      <x:c r="E1053" s="3" t="n">
        <x:v>5</x:v>
      </x:c>
      <x:c r="F1053" s="3" t="n">
        <x:v>3</x:v>
      </x:c>
      <x:c r="G1053" s="9" t="n">
        <x:v>0.1</x:v>
      </x:c>
      <x:c r="H1053" s="9" t="n">
        <x:v>1.089544</x:v>
      </x:c>
      <x:c r="I1053" s="9" t="n">
        <x:f>'Physical_Arcs'!R33</x:f>
        <x:v>11.13888888888889</x:v>
      </x:c>
      <x:c r="J1053" s="9" t="n">
        <x:f>I1053*'Parameters'!$C$18</x:f>
        <x:v>2.227777777777778</x:v>
      </x:c>
      <x:c r="K1053" s="9" t="n">
        <x:f>J1053*'Parameters'!$C$19</x:f>
        <x:v>2.7847222222222223</x:v>
      </x:c>
      <x:c r="L1053" s="9" t="n">
        <x:f>I1053*(1-0.40)-J1053</x:f>
        <x:v>4.455555555555556</x:v>
      </x:c>
      <x:c r="M1053" s="9" t="n">
        <x:f>'Physical_Arcs'!S33</x:f>
        <x:v>11.13888888888889</x:v>
      </x:c>
      <x:c r="N1053" s="9" t="n">
        <x:f>M1053*'Parameters'!$C$18</x:f>
        <x:v>2.227777777777778</x:v>
      </x:c>
      <x:c r="O1053" s="9" t="n">
        <x:f>N1053*'Parameters'!$C$19</x:f>
        <x:v>2.7847222222222223</x:v>
      </x:c>
      <x:c r="P1053" s="9" t="n">
        <x:f>M1053*(1-0.40)-N1053</x:f>
        <x:v>4.455555555555556</x:v>
      </x:c>
      <x:c r="Q1053" s="9" t="n">
        <x:f>'Physical_Arcs'!T33</x:f>
        <x:v>5.583333333333333</x:v>
      </x:c>
      <x:c r="R1053" s="9" t="n">
        <x:f>Q1053*'Parameters'!$C$18</x:f>
        <x:v>1.1166666666666667</x:v>
      </x:c>
      <x:c r="S1053" s="9" t="n">
        <x:f>R1053*'Parameters'!$C$19</x:f>
        <x:v>1.3958333333333335</x:v>
      </x:c>
      <x:c r="T1053" s="9" t="n">
        <x:f>Q1053*(1-0.40)-R1053</x:f>
        <x:v>2.233333333333333</x:v>
      </x:c>
    </x:row>
    <x:row r="1054" ht="21" customHeight="1">
      <x:c r="A1054" s="3" t="n">
        <x:v>17</x:v>
      </x:c>
      <x:c r="B1054" s="3" t="str">
        <x:v>02:50</x:v>
      </x:c>
      <x:c r="C1054" s="3" t="n">
        <x:v>3</x:v>
      </x:c>
      <x:c r="D1054" s="3" t="n">
        <x:v>33</x:v>
      </x:c>
      <x:c r="E1054" s="3" t="n">
        <x:v>5</x:v>
      </x:c>
      <x:c r="F1054" s="3" t="n">
        <x:v>10</x:v>
      </x:c>
      <x:c r="G1054" s="9" t="n">
        <x:v>0.1</x:v>
      </x:c>
      <x:c r="H1054" s="9" t="n">
        <x:v>1.103596</x:v>
      </x:c>
      <x:c r="I1054" s="9" t="n">
        <x:f>'Physical_Arcs'!R34</x:f>
        <x:v>4.611111111111111</x:v>
      </x:c>
      <x:c r="J1054" s="9" t="n">
        <x:f>I1054*'Parameters'!$C$18</x:f>
        <x:v>0.9222222222222222</x:v>
      </x:c>
      <x:c r="K1054" s="9" t="n">
        <x:f>J1054*'Parameters'!$C$19</x:f>
        <x:v>1.1527777777777777</x:v>
      </x:c>
      <x:c r="L1054" s="9" t="n">
        <x:f>I1054*(1-0.40)-J1054</x:f>
        <x:v>1.844444444444444</x:v>
      </x:c>
      <x:c r="M1054" s="9" t="n">
        <x:f>'Physical_Arcs'!S34</x:f>
        <x:v>4.611111111111111</x:v>
      </x:c>
      <x:c r="N1054" s="9" t="n">
        <x:f>M1054*'Parameters'!$C$18</x:f>
        <x:v>0.9222222222222222</x:v>
      </x:c>
      <x:c r="O1054" s="9" t="n">
        <x:f>N1054*'Parameters'!$C$19</x:f>
        <x:v>1.1527777777777777</x:v>
      </x:c>
      <x:c r="P1054" s="9" t="n">
        <x:f>M1054*(1-0.40)-N1054</x:f>
        <x:v>1.844444444444444</x:v>
      </x:c>
      <x:c r="Q1054" s="9" t="n">
        <x:f>'Physical_Arcs'!T34</x:f>
        <x:v>2.3055555555555554</x:v>
      </x:c>
      <x:c r="R1054" s="9" t="n">
        <x:f>Q1054*'Parameters'!$C$18</x:f>
        <x:v>0.4611111111111111</x:v>
      </x:c>
      <x:c r="S1054" s="9" t="n">
        <x:f>R1054*'Parameters'!$C$19</x:f>
        <x:v>0.5763888888888888</x:v>
      </x:c>
      <x:c r="T1054" s="9" t="n">
        <x:f>Q1054*(1-0.40)-R1054</x:f>
        <x:v>0.922222222222222</x:v>
      </x:c>
    </x:row>
    <x:row r="1055" ht="21" customHeight="1">
      <x:c r="A1055" s="3" t="n">
        <x:v>17</x:v>
      </x:c>
      <x:c r="B1055" s="3" t="str">
        <x:v>02:50</x:v>
      </x:c>
      <x:c r="C1055" s="3" t="n">
        <x:v>3</x:v>
      </x:c>
      <x:c r="D1055" s="3" t="n">
        <x:v>34</x:v>
      </x:c>
      <x:c r="E1055" s="3" t="n">
        <x:v>6</x:v>
      </x:c>
      <x:c r="F1055" s="3" t="n">
        <x:v>7</x:v>
      </x:c>
      <x:c r="G1055" s="9" t="n">
        <x:v>0.1</x:v>
      </x:c>
      <x:c r="H1055" s="9" t="n">
        <x:v>0.973887</x:v>
      </x:c>
      <x:c r="I1055" s="9" t="n">
        <x:f>'Physical_Arcs'!R35</x:f>
        <x:v>17.02777777777778</x:v>
      </x:c>
      <x:c r="J1055" s="9" t="n">
        <x:f>I1055*'Parameters'!$C$18</x:f>
        <x:v>3.405555555555556</x:v>
      </x:c>
      <x:c r="K1055" s="9" t="n">
        <x:f>J1055*'Parameters'!$C$19</x:f>
        <x:v>4.256944444444445</x:v>
      </x:c>
      <x:c r="L1055" s="9" t="n">
        <x:f>I1055*(1-0.40)-J1055</x:f>
        <x:v>6.811111111111111</x:v>
      </x:c>
      <x:c r="M1055" s="9" t="n">
        <x:f>'Physical_Arcs'!S35</x:f>
        <x:v>17.02777777777778</x:v>
      </x:c>
      <x:c r="N1055" s="9" t="n">
        <x:f>M1055*'Parameters'!$C$18</x:f>
        <x:v>3.405555555555556</x:v>
      </x:c>
      <x:c r="O1055" s="9" t="n">
        <x:f>N1055*'Parameters'!$C$19</x:f>
        <x:v>4.256944444444445</x:v>
      </x:c>
      <x:c r="P1055" s="9" t="n">
        <x:f>M1055*(1-0.40)-N1055</x:f>
        <x:v>6.811111111111111</x:v>
      </x:c>
      <x:c r="Q1055" s="9" t="n">
        <x:f>'Physical_Arcs'!T35</x:f>
        <x:v>17.02777777777778</x:v>
      </x:c>
      <x:c r="R1055" s="9" t="n">
        <x:f>Q1055*'Parameters'!$C$18</x:f>
        <x:v>3.405555555555556</x:v>
      </x:c>
      <x:c r="S1055" s="9" t="n">
        <x:f>R1055*'Parameters'!$C$19</x:f>
        <x:v>4.256944444444445</x:v>
      </x:c>
      <x:c r="T1055" s="9" t="n">
        <x:f>Q1055*(1-0.40)-R1055</x:f>
        <x:v>6.811111111111111</x:v>
      </x:c>
    </x:row>
    <x:row r="1056" ht="21" customHeight="1">
      <x:c r="A1056" s="3" t="n">
        <x:v>17</x:v>
      </x:c>
      <x:c r="B1056" s="3" t="str">
        <x:v>02:50</x:v>
      </x:c>
      <x:c r="C1056" s="3" t="n">
        <x:v>3</x:v>
      </x:c>
      <x:c r="D1056" s="3" t="n">
        <x:v>35</x:v>
      </x:c>
      <x:c r="E1056" s="3" t="n">
        <x:v>6</x:v>
      </x:c>
      <x:c r="F1056" s="3" t="n">
        <x:v>10</x:v>
      </x:c>
      <x:c r="G1056" s="9" t="n">
        <x:v>0.1</x:v>
      </x:c>
      <x:c r="H1056" s="9" t="n">
        <x:v>1.009062</x:v>
      </x:c>
      <x:c r="I1056" s="9" t="n">
        <x:f>'Physical_Arcs'!R36</x:f>
        <x:v>4.055555555555555</x:v>
      </x:c>
      <x:c r="J1056" s="9" t="n">
        <x:f>I1056*'Parameters'!$C$18</x:f>
        <x:v>0.8111111111111111</x:v>
      </x:c>
      <x:c r="K1056" s="9" t="n">
        <x:f>J1056*'Parameters'!$C$19</x:f>
        <x:v>1.0138888888888888</x:v>
      </x:c>
      <x:c r="L1056" s="9" t="n">
        <x:f>I1056*(1-0.40)-J1056</x:f>
        <x:v>1.622222222222222</x:v>
      </x:c>
      <x:c r="M1056" s="9" t="n">
        <x:f>'Physical_Arcs'!S36</x:f>
        <x:v>4.055555555555555</x:v>
      </x:c>
      <x:c r="N1056" s="9" t="n">
        <x:f>M1056*'Parameters'!$C$18</x:f>
        <x:v>0.8111111111111111</x:v>
      </x:c>
      <x:c r="O1056" s="9" t="n">
        <x:f>N1056*'Parameters'!$C$19</x:f>
        <x:v>1.0138888888888888</x:v>
      </x:c>
      <x:c r="P1056" s="9" t="n">
        <x:f>M1056*(1-0.40)-N1056</x:f>
        <x:v>1.622222222222222</x:v>
      </x:c>
      <x:c r="Q1056" s="9" t="n">
        <x:f>'Physical_Arcs'!T36</x:f>
        <x:v>2.0277777777777777</x:v>
      </x:c>
      <x:c r="R1056" s="9" t="n">
        <x:f>Q1056*'Parameters'!$C$18</x:f>
        <x:v>0.40555555555555556</x:v>
      </x:c>
      <x:c r="S1056" s="9" t="n">
        <x:f>R1056*'Parameters'!$C$19</x:f>
        <x:v>0.5069444444444444</x:v>
      </x:c>
      <x:c r="T1056" s="9" t="n">
        <x:f>Q1056*(1-0.40)-R1056</x:f>
        <x:v>0.811111111111111</x:v>
      </x:c>
    </x:row>
    <x:row r="1057" ht="21" customHeight="1">
      <x:c r="A1057" s="3" t="n">
        <x:v>17</x:v>
      </x:c>
      <x:c r="B1057" s="3" t="str">
        <x:v>02:50</x:v>
      </x:c>
      <x:c r="C1057" s="3" t="n">
        <x:v>3</x:v>
      </x:c>
      <x:c r="D1057" s="3" t="n">
        <x:v>36</x:v>
      </x:c>
      <x:c r="E1057" s="3" t="n">
        <x:v>6</x:v>
      </x:c>
      <x:c r="F1057" s="3" t="n">
        <x:v>8</x:v>
      </x:c>
      <x:c r="G1057" s="9" t="n">
        <x:v>0.1</x:v>
      </x:c>
      <x:c r="H1057" s="9" t="n">
        <x:v>1.132129</x:v>
      </x:c>
      <x:c r="I1057" s="9" t="n">
        <x:f>'Physical_Arcs'!R37</x:f>
        <x:v>6.972222222222222</x:v>
      </x:c>
      <x:c r="J1057" s="9" t="n">
        <x:f>I1057*'Parameters'!$C$18</x:f>
        <x:v>1.3944444444444446</x:v>
      </x:c>
      <x:c r="K1057" s="9" t="n">
        <x:f>J1057*'Parameters'!$C$19</x:f>
        <x:v>1.7430555555555558</x:v>
      </x:c>
      <x:c r="L1057" s="9" t="n">
        <x:f>I1057*(1-0.40)-J1057</x:f>
        <x:v>2.7888888888888888</x:v>
      </x:c>
      <x:c r="M1057" s="9" t="n">
        <x:f>'Physical_Arcs'!S37</x:f>
        <x:v>6.972222222222222</x:v>
      </x:c>
      <x:c r="N1057" s="9" t="n">
        <x:f>M1057*'Parameters'!$C$18</x:f>
        <x:v>1.3944444444444446</x:v>
      </x:c>
      <x:c r="O1057" s="9" t="n">
        <x:f>N1057*'Parameters'!$C$19</x:f>
        <x:v>1.7430555555555558</x:v>
      </x:c>
      <x:c r="P1057" s="9" t="n">
        <x:f>M1057*(1-0.40)-N1057</x:f>
        <x:v>2.7888888888888888</x:v>
      </x:c>
      <x:c r="Q1057" s="9" t="n">
        <x:f>'Physical_Arcs'!T37</x:f>
        <x:v>3.5</x:v>
      </x:c>
      <x:c r="R1057" s="9" t="n">
        <x:f>Q1057*'Parameters'!$C$18</x:f>
        <x:v>0.7000000000000001</x:v>
      </x:c>
      <x:c r="S1057" s="9" t="n">
        <x:f>R1057*'Parameters'!$C$19</x:f>
        <x:v>0.8750000000000001</x:v>
      </x:c>
      <x:c r="T1057" s="9" t="n">
        <x:f>Q1057*(1-0.40)-R1057</x:f>
        <x:v>1.4</x:v>
      </x:c>
    </x:row>
    <x:row r="1058" ht="21" customHeight="1">
      <x:c r="A1058" s="3" t="n">
        <x:v>17</x:v>
      </x:c>
      <x:c r="B1058" s="3" t="str">
        <x:v>02:50</x:v>
      </x:c>
      <x:c r="C1058" s="3" t="n">
        <x:v>3</x:v>
      </x:c>
      <x:c r="D1058" s="3" t="n">
        <x:v>37</x:v>
      </x:c>
      <x:c r="E1058" s="3" t="n">
        <x:v>6</x:v>
      </x:c>
      <x:c r="F1058" s="3" t="n">
        <x:v>1</x:v>
      </x:c>
      <x:c r="G1058" s="9" t="n">
        <x:v>0.1</x:v>
      </x:c>
      <x:c r="H1058" s="9" t="n">
        <x:v>1.020746</x:v>
      </x:c>
      <x:c r="I1058" s="9" t="n">
        <x:f>'Physical_Arcs'!R38</x:f>
        <x:v>6.305555555555555</x:v>
      </x:c>
      <x:c r="J1058" s="9" t="n">
        <x:f>I1058*'Parameters'!$C$18</x:f>
        <x:v>1.261111111111111</x:v>
      </x:c>
      <x:c r="K1058" s="9" t="n">
        <x:f>J1058*'Parameters'!$C$19</x:f>
        <x:v>1.5763888888888888</x:v>
      </x:c>
      <x:c r="L1058" s="9" t="n">
        <x:f>I1058*(1-0.40)-J1058</x:f>
        <x:v>2.522222222222222</x:v>
      </x:c>
      <x:c r="M1058" s="9" t="n">
        <x:f>'Physical_Arcs'!S38</x:f>
        <x:v>6.305555555555555</x:v>
      </x:c>
      <x:c r="N1058" s="9" t="n">
        <x:f>M1058*'Parameters'!$C$18</x:f>
        <x:v>1.261111111111111</x:v>
      </x:c>
      <x:c r="O1058" s="9" t="n">
        <x:f>N1058*'Parameters'!$C$19</x:f>
        <x:v>1.5763888888888888</x:v>
      </x:c>
      <x:c r="P1058" s="9" t="n">
        <x:f>M1058*(1-0.40)-N1058</x:f>
        <x:v>2.522222222222222</x:v>
      </x:c>
      <x:c r="Q1058" s="9" t="n">
        <x:f>'Physical_Arcs'!T38</x:f>
        <x:v>3.1666666666666665</x:v>
      </x:c>
      <x:c r="R1058" s="9" t="n">
        <x:f>Q1058*'Parameters'!$C$18</x:f>
        <x:v>0.6333333333333333</x:v>
      </x:c>
      <x:c r="S1058" s="9" t="n">
        <x:f>R1058*'Parameters'!$C$19</x:f>
        <x:v>0.7916666666666666</x:v>
      </x:c>
      <x:c r="T1058" s="9" t="n">
        <x:f>Q1058*(1-0.40)-R1058</x:f>
        <x:v>1.2666666666666666</x:v>
      </x:c>
    </x:row>
    <x:row r="1059" ht="21" customHeight="1">
      <x:c r="A1059" s="3" t="n">
        <x:v>17</x:v>
      </x:c>
      <x:c r="B1059" s="3" t="str">
        <x:v>02:50</x:v>
      </x:c>
      <x:c r="C1059" s="3" t="n">
        <x:v>3</x:v>
      </x:c>
      <x:c r="D1059" s="3" t="n">
        <x:v>38</x:v>
      </x:c>
      <x:c r="E1059" s="3" t="n">
        <x:v>6</x:v>
      </x:c>
      <x:c r="F1059" s="3" t="n">
        <x:v>3</x:v>
      </x:c>
      <x:c r="G1059" s="9" t="n">
        <x:v>0.1</x:v>
      </x:c>
      <x:c r="H1059" s="9" t="n">
        <x:v>1.149081</x:v>
      </x:c>
      <x:c r="I1059" s="9" t="n">
        <x:f>'Physical_Arcs'!R39</x:f>
        <x:v>1.9166666666666667</x:v>
      </x:c>
      <x:c r="J1059" s="9" t="n">
        <x:f>I1059*'Parameters'!$C$18</x:f>
        <x:v>0.38333333333333336</x:v>
      </x:c>
      <x:c r="K1059" s="9" t="n">
        <x:f>J1059*'Parameters'!$C$19</x:f>
        <x:v>0.4791666666666667</x:v>
      </x:c>
      <x:c r="L1059" s="9" t="n">
        <x:f>I1059*(1-0.40)-J1059</x:f>
        <x:v>0.7666666666666666</x:v>
      </x:c>
      <x:c r="M1059" s="9" t="n">
        <x:f>'Physical_Arcs'!S39</x:f>
        <x:v>1.9166666666666667</x:v>
      </x:c>
      <x:c r="N1059" s="9" t="n">
        <x:f>M1059*'Parameters'!$C$18</x:f>
        <x:v>0.38333333333333336</x:v>
      </x:c>
      <x:c r="O1059" s="9" t="n">
        <x:f>N1059*'Parameters'!$C$19</x:f>
        <x:v>0.4791666666666667</x:v>
      </x:c>
      <x:c r="P1059" s="9" t="n">
        <x:f>M1059*(1-0.40)-N1059</x:f>
        <x:v>0.7666666666666666</x:v>
      </x:c>
      <x:c r="Q1059" s="9" t="n">
        <x:f>'Physical_Arcs'!T39</x:f>
        <x:v>0.9722222222222222</x:v>
      </x:c>
      <x:c r="R1059" s="9" t="n">
        <x:f>Q1059*'Parameters'!$C$18</x:f>
        <x:v>0.19444444444444445</x:v>
      </x:c>
      <x:c r="S1059" s="9" t="n">
        <x:f>R1059*'Parameters'!$C$19</x:f>
        <x:v>0.24305555555555555</x:v>
      </x:c>
      <x:c r="T1059" s="9" t="n">
        <x:f>Q1059*(1-0.40)-R1059</x:f>
        <x:v>0.38888888888888884</x:v>
      </x:c>
    </x:row>
    <x:row r="1060" ht="21" customHeight="1">
      <x:c r="A1060" s="3" t="n">
        <x:v>17</x:v>
      </x:c>
      <x:c r="B1060" s="3" t="str">
        <x:v>02:50</x:v>
      </x:c>
      <x:c r="C1060" s="3" t="n">
        <x:v>3</x:v>
      </x:c>
      <x:c r="D1060" s="3" t="n">
        <x:v>39</x:v>
      </x:c>
      <x:c r="E1060" s="3" t="n">
        <x:v>7</x:v>
      </x:c>
      <x:c r="F1060" s="3" t="n">
        <x:v>8</x:v>
      </x:c>
      <x:c r="G1060" s="9" t="n">
        <x:v>0.1</x:v>
      </x:c>
      <x:c r="H1060" s="9" t="n">
        <x:v>1.003268</x:v>
      </x:c>
      <x:c r="I1060" s="9" t="n">
        <x:f>'Physical_Arcs'!R40</x:f>
        <x:v>17.02777777777778</x:v>
      </x:c>
      <x:c r="J1060" s="9" t="n">
        <x:f>I1060*'Parameters'!$C$18</x:f>
        <x:v>3.405555555555556</x:v>
      </x:c>
      <x:c r="K1060" s="9" t="n">
        <x:f>J1060*'Parameters'!$C$19</x:f>
        <x:v>4.256944444444445</x:v>
      </x:c>
      <x:c r="L1060" s="9" t="n">
        <x:f>I1060*(1-0.40)-J1060</x:f>
        <x:v>6.811111111111111</x:v>
      </x:c>
      <x:c r="M1060" s="9" t="n">
        <x:f>'Physical_Arcs'!S40</x:f>
        <x:v>17.02777777777778</x:v>
      </x:c>
      <x:c r="N1060" s="9" t="n">
        <x:f>M1060*'Parameters'!$C$18</x:f>
        <x:v>3.405555555555556</x:v>
      </x:c>
      <x:c r="O1060" s="9" t="n">
        <x:f>N1060*'Parameters'!$C$19</x:f>
        <x:v>4.256944444444445</x:v>
      </x:c>
      <x:c r="P1060" s="9" t="n">
        <x:f>M1060*(1-0.40)-N1060</x:f>
        <x:v>6.811111111111111</x:v>
      </x:c>
      <x:c r="Q1060" s="9" t="n">
        <x:f>'Physical_Arcs'!T40</x:f>
        <x:v>17.02777777777778</x:v>
      </x:c>
      <x:c r="R1060" s="9" t="n">
        <x:f>Q1060*'Parameters'!$C$18</x:f>
        <x:v>3.405555555555556</x:v>
      </x:c>
      <x:c r="S1060" s="9" t="n">
        <x:f>R1060*'Parameters'!$C$19</x:f>
        <x:v>4.256944444444445</x:v>
      </x:c>
      <x:c r="T1060" s="9" t="n">
        <x:f>Q1060*(1-0.40)-R1060</x:f>
        <x:v>6.811111111111111</x:v>
      </x:c>
    </x:row>
    <x:row r="1061" ht="21" customHeight="1">
      <x:c r="A1061" s="3" t="n">
        <x:v>17</x:v>
      </x:c>
      <x:c r="B1061" s="3" t="str">
        <x:v>02:50</x:v>
      </x:c>
      <x:c r="C1061" s="3" t="n">
        <x:v>3</x:v>
      </x:c>
      <x:c r="D1061" s="3" t="n">
        <x:v>40</x:v>
      </x:c>
      <x:c r="E1061" s="3" t="n">
        <x:v>7</x:v>
      </x:c>
      <x:c r="F1061" s="3" t="n">
        <x:v>1</x:v>
      </x:c>
      <x:c r="G1061" s="9" t="n">
        <x:v>0.1</x:v>
      </x:c>
      <x:c r="H1061" s="9" t="n">
        <x:v>1.057592</x:v>
      </x:c>
      <x:c r="I1061" s="9" t="n">
        <x:f>'Physical_Arcs'!R41</x:f>
        <x:v>7.972222222222222</x:v>
      </x:c>
      <x:c r="J1061" s="9" t="n">
        <x:f>I1061*'Parameters'!$C$18</x:f>
        <x:v>1.5944444444444446</x:v>
      </x:c>
      <x:c r="K1061" s="9" t="n">
        <x:f>J1061*'Parameters'!$C$19</x:f>
        <x:v>1.9930555555555558</x:v>
      </x:c>
      <x:c r="L1061" s="9" t="n">
        <x:f>I1061*(1-0.40)-J1061</x:f>
        <x:v>3.1888888888888887</x:v>
      </x:c>
      <x:c r="M1061" s="9" t="n">
        <x:f>'Physical_Arcs'!S41</x:f>
        <x:v>7.972222222222222</x:v>
      </x:c>
      <x:c r="N1061" s="9" t="n">
        <x:f>M1061*'Parameters'!$C$18</x:f>
        <x:v>1.5944444444444446</x:v>
      </x:c>
      <x:c r="O1061" s="9" t="n">
        <x:f>N1061*'Parameters'!$C$19</x:f>
        <x:v>1.9930555555555558</x:v>
      </x:c>
      <x:c r="P1061" s="9" t="n">
        <x:f>M1061*(1-0.40)-N1061</x:f>
        <x:v>3.1888888888888887</x:v>
      </x:c>
      <x:c r="Q1061" s="9" t="n">
        <x:f>'Physical_Arcs'!T41</x:f>
        <x:v>4</x:v>
      </x:c>
      <x:c r="R1061" s="9" t="n">
        <x:f>Q1061*'Parameters'!$C$18</x:f>
        <x:v>0.8</x:v>
      </x:c>
      <x:c r="S1061" s="9" t="n">
        <x:f>R1061*'Parameters'!$C$19</x:f>
        <x:v>1</x:v>
      </x:c>
      <x:c r="T1061" s="9" t="n">
        <x:f>Q1061*(1-0.40)-R1061</x:f>
        <x:v>1.5999999999999999</x:v>
      </x:c>
    </x:row>
    <x:row r="1062" ht="21" customHeight="1">
      <x:c r="A1062" s="3" t="n">
        <x:v>17</x:v>
      </x:c>
      <x:c r="B1062" s="3" t="str">
        <x:v>02:50</x:v>
      </x:c>
      <x:c r="C1062" s="3" t="n">
        <x:v>3</x:v>
      </x:c>
      <x:c r="D1062" s="3" t="n">
        <x:v>41</x:v>
      </x:c>
      <x:c r="E1062" s="3" t="n">
        <x:v>7</x:v>
      </x:c>
      <x:c r="F1062" s="3" t="n">
        <x:v>9</x:v>
      </x:c>
      <x:c r="G1062" s="9" t="n">
        <x:v>0.1</x:v>
      </x:c>
      <x:c r="H1062" s="9" t="n">
        <x:v>1.14801</x:v>
      </x:c>
      <x:c r="I1062" s="9" t="n">
        <x:f>'Physical_Arcs'!R42</x:f>
        <x:v>8.88888888888889</x:v>
      </x:c>
      <x:c r="J1062" s="9" t="n">
        <x:f>I1062*'Parameters'!$C$18</x:f>
        <x:v>1.777777777777778</x:v>
      </x:c>
      <x:c r="K1062" s="9" t="n">
        <x:f>J1062*'Parameters'!$C$19</x:f>
        <x:v>2.2222222222222223</x:v>
      </x:c>
      <x:c r="L1062" s="9" t="n">
        <x:f>I1062*(1-0.40)-J1062</x:f>
        <x:v>3.5555555555555554</x:v>
      </x:c>
      <x:c r="M1062" s="9" t="n">
        <x:f>'Physical_Arcs'!S42</x:f>
        <x:v>8.88888888888889</x:v>
      </x:c>
      <x:c r="N1062" s="9" t="n">
        <x:f>M1062*'Parameters'!$C$18</x:f>
        <x:v>1.777777777777778</x:v>
      </x:c>
      <x:c r="O1062" s="9" t="n">
        <x:f>N1062*'Parameters'!$C$19</x:f>
        <x:v>2.2222222222222223</x:v>
      </x:c>
      <x:c r="P1062" s="9" t="n">
        <x:f>M1062*(1-0.40)-N1062</x:f>
        <x:v>3.5555555555555554</x:v>
      </x:c>
      <x:c r="Q1062" s="9" t="n">
        <x:f>'Physical_Arcs'!T42</x:f>
        <x:v>4.444444444444445</x:v>
      </x:c>
      <x:c r="R1062" s="9" t="n">
        <x:f>Q1062*'Parameters'!$C$18</x:f>
        <x:v>0.888888888888889</x:v>
      </x:c>
      <x:c r="S1062" s="9" t="n">
        <x:f>R1062*'Parameters'!$C$19</x:f>
        <x:v>1.1111111111111112</x:v>
      </x:c>
      <x:c r="T1062" s="9" t="n">
        <x:f>Q1062*(1-0.40)-R1062</x:f>
        <x:v>1.7777777777777777</x:v>
      </x:c>
    </x:row>
    <x:row r="1063" ht="21" customHeight="1">
      <x:c r="A1063" s="3" t="n">
        <x:v>17</x:v>
      </x:c>
      <x:c r="B1063" s="3" t="str">
        <x:v>02:50</x:v>
      </x:c>
      <x:c r="C1063" s="3" t="n">
        <x:v>3</x:v>
      </x:c>
      <x:c r="D1063" s="3" t="n">
        <x:v>42</x:v>
      </x:c>
      <x:c r="E1063" s="3" t="n">
        <x:v>7</x:v>
      </x:c>
      <x:c r="F1063" s="3" t="n">
        <x:v>2</x:v>
      </x:c>
      <x:c r="G1063" s="9" t="n">
        <x:v>0.1</x:v>
      </x:c>
      <x:c r="H1063" s="9" t="n">
        <x:v>0.989237</x:v>
      </x:c>
      <x:c r="I1063" s="9" t="n">
        <x:f>'Physical_Arcs'!R43</x:f>
        <x:v>9</x:v>
      </x:c>
      <x:c r="J1063" s="9" t="n">
        <x:f>I1063*'Parameters'!$C$18</x:f>
        <x:v>1.8</x:v>
      </x:c>
      <x:c r="K1063" s="9" t="n">
        <x:f>J1063*'Parameters'!$C$19</x:f>
        <x:v>2.25</x:v>
      </x:c>
      <x:c r="L1063" s="9" t="n">
        <x:f>I1063*(1-0.40)-J1063</x:f>
        <x:v>3.5999999999999996</x:v>
      </x:c>
      <x:c r="M1063" s="9" t="n">
        <x:f>'Physical_Arcs'!S43</x:f>
        <x:v>9</x:v>
      </x:c>
      <x:c r="N1063" s="9" t="n">
        <x:f>M1063*'Parameters'!$C$18</x:f>
        <x:v>1.8</x:v>
      </x:c>
      <x:c r="O1063" s="9" t="n">
        <x:f>N1063*'Parameters'!$C$19</x:f>
        <x:v>2.25</x:v>
      </x:c>
      <x:c r="P1063" s="9" t="n">
        <x:f>M1063*(1-0.40)-N1063</x:f>
        <x:v>3.5999999999999996</x:v>
      </x:c>
      <x:c r="Q1063" s="9" t="n">
        <x:f>'Physical_Arcs'!T43</x:f>
        <x:v>4.5</x:v>
      </x:c>
      <x:c r="R1063" s="9" t="n">
        <x:f>Q1063*'Parameters'!$C$18</x:f>
        <x:v>0.9</x:v>
      </x:c>
      <x:c r="S1063" s="9" t="n">
        <x:f>R1063*'Parameters'!$C$19</x:f>
        <x:v>1.125</x:v>
      </x:c>
      <x:c r="T1063" s="9" t="n">
        <x:f>Q1063*(1-0.40)-R1063</x:f>
        <x:v>1.7999999999999998</x:v>
      </x:c>
    </x:row>
    <x:row r="1064" ht="21" customHeight="1">
      <x:c r="A1064" s="3" t="n">
        <x:v>17</x:v>
      </x:c>
      <x:c r="B1064" s="3" t="str">
        <x:v>02:50</x:v>
      </x:c>
      <x:c r="C1064" s="3" t="n">
        <x:v>3</x:v>
      </x:c>
      <x:c r="D1064" s="3" t="n">
        <x:v>43</x:v>
      </x:c>
      <x:c r="E1064" s="3" t="n">
        <x:v>7</x:v>
      </x:c>
      <x:c r="F1064" s="3" t="n">
        <x:v>3</x:v>
      </x:c>
      <x:c r="G1064" s="9" t="n">
        <x:v>0.1</x:v>
      </x:c>
      <x:c r="H1064" s="9" t="n">
        <x:v>1.050432</x:v>
      </x:c>
      <x:c r="I1064" s="9" t="n">
        <x:f>'Physical_Arcs'!R44</x:f>
        <x:v>7.638888888888889</x:v>
      </x:c>
      <x:c r="J1064" s="9" t="n">
        <x:f>I1064*'Parameters'!$C$18</x:f>
        <x:v>1.527777777777778</x:v>
      </x:c>
      <x:c r="K1064" s="9" t="n">
        <x:f>J1064*'Parameters'!$C$19</x:f>
        <x:v>1.9097222222222223</x:v>
      </x:c>
      <x:c r="L1064" s="9" t="n">
        <x:f>I1064*(1-0.40)-J1064</x:f>
        <x:v>3.0555555555555554</x:v>
      </x:c>
      <x:c r="M1064" s="9" t="n">
        <x:f>'Physical_Arcs'!S44</x:f>
        <x:v>7.638888888888889</x:v>
      </x:c>
      <x:c r="N1064" s="9" t="n">
        <x:f>M1064*'Parameters'!$C$18</x:f>
        <x:v>1.527777777777778</x:v>
      </x:c>
      <x:c r="O1064" s="9" t="n">
        <x:f>N1064*'Parameters'!$C$19</x:f>
        <x:v>1.9097222222222223</x:v>
      </x:c>
      <x:c r="P1064" s="9" t="n">
        <x:f>M1064*(1-0.40)-N1064</x:f>
        <x:v>3.0555555555555554</x:v>
      </x:c>
      <x:c r="Q1064" s="9" t="n">
        <x:f>'Physical_Arcs'!T44</x:f>
        <x:v>3.8333333333333335</x:v>
      </x:c>
      <x:c r="R1064" s="9" t="n">
        <x:f>Q1064*'Parameters'!$C$18</x:f>
        <x:v>0.7666666666666667</x:v>
      </x:c>
      <x:c r="S1064" s="9" t="n">
        <x:f>R1064*'Parameters'!$C$19</x:f>
        <x:v>0.9583333333333334</x:v>
      </x:c>
      <x:c r="T1064" s="9" t="n">
        <x:f>Q1064*(1-0.40)-R1064</x:f>
        <x:v>1.5333333333333332</x:v>
      </x:c>
    </x:row>
    <x:row r="1065" ht="21" customHeight="1">
      <x:c r="A1065" s="3" t="n">
        <x:v>17</x:v>
      </x:c>
      <x:c r="B1065" s="3" t="str">
        <x:v>02:50</x:v>
      </x:c>
      <x:c r="C1065" s="3" t="n">
        <x:v>3</x:v>
      </x:c>
      <x:c r="D1065" s="3" t="n">
        <x:v>44</x:v>
      </x:c>
      <x:c r="E1065" s="3" t="n">
        <x:v>8</x:v>
      </x:c>
      <x:c r="F1065" s="3" t="n">
        <x:v>9</x:v>
      </x:c>
      <x:c r="G1065" s="9" t="n">
        <x:v>0.1</x:v>
      </x:c>
      <x:c r="H1065" s="9" t="n">
        <x:v>0.868101</x:v>
      </x:c>
      <x:c r="I1065" s="9" t="n">
        <x:f>'Physical_Arcs'!R45</x:f>
        <x:v>17.02777777777778</x:v>
      </x:c>
      <x:c r="J1065" s="9" t="n">
        <x:f>I1065*'Parameters'!$C$18</x:f>
        <x:v>3.405555555555556</x:v>
      </x:c>
      <x:c r="K1065" s="9" t="n">
        <x:f>J1065*'Parameters'!$C$19</x:f>
        <x:v>4.256944444444445</x:v>
      </x:c>
      <x:c r="L1065" s="9" t="n">
        <x:f>I1065*(1-0.40)-J1065</x:f>
        <x:v>6.811111111111111</x:v>
      </x:c>
      <x:c r="M1065" s="9" t="n">
        <x:f>'Physical_Arcs'!S45</x:f>
        <x:v>17.02777777777778</x:v>
      </x:c>
      <x:c r="N1065" s="9" t="n">
        <x:f>M1065*'Parameters'!$C$18</x:f>
        <x:v>3.405555555555556</x:v>
      </x:c>
      <x:c r="O1065" s="9" t="n">
        <x:f>N1065*'Parameters'!$C$19</x:f>
        <x:v>4.256944444444445</x:v>
      </x:c>
      <x:c r="P1065" s="9" t="n">
        <x:f>M1065*(1-0.40)-N1065</x:f>
        <x:v>6.811111111111111</x:v>
      </x:c>
      <x:c r="Q1065" s="9" t="n">
        <x:f>'Physical_Arcs'!T45</x:f>
        <x:v>17.02777777777778</x:v>
      </x:c>
      <x:c r="R1065" s="9" t="n">
        <x:f>Q1065*'Parameters'!$C$18</x:f>
        <x:v>3.405555555555556</x:v>
      </x:c>
      <x:c r="S1065" s="9" t="n">
        <x:f>R1065*'Parameters'!$C$19</x:f>
        <x:v>4.256944444444445</x:v>
      </x:c>
      <x:c r="T1065" s="9" t="n">
        <x:f>Q1065*(1-0.40)-R1065</x:f>
        <x:v>6.811111111111111</x:v>
      </x:c>
    </x:row>
    <x:row r="1066" ht="21" customHeight="1">
      <x:c r="A1066" s="3" t="n">
        <x:v>17</x:v>
      </x:c>
      <x:c r="B1066" s="3" t="str">
        <x:v>02:50</x:v>
      </x:c>
      <x:c r="C1066" s="3" t="n">
        <x:v>3</x:v>
      </x:c>
      <x:c r="D1066" s="3" t="n">
        <x:v>45</x:v>
      </x:c>
      <x:c r="E1066" s="3" t="n">
        <x:v>8</x:v>
      </x:c>
      <x:c r="F1066" s="3" t="n">
        <x:v>3</x:v>
      </x:c>
      <x:c r="G1066" s="9" t="n">
        <x:v>0.1</x:v>
      </x:c>
      <x:c r="H1066" s="9" t="n">
        <x:v>0.944958</x:v>
      </x:c>
      <x:c r="I1066" s="9" t="n">
        <x:f>'Physical_Arcs'!R46</x:f>
        <x:v>5.388888888888889</x:v>
      </x:c>
      <x:c r="J1066" s="9" t="n">
        <x:f>I1066*'Parameters'!$C$18</x:f>
        <x:v>1.077777777777778</x:v>
      </x:c>
      <x:c r="K1066" s="9" t="n">
        <x:f>J1066*'Parameters'!$C$19</x:f>
        <x:v>1.3472222222222223</x:v>
      </x:c>
      <x:c r="L1066" s="9" t="n">
        <x:f>I1066*(1-0.40)-J1066</x:f>
        <x:v>2.1555555555555554</x:v>
      </x:c>
      <x:c r="M1066" s="9" t="n">
        <x:f>'Physical_Arcs'!S46</x:f>
        <x:v>5.388888888888889</x:v>
      </x:c>
      <x:c r="N1066" s="9" t="n">
        <x:f>M1066*'Parameters'!$C$18</x:f>
        <x:v>1.077777777777778</x:v>
      </x:c>
      <x:c r="O1066" s="9" t="n">
        <x:f>N1066*'Parameters'!$C$19</x:f>
        <x:v>1.3472222222222223</x:v>
      </x:c>
      <x:c r="P1066" s="9" t="n">
        <x:f>M1066*(1-0.40)-N1066</x:f>
        <x:v>2.1555555555555554</x:v>
      </x:c>
      <x:c r="Q1066" s="9" t="n">
        <x:f>'Physical_Arcs'!T46</x:f>
        <x:v>2.6944444444444446</x:v>
      </x:c>
      <x:c r="R1066" s="9" t="n">
        <x:f>Q1066*'Parameters'!$C$18</x:f>
        <x:v>0.538888888888889</x:v>
      </x:c>
      <x:c r="S1066" s="9" t="n">
        <x:f>R1066*'Parameters'!$C$19</x:f>
        <x:v>0.6736111111111112</x:v>
      </x:c>
      <x:c r="T1066" s="9" t="n">
        <x:f>Q1066*(1-0.40)-R1066</x:f>
        <x:v>1.0777777777777777</x:v>
      </x:c>
    </x:row>
    <x:row r="1067" ht="21" customHeight="1">
      <x:c r="A1067" s="3" t="n">
        <x:v>17</x:v>
      </x:c>
      <x:c r="B1067" s="3" t="str">
        <x:v>02:50</x:v>
      </x:c>
      <x:c r="C1067" s="3" t="n">
        <x:v>3</x:v>
      </x:c>
      <x:c r="D1067" s="3" t="n">
        <x:v>46</x:v>
      </x:c>
      <x:c r="E1067" s="3" t="n">
        <x:v>8</x:v>
      </x:c>
      <x:c r="F1067" s="3" t="n">
        <x:v>7</x:v>
      </x:c>
      <x:c r="G1067" s="9" t="n">
        <x:v>0.1</x:v>
      </x:c>
      <x:c r="H1067" s="9" t="n">
        <x:v>0.866232</x:v>
      </x:c>
      <x:c r="I1067" s="9" t="n">
        <x:f>'Physical_Arcs'!R47</x:f>
        <x:v>5.388888888888889</x:v>
      </x:c>
      <x:c r="J1067" s="9" t="n">
        <x:f>I1067*'Parameters'!$C$18</x:f>
        <x:v>1.077777777777778</x:v>
      </x:c>
      <x:c r="K1067" s="9" t="n">
        <x:f>J1067*'Parameters'!$C$19</x:f>
        <x:v>1.3472222222222223</x:v>
      </x:c>
      <x:c r="L1067" s="9" t="n">
        <x:f>I1067*(1-0.40)-J1067</x:f>
        <x:v>2.1555555555555554</x:v>
      </x:c>
      <x:c r="M1067" s="9" t="n">
        <x:f>'Physical_Arcs'!S47</x:f>
        <x:v>5.388888888888889</x:v>
      </x:c>
      <x:c r="N1067" s="9" t="n">
        <x:f>M1067*'Parameters'!$C$18</x:f>
        <x:v>1.077777777777778</x:v>
      </x:c>
      <x:c r="O1067" s="9" t="n">
        <x:f>N1067*'Parameters'!$C$19</x:f>
        <x:v>1.3472222222222223</x:v>
      </x:c>
      <x:c r="P1067" s="9" t="n">
        <x:f>M1067*(1-0.40)-N1067</x:f>
        <x:v>2.1555555555555554</x:v>
      </x:c>
      <x:c r="Q1067" s="9" t="n">
        <x:f>'Physical_Arcs'!T47</x:f>
        <x:v>2.6944444444444446</x:v>
      </x:c>
      <x:c r="R1067" s="9" t="n">
        <x:f>Q1067*'Parameters'!$C$18</x:f>
        <x:v>0.538888888888889</x:v>
      </x:c>
      <x:c r="S1067" s="9" t="n">
        <x:f>R1067*'Parameters'!$C$19</x:f>
        <x:v>0.6736111111111112</x:v>
      </x:c>
      <x:c r="T1067" s="9" t="n">
        <x:f>Q1067*(1-0.40)-R1067</x:f>
        <x:v>1.0777777777777777</x:v>
      </x:c>
    </x:row>
    <x:row r="1068" ht="21" customHeight="1">
      <x:c r="A1068" s="3" t="n">
        <x:v>17</x:v>
      </x:c>
      <x:c r="B1068" s="3" t="str">
        <x:v>02:50</x:v>
      </x:c>
      <x:c r="C1068" s="3" t="n">
        <x:v>3</x:v>
      </x:c>
      <x:c r="D1068" s="3" t="n">
        <x:v>47</x:v>
      </x:c>
      <x:c r="E1068" s="3" t="n">
        <x:v>8</x:v>
      </x:c>
      <x:c r="F1068" s="3" t="n">
        <x:v>2</x:v>
      </x:c>
      <x:c r="G1068" s="9" t="n">
        <x:v>0.1</x:v>
      </x:c>
      <x:c r="H1068" s="9" t="n">
        <x:v>1.135644</x:v>
      </x:c>
      <x:c r="I1068" s="9" t="n">
        <x:f>'Physical_Arcs'!R48</x:f>
        <x:v>8.083333333333334</x:v>
      </x:c>
      <x:c r="J1068" s="9" t="n">
        <x:f>I1068*'Parameters'!$C$18</x:f>
        <x:v>1.616666666666667</x:v>
      </x:c>
      <x:c r="K1068" s="9" t="n">
        <x:f>J1068*'Parameters'!$C$19</x:f>
        <x:v>2.0208333333333335</x:v>
      </x:c>
      <x:c r="L1068" s="9" t="n">
        <x:f>I1068*(1-0.40)-J1068</x:f>
        <x:v>3.2333333333333334</x:v>
      </x:c>
      <x:c r="M1068" s="9" t="n">
        <x:f>'Physical_Arcs'!S48</x:f>
        <x:v>8.083333333333334</x:v>
      </x:c>
      <x:c r="N1068" s="9" t="n">
        <x:f>M1068*'Parameters'!$C$18</x:f>
        <x:v>1.616666666666667</x:v>
      </x:c>
      <x:c r="O1068" s="9" t="n">
        <x:f>N1068*'Parameters'!$C$19</x:f>
        <x:v>2.0208333333333335</x:v>
      </x:c>
      <x:c r="P1068" s="9" t="n">
        <x:f>M1068*(1-0.40)-N1068</x:f>
        <x:v>3.2333333333333334</x:v>
      </x:c>
      <x:c r="Q1068" s="9" t="n">
        <x:f>'Physical_Arcs'!T48</x:f>
        <x:v>4.055555555555555</x:v>
      </x:c>
      <x:c r="R1068" s="9" t="n">
        <x:f>Q1068*'Parameters'!$C$18</x:f>
        <x:v>0.8111111111111111</x:v>
      </x:c>
      <x:c r="S1068" s="9" t="n">
        <x:f>R1068*'Parameters'!$C$19</x:f>
        <x:v>1.0138888888888888</x:v>
      </x:c>
      <x:c r="T1068" s="9" t="n">
        <x:f>Q1068*(1-0.40)-R1068</x:f>
        <x:v>1.622222222222222</x:v>
      </x:c>
    </x:row>
    <x:row r="1069" ht="21" customHeight="1">
      <x:c r="A1069" s="3" t="n">
        <x:v>17</x:v>
      </x:c>
      <x:c r="B1069" s="3" t="str">
        <x:v>02:50</x:v>
      </x:c>
      <x:c r="C1069" s="3" t="n">
        <x:v>3</x:v>
      </x:c>
      <x:c r="D1069" s="3" t="n">
        <x:v>48</x:v>
      </x:c>
      <x:c r="E1069" s="3" t="n">
        <x:v>8</x:v>
      </x:c>
      <x:c r="F1069" s="3" t="n">
        <x:v>6</x:v>
      </x:c>
      <x:c r="G1069" s="9" t="n">
        <x:v>0.1</x:v>
      </x:c>
      <x:c r="H1069" s="9" t="n">
        <x:v>0.850778</x:v>
      </x:c>
      <x:c r="I1069" s="9" t="n">
        <x:f>'Physical_Arcs'!R49</x:f>
        <x:v>10.555555555555555</x:v>
      </x:c>
      <x:c r="J1069" s="9" t="n">
        <x:f>I1069*'Parameters'!$C$18</x:f>
        <x:v>2.111111111111111</x:v>
      </x:c>
      <x:c r="K1069" s="9" t="n">
        <x:f>J1069*'Parameters'!$C$19</x:f>
        <x:v>2.638888888888889</x:v>
      </x:c>
      <x:c r="L1069" s="9" t="n">
        <x:f>I1069*(1-0.40)-J1069</x:f>
        <x:v>4.222222222222221</x:v>
      </x:c>
      <x:c r="M1069" s="9" t="n">
        <x:f>'Physical_Arcs'!S49</x:f>
        <x:v>10.555555555555555</x:v>
      </x:c>
      <x:c r="N1069" s="9" t="n">
        <x:f>M1069*'Parameters'!$C$18</x:f>
        <x:v>2.111111111111111</x:v>
      </x:c>
      <x:c r="O1069" s="9" t="n">
        <x:f>N1069*'Parameters'!$C$19</x:f>
        <x:v>2.638888888888889</x:v>
      </x:c>
      <x:c r="P1069" s="9" t="n">
        <x:f>M1069*(1-0.40)-N1069</x:f>
        <x:v>4.222222222222221</x:v>
      </x:c>
      <x:c r="Q1069" s="9" t="n">
        <x:f>'Physical_Arcs'!T49</x:f>
        <x:v>5.277777777777778</x:v>
      </x:c>
      <x:c r="R1069" s="9" t="n">
        <x:f>Q1069*'Parameters'!$C$18</x:f>
        <x:v>1.0555555555555556</x:v>
      </x:c>
      <x:c r="S1069" s="9" t="n">
        <x:f>R1069*'Parameters'!$C$19</x:f>
        <x:v>1.3194444444444444</x:v>
      </x:c>
      <x:c r="T1069" s="9" t="n">
        <x:f>Q1069*(1-0.40)-R1069</x:f>
        <x:v>2.1111111111111107</x:v>
      </x:c>
    </x:row>
    <x:row r="1070" ht="21" customHeight="1">
      <x:c r="A1070" s="3" t="n">
        <x:v>17</x:v>
      </x:c>
      <x:c r="B1070" s="3" t="str">
        <x:v>02:50</x:v>
      </x:c>
      <x:c r="C1070" s="3" t="n">
        <x:v>3</x:v>
      </x:c>
      <x:c r="D1070" s="3" t="n">
        <x:v>49</x:v>
      </x:c>
      <x:c r="E1070" s="3" t="n">
        <x:v>8</x:v>
      </x:c>
      <x:c r="F1070" s="3" t="n">
        <x:v>4</x:v>
      </x:c>
      <x:c r="G1070" s="9" t="n">
        <x:v>0.1</x:v>
      </x:c>
      <x:c r="H1070" s="9" t="n">
        <x:v>0.904949</x:v>
      </x:c>
      <x:c r="I1070" s="9" t="n">
        <x:f>'Physical_Arcs'!R50</x:f>
        <x:v>1.5833333333333333</x:v>
      </x:c>
      <x:c r="J1070" s="9" t="n">
        <x:f>I1070*'Parameters'!$C$18</x:f>
        <x:v>0.31666666666666665</x:v>
      </x:c>
      <x:c r="K1070" s="9" t="n">
        <x:f>J1070*'Parameters'!$C$19</x:f>
        <x:v>0.3958333333333333</x:v>
      </x:c>
      <x:c r="L1070" s="9" t="n">
        <x:f>I1070*(1-0.40)-J1070</x:f>
        <x:v>0.6333333333333333</x:v>
      </x:c>
      <x:c r="M1070" s="9" t="n">
        <x:f>'Physical_Arcs'!S50</x:f>
        <x:v>1.5833333333333333</x:v>
      </x:c>
      <x:c r="N1070" s="9" t="n">
        <x:f>M1070*'Parameters'!$C$18</x:f>
        <x:v>0.31666666666666665</x:v>
      </x:c>
      <x:c r="O1070" s="9" t="n">
        <x:f>N1070*'Parameters'!$C$19</x:f>
        <x:v>0.3958333333333333</x:v>
      </x:c>
      <x:c r="P1070" s="9" t="n">
        <x:f>M1070*(1-0.40)-N1070</x:f>
        <x:v>0.6333333333333333</x:v>
      </x:c>
      <x:c r="Q1070" s="9" t="n">
        <x:f>'Physical_Arcs'!T50</x:f>
        <x:v>0.8055555555555556</x:v>
      </x:c>
      <x:c r="R1070" s="9" t="n">
        <x:f>Q1070*'Parameters'!$C$18</x:f>
        <x:v>0.16111111111111112</x:v>
      </x:c>
      <x:c r="S1070" s="9" t="n">
        <x:f>R1070*'Parameters'!$C$19</x:f>
        <x:v>0.2013888888888889</x:v>
      </x:c>
      <x:c r="T1070" s="9" t="n">
        <x:f>Q1070*(1-0.40)-R1070</x:f>
        <x:v>0.3222222222222222</x:v>
      </x:c>
    </x:row>
    <x:row r="1071" ht="21" customHeight="1">
      <x:c r="A1071" s="3" t="n">
        <x:v>17</x:v>
      </x:c>
      <x:c r="B1071" s="3" t="str">
        <x:v>02:50</x:v>
      </x:c>
      <x:c r="C1071" s="3" t="n">
        <x:v>3</x:v>
      </x:c>
      <x:c r="D1071" s="3" t="n">
        <x:v>50</x:v>
      </x:c>
      <x:c r="E1071" s="3" t="n">
        <x:v>8</x:v>
      </x:c>
      <x:c r="F1071" s="3" t="n">
        <x:v>5</x:v>
      </x:c>
      <x:c r="G1071" s="9" t="n">
        <x:v>0.1</x:v>
      </x:c>
      <x:c r="H1071" s="9" t="n">
        <x:v>0.990416</x:v>
      </x:c>
      <x:c r="I1071" s="9" t="n">
        <x:f>'Physical_Arcs'!R51</x:f>
        <x:v>10.777777777777779</x:v>
      </x:c>
      <x:c r="J1071" s="9" t="n">
        <x:f>I1071*'Parameters'!$C$18</x:f>
        <x:v>2.155555555555556</x:v>
      </x:c>
      <x:c r="K1071" s="9" t="n">
        <x:f>J1071*'Parameters'!$C$19</x:f>
        <x:v>2.6944444444444446</x:v>
      </x:c>
      <x:c r="L1071" s="9" t="n">
        <x:f>I1071*(1-0.40)-J1071</x:f>
        <x:v>4.311111111111111</x:v>
      </x:c>
      <x:c r="M1071" s="9" t="n">
        <x:f>'Physical_Arcs'!S51</x:f>
        <x:v>10.777777777777779</x:v>
      </x:c>
      <x:c r="N1071" s="9" t="n">
        <x:f>M1071*'Parameters'!$C$18</x:f>
        <x:v>2.155555555555556</x:v>
      </x:c>
      <x:c r="O1071" s="9" t="n">
        <x:f>N1071*'Parameters'!$C$19</x:f>
        <x:v>2.6944444444444446</x:v>
      </x:c>
      <x:c r="P1071" s="9" t="n">
        <x:f>M1071*(1-0.40)-N1071</x:f>
        <x:v>4.311111111111111</x:v>
      </x:c>
      <x:c r="Q1071" s="9" t="n">
        <x:f>'Physical_Arcs'!T51</x:f>
        <x:v>5.388888888888889</x:v>
      </x:c>
      <x:c r="R1071" s="9" t="n">
        <x:f>Q1071*'Parameters'!$C$18</x:f>
        <x:v>1.077777777777778</x:v>
      </x:c>
      <x:c r="S1071" s="9" t="n">
        <x:f>R1071*'Parameters'!$C$19</x:f>
        <x:v>1.3472222222222223</x:v>
      </x:c>
      <x:c r="T1071" s="9" t="n">
        <x:f>Q1071*(1-0.40)-R1071</x:f>
        <x:v>2.1555555555555554</x:v>
      </x:c>
    </x:row>
    <x:row r="1072" ht="21" customHeight="1">
      <x:c r="A1072" s="3" t="n">
        <x:v>17</x:v>
      </x:c>
      <x:c r="B1072" s="3" t="str">
        <x:v>02:50</x:v>
      </x:c>
      <x:c r="C1072" s="3" t="n">
        <x:v>3</x:v>
      </x:c>
      <x:c r="D1072" s="3" t="n">
        <x:v>51</x:v>
      </x:c>
      <x:c r="E1072" s="3" t="n">
        <x:v>8</x:v>
      </x:c>
      <x:c r="F1072" s="3" t="n">
        <x:v>1</x:v>
      </x:c>
      <x:c r="G1072" s="9" t="n">
        <x:v>0.1</x:v>
      </x:c>
      <x:c r="H1072" s="9" t="n">
        <x:v>1.039066</x:v>
      </x:c>
      <x:c r="I1072" s="9" t="n">
        <x:f>'Physical_Arcs'!R52</x:f>
        <x:v>8.88888888888889</x:v>
      </x:c>
      <x:c r="J1072" s="9" t="n">
        <x:f>I1072*'Parameters'!$C$18</x:f>
        <x:v>1.777777777777778</x:v>
      </x:c>
      <x:c r="K1072" s="9" t="n">
        <x:f>J1072*'Parameters'!$C$19</x:f>
        <x:v>2.2222222222222223</x:v>
      </x:c>
      <x:c r="L1072" s="9" t="n">
        <x:f>I1072*(1-0.40)-J1072</x:f>
        <x:v>3.5555555555555554</x:v>
      </x:c>
      <x:c r="M1072" s="9" t="n">
        <x:f>'Physical_Arcs'!S52</x:f>
        <x:v>8.88888888888889</x:v>
      </x:c>
      <x:c r="N1072" s="9" t="n">
        <x:f>M1072*'Parameters'!$C$18</x:f>
        <x:v>1.777777777777778</x:v>
      </x:c>
      <x:c r="O1072" s="9" t="n">
        <x:f>N1072*'Parameters'!$C$19</x:f>
        <x:v>2.2222222222222223</x:v>
      </x:c>
      <x:c r="P1072" s="9" t="n">
        <x:f>M1072*(1-0.40)-N1072</x:f>
        <x:v>3.5555555555555554</x:v>
      </x:c>
      <x:c r="Q1072" s="9" t="n">
        <x:f>'Physical_Arcs'!T52</x:f>
        <x:v>4.444444444444445</x:v>
      </x:c>
      <x:c r="R1072" s="9" t="n">
        <x:f>Q1072*'Parameters'!$C$18</x:f>
        <x:v>0.888888888888889</x:v>
      </x:c>
      <x:c r="S1072" s="9" t="n">
        <x:f>R1072*'Parameters'!$C$19</x:f>
        <x:v>1.1111111111111112</x:v>
      </x:c>
      <x:c r="T1072" s="9" t="n">
        <x:f>Q1072*(1-0.40)-R1072</x:f>
        <x:v>1.7777777777777777</x:v>
      </x:c>
    </x:row>
    <x:row r="1073" ht="21" customHeight="1">
      <x:c r="A1073" s="3" t="n">
        <x:v>17</x:v>
      </x:c>
      <x:c r="B1073" s="3" t="str">
        <x:v>02:50</x:v>
      </x:c>
      <x:c r="C1073" s="3" t="n">
        <x:v>3</x:v>
      </x:c>
      <x:c r="D1073" s="3" t="n">
        <x:v>52</x:v>
      </x:c>
      <x:c r="E1073" s="3" t="n">
        <x:v>9</x:v>
      </x:c>
      <x:c r="F1073" s="3" t="n">
        <x:v>10</x:v>
      </x:c>
      <x:c r="G1073" s="9" t="n">
        <x:v>0.1</x:v>
      </x:c>
      <x:c r="H1073" s="9" t="n">
        <x:v>0.954096</x:v>
      </x:c>
      <x:c r="I1073" s="9" t="n">
        <x:f>'Physical_Arcs'!R53</x:f>
        <x:v>17.02777777777778</x:v>
      </x:c>
      <x:c r="J1073" s="9" t="n">
        <x:f>I1073*'Parameters'!$C$18</x:f>
        <x:v>3.405555555555556</x:v>
      </x:c>
      <x:c r="K1073" s="9" t="n">
        <x:f>J1073*'Parameters'!$C$19</x:f>
        <x:v>4.256944444444445</x:v>
      </x:c>
      <x:c r="L1073" s="9" t="n">
        <x:f>I1073*(1-0.40)-J1073</x:f>
        <x:v>6.811111111111111</x:v>
      </x:c>
      <x:c r="M1073" s="9" t="n">
        <x:f>'Physical_Arcs'!S53</x:f>
        <x:v>17.02777777777778</x:v>
      </x:c>
      <x:c r="N1073" s="9" t="n">
        <x:f>M1073*'Parameters'!$C$18</x:f>
        <x:v>3.405555555555556</x:v>
      </x:c>
      <x:c r="O1073" s="9" t="n">
        <x:f>N1073*'Parameters'!$C$19</x:f>
        <x:v>4.256944444444445</x:v>
      </x:c>
      <x:c r="P1073" s="9" t="n">
        <x:f>M1073*(1-0.40)-N1073</x:f>
        <x:v>6.811111111111111</x:v>
      </x:c>
      <x:c r="Q1073" s="9" t="n">
        <x:f>'Physical_Arcs'!T53</x:f>
        <x:v>17.02777777777778</x:v>
      </x:c>
      <x:c r="R1073" s="9" t="n">
        <x:f>Q1073*'Parameters'!$C$18</x:f>
        <x:v>3.405555555555556</x:v>
      </x:c>
      <x:c r="S1073" s="9" t="n">
        <x:f>R1073*'Parameters'!$C$19</x:f>
        <x:v>4.256944444444445</x:v>
      </x:c>
      <x:c r="T1073" s="9" t="n">
        <x:f>Q1073*(1-0.40)-R1073</x:f>
        <x:v>6.811111111111111</x:v>
      </x:c>
    </x:row>
    <x:row r="1074" ht="21" customHeight="1">
      <x:c r="A1074" s="3" t="n">
        <x:v>17</x:v>
      </x:c>
      <x:c r="B1074" s="3" t="str">
        <x:v>02:50</x:v>
      </x:c>
      <x:c r="C1074" s="3" t="n">
        <x:v>3</x:v>
      </x:c>
      <x:c r="D1074" s="3" t="n">
        <x:v>53</x:v>
      </x:c>
      <x:c r="E1074" s="3" t="n">
        <x:v>9</x:v>
      </x:c>
      <x:c r="F1074" s="3" t="n">
        <x:v>6</x:v>
      </x:c>
      <x:c r="G1074" s="9" t="n">
        <x:v>0.1</x:v>
      </x:c>
      <x:c r="H1074" s="9" t="n">
        <x:v>1.125574</x:v>
      </x:c>
      <x:c r="I1074" s="9" t="n">
        <x:f>'Physical_Arcs'!R54</x:f>
        <x:v>9.666666666666666</x:v>
      </x:c>
      <x:c r="J1074" s="9" t="n">
        <x:f>I1074*'Parameters'!$C$18</x:f>
        <x:v>1.9333333333333333</x:v>
      </x:c>
      <x:c r="K1074" s="9" t="n">
        <x:f>J1074*'Parameters'!$C$19</x:f>
        <x:v>2.4166666666666665</x:v>
      </x:c>
      <x:c r="L1074" s="9" t="n">
        <x:f>I1074*(1-0.40)-J1074</x:f>
        <x:v>3.8666666666666663</x:v>
      </x:c>
      <x:c r="M1074" s="9" t="n">
        <x:f>'Physical_Arcs'!S54</x:f>
        <x:v>9.666666666666666</x:v>
      </x:c>
      <x:c r="N1074" s="9" t="n">
        <x:f>M1074*'Parameters'!$C$18</x:f>
        <x:v>1.9333333333333333</x:v>
      </x:c>
      <x:c r="O1074" s="9" t="n">
        <x:f>N1074*'Parameters'!$C$19</x:f>
        <x:v>2.4166666666666665</x:v>
      </x:c>
      <x:c r="P1074" s="9" t="n">
        <x:f>M1074*(1-0.40)-N1074</x:f>
        <x:v>3.8666666666666663</x:v>
      </x:c>
      <x:c r="Q1074" s="9" t="n">
        <x:f>'Physical_Arcs'!T54</x:f>
        <x:v>4.833333333333333</x:v>
      </x:c>
      <x:c r="R1074" s="9" t="n">
        <x:f>Q1074*'Parameters'!$C$18</x:f>
        <x:v>0.9666666666666667</x:v>
      </x:c>
      <x:c r="S1074" s="9" t="n">
        <x:f>R1074*'Parameters'!$C$19</x:f>
        <x:v>1.2083333333333333</x:v>
      </x:c>
      <x:c r="T1074" s="9" t="n">
        <x:f>Q1074*(1-0.40)-R1074</x:f>
        <x:v>1.9333333333333331</x:v>
      </x:c>
    </x:row>
    <x:row r="1075" ht="21" customHeight="1">
      <x:c r="A1075" s="3" t="n">
        <x:v>17</x:v>
      </x:c>
      <x:c r="B1075" s="3" t="str">
        <x:v>02:50</x:v>
      </x:c>
      <x:c r="C1075" s="3" t="n">
        <x:v>3</x:v>
      </x:c>
      <x:c r="D1075" s="3" t="n">
        <x:v>54</x:v>
      </x:c>
      <x:c r="E1075" s="3" t="n">
        <x:v>9</x:v>
      </x:c>
      <x:c r="F1075" s="3" t="n">
        <x:v>2</x:v>
      </x:c>
      <x:c r="G1075" s="9" t="n">
        <x:v>0.1</x:v>
      </x:c>
      <x:c r="H1075" s="9" t="n">
        <x:v>0.854534</x:v>
      </x:c>
      <x:c r="I1075" s="9" t="n">
        <x:f>'Physical_Arcs'!R55</x:f>
        <x:v>9.88888888888889</x:v>
      </x:c>
      <x:c r="J1075" s="9" t="n">
        <x:f>I1075*'Parameters'!$C$18</x:f>
        <x:v>1.9777777777777779</x:v>
      </x:c>
      <x:c r="K1075" s="9" t="n">
        <x:f>J1075*'Parameters'!$C$19</x:f>
        <x:v>2.4722222222222223</x:v>
      </x:c>
      <x:c r="L1075" s="9" t="n">
        <x:f>I1075*(1-0.40)-J1075</x:f>
        <x:v>3.9555555555555557</x:v>
      </x:c>
      <x:c r="M1075" s="9" t="n">
        <x:f>'Physical_Arcs'!S55</x:f>
        <x:v>9.88888888888889</x:v>
      </x:c>
      <x:c r="N1075" s="9" t="n">
        <x:f>M1075*'Parameters'!$C$18</x:f>
        <x:v>1.9777777777777779</x:v>
      </x:c>
      <x:c r="O1075" s="9" t="n">
        <x:f>N1075*'Parameters'!$C$19</x:f>
        <x:v>2.4722222222222223</x:v>
      </x:c>
      <x:c r="P1075" s="9" t="n">
        <x:f>M1075*(1-0.40)-N1075</x:f>
        <x:v>3.9555555555555557</x:v>
      </x:c>
      <x:c r="Q1075" s="9" t="n">
        <x:f>'Physical_Arcs'!T55</x:f>
        <x:v>4.944444444444445</x:v>
      </x:c>
      <x:c r="R1075" s="9" t="n">
        <x:f>Q1075*'Parameters'!$C$18</x:f>
        <x:v>0.9888888888888889</x:v>
      </x:c>
      <x:c r="S1075" s="9" t="n">
        <x:f>R1075*'Parameters'!$C$19</x:f>
        <x:v>1.2361111111111112</x:v>
      </x:c>
      <x:c r="T1075" s="9" t="n">
        <x:f>Q1075*(1-0.40)-R1075</x:f>
        <x:v>1.9777777777777779</x:v>
      </x:c>
    </x:row>
    <x:row r="1076" ht="21" customHeight="1">
      <x:c r="A1076" s="3" t="n">
        <x:v>17</x:v>
      </x:c>
      <x:c r="B1076" s="3" t="str">
        <x:v>02:50</x:v>
      </x:c>
      <x:c r="C1076" s="3" t="n">
        <x:v>3</x:v>
      </x:c>
      <x:c r="D1076" s="3" t="n">
        <x:v>55</x:v>
      </x:c>
      <x:c r="E1076" s="3" t="n">
        <x:v>9</x:v>
      </x:c>
      <x:c r="F1076" s="3" t="n">
        <x:v>7</x:v>
      </x:c>
      <x:c r="G1076" s="9" t="n">
        <x:v>0.1</x:v>
      </x:c>
      <x:c r="H1076" s="9" t="n">
        <x:v>0.900033</x:v>
      </x:c>
      <x:c r="I1076" s="9" t="n">
        <x:f>'Physical_Arcs'!R56</x:f>
        <x:v>4.166666666666667</x:v>
      </x:c>
      <x:c r="J1076" s="9" t="n">
        <x:f>I1076*'Parameters'!$C$18</x:f>
        <x:v>0.8333333333333335</x:v>
      </x:c>
      <x:c r="K1076" s="9" t="n">
        <x:f>J1076*'Parameters'!$C$19</x:f>
        <x:v>1.041666666666667</x:v>
      </x:c>
      <x:c r="L1076" s="9" t="n">
        <x:f>I1076*(1-0.40)-J1076</x:f>
        <x:v>1.6666666666666665</x:v>
      </x:c>
      <x:c r="M1076" s="9" t="n">
        <x:f>'Physical_Arcs'!S56</x:f>
        <x:v>4.166666666666667</x:v>
      </x:c>
      <x:c r="N1076" s="9" t="n">
        <x:f>M1076*'Parameters'!$C$18</x:f>
        <x:v>0.8333333333333335</x:v>
      </x:c>
      <x:c r="O1076" s="9" t="n">
        <x:f>N1076*'Parameters'!$C$19</x:f>
        <x:v>1.041666666666667</x:v>
      </x:c>
      <x:c r="P1076" s="9" t="n">
        <x:f>M1076*(1-0.40)-N1076</x:f>
        <x:v>1.6666666666666665</x:v>
      </x:c>
      <x:c r="Q1076" s="9" t="n">
        <x:f>'Physical_Arcs'!T56</x:f>
        <x:v>2.0833333333333335</x:v>
      </x:c>
      <x:c r="R1076" s="9" t="n">
        <x:f>Q1076*'Parameters'!$C$18</x:f>
        <x:v>0.41666666666666674</x:v>
      </x:c>
      <x:c r="S1076" s="9" t="n">
        <x:f>R1076*'Parameters'!$C$19</x:f>
        <x:v>0.5208333333333335</x:v>
      </x:c>
      <x:c r="T1076" s="9" t="n">
        <x:f>Q1076*(1-0.40)-R1076</x:f>
        <x:v>0.8333333333333333</x:v>
      </x:c>
    </x:row>
    <x:row r="1077" ht="21" customHeight="1">
      <x:c r="A1077" s="3" t="n">
        <x:v>17</x:v>
      </x:c>
      <x:c r="B1077" s="3" t="str">
        <x:v>02:50</x:v>
      </x:c>
      <x:c r="C1077" s="3" t="n">
        <x:v>3</x:v>
      </x:c>
      <x:c r="D1077" s="3" t="n">
        <x:v>56</x:v>
      </x:c>
      <x:c r="E1077" s="3" t="n">
        <x:v>9</x:v>
      </x:c>
      <x:c r="F1077" s="3" t="n">
        <x:v>3</x:v>
      </x:c>
      <x:c r="G1077" s="9" t="n">
        <x:v>0.1</x:v>
      </x:c>
      <x:c r="H1077" s="9" t="n">
        <x:v>0.893428</x:v>
      </x:c>
      <x:c r="I1077" s="9" t="n">
        <x:f>'Physical_Arcs'!R57</x:f>
        <x:v>3.7222222222222223</x:v>
      </x:c>
      <x:c r="J1077" s="9" t="n">
        <x:f>I1077*'Parameters'!$C$18</x:f>
        <x:v>0.7444444444444445</x:v>
      </x:c>
      <x:c r="K1077" s="9" t="n">
        <x:f>J1077*'Parameters'!$C$19</x:f>
        <x:v>0.9305555555555556</x:v>
      </x:c>
      <x:c r="L1077" s="9" t="n">
        <x:f>I1077*(1-0.40)-J1077</x:f>
        <x:v>1.488888888888889</x:v>
      </x:c>
      <x:c r="M1077" s="9" t="n">
        <x:f>'Physical_Arcs'!S57</x:f>
        <x:v>3.7222222222222223</x:v>
      </x:c>
      <x:c r="N1077" s="9" t="n">
        <x:f>M1077*'Parameters'!$C$18</x:f>
        <x:v>0.7444444444444445</x:v>
      </x:c>
      <x:c r="O1077" s="9" t="n">
        <x:f>N1077*'Parameters'!$C$19</x:f>
        <x:v>0.9305555555555556</x:v>
      </x:c>
      <x:c r="P1077" s="9" t="n">
        <x:f>M1077*(1-0.40)-N1077</x:f>
        <x:v>1.488888888888889</x:v>
      </x:c>
      <x:c r="Q1077" s="9" t="n">
        <x:f>'Physical_Arcs'!T57</x:f>
        <x:v>1.8611111111111112</x:v>
      </x:c>
      <x:c r="R1077" s="9" t="n">
        <x:f>Q1077*'Parameters'!$C$18</x:f>
        <x:v>0.37222222222222223</x:v>
      </x:c>
      <x:c r="S1077" s="9" t="n">
        <x:f>R1077*'Parameters'!$C$19</x:f>
        <x:v>0.4652777777777778</x:v>
      </x:c>
      <x:c r="T1077" s="9" t="n">
        <x:f>Q1077*(1-0.40)-R1077</x:f>
        <x:v>0.7444444444444445</x:v>
      </x:c>
    </x:row>
    <x:row r="1078" ht="21" customHeight="1">
      <x:c r="A1078" s="3" t="n">
        <x:v>17</x:v>
      </x:c>
      <x:c r="B1078" s="3" t="str">
        <x:v>02:50</x:v>
      </x:c>
      <x:c r="C1078" s="3" t="n">
        <x:v>3</x:v>
      </x:c>
      <x:c r="D1078" s="3" t="n">
        <x:v>57</x:v>
      </x:c>
      <x:c r="E1078" s="3" t="n">
        <x:v>10</x:v>
      </x:c>
      <x:c r="F1078" s="3" t="n">
        <x:v>1</x:v>
      </x:c>
      <x:c r="G1078" s="9" t="n">
        <x:v>0.1</x:v>
      </x:c>
      <x:c r="H1078" s="9" t="n">
        <x:v>1.027979</x:v>
      </x:c>
      <x:c r="I1078" s="9" t="n">
        <x:f>'Physical_Arcs'!R58</x:f>
        <x:v>17.02777777777778</x:v>
      </x:c>
      <x:c r="J1078" s="9" t="n">
        <x:f>I1078*'Parameters'!$C$18</x:f>
        <x:v>3.405555555555556</x:v>
      </x:c>
      <x:c r="K1078" s="9" t="n">
        <x:f>J1078*'Parameters'!$C$19</x:f>
        <x:v>4.256944444444445</x:v>
      </x:c>
      <x:c r="L1078" s="9" t="n">
        <x:f>I1078*(1-0.40)-J1078</x:f>
        <x:v>6.811111111111111</x:v>
      </x:c>
      <x:c r="M1078" s="9" t="n">
        <x:f>'Physical_Arcs'!S58</x:f>
        <x:v>17.02777777777778</x:v>
      </x:c>
      <x:c r="N1078" s="9" t="n">
        <x:f>M1078*'Parameters'!$C$18</x:f>
        <x:v>3.405555555555556</x:v>
      </x:c>
      <x:c r="O1078" s="9" t="n">
        <x:f>N1078*'Parameters'!$C$19</x:f>
        <x:v>4.256944444444445</x:v>
      </x:c>
      <x:c r="P1078" s="9" t="n">
        <x:f>M1078*(1-0.40)-N1078</x:f>
        <x:v>6.811111111111111</x:v>
      </x:c>
      <x:c r="Q1078" s="9" t="n">
        <x:f>'Physical_Arcs'!T58</x:f>
        <x:v>17.02777777777778</x:v>
      </x:c>
      <x:c r="R1078" s="9" t="n">
        <x:f>Q1078*'Parameters'!$C$18</x:f>
        <x:v>3.405555555555556</x:v>
      </x:c>
      <x:c r="S1078" s="9" t="n">
        <x:f>R1078*'Parameters'!$C$19</x:f>
        <x:v>4.256944444444445</x:v>
      </x:c>
      <x:c r="T1078" s="9" t="n">
        <x:f>Q1078*(1-0.40)-R1078</x:f>
        <x:v>6.811111111111111</x:v>
      </x:c>
    </x:row>
    <x:row r="1079" ht="21" customHeight="1">
      <x:c r="A1079" s="3" t="n">
        <x:v>17</x:v>
      </x:c>
      <x:c r="B1079" s="3" t="str">
        <x:v>02:50</x:v>
      </x:c>
      <x:c r="C1079" s="3" t="n">
        <x:v>3</x:v>
      </x:c>
      <x:c r="D1079" s="3" t="n">
        <x:v>58</x:v>
      </x:c>
      <x:c r="E1079" s="3" t="n">
        <x:v>10</x:v>
      </x:c>
      <x:c r="F1079" s="3" t="n">
        <x:v>6</x:v>
      </x:c>
      <x:c r="G1079" s="9" t="n">
        <x:v>0.1</x:v>
      </x:c>
      <x:c r="H1079" s="9" t="n">
        <x:v>0.952676</x:v>
      </x:c>
      <x:c r="I1079" s="9" t="n">
        <x:f>'Physical_Arcs'!R59</x:f>
        <x:v>6.305555555555555</x:v>
      </x:c>
      <x:c r="J1079" s="9" t="n">
        <x:f>I1079*'Parameters'!$C$18</x:f>
        <x:v>1.261111111111111</x:v>
      </x:c>
      <x:c r="K1079" s="9" t="n">
        <x:f>J1079*'Parameters'!$C$19</x:f>
        <x:v>1.5763888888888888</x:v>
      </x:c>
      <x:c r="L1079" s="9" t="n">
        <x:f>I1079*(1-0.40)-J1079</x:f>
        <x:v>2.522222222222222</x:v>
      </x:c>
      <x:c r="M1079" s="9" t="n">
        <x:f>'Physical_Arcs'!S59</x:f>
        <x:v>6.305555555555555</x:v>
      </x:c>
      <x:c r="N1079" s="9" t="n">
        <x:f>M1079*'Parameters'!$C$18</x:f>
        <x:v>1.261111111111111</x:v>
      </x:c>
      <x:c r="O1079" s="9" t="n">
        <x:f>N1079*'Parameters'!$C$19</x:f>
        <x:v>1.5763888888888888</x:v>
      </x:c>
      <x:c r="P1079" s="9" t="n">
        <x:f>M1079*(1-0.40)-N1079</x:f>
        <x:v>2.522222222222222</x:v>
      </x:c>
      <x:c r="Q1079" s="9" t="n">
        <x:f>'Physical_Arcs'!T59</x:f>
        <x:v>3.1666666666666665</x:v>
      </x:c>
      <x:c r="R1079" s="9" t="n">
        <x:f>Q1079*'Parameters'!$C$18</x:f>
        <x:v>0.6333333333333333</x:v>
      </x:c>
      <x:c r="S1079" s="9" t="n">
        <x:f>R1079*'Parameters'!$C$19</x:f>
        <x:v>0.7916666666666666</x:v>
      </x:c>
      <x:c r="T1079" s="9" t="n">
        <x:f>Q1079*(1-0.40)-R1079</x:f>
        <x:v>1.2666666666666666</x:v>
      </x:c>
    </x:row>
    <x:row r="1080" ht="21" customHeight="1">
      <x:c r="A1080" s="3" t="n">
        <x:v>17</x:v>
      </x:c>
      <x:c r="B1080" s="3" t="str">
        <x:v>02:50</x:v>
      </x:c>
      <x:c r="C1080" s="3" t="n">
        <x:v>3</x:v>
      </x:c>
      <x:c r="D1080" s="3" t="n">
        <x:v>59</x:v>
      </x:c>
      <x:c r="E1080" s="3" t="n">
        <x:v>10</x:v>
      </x:c>
      <x:c r="F1080" s="3" t="n">
        <x:v>4</x:v>
      </x:c>
      <x:c r="G1080" s="9" t="n">
        <x:v>0.1</x:v>
      </x:c>
      <x:c r="H1080" s="9" t="n">
        <x:v>1.114542</x:v>
      </x:c>
      <x:c r="I1080" s="9" t="n">
        <x:f>'Physical_Arcs'!R60</x:f>
        <x:v>1.5833333333333333</x:v>
      </x:c>
      <x:c r="J1080" s="9" t="n">
        <x:f>I1080*'Parameters'!$C$18</x:f>
        <x:v>0.31666666666666665</x:v>
      </x:c>
      <x:c r="K1080" s="9" t="n">
        <x:f>J1080*'Parameters'!$C$19</x:f>
        <x:v>0.3958333333333333</x:v>
      </x:c>
      <x:c r="L1080" s="9" t="n">
        <x:f>I1080*(1-0.40)-J1080</x:f>
        <x:v>0.6333333333333333</x:v>
      </x:c>
      <x:c r="M1080" s="9" t="n">
        <x:f>'Physical_Arcs'!S60</x:f>
        <x:v>1.5833333333333333</x:v>
      </x:c>
      <x:c r="N1080" s="9" t="n">
        <x:f>M1080*'Parameters'!$C$18</x:f>
        <x:v>0.31666666666666665</x:v>
      </x:c>
      <x:c r="O1080" s="9" t="n">
        <x:f>N1080*'Parameters'!$C$19</x:f>
        <x:v>0.3958333333333333</x:v>
      </x:c>
      <x:c r="P1080" s="9" t="n">
        <x:f>M1080*(1-0.40)-N1080</x:f>
        <x:v>0.6333333333333333</x:v>
      </x:c>
      <x:c r="Q1080" s="9" t="n">
        <x:f>'Physical_Arcs'!T60</x:f>
        <x:v>0.8055555555555556</x:v>
      </x:c>
      <x:c r="R1080" s="9" t="n">
        <x:f>Q1080*'Parameters'!$C$18</x:f>
        <x:v>0.16111111111111112</x:v>
      </x:c>
      <x:c r="S1080" s="9" t="n">
        <x:f>R1080*'Parameters'!$C$19</x:f>
        <x:v>0.2013888888888889</x:v>
      </x:c>
      <x:c r="T1080" s="9" t="n">
        <x:f>Q1080*(1-0.40)-R1080</x:f>
        <x:v>0.3222222222222222</x:v>
      </x:c>
    </x:row>
    <x:row r="1081" ht="21" customHeight="1">
      <x:c r="A1081" s="3" t="n">
        <x:v>17</x:v>
      </x:c>
      <x:c r="B1081" s="3" t="str">
        <x:v>02:50</x:v>
      </x:c>
      <x:c r="C1081" s="3" t="n">
        <x:v>3</x:v>
      </x:c>
      <x:c r="D1081" s="3" t="n">
        <x:v>60</x:v>
      </x:c>
      <x:c r="E1081" s="3" t="n">
        <x:v>10</x:v>
      </x:c>
      <x:c r="F1081" s="3" t="n">
        <x:v>9</x:v>
      </x:c>
      <x:c r="G1081" s="9" t="n">
        <x:v>0.1</x:v>
      </x:c>
      <x:c r="H1081" s="9" t="n">
        <x:v>1.092245</x:v>
      </x:c>
      <x:c r="I1081" s="9" t="n">
        <x:f>'Physical_Arcs'!R61</x:f>
        <x:v>10.333333333333334</x:v>
      </x:c>
      <x:c r="J1081" s="9" t="n">
        <x:f>I1081*'Parameters'!$C$18</x:f>
        <x:v>2.066666666666667</x:v>
      </x:c>
      <x:c r="K1081" s="9" t="n">
        <x:f>J1081*'Parameters'!$C$19</x:f>
        <x:v>2.5833333333333335</x:v>
      </x:c>
      <x:c r="L1081" s="9" t="n">
        <x:f>I1081*(1-0.40)-J1081</x:f>
        <x:v>4.133333333333333</x:v>
      </x:c>
      <x:c r="M1081" s="9" t="n">
        <x:f>'Physical_Arcs'!S61</x:f>
        <x:v>10.333333333333334</x:v>
      </x:c>
      <x:c r="N1081" s="9" t="n">
        <x:f>M1081*'Parameters'!$C$18</x:f>
        <x:v>2.066666666666667</x:v>
      </x:c>
      <x:c r="O1081" s="9" t="n">
        <x:f>N1081*'Parameters'!$C$19</x:f>
        <x:v>2.5833333333333335</x:v>
      </x:c>
      <x:c r="P1081" s="9" t="n">
        <x:f>M1081*(1-0.40)-N1081</x:f>
        <x:v>4.133333333333333</x:v>
      </x:c>
      <x:c r="Q1081" s="9" t="n">
        <x:f>'Physical_Arcs'!T61</x:f>
        <x:v>5.166666666666667</x:v>
      </x:c>
      <x:c r="R1081" s="9" t="n">
        <x:f>Q1081*'Parameters'!$C$18</x:f>
        <x:v>1.0333333333333334</x:v>
      </x:c>
      <x:c r="S1081" s="9" t="n">
        <x:f>R1081*'Parameters'!$C$19</x:f>
        <x:v>1.2916666666666667</x:v>
      </x:c>
      <x:c r="T1081" s="9" t="n">
        <x:f>Q1081*(1-0.40)-R1081</x:f>
        <x:v>2.0666666666666664</x:v>
      </x:c>
    </x:row>
    <x:row r="1082" ht="21" customHeight="1">
      <x:c r="A1082" s="3" t="n">
        <x:v>18</x:v>
      </x:c>
      <x:c r="B1082" s="3" t="str">
        <x:v>03:00</x:v>
      </x:c>
      <x:c r="C1082" s="3" t="n">
        <x:v>4</x:v>
      </x:c>
      <x:c r="D1082" s="3" t="n">
        <x:v>1</x:v>
      </x:c>
      <x:c r="E1082" s="3" t="n">
        <x:v>1</x:v>
      </x:c>
      <x:c r="F1082" s="3" t="n">
        <x:v>2</x:v>
      </x:c>
      <x:c r="G1082" s="9" t="n">
        <x:v>0.08</x:v>
      </x:c>
      <x:c r="H1082" s="9" t="n">
        <x:v>0.914787</x:v>
      </x:c>
      <x:c r="I1082" s="9" t="n">
        <x:f>'Physical_Arcs'!R2</x:f>
        <x:v>17.02777777777778</x:v>
      </x:c>
      <x:c r="J1082" s="9" t="n">
        <x:f>I1082*'Parameters'!$C$18</x:f>
        <x:v>3.405555555555556</x:v>
      </x:c>
      <x:c r="K1082" s="9" t="n">
        <x:f>J1082*'Parameters'!$C$19</x:f>
        <x:v>4.256944444444445</x:v>
      </x:c>
      <x:c r="L1082" s="9" t="n">
        <x:f>I1082*(1-0.40)-J1082</x:f>
        <x:v>6.811111111111111</x:v>
      </x:c>
      <x:c r="M1082" s="9" t="n">
        <x:f>'Physical_Arcs'!S2</x:f>
        <x:v>17.02777777777778</x:v>
      </x:c>
      <x:c r="N1082" s="9" t="n">
        <x:f>M1082*'Parameters'!$C$18</x:f>
        <x:v>3.405555555555556</x:v>
      </x:c>
      <x:c r="O1082" s="9" t="n">
        <x:f>N1082*'Parameters'!$C$19</x:f>
        <x:v>4.256944444444445</x:v>
      </x:c>
      <x:c r="P1082" s="9" t="n">
        <x:f>M1082*(1-0.40)-N1082</x:f>
        <x:v>6.811111111111111</x:v>
      </x:c>
      <x:c r="Q1082" s="9" t="n">
        <x:f>'Physical_Arcs'!T2</x:f>
        <x:v>17.02777777777778</x:v>
      </x:c>
      <x:c r="R1082" s="9" t="n">
        <x:f>Q1082*'Parameters'!$C$18</x:f>
        <x:v>3.405555555555556</x:v>
      </x:c>
      <x:c r="S1082" s="9" t="n">
        <x:f>R1082*'Parameters'!$C$19</x:f>
        <x:v>4.256944444444445</x:v>
      </x:c>
      <x:c r="T1082" s="9" t="n">
        <x:f>Q1082*(1-0.40)-R1082</x:f>
        <x:v>6.811111111111111</x:v>
      </x:c>
    </x:row>
    <x:row r="1083" ht="21" customHeight="1">
      <x:c r="A1083" s="3" t="n">
        <x:v>18</x:v>
      </x:c>
      <x:c r="B1083" s="3" t="str">
        <x:v>03:00</x:v>
      </x:c>
      <x:c r="C1083" s="3" t="n">
        <x:v>4</x:v>
      </x:c>
      <x:c r="D1083" s="3" t="n">
        <x:v>2</x:v>
      </x:c>
      <x:c r="E1083" s="3" t="n">
        <x:v>1</x:v>
      </x:c>
      <x:c r="F1083" s="3" t="n">
        <x:v>10</x:v>
      </x:c>
      <x:c r="G1083" s="9" t="n">
        <x:v>0.08</x:v>
      </x:c>
      <x:c r="H1083" s="9" t="n">
        <x:v>1.003995</x:v>
      </x:c>
      <x:c r="I1083" s="9" t="n">
        <x:f>'Physical_Arcs'!R3</x:f>
        <x:v>3.2777777777777777</x:v>
      </x:c>
      <x:c r="J1083" s="9" t="n">
        <x:f>I1083*'Parameters'!$C$18</x:f>
        <x:v>0.6555555555555556</x:v>
      </x:c>
      <x:c r="K1083" s="9" t="n">
        <x:f>J1083*'Parameters'!$C$19</x:f>
        <x:v>0.8194444444444444</x:v>
      </x:c>
      <x:c r="L1083" s="9" t="n">
        <x:f>I1083*(1-0.40)-J1083</x:f>
        <x:v>1.311111111111111</x:v>
      </x:c>
      <x:c r="M1083" s="9" t="n">
        <x:f>'Physical_Arcs'!S3</x:f>
        <x:v>3.2777777777777777</x:v>
      </x:c>
      <x:c r="N1083" s="9" t="n">
        <x:f>M1083*'Parameters'!$C$18</x:f>
        <x:v>0.6555555555555556</x:v>
      </x:c>
      <x:c r="O1083" s="9" t="n">
        <x:f>N1083*'Parameters'!$C$19</x:f>
        <x:v>0.8194444444444444</x:v>
      </x:c>
      <x:c r="P1083" s="9" t="n">
        <x:f>M1083*(1-0.40)-N1083</x:f>
        <x:v>1.311111111111111</x:v>
      </x:c>
      <x:c r="Q1083" s="9" t="n">
        <x:f>'Physical_Arcs'!T3</x:f>
        <x:v>1.6388888888888888</x:v>
      </x:c>
      <x:c r="R1083" s="9" t="n">
        <x:f>Q1083*'Parameters'!$C$18</x:f>
        <x:v>0.3277777777777778</x:v>
      </x:c>
      <x:c r="S1083" s="9" t="n">
        <x:f>R1083*'Parameters'!$C$19</x:f>
        <x:v>0.4097222222222222</x:v>
      </x:c>
      <x:c r="T1083" s="9" t="n">
        <x:f>Q1083*(1-0.40)-R1083</x:f>
        <x:v>0.6555555555555554</x:v>
      </x:c>
    </x:row>
    <x:row r="1084" ht="21" customHeight="1">
      <x:c r="A1084" s="3" t="n">
        <x:v>18</x:v>
      </x:c>
      <x:c r="B1084" s="3" t="str">
        <x:v>03:00</x:v>
      </x:c>
      <x:c r="C1084" s="3" t="n">
        <x:v>4</x:v>
      </x:c>
      <x:c r="D1084" s="3" t="n">
        <x:v>3</x:v>
      </x:c>
      <x:c r="E1084" s="3" t="n">
        <x:v>1</x:v>
      </x:c>
      <x:c r="F1084" s="3" t="n">
        <x:v>8</x:v>
      </x:c>
      <x:c r="G1084" s="9" t="n">
        <x:v>0.08</x:v>
      </x:c>
      <x:c r="H1084" s="9" t="n">
        <x:v>0.923863</x:v>
      </x:c>
      <x:c r="I1084" s="9" t="n">
        <x:f>'Physical_Arcs'!R4</x:f>
        <x:v>6.083333333333333</x:v>
      </x:c>
      <x:c r="J1084" s="9" t="n">
        <x:f>I1084*'Parameters'!$C$18</x:f>
        <x:v>1.2166666666666668</x:v>
      </x:c>
      <x:c r="K1084" s="9" t="n">
        <x:f>J1084*'Parameters'!$C$19</x:f>
        <x:v>1.5208333333333335</x:v>
      </x:c>
      <x:c r="L1084" s="9" t="n">
        <x:f>I1084*(1-0.40)-J1084</x:f>
        <x:v>2.4333333333333327</x:v>
      </x:c>
      <x:c r="M1084" s="9" t="n">
        <x:f>'Physical_Arcs'!S4</x:f>
        <x:v>6.083333333333333</x:v>
      </x:c>
      <x:c r="N1084" s="9" t="n">
        <x:f>M1084*'Parameters'!$C$18</x:f>
        <x:v>1.2166666666666668</x:v>
      </x:c>
      <x:c r="O1084" s="9" t="n">
        <x:f>N1084*'Parameters'!$C$19</x:f>
        <x:v>1.5208333333333335</x:v>
      </x:c>
      <x:c r="P1084" s="9" t="n">
        <x:f>M1084*(1-0.40)-N1084</x:f>
        <x:v>2.4333333333333327</x:v>
      </x:c>
      <x:c r="Q1084" s="9" t="n">
        <x:f>'Physical_Arcs'!T4</x:f>
        <x:v>3.0555555555555554</x:v>
      </x:c>
      <x:c r="R1084" s="9" t="n">
        <x:f>Q1084*'Parameters'!$C$18</x:f>
        <x:v>0.6111111111111112</x:v>
      </x:c>
      <x:c r="S1084" s="9" t="n">
        <x:f>R1084*'Parameters'!$C$19</x:f>
        <x:v>0.763888888888889</x:v>
      </x:c>
      <x:c r="T1084" s="9" t="n">
        <x:f>Q1084*(1-0.40)-R1084</x:f>
        <x:v>1.2222222222222219</x:v>
      </x:c>
    </x:row>
    <x:row r="1085" ht="21" customHeight="1">
      <x:c r="A1085" s="3" t="n">
        <x:v>18</x:v>
      </x:c>
      <x:c r="B1085" s="3" t="str">
        <x:v>03:00</x:v>
      </x:c>
      <x:c r="C1085" s="3" t="n">
        <x:v>4</x:v>
      </x:c>
      <x:c r="D1085" s="3" t="n">
        <x:v>4</x:v>
      </x:c>
      <x:c r="E1085" s="3" t="n">
        <x:v>1</x:v>
      </x:c>
      <x:c r="F1085" s="3" t="n">
        <x:v>7</x:v>
      </x:c>
      <x:c r="G1085" s="9" t="n">
        <x:v>0.08</x:v>
      </x:c>
      <x:c r="H1085" s="9" t="n">
        <x:v>1.111072</x:v>
      </x:c>
      <x:c r="I1085" s="9" t="n">
        <x:f>'Physical_Arcs'!R5</x:f>
        <x:v>9</x:v>
      </x:c>
      <x:c r="J1085" s="9" t="n">
        <x:f>I1085*'Parameters'!$C$18</x:f>
        <x:v>1.8</x:v>
      </x:c>
      <x:c r="K1085" s="9" t="n">
        <x:f>J1085*'Parameters'!$C$19</x:f>
        <x:v>2.25</x:v>
      </x:c>
      <x:c r="L1085" s="9" t="n">
        <x:f>I1085*(1-0.40)-J1085</x:f>
        <x:v>3.5999999999999996</x:v>
      </x:c>
      <x:c r="M1085" s="9" t="n">
        <x:f>'Physical_Arcs'!S5</x:f>
        <x:v>9</x:v>
      </x:c>
      <x:c r="N1085" s="9" t="n">
        <x:f>M1085*'Parameters'!$C$18</x:f>
        <x:v>1.8</x:v>
      </x:c>
      <x:c r="O1085" s="9" t="n">
        <x:f>N1085*'Parameters'!$C$19</x:f>
        <x:v>2.25</x:v>
      </x:c>
      <x:c r="P1085" s="9" t="n">
        <x:f>M1085*(1-0.40)-N1085</x:f>
        <x:v>3.5999999999999996</x:v>
      </x:c>
      <x:c r="Q1085" s="9" t="n">
        <x:f>'Physical_Arcs'!T5</x:f>
        <x:v>4.5</x:v>
      </x:c>
      <x:c r="R1085" s="9" t="n">
        <x:f>Q1085*'Parameters'!$C$18</x:f>
        <x:v>0.9</x:v>
      </x:c>
      <x:c r="S1085" s="9" t="n">
        <x:f>R1085*'Parameters'!$C$19</x:f>
        <x:v>1.125</x:v>
      </x:c>
      <x:c r="T1085" s="9" t="n">
        <x:f>Q1085*(1-0.40)-R1085</x:f>
        <x:v>1.7999999999999998</x:v>
      </x:c>
    </x:row>
    <x:row r="1086" ht="21" customHeight="1">
      <x:c r="A1086" s="3" t="n">
        <x:v>18</x:v>
      </x:c>
      <x:c r="B1086" s="3" t="str">
        <x:v>03:00</x:v>
      </x:c>
      <x:c r="C1086" s="3" t="n">
        <x:v>4</x:v>
      </x:c>
      <x:c r="D1086" s="3" t="n">
        <x:v>5</x:v>
      </x:c>
      <x:c r="E1086" s="3" t="n">
        <x:v>1</x:v>
      </x:c>
      <x:c r="F1086" s="3" t="n">
        <x:v>4</x:v>
      </x:c>
      <x:c r="G1086" s="9" t="n">
        <x:v>0.08</x:v>
      </x:c>
      <x:c r="H1086" s="9" t="n">
        <x:v>1.001665</x:v>
      </x:c>
      <x:c r="I1086" s="9" t="n">
        <x:f>'Physical_Arcs'!R6</x:f>
        <x:v>4.166666666666667</x:v>
      </x:c>
      <x:c r="J1086" s="9" t="n">
        <x:f>I1086*'Parameters'!$C$18</x:f>
        <x:v>0.8333333333333335</x:v>
      </x:c>
      <x:c r="K1086" s="9" t="n">
        <x:f>J1086*'Parameters'!$C$19</x:f>
        <x:v>1.041666666666667</x:v>
      </x:c>
      <x:c r="L1086" s="9" t="n">
        <x:f>I1086*(1-0.40)-J1086</x:f>
        <x:v>1.6666666666666665</x:v>
      </x:c>
      <x:c r="M1086" s="9" t="n">
        <x:f>'Physical_Arcs'!S6</x:f>
        <x:v>4.166666666666667</x:v>
      </x:c>
      <x:c r="N1086" s="9" t="n">
        <x:f>M1086*'Parameters'!$C$18</x:f>
        <x:v>0.8333333333333335</x:v>
      </x:c>
      <x:c r="O1086" s="9" t="n">
        <x:f>N1086*'Parameters'!$C$19</x:f>
        <x:v>1.041666666666667</x:v>
      </x:c>
      <x:c r="P1086" s="9" t="n">
        <x:f>M1086*(1-0.40)-N1086</x:f>
        <x:v>1.6666666666666665</x:v>
      </x:c>
      <x:c r="Q1086" s="9" t="n">
        <x:f>'Physical_Arcs'!T6</x:f>
        <x:v>2.0833333333333335</x:v>
      </x:c>
      <x:c r="R1086" s="9" t="n">
        <x:f>Q1086*'Parameters'!$C$18</x:f>
        <x:v>0.41666666666666674</x:v>
      </x:c>
      <x:c r="S1086" s="9" t="n">
        <x:f>R1086*'Parameters'!$C$19</x:f>
        <x:v>0.5208333333333335</x:v>
      </x:c>
      <x:c r="T1086" s="9" t="n">
        <x:f>Q1086*(1-0.40)-R1086</x:f>
        <x:v>0.8333333333333333</x:v>
      </x:c>
    </x:row>
    <x:row r="1087" ht="21" customHeight="1">
      <x:c r="A1087" s="3" t="n">
        <x:v>18</x:v>
      </x:c>
      <x:c r="B1087" s="3" t="str">
        <x:v>03:00</x:v>
      </x:c>
      <x:c r="C1087" s="3" t="n">
        <x:v>4</x:v>
      </x:c>
      <x:c r="D1087" s="3" t="n">
        <x:v>6</x:v>
      </x:c>
      <x:c r="E1087" s="3" t="n">
        <x:v>1</x:v>
      </x:c>
      <x:c r="F1087" s="3" t="n">
        <x:v>9</x:v>
      </x:c>
      <x:c r="G1087" s="9" t="n">
        <x:v>0.08</x:v>
      </x:c>
      <x:c r="H1087" s="9" t="n">
        <x:v>0.942884</x:v>
      </x:c>
      <x:c r="I1087" s="9" t="n">
        <x:f>'Physical_Arcs'!R7</x:f>
        <x:v>11.027777777777779</x:v>
      </x:c>
      <x:c r="J1087" s="9" t="n">
        <x:f>I1087*'Parameters'!$C$18</x:f>
        <x:v>2.2055555555555557</x:v>
      </x:c>
      <x:c r="K1087" s="9" t="n">
        <x:f>J1087*'Parameters'!$C$19</x:f>
        <x:v>2.7569444444444446</x:v>
      </x:c>
      <x:c r="L1087" s="9" t="n">
        <x:f>I1087*(1-0.40)-J1087</x:f>
        <x:v>4.411111111111111</x:v>
      </x:c>
      <x:c r="M1087" s="9" t="n">
        <x:f>'Physical_Arcs'!S7</x:f>
        <x:v>11.027777777777779</x:v>
      </x:c>
      <x:c r="N1087" s="9" t="n">
        <x:f>M1087*'Parameters'!$C$18</x:f>
        <x:v>2.2055555555555557</x:v>
      </x:c>
      <x:c r="O1087" s="9" t="n">
        <x:f>N1087*'Parameters'!$C$19</x:f>
        <x:v>2.7569444444444446</x:v>
      </x:c>
      <x:c r="P1087" s="9" t="n">
        <x:f>M1087*(1-0.40)-N1087</x:f>
        <x:v>4.411111111111111</x:v>
      </x:c>
      <x:c r="Q1087" s="9" t="n">
        <x:f>'Physical_Arcs'!T7</x:f>
        <x:v>5.527777777777778</x:v>
      </x:c>
      <x:c r="R1087" s="9" t="n">
        <x:f>Q1087*'Parameters'!$C$18</x:f>
        <x:v>1.1055555555555556</x:v>
      </x:c>
      <x:c r="S1087" s="9" t="n">
        <x:f>R1087*'Parameters'!$C$19</x:f>
        <x:v>1.3819444444444446</x:v>
      </x:c>
      <x:c r="T1087" s="9" t="n">
        <x:f>Q1087*(1-0.40)-R1087</x:f>
        <x:v>2.211111111111111</x:v>
      </x:c>
    </x:row>
    <x:row r="1088" ht="21" customHeight="1">
      <x:c r="A1088" s="3" t="n">
        <x:v>18</x:v>
      </x:c>
      <x:c r="B1088" s="3" t="str">
        <x:v>03:00</x:v>
      </x:c>
      <x:c r="C1088" s="3" t="n">
        <x:v>4</x:v>
      </x:c>
      <x:c r="D1088" s="3" t="n">
        <x:v>7</x:v>
      </x:c>
      <x:c r="E1088" s="3" t="n">
        <x:v>1</x:v>
      </x:c>
      <x:c r="F1088" s="3" t="n">
        <x:v>5</x:v>
      </x:c>
      <x:c r="G1088" s="9" t="n">
        <x:v>0.08</x:v>
      </x:c>
      <x:c r="H1088" s="9" t="n">
        <x:v>1.038222</x:v>
      </x:c>
      <x:c r="I1088" s="9" t="n">
        <x:f>'Physical_Arcs'!R8</x:f>
        <x:v>7.972222222222222</x:v>
      </x:c>
      <x:c r="J1088" s="9" t="n">
        <x:f>I1088*'Parameters'!$C$18</x:f>
        <x:v>1.5944444444444446</x:v>
      </x:c>
      <x:c r="K1088" s="9" t="n">
        <x:f>J1088*'Parameters'!$C$19</x:f>
        <x:v>1.9930555555555558</x:v>
      </x:c>
      <x:c r="L1088" s="9" t="n">
        <x:f>I1088*(1-0.40)-J1088</x:f>
        <x:v>3.1888888888888887</x:v>
      </x:c>
      <x:c r="M1088" s="9" t="n">
        <x:f>'Physical_Arcs'!S8</x:f>
        <x:v>7.972222222222222</x:v>
      </x:c>
      <x:c r="N1088" s="9" t="n">
        <x:f>M1088*'Parameters'!$C$18</x:f>
        <x:v>1.5944444444444446</x:v>
      </x:c>
      <x:c r="O1088" s="9" t="n">
        <x:f>N1088*'Parameters'!$C$19</x:f>
        <x:v>1.9930555555555558</x:v>
      </x:c>
      <x:c r="P1088" s="9" t="n">
        <x:f>M1088*(1-0.40)-N1088</x:f>
        <x:v>3.1888888888888887</x:v>
      </x:c>
      <x:c r="Q1088" s="9" t="n">
        <x:f>'Physical_Arcs'!T8</x:f>
        <x:v>4</x:v>
      </x:c>
      <x:c r="R1088" s="9" t="n">
        <x:f>Q1088*'Parameters'!$C$18</x:f>
        <x:v>0.8</x:v>
      </x:c>
      <x:c r="S1088" s="9" t="n">
        <x:f>R1088*'Parameters'!$C$19</x:f>
        <x:v>1</x:v>
      </x:c>
      <x:c r="T1088" s="9" t="n">
        <x:f>Q1088*(1-0.40)-R1088</x:f>
        <x:v>1.5999999999999999</x:v>
      </x:c>
    </x:row>
    <x:row r="1089" ht="21" customHeight="1">
      <x:c r="A1089" s="3" t="n">
        <x:v>18</x:v>
      </x:c>
      <x:c r="B1089" s="3" t="str">
        <x:v>03:00</x:v>
      </x:c>
      <x:c r="C1089" s="3" t="n">
        <x:v>4</x:v>
      </x:c>
      <x:c r="D1089" s="3" t="n">
        <x:v>8</x:v>
      </x:c>
      <x:c r="E1089" s="3" t="n">
        <x:v>1</x:v>
      </x:c>
      <x:c r="F1089" s="3" t="n">
        <x:v>3</x:v>
      </x:c>
      <x:c r="G1089" s="9" t="n">
        <x:v>0.08</x:v>
      </x:c>
      <x:c r="H1089" s="9" t="n">
        <x:v>1.122297</x:v>
      </x:c>
      <x:c r="I1089" s="9" t="n">
        <x:f>'Physical_Arcs'!R9</x:f>
        <x:v>4.166666666666667</x:v>
      </x:c>
      <x:c r="J1089" s="9" t="n">
        <x:f>I1089*'Parameters'!$C$18</x:f>
        <x:v>0.8333333333333335</x:v>
      </x:c>
      <x:c r="K1089" s="9" t="n">
        <x:f>J1089*'Parameters'!$C$19</x:f>
        <x:v>1.041666666666667</x:v>
      </x:c>
      <x:c r="L1089" s="9" t="n">
        <x:f>I1089*(1-0.40)-J1089</x:f>
        <x:v>1.6666666666666665</x:v>
      </x:c>
      <x:c r="M1089" s="9" t="n">
        <x:f>'Physical_Arcs'!S9</x:f>
        <x:v>4.166666666666667</x:v>
      </x:c>
      <x:c r="N1089" s="9" t="n">
        <x:f>M1089*'Parameters'!$C$18</x:f>
        <x:v>0.8333333333333335</x:v>
      </x:c>
      <x:c r="O1089" s="9" t="n">
        <x:f>N1089*'Parameters'!$C$19</x:f>
        <x:v>1.041666666666667</x:v>
      </x:c>
      <x:c r="P1089" s="9" t="n">
        <x:f>M1089*(1-0.40)-N1089</x:f>
        <x:v>1.6666666666666665</x:v>
      </x:c>
      <x:c r="Q1089" s="9" t="n">
        <x:f>'Physical_Arcs'!T9</x:f>
        <x:v>2.0833333333333335</x:v>
      </x:c>
      <x:c r="R1089" s="9" t="n">
        <x:f>Q1089*'Parameters'!$C$18</x:f>
        <x:v>0.41666666666666674</x:v>
      </x:c>
      <x:c r="S1089" s="9" t="n">
        <x:f>R1089*'Parameters'!$C$19</x:f>
        <x:v>0.5208333333333335</x:v>
      </x:c>
      <x:c r="T1089" s="9" t="n">
        <x:f>Q1089*(1-0.40)-R1089</x:f>
        <x:v>0.8333333333333333</x:v>
      </x:c>
    </x:row>
    <x:row r="1090" ht="21" customHeight="1">
      <x:c r="A1090" s="3" t="n">
        <x:v>18</x:v>
      </x:c>
      <x:c r="B1090" s="3" t="str">
        <x:v>03:00</x:v>
      </x:c>
      <x:c r="C1090" s="3" t="n">
        <x:v>4</x:v>
      </x:c>
      <x:c r="D1090" s="3" t="n">
        <x:v>9</x:v>
      </x:c>
      <x:c r="E1090" s="3" t="n">
        <x:v>1</x:v>
      </x:c>
      <x:c r="F1090" s="3" t="n">
        <x:v>6</x:v>
      </x:c>
      <x:c r="G1090" s="9" t="n">
        <x:v>0.08</x:v>
      </x:c>
      <x:c r="H1090" s="9" t="n">
        <x:v>1.132682</x:v>
      </x:c>
      <x:c r="I1090" s="9" t="n">
        <x:f>'Physical_Arcs'!R10</x:f>
        <x:v>2.138888888888889</x:v>
      </x:c>
      <x:c r="J1090" s="9" t="n">
        <x:f>I1090*'Parameters'!$C$18</x:f>
        <x:v>0.4277777777777778</x:v>
      </x:c>
      <x:c r="K1090" s="9" t="n">
        <x:f>J1090*'Parameters'!$C$19</x:f>
        <x:v>0.5347222222222223</x:v>
      </x:c>
      <x:c r="L1090" s="9" t="n">
        <x:f>I1090*(1-0.40)-J1090</x:f>
        <x:v>0.8555555555555554</x:v>
      </x:c>
      <x:c r="M1090" s="9" t="n">
        <x:f>'Physical_Arcs'!S10</x:f>
        <x:v>2.138888888888889</x:v>
      </x:c>
      <x:c r="N1090" s="9" t="n">
        <x:f>M1090*'Parameters'!$C$18</x:f>
        <x:v>0.4277777777777778</x:v>
      </x:c>
      <x:c r="O1090" s="9" t="n">
        <x:f>N1090*'Parameters'!$C$19</x:f>
        <x:v>0.5347222222222223</x:v>
      </x:c>
      <x:c r="P1090" s="9" t="n">
        <x:f>M1090*(1-0.40)-N1090</x:f>
        <x:v>0.8555555555555554</x:v>
      </x:c>
      <x:c r="Q1090" s="9" t="n">
        <x:f>'Physical_Arcs'!T10</x:f>
        <x:v>1.0833333333333333</x:v>
      </x:c>
      <x:c r="R1090" s="9" t="n">
        <x:f>Q1090*'Parameters'!$C$18</x:f>
        <x:v>0.21666666666666667</x:v>
      </x:c>
      <x:c r="S1090" s="9" t="n">
        <x:f>R1090*'Parameters'!$C$19</x:f>
        <x:v>0.27083333333333337</x:v>
      </x:c>
      <x:c r="T1090" s="9" t="n">
        <x:f>Q1090*(1-0.40)-R1090</x:f>
        <x:v>0.43333333333333324</x:v>
      </x:c>
    </x:row>
    <x:row r="1091" ht="21" customHeight="1">
      <x:c r="A1091" s="3" t="n">
        <x:v>18</x:v>
      </x:c>
      <x:c r="B1091" s="3" t="str">
        <x:v>03:00</x:v>
      </x:c>
      <x:c r="C1091" s="3" t="n">
        <x:v>4</x:v>
      </x:c>
      <x:c r="D1091" s="3" t="n">
        <x:v>10</x:v>
      </x:c>
      <x:c r="E1091" s="3" t="n">
        <x:v>2</x:v>
      </x:c>
      <x:c r="F1091" s="3" t="n">
        <x:v>3</x:v>
      </x:c>
      <x:c r="G1091" s="9" t="n">
        <x:v>0.08</x:v>
      </x:c>
      <x:c r="H1091" s="9" t="n">
        <x:v>0.871154</x:v>
      </x:c>
      <x:c r="I1091" s="9" t="n">
        <x:f>'Physical_Arcs'!R11</x:f>
        <x:v>17.02777777777778</x:v>
      </x:c>
      <x:c r="J1091" s="9" t="n">
        <x:f>I1091*'Parameters'!$C$18</x:f>
        <x:v>3.405555555555556</x:v>
      </x:c>
      <x:c r="K1091" s="9" t="n">
        <x:f>J1091*'Parameters'!$C$19</x:f>
        <x:v>4.256944444444445</x:v>
      </x:c>
      <x:c r="L1091" s="9" t="n">
        <x:f>I1091*(1-0.40)-J1091</x:f>
        <x:v>6.811111111111111</x:v>
      </x:c>
      <x:c r="M1091" s="9" t="n">
        <x:f>'Physical_Arcs'!S11</x:f>
        <x:v>17.02777777777778</x:v>
      </x:c>
      <x:c r="N1091" s="9" t="n">
        <x:f>M1091*'Parameters'!$C$18</x:f>
        <x:v>3.405555555555556</x:v>
      </x:c>
      <x:c r="O1091" s="9" t="n">
        <x:f>N1091*'Parameters'!$C$19</x:f>
        <x:v>4.256944444444445</x:v>
      </x:c>
      <x:c r="P1091" s="9" t="n">
        <x:f>M1091*(1-0.40)-N1091</x:f>
        <x:v>6.811111111111111</x:v>
      </x:c>
      <x:c r="Q1091" s="9" t="n">
        <x:f>'Physical_Arcs'!T11</x:f>
        <x:v>17.02777777777778</x:v>
      </x:c>
      <x:c r="R1091" s="9" t="n">
        <x:f>Q1091*'Parameters'!$C$18</x:f>
        <x:v>3.405555555555556</x:v>
      </x:c>
      <x:c r="S1091" s="9" t="n">
        <x:f>R1091*'Parameters'!$C$19</x:f>
        <x:v>4.256944444444445</x:v>
      </x:c>
      <x:c r="T1091" s="9" t="n">
        <x:f>Q1091*(1-0.40)-R1091</x:f>
        <x:v>6.811111111111111</x:v>
      </x:c>
    </x:row>
    <x:row r="1092" ht="21" customHeight="1">
      <x:c r="A1092" s="3" t="n">
        <x:v>18</x:v>
      </x:c>
      <x:c r="B1092" s="3" t="str">
        <x:v>03:00</x:v>
      </x:c>
      <x:c r="C1092" s="3" t="n">
        <x:v>4</x:v>
      </x:c>
      <x:c r="D1092" s="3" t="n">
        <x:v>11</x:v>
      </x:c>
      <x:c r="E1092" s="3" t="n">
        <x:v>2</x:v>
      </x:c>
      <x:c r="F1092" s="3" t="n">
        <x:v>4</x:v>
      </x:c>
      <x:c r="G1092" s="9" t="n">
        <x:v>0.08</x:v>
      </x:c>
      <x:c r="H1092" s="9" t="n">
        <x:v>1.147412</x:v>
      </x:c>
      <x:c r="I1092" s="9" t="n">
        <x:f>'Physical_Arcs'!R12</x:f>
        <x:v>7.972222222222222</x:v>
      </x:c>
      <x:c r="J1092" s="9" t="n">
        <x:f>I1092*'Parameters'!$C$18</x:f>
        <x:v>1.5944444444444446</x:v>
      </x:c>
      <x:c r="K1092" s="9" t="n">
        <x:f>J1092*'Parameters'!$C$19</x:f>
        <x:v>1.9930555555555558</x:v>
      </x:c>
      <x:c r="L1092" s="9" t="n">
        <x:f>I1092*(1-0.40)-J1092</x:f>
        <x:v>3.1888888888888887</x:v>
      </x:c>
      <x:c r="M1092" s="9" t="n">
        <x:f>'Physical_Arcs'!S12</x:f>
        <x:v>7.972222222222222</x:v>
      </x:c>
      <x:c r="N1092" s="9" t="n">
        <x:f>M1092*'Parameters'!$C$18</x:f>
        <x:v>1.5944444444444446</x:v>
      </x:c>
      <x:c r="O1092" s="9" t="n">
        <x:f>N1092*'Parameters'!$C$19</x:f>
        <x:v>1.9930555555555558</x:v>
      </x:c>
      <x:c r="P1092" s="9" t="n">
        <x:f>M1092*(1-0.40)-N1092</x:f>
        <x:v>3.1888888888888887</x:v>
      </x:c>
      <x:c r="Q1092" s="9" t="n">
        <x:f>'Physical_Arcs'!T12</x:f>
        <x:v>4</x:v>
      </x:c>
      <x:c r="R1092" s="9" t="n">
        <x:f>Q1092*'Parameters'!$C$18</x:f>
        <x:v>0.8</x:v>
      </x:c>
      <x:c r="S1092" s="9" t="n">
        <x:f>R1092*'Parameters'!$C$19</x:f>
        <x:v>1</x:v>
      </x:c>
      <x:c r="T1092" s="9" t="n">
        <x:f>Q1092*(1-0.40)-R1092</x:f>
        <x:v>1.5999999999999999</x:v>
      </x:c>
    </x:row>
    <x:row r="1093" ht="21" customHeight="1">
      <x:c r="A1093" s="3" t="n">
        <x:v>18</x:v>
      </x:c>
      <x:c r="B1093" s="3" t="str">
        <x:v>03:00</x:v>
      </x:c>
      <x:c r="C1093" s="3" t="n">
        <x:v>4</x:v>
      </x:c>
      <x:c r="D1093" s="3" t="n">
        <x:v>12</x:v>
      </x:c>
      <x:c r="E1093" s="3" t="n">
        <x:v>2</x:v>
      </x:c>
      <x:c r="F1093" s="3" t="n">
        <x:v>7</x:v>
      </x:c>
      <x:c r="G1093" s="9" t="n">
        <x:v>0.08</x:v>
      </x:c>
      <x:c r="H1093" s="9" t="n">
        <x:v>0.96729</x:v>
      </x:c>
      <x:c r="I1093" s="9" t="n">
        <x:f>'Physical_Arcs'!R13</x:f>
        <x:v>4.611111111111111</x:v>
      </x:c>
      <x:c r="J1093" s="9" t="n">
        <x:f>I1093*'Parameters'!$C$18</x:f>
        <x:v>0.9222222222222222</x:v>
      </x:c>
      <x:c r="K1093" s="9" t="n">
        <x:f>J1093*'Parameters'!$C$19</x:f>
        <x:v>1.1527777777777777</x:v>
      </x:c>
      <x:c r="L1093" s="9" t="n">
        <x:f>I1093*(1-0.40)-J1093</x:f>
        <x:v>1.844444444444444</x:v>
      </x:c>
      <x:c r="M1093" s="9" t="n">
        <x:f>'Physical_Arcs'!S13</x:f>
        <x:v>4.611111111111111</x:v>
      </x:c>
      <x:c r="N1093" s="9" t="n">
        <x:f>M1093*'Parameters'!$C$18</x:f>
        <x:v>0.9222222222222222</x:v>
      </x:c>
      <x:c r="O1093" s="9" t="n">
        <x:f>N1093*'Parameters'!$C$19</x:f>
        <x:v>1.1527777777777777</x:v>
      </x:c>
      <x:c r="P1093" s="9" t="n">
        <x:f>M1093*(1-0.40)-N1093</x:f>
        <x:v>1.844444444444444</x:v>
      </x:c>
      <x:c r="Q1093" s="9" t="n">
        <x:f>'Physical_Arcs'!T13</x:f>
        <x:v>2.3055555555555554</x:v>
      </x:c>
      <x:c r="R1093" s="9" t="n">
        <x:f>Q1093*'Parameters'!$C$18</x:f>
        <x:v>0.4611111111111111</x:v>
      </x:c>
      <x:c r="S1093" s="9" t="n">
        <x:f>R1093*'Parameters'!$C$19</x:f>
        <x:v>0.5763888888888888</x:v>
      </x:c>
      <x:c r="T1093" s="9" t="n">
        <x:f>Q1093*(1-0.40)-R1093</x:f>
        <x:v>0.922222222222222</x:v>
      </x:c>
    </x:row>
    <x:row r="1094" ht="21" customHeight="1">
      <x:c r="A1094" s="3" t="n">
        <x:v>18</x:v>
      </x:c>
      <x:c r="B1094" s="3" t="str">
        <x:v>03:00</x:v>
      </x:c>
      <x:c r="C1094" s="3" t="n">
        <x:v>4</x:v>
      </x:c>
      <x:c r="D1094" s="3" t="n">
        <x:v>13</x:v>
      </x:c>
      <x:c r="E1094" s="3" t="n">
        <x:v>2</x:v>
      </x:c>
      <x:c r="F1094" s="3" t="n">
        <x:v>9</x:v>
      </x:c>
      <x:c r="G1094" s="9" t="n">
        <x:v>0.08</x:v>
      </x:c>
      <x:c r="H1094" s="9" t="n">
        <x:v>1.117625</x:v>
      </x:c>
      <x:c r="I1094" s="9" t="n">
        <x:f>'Physical_Arcs'!R14</x:f>
        <x:v>8.666666666666666</x:v>
      </x:c>
      <x:c r="J1094" s="9" t="n">
        <x:f>I1094*'Parameters'!$C$18</x:f>
        <x:v>1.7333333333333334</x:v>
      </x:c>
      <x:c r="K1094" s="9" t="n">
        <x:f>J1094*'Parameters'!$C$19</x:f>
        <x:v>2.166666666666667</x:v>
      </x:c>
      <x:c r="L1094" s="9" t="n">
        <x:f>I1094*(1-0.40)-J1094</x:f>
        <x:v>3.466666666666666</x:v>
      </x:c>
      <x:c r="M1094" s="9" t="n">
        <x:f>'Physical_Arcs'!S14</x:f>
        <x:v>8.666666666666666</x:v>
      </x:c>
      <x:c r="N1094" s="9" t="n">
        <x:f>M1094*'Parameters'!$C$18</x:f>
        <x:v>1.7333333333333334</x:v>
      </x:c>
      <x:c r="O1094" s="9" t="n">
        <x:f>N1094*'Parameters'!$C$19</x:f>
        <x:v>2.166666666666667</x:v>
      </x:c>
      <x:c r="P1094" s="9" t="n">
        <x:f>M1094*(1-0.40)-N1094</x:f>
        <x:v>3.466666666666666</x:v>
      </x:c>
      <x:c r="Q1094" s="9" t="n">
        <x:f>'Physical_Arcs'!T14</x:f>
        <x:v>4.333333333333333</x:v>
      </x:c>
      <x:c r="R1094" s="9" t="n">
        <x:f>Q1094*'Parameters'!$C$18</x:f>
        <x:v>0.8666666666666667</x:v>
      </x:c>
      <x:c r="S1094" s="9" t="n">
        <x:f>R1094*'Parameters'!$C$19</x:f>
        <x:v>1.0833333333333335</x:v>
      </x:c>
      <x:c r="T1094" s="9" t="n">
        <x:f>Q1094*(1-0.40)-R1094</x:f>
        <x:v>1.733333333333333</x:v>
      </x:c>
    </x:row>
    <x:row r="1095" ht="21" customHeight="1">
      <x:c r="A1095" s="3" t="n">
        <x:v>18</x:v>
      </x:c>
      <x:c r="B1095" s="3" t="str">
        <x:v>03:00</x:v>
      </x:c>
      <x:c r="C1095" s="3" t="n">
        <x:v>4</x:v>
      </x:c>
      <x:c r="D1095" s="3" t="n">
        <x:v>14</x:v>
      </x:c>
      <x:c r="E1095" s="3" t="n">
        <x:v>2</x:v>
      </x:c>
      <x:c r="F1095" s="3" t="n">
        <x:v>8</x:v>
      </x:c>
      <x:c r="G1095" s="9" t="n">
        <x:v>0.08</x:v>
      </x:c>
      <x:c r="H1095" s="9" t="n">
        <x:v>1.144902</x:v>
      </x:c>
      <x:c r="I1095" s="9" t="n">
        <x:f>'Physical_Arcs'!R15</x:f>
        <x:v>7.75</x:v>
      </x:c>
      <x:c r="J1095" s="9" t="n">
        <x:f>I1095*'Parameters'!$C$18</x:f>
        <x:v>1.55</x:v>
      </x:c>
      <x:c r="K1095" s="9" t="n">
        <x:f>J1095*'Parameters'!$C$19</x:f>
        <x:v>1.9375</x:v>
      </x:c>
      <x:c r="L1095" s="9" t="n">
        <x:f>I1095*(1-0.40)-J1095</x:f>
        <x:v>3.0999999999999996</x:v>
      </x:c>
      <x:c r="M1095" s="9" t="n">
        <x:f>'Physical_Arcs'!S15</x:f>
        <x:v>7.75</x:v>
      </x:c>
      <x:c r="N1095" s="9" t="n">
        <x:f>M1095*'Parameters'!$C$18</x:f>
        <x:v>1.55</x:v>
      </x:c>
      <x:c r="O1095" s="9" t="n">
        <x:f>N1095*'Parameters'!$C$19</x:f>
        <x:v>1.9375</x:v>
      </x:c>
      <x:c r="P1095" s="9" t="n">
        <x:f>M1095*(1-0.40)-N1095</x:f>
        <x:v>3.0999999999999996</x:v>
      </x:c>
      <x:c r="Q1095" s="9" t="n">
        <x:f>'Physical_Arcs'!T15</x:f>
        <x:v>3.888888888888889</x:v>
      </x:c>
      <x:c r="R1095" s="9" t="n">
        <x:f>Q1095*'Parameters'!$C$18</x:f>
        <x:v>0.7777777777777778</x:v>
      </x:c>
      <x:c r="S1095" s="9" t="n">
        <x:f>R1095*'Parameters'!$C$19</x:f>
        <x:v>0.9722222222222222</x:v>
      </x:c>
      <x:c r="T1095" s="9" t="n">
        <x:f>Q1095*(1-0.40)-R1095</x:f>
        <x:v>1.5555555555555554</x:v>
      </x:c>
    </x:row>
    <x:row r="1096" ht="21" customHeight="1">
      <x:c r="A1096" s="3" t="n">
        <x:v>18</x:v>
      </x:c>
      <x:c r="B1096" s="3" t="str">
        <x:v>03:00</x:v>
      </x:c>
      <x:c r="C1096" s="3" t="n">
        <x:v>4</x:v>
      </x:c>
      <x:c r="D1096" s="3" t="n">
        <x:v>15</x:v>
      </x:c>
      <x:c r="E1096" s="3" t="n">
        <x:v>2</x:v>
      </x:c>
      <x:c r="F1096" s="3" t="n">
        <x:v>10</x:v>
      </x:c>
      <x:c r="G1096" s="9" t="n">
        <x:v>0.08</x:v>
      </x:c>
      <x:c r="H1096" s="9" t="n">
        <x:v>1.146684</x:v>
      </x:c>
      <x:c r="I1096" s="9" t="n">
        <x:f>'Physical_Arcs'!R16</x:f>
        <x:v>7.416666666666667</x:v>
      </x:c>
      <x:c r="J1096" s="9" t="n">
        <x:f>I1096*'Parameters'!$C$18</x:f>
        <x:v>1.4833333333333334</x:v>
      </x:c>
      <x:c r="K1096" s="9" t="n">
        <x:f>J1096*'Parameters'!$C$19</x:f>
        <x:v>1.8541666666666667</x:v>
      </x:c>
      <x:c r="L1096" s="9" t="n">
        <x:f>I1096*(1-0.40)-J1096</x:f>
        <x:v>2.966666666666667</x:v>
      </x:c>
      <x:c r="M1096" s="9" t="n">
        <x:f>'Physical_Arcs'!S16</x:f>
        <x:v>7.416666666666667</x:v>
      </x:c>
      <x:c r="N1096" s="9" t="n">
        <x:f>M1096*'Parameters'!$C$18</x:f>
        <x:v>1.4833333333333334</x:v>
      </x:c>
      <x:c r="O1096" s="9" t="n">
        <x:f>N1096*'Parameters'!$C$19</x:f>
        <x:v>1.8541666666666667</x:v>
      </x:c>
      <x:c r="P1096" s="9" t="n">
        <x:f>M1096*(1-0.40)-N1096</x:f>
        <x:v>2.966666666666667</x:v>
      </x:c>
      <x:c r="Q1096" s="9" t="n">
        <x:f>'Physical_Arcs'!T16</x:f>
        <x:v>3.7222222222222223</x:v>
      </x:c>
      <x:c r="R1096" s="9" t="n">
        <x:f>Q1096*'Parameters'!$C$18</x:f>
        <x:v>0.7444444444444445</x:v>
      </x:c>
      <x:c r="S1096" s="9" t="n">
        <x:f>R1096*'Parameters'!$C$19</x:f>
        <x:v>0.9305555555555556</x:v>
      </x:c>
      <x:c r="T1096" s="9" t="n">
        <x:f>Q1096*(1-0.40)-R1096</x:f>
        <x:v>1.488888888888889</x:v>
      </x:c>
    </x:row>
    <x:row r="1097" ht="21" customHeight="1">
      <x:c r="A1097" s="3" t="n">
        <x:v>18</x:v>
      </x:c>
      <x:c r="B1097" s="3" t="str">
        <x:v>03:00</x:v>
      </x:c>
      <x:c r="C1097" s="3" t="n">
        <x:v>4</x:v>
      </x:c>
      <x:c r="D1097" s="3" t="n">
        <x:v>16</x:v>
      </x:c>
      <x:c r="E1097" s="3" t="n">
        <x:v>3</x:v>
      </x:c>
      <x:c r="F1097" s="3" t="n">
        <x:v>4</x:v>
      </x:c>
      <x:c r="G1097" s="9" t="n">
        <x:v>0.08</x:v>
      </x:c>
      <x:c r="H1097" s="9" t="n">
        <x:v>1.017658</x:v>
      </x:c>
      <x:c r="I1097" s="9" t="n">
        <x:f>'Physical_Arcs'!R17</x:f>
        <x:v>17.02777777777778</x:v>
      </x:c>
      <x:c r="J1097" s="9" t="n">
        <x:f>I1097*'Parameters'!$C$18</x:f>
        <x:v>3.405555555555556</x:v>
      </x:c>
      <x:c r="K1097" s="9" t="n">
        <x:f>J1097*'Parameters'!$C$19</x:f>
        <x:v>4.256944444444445</x:v>
      </x:c>
      <x:c r="L1097" s="9" t="n">
        <x:f>I1097*(1-0.40)-J1097</x:f>
        <x:v>6.811111111111111</x:v>
      </x:c>
      <x:c r="M1097" s="9" t="n">
        <x:f>'Physical_Arcs'!S17</x:f>
        <x:v>17.02777777777778</x:v>
      </x:c>
      <x:c r="N1097" s="9" t="n">
        <x:f>M1097*'Parameters'!$C$18</x:f>
        <x:v>3.405555555555556</x:v>
      </x:c>
      <x:c r="O1097" s="9" t="n">
        <x:f>N1097*'Parameters'!$C$19</x:f>
        <x:v>4.256944444444445</x:v>
      </x:c>
      <x:c r="P1097" s="9" t="n">
        <x:f>M1097*(1-0.40)-N1097</x:f>
        <x:v>6.811111111111111</x:v>
      </x:c>
      <x:c r="Q1097" s="9" t="n">
        <x:f>'Physical_Arcs'!T17</x:f>
        <x:v>17.02777777777778</x:v>
      </x:c>
      <x:c r="R1097" s="9" t="n">
        <x:f>Q1097*'Parameters'!$C$18</x:f>
        <x:v>3.405555555555556</x:v>
      </x:c>
      <x:c r="S1097" s="9" t="n">
        <x:f>R1097*'Parameters'!$C$19</x:f>
        <x:v>4.256944444444445</x:v>
      </x:c>
      <x:c r="T1097" s="9" t="n">
        <x:f>Q1097*(1-0.40)-R1097</x:f>
        <x:v>6.811111111111111</x:v>
      </x:c>
    </x:row>
    <x:row r="1098" ht="21" customHeight="1">
      <x:c r="A1098" s="3" t="n">
        <x:v>18</x:v>
      </x:c>
      <x:c r="B1098" s="3" t="str">
        <x:v>03:00</x:v>
      </x:c>
      <x:c r="C1098" s="3" t="n">
        <x:v>4</x:v>
      </x:c>
      <x:c r="D1098" s="3" t="n">
        <x:v>17</x:v>
      </x:c>
      <x:c r="E1098" s="3" t="n">
        <x:v>3</x:v>
      </x:c>
      <x:c r="F1098" s="3" t="n">
        <x:v>2</x:v>
      </x:c>
      <x:c r="G1098" s="9" t="n">
        <x:v>0.08</x:v>
      </x:c>
      <x:c r="H1098" s="9" t="n">
        <x:v>0.875995</x:v>
      </x:c>
      <x:c r="I1098" s="9" t="n">
        <x:f>'Physical_Arcs'!R18</x:f>
        <x:v>10.666666666666666</x:v>
      </x:c>
      <x:c r="J1098" s="9" t="n">
        <x:f>I1098*'Parameters'!$C$18</x:f>
        <x:v>2.1333333333333333</x:v>
      </x:c>
      <x:c r="K1098" s="9" t="n">
        <x:f>J1098*'Parameters'!$C$19</x:f>
        <x:v>2.6666666666666665</x:v>
      </x:c>
      <x:c r="L1098" s="9" t="n">
        <x:f>I1098*(1-0.40)-J1098</x:f>
        <x:v>4.266666666666666</x:v>
      </x:c>
      <x:c r="M1098" s="9" t="n">
        <x:f>'Physical_Arcs'!S18</x:f>
        <x:v>10.666666666666666</x:v>
      </x:c>
      <x:c r="N1098" s="9" t="n">
        <x:f>M1098*'Parameters'!$C$18</x:f>
        <x:v>2.1333333333333333</x:v>
      </x:c>
      <x:c r="O1098" s="9" t="n">
        <x:f>N1098*'Parameters'!$C$19</x:f>
        <x:v>2.6666666666666665</x:v>
      </x:c>
      <x:c r="P1098" s="9" t="n">
        <x:f>M1098*(1-0.40)-N1098</x:f>
        <x:v>4.266666666666666</x:v>
      </x:c>
      <x:c r="Q1098" s="9" t="n">
        <x:f>'Physical_Arcs'!T18</x:f>
        <x:v>5.333333333333333</x:v>
      </x:c>
      <x:c r="R1098" s="9" t="n">
        <x:f>Q1098*'Parameters'!$C$18</x:f>
        <x:v>1.0666666666666667</x:v>
      </x:c>
      <x:c r="S1098" s="9" t="n">
        <x:f>R1098*'Parameters'!$C$19</x:f>
        <x:v>1.3333333333333333</x:v>
      </x:c>
      <x:c r="T1098" s="9" t="n">
        <x:f>Q1098*(1-0.40)-R1098</x:f>
        <x:v>2.133333333333333</x:v>
      </x:c>
    </x:row>
    <x:row r="1099" ht="21" customHeight="1">
      <x:c r="A1099" s="3" t="n">
        <x:v>18</x:v>
      </x:c>
      <x:c r="B1099" s="3" t="str">
        <x:v>03:00</x:v>
      </x:c>
      <x:c r="C1099" s="3" t="n">
        <x:v>4</x:v>
      </x:c>
      <x:c r="D1099" s="3" t="n">
        <x:v>18</x:v>
      </x:c>
      <x:c r="E1099" s="3" t="n">
        <x:v>3</x:v>
      </x:c>
      <x:c r="F1099" s="3" t="n">
        <x:v>1</x:v>
      </x:c>
      <x:c r="G1099" s="9" t="n">
        <x:v>0.08</x:v>
      </x:c>
      <x:c r="H1099" s="9" t="n">
        <x:v>1.015397</x:v>
      </x:c>
      <x:c r="I1099" s="9" t="n">
        <x:f>'Physical_Arcs'!R19</x:f>
        <x:v>5.166666666666667</x:v>
      </x:c>
      <x:c r="J1099" s="9" t="n">
        <x:f>I1099*'Parameters'!$C$18</x:f>
        <x:v>1.0333333333333334</x:v>
      </x:c>
      <x:c r="K1099" s="9" t="n">
        <x:f>J1099*'Parameters'!$C$19</x:f>
        <x:v>1.2916666666666667</x:v>
      </x:c>
      <x:c r="L1099" s="9" t="n">
        <x:f>I1099*(1-0.40)-J1099</x:f>
        <x:v>2.0666666666666664</x:v>
      </x:c>
      <x:c r="M1099" s="9" t="n">
        <x:f>'Physical_Arcs'!S19</x:f>
        <x:v>5.166666666666667</x:v>
      </x:c>
      <x:c r="N1099" s="9" t="n">
        <x:f>M1099*'Parameters'!$C$18</x:f>
        <x:v>1.0333333333333334</x:v>
      </x:c>
      <x:c r="O1099" s="9" t="n">
        <x:f>N1099*'Parameters'!$C$19</x:f>
        <x:v>1.2916666666666667</x:v>
      </x:c>
      <x:c r="P1099" s="9" t="n">
        <x:f>M1099*(1-0.40)-N1099</x:f>
        <x:v>2.0666666666666664</x:v>
      </x:c>
      <x:c r="Q1099" s="9" t="n">
        <x:f>'Physical_Arcs'!T19</x:f>
        <x:v>2.5833333333333335</x:v>
      </x:c>
      <x:c r="R1099" s="9" t="n">
        <x:f>Q1099*'Parameters'!$C$18</x:f>
        <x:v>0.5166666666666667</x:v>
      </x:c>
      <x:c r="S1099" s="9" t="n">
        <x:f>R1099*'Parameters'!$C$19</x:f>
        <x:v>0.6458333333333334</x:v>
      </x:c>
      <x:c r="T1099" s="9" t="n">
        <x:f>Q1099*(1-0.40)-R1099</x:f>
        <x:v>1.0333333333333332</x:v>
      </x:c>
    </x:row>
    <x:row r="1100" ht="21" customHeight="1">
      <x:c r="A1100" s="3" t="n">
        <x:v>18</x:v>
      </x:c>
      <x:c r="B1100" s="3" t="str">
        <x:v>03:00</x:v>
      </x:c>
      <x:c r="C1100" s="3" t="n">
        <x:v>4</x:v>
      </x:c>
      <x:c r="D1100" s="3" t="n">
        <x:v>19</x:v>
      </x:c>
      <x:c r="E1100" s="3" t="n">
        <x:v>3</x:v>
      </x:c>
      <x:c r="F1100" s="3" t="n">
        <x:v>7</x:v>
      </x:c>
      <x:c r="G1100" s="9" t="n">
        <x:v>0.08</x:v>
      </x:c>
      <x:c r="H1100" s="9" t="n">
        <x:v>0.996008</x:v>
      </x:c>
      <x:c r="I1100" s="9" t="n">
        <x:f>'Physical_Arcs'!R20</x:f>
        <x:v>5.75</x:v>
      </x:c>
      <x:c r="J1100" s="9" t="n">
        <x:f>I1100*'Parameters'!$C$18</x:f>
        <x:v>1.1500000000000001</x:v>
      </x:c>
      <x:c r="K1100" s="9" t="n">
        <x:f>J1100*'Parameters'!$C$19</x:f>
        <x:v>1.4375000000000002</x:v>
      </x:c>
      <x:c r="L1100" s="9" t="n">
        <x:f>I1100*(1-0.40)-J1100</x:f>
        <x:v>2.3</x:v>
      </x:c>
      <x:c r="M1100" s="9" t="n">
        <x:f>'Physical_Arcs'!S20</x:f>
        <x:v>5.75</x:v>
      </x:c>
      <x:c r="N1100" s="9" t="n">
        <x:f>M1100*'Parameters'!$C$18</x:f>
        <x:v>1.1500000000000001</x:v>
      </x:c>
      <x:c r="O1100" s="9" t="n">
        <x:f>N1100*'Parameters'!$C$19</x:f>
        <x:v>1.4375000000000002</x:v>
      </x:c>
      <x:c r="P1100" s="9" t="n">
        <x:f>M1100*(1-0.40)-N1100</x:f>
        <x:v>2.3</x:v>
      </x:c>
      <x:c r="Q1100" s="9" t="n">
        <x:f>'Physical_Arcs'!T20</x:f>
        <x:v>2.888888888888889</x:v>
      </x:c>
      <x:c r="R1100" s="9" t="n">
        <x:f>Q1100*'Parameters'!$C$18</x:f>
        <x:v>0.5777777777777778</x:v>
      </x:c>
      <x:c r="S1100" s="9" t="n">
        <x:f>R1100*'Parameters'!$C$19</x:f>
        <x:v>0.7222222222222223</x:v>
      </x:c>
      <x:c r="T1100" s="9" t="n">
        <x:f>Q1100*(1-0.40)-R1100</x:f>
        <x:v>1.1555555555555554</x:v>
      </x:c>
    </x:row>
    <x:row r="1101" ht="21" customHeight="1">
      <x:c r="A1101" s="3" t="n">
        <x:v>18</x:v>
      </x:c>
      <x:c r="B1101" s="3" t="str">
        <x:v>03:00</x:v>
      </x:c>
      <x:c r="C1101" s="3" t="n">
        <x:v>4</x:v>
      </x:c>
      <x:c r="D1101" s="3" t="n">
        <x:v>20</x:v>
      </x:c>
      <x:c r="E1101" s="3" t="n">
        <x:v>3</x:v>
      </x:c>
      <x:c r="F1101" s="3" t="n">
        <x:v>10</x:v>
      </x:c>
      <x:c r="G1101" s="9" t="n">
        <x:v>0.08</x:v>
      </x:c>
      <x:c r="H1101" s="9" t="n">
        <x:v>1.118855</x:v>
      </x:c>
      <x:c r="I1101" s="9" t="n">
        <x:f>'Physical_Arcs'!R21</x:f>
        <x:v>5.166666666666667</x:v>
      </x:c>
      <x:c r="J1101" s="9" t="n">
        <x:f>I1101*'Parameters'!$C$18</x:f>
        <x:v>1.0333333333333334</x:v>
      </x:c>
      <x:c r="K1101" s="9" t="n">
        <x:f>J1101*'Parameters'!$C$19</x:f>
        <x:v>1.2916666666666667</x:v>
      </x:c>
      <x:c r="L1101" s="9" t="n">
        <x:f>I1101*(1-0.40)-J1101</x:f>
        <x:v>2.0666666666666664</x:v>
      </x:c>
      <x:c r="M1101" s="9" t="n">
        <x:f>'Physical_Arcs'!S21</x:f>
        <x:v>5.166666666666667</x:v>
      </x:c>
      <x:c r="N1101" s="9" t="n">
        <x:f>M1101*'Parameters'!$C$18</x:f>
        <x:v>1.0333333333333334</x:v>
      </x:c>
      <x:c r="O1101" s="9" t="n">
        <x:f>N1101*'Parameters'!$C$19</x:f>
        <x:v>1.2916666666666667</x:v>
      </x:c>
      <x:c r="P1101" s="9" t="n">
        <x:f>M1101*(1-0.40)-N1101</x:f>
        <x:v>2.0666666666666664</x:v>
      </x:c>
      <x:c r="Q1101" s="9" t="n">
        <x:f>'Physical_Arcs'!T21</x:f>
        <x:v>2.5833333333333335</x:v>
      </x:c>
      <x:c r="R1101" s="9" t="n">
        <x:f>Q1101*'Parameters'!$C$18</x:f>
        <x:v>0.5166666666666667</x:v>
      </x:c>
      <x:c r="S1101" s="9" t="n">
        <x:f>R1101*'Parameters'!$C$19</x:f>
        <x:v>0.6458333333333334</x:v>
      </x:c>
      <x:c r="T1101" s="9" t="n">
        <x:f>Q1101*(1-0.40)-R1101</x:f>
        <x:v>1.0333333333333332</x:v>
      </x:c>
    </x:row>
    <x:row r="1102" ht="21" customHeight="1">
      <x:c r="A1102" s="3" t="n">
        <x:v>18</x:v>
      </x:c>
      <x:c r="B1102" s="3" t="str">
        <x:v>03:00</x:v>
      </x:c>
      <x:c r="C1102" s="3" t="n">
        <x:v>4</x:v>
      </x:c>
      <x:c r="D1102" s="3" t="n">
        <x:v>21</x:v>
      </x:c>
      <x:c r="E1102" s="3" t="n">
        <x:v>3</x:v>
      </x:c>
      <x:c r="F1102" s="3" t="n">
        <x:v>9</x:v>
      </x:c>
      <x:c r="G1102" s="9" t="n">
        <x:v>0.08</x:v>
      </x:c>
      <x:c r="H1102" s="9" t="n">
        <x:v>0.947299</x:v>
      </x:c>
      <x:c r="I1102" s="9" t="n">
        <x:f>'Physical_Arcs'!R22</x:f>
        <x:v>9.333333333333334</x:v>
      </x:c>
      <x:c r="J1102" s="9" t="n">
        <x:f>I1102*'Parameters'!$C$18</x:f>
        <x:v>1.866666666666667</x:v>
      </x:c>
      <x:c r="K1102" s="9" t="n">
        <x:f>J1102*'Parameters'!$C$19</x:f>
        <x:v>2.3333333333333335</x:v>
      </x:c>
      <x:c r="L1102" s="9" t="n">
        <x:f>I1102*(1-0.40)-J1102</x:f>
        <x:v>3.7333333333333334</x:v>
      </x:c>
      <x:c r="M1102" s="9" t="n">
        <x:f>'Physical_Arcs'!S22</x:f>
        <x:v>9.333333333333334</x:v>
      </x:c>
      <x:c r="N1102" s="9" t="n">
        <x:f>M1102*'Parameters'!$C$18</x:f>
        <x:v>1.866666666666667</x:v>
      </x:c>
      <x:c r="O1102" s="9" t="n">
        <x:f>N1102*'Parameters'!$C$19</x:f>
        <x:v>2.3333333333333335</x:v>
      </x:c>
      <x:c r="P1102" s="9" t="n">
        <x:f>M1102*(1-0.40)-N1102</x:f>
        <x:v>3.7333333333333334</x:v>
      </x:c>
      <x:c r="Q1102" s="9" t="n">
        <x:f>'Physical_Arcs'!T22</x:f>
        <x:v>4.666666666666667</x:v>
      </x:c>
      <x:c r="R1102" s="9" t="n">
        <x:f>Q1102*'Parameters'!$C$18</x:f>
        <x:v>0.9333333333333335</x:v>
      </x:c>
      <x:c r="S1102" s="9" t="n">
        <x:f>R1102*'Parameters'!$C$19</x:f>
        <x:v>1.1666666666666667</x:v>
      </x:c>
      <x:c r="T1102" s="9" t="n">
        <x:f>Q1102*(1-0.40)-R1102</x:f>
        <x:v>1.8666666666666667</x:v>
      </x:c>
    </x:row>
    <x:row r="1103" ht="21" customHeight="1">
      <x:c r="A1103" s="3" t="n">
        <x:v>18</x:v>
      </x:c>
      <x:c r="B1103" s="3" t="str">
        <x:v>03:00</x:v>
      </x:c>
      <x:c r="C1103" s="3" t="n">
        <x:v>4</x:v>
      </x:c>
      <x:c r="D1103" s="3" t="n">
        <x:v>22</x:v>
      </x:c>
      <x:c r="E1103" s="3" t="n">
        <x:v>4</x:v>
      </x:c>
      <x:c r="F1103" s="3" t="n">
        <x:v>5</x:v>
      </x:c>
      <x:c r="G1103" s="9" t="n">
        <x:v>0.08</x:v>
      </x:c>
      <x:c r="H1103" s="9" t="n">
        <x:v>0.958485</x:v>
      </x:c>
      <x:c r="I1103" s="9" t="n">
        <x:f>'Physical_Arcs'!R23</x:f>
        <x:v>17.02777777777778</x:v>
      </x:c>
      <x:c r="J1103" s="9" t="n">
        <x:f>I1103*'Parameters'!$C$18</x:f>
        <x:v>3.405555555555556</x:v>
      </x:c>
      <x:c r="K1103" s="9" t="n">
        <x:f>J1103*'Parameters'!$C$19</x:f>
        <x:v>4.256944444444445</x:v>
      </x:c>
      <x:c r="L1103" s="9" t="n">
        <x:f>I1103*(1-0.40)-J1103</x:f>
        <x:v>6.811111111111111</x:v>
      </x:c>
      <x:c r="M1103" s="9" t="n">
        <x:f>'Physical_Arcs'!S23</x:f>
        <x:v>17.02777777777778</x:v>
      </x:c>
      <x:c r="N1103" s="9" t="n">
        <x:f>M1103*'Parameters'!$C$18</x:f>
        <x:v>3.405555555555556</x:v>
      </x:c>
      <x:c r="O1103" s="9" t="n">
        <x:f>N1103*'Parameters'!$C$19</x:f>
        <x:v>4.256944444444445</x:v>
      </x:c>
      <x:c r="P1103" s="9" t="n">
        <x:f>M1103*(1-0.40)-N1103</x:f>
        <x:v>6.811111111111111</x:v>
      </x:c>
      <x:c r="Q1103" s="9" t="n">
        <x:f>'Physical_Arcs'!T23</x:f>
        <x:v>17.02777777777778</x:v>
      </x:c>
      <x:c r="R1103" s="9" t="n">
        <x:f>Q1103*'Parameters'!$C$18</x:f>
        <x:v>3.405555555555556</x:v>
      </x:c>
      <x:c r="S1103" s="9" t="n">
        <x:f>R1103*'Parameters'!$C$19</x:f>
        <x:v>4.256944444444445</x:v>
      </x:c>
      <x:c r="T1103" s="9" t="n">
        <x:f>Q1103*(1-0.40)-R1103</x:f>
        <x:v>6.811111111111111</x:v>
      </x:c>
    </x:row>
    <x:row r="1104" ht="21" customHeight="1">
      <x:c r="A1104" s="3" t="n">
        <x:v>18</x:v>
      </x:c>
      <x:c r="B1104" s="3" t="str">
        <x:v>03:00</x:v>
      </x:c>
      <x:c r="C1104" s="3" t="n">
        <x:v>4</x:v>
      </x:c>
      <x:c r="D1104" s="3" t="n">
        <x:v>23</x:v>
      </x:c>
      <x:c r="E1104" s="3" t="n">
        <x:v>4</x:v>
      </x:c>
      <x:c r="F1104" s="3" t="n">
        <x:v>3</x:v>
      </x:c>
      <x:c r="G1104" s="9" t="n">
        <x:v>0.08</x:v>
      </x:c>
      <x:c r="H1104" s="9" t="n">
        <x:v>0.944916</x:v>
      </x:c>
      <x:c r="I1104" s="9" t="n">
        <x:f>'Physical_Arcs'!R24</x:f>
        <x:v>9.333333333333334</x:v>
      </x:c>
      <x:c r="J1104" s="9" t="n">
        <x:f>I1104*'Parameters'!$C$18</x:f>
        <x:v>1.866666666666667</x:v>
      </x:c>
      <x:c r="K1104" s="9" t="n">
        <x:f>J1104*'Parameters'!$C$19</x:f>
        <x:v>2.3333333333333335</x:v>
      </x:c>
      <x:c r="L1104" s="9" t="n">
        <x:f>I1104*(1-0.40)-J1104</x:f>
        <x:v>3.7333333333333334</x:v>
      </x:c>
      <x:c r="M1104" s="9" t="n">
        <x:f>'Physical_Arcs'!S24</x:f>
        <x:v>9.333333333333334</x:v>
      </x:c>
      <x:c r="N1104" s="9" t="n">
        <x:f>M1104*'Parameters'!$C$18</x:f>
        <x:v>1.866666666666667</x:v>
      </x:c>
      <x:c r="O1104" s="9" t="n">
        <x:f>N1104*'Parameters'!$C$19</x:f>
        <x:v>2.3333333333333335</x:v>
      </x:c>
      <x:c r="P1104" s="9" t="n">
        <x:f>M1104*(1-0.40)-N1104</x:f>
        <x:v>3.7333333333333334</x:v>
      </x:c>
      <x:c r="Q1104" s="9" t="n">
        <x:f>'Physical_Arcs'!T24</x:f>
        <x:v>4.666666666666667</x:v>
      </x:c>
      <x:c r="R1104" s="9" t="n">
        <x:f>Q1104*'Parameters'!$C$18</x:f>
        <x:v>0.9333333333333335</x:v>
      </x:c>
      <x:c r="S1104" s="9" t="n">
        <x:f>R1104*'Parameters'!$C$19</x:f>
        <x:v>1.1666666666666667</x:v>
      </x:c>
      <x:c r="T1104" s="9" t="n">
        <x:f>Q1104*(1-0.40)-R1104</x:f>
        <x:v>1.8666666666666667</x:v>
      </x:c>
    </x:row>
    <x:row r="1105" ht="21" customHeight="1">
      <x:c r="A1105" s="3" t="n">
        <x:v>18</x:v>
      </x:c>
      <x:c r="B1105" s="3" t="str">
        <x:v>03:00</x:v>
      </x:c>
      <x:c r="C1105" s="3" t="n">
        <x:v>4</x:v>
      </x:c>
      <x:c r="D1105" s="3" t="n">
        <x:v>24</x:v>
      </x:c>
      <x:c r="E1105" s="3" t="n">
        <x:v>4</x:v>
      </x:c>
      <x:c r="F1105" s="3" t="n">
        <x:v>10</x:v>
      </x:c>
      <x:c r="G1105" s="9" t="n">
        <x:v>0.08</x:v>
      </x:c>
      <x:c r="H1105" s="9" t="n">
        <x:v>0.875461</x:v>
      </x:c>
      <x:c r="I1105" s="9" t="n">
        <x:f>'Physical_Arcs'!R25</x:f>
        <x:v>7.194444444444445</x:v>
      </x:c>
      <x:c r="J1105" s="9" t="n">
        <x:f>I1105*'Parameters'!$C$18</x:f>
        <x:v>1.438888888888889</x:v>
      </x:c>
      <x:c r="K1105" s="9" t="n">
        <x:f>J1105*'Parameters'!$C$19</x:f>
        <x:v>1.7986111111111114</x:v>
      </x:c>
      <x:c r="L1105" s="9" t="n">
        <x:f>I1105*(1-0.40)-J1105</x:f>
        <x:v>2.8777777777777773</x:v>
      </x:c>
      <x:c r="M1105" s="9" t="n">
        <x:f>'Physical_Arcs'!S25</x:f>
        <x:v>7.194444444444445</x:v>
      </x:c>
      <x:c r="N1105" s="9" t="n">
        <x:f>M1105*'Parameters'!$C$18</x:f>
        <x:v>1.438888888888889</x:v>
      </x:c>
      <x:c r="O1105" s="9" t="n">
        <x:f>N1105*'Parameters'!$C$19</x:f>
        <x:v>1.7986111111111114</x:v>
      </x:c>
      <x:c r="P1105" s="9" t="n">
        <x:f>M1105*(1-0.40)-N1105</x:f>
        <x:v>2.8777777777777773</x:v>
      </x:c>
      <x:c r="Q1105" s="9" t="n">
        <x:f>'Physical_Arcs'!T25</x:f>
        <x:v>3.611111111111111</x:v>
      </x:c>
      <x:c r="R1105" s="9" t="n">
        <x:f>Q1105*'Parameters'!$C$18</x:f>
        <x:v>0.7222222222222223</x:v>
      </x:c>
      <x:c r="S1105" s="9" t="n">
        <x:f>R1105*'Parameters'!$C$19</x:f>
        <x:v>0.9027777777777779</x:v>
      </x:c>
      <x:c r="T1105" s="9" t="n">
        <x:f>Q1105*(1-0.40)-R1105</x:f>
        <x:v>1.4444444444444442</x:v>
      </x:c>
    </x:row>
    <x:row r="1106" ht="21" customHeight="1">
      <x:c r="A1106" s="3" t="n">
        <x:v>18</x:v>
      </x:c>
      <x:c r="B1106" s="3" t="str">
        <x:v>03:00</x:v>
      </x:c>
      <x:c r="C1106" s="3" t="n">
        <x:v>4</x:v>
      </x:c>
      <x:c r="D1106" s="3" t="n">
        <x:v>25</x:v>
      </x:c>
      <x:c r="E1106" s="3" t="n">
        <x:v>4</x:v>
      </x:c>
      <x:c r="F1106" s="3" t="n">
        <x:v>8</x:v>
      </x:c>
      <x:c r="G1106" s="9" t="n">
        <x:v>0.08</x:v>
      </x:c>
      <x:c r="H1106" s="9" t="n">
        <x:v>0.993326</x:v>
      </x:c>
      <x:c r="I1106" s="9" t="n">
        <x:f>'Physical_Arcs'!R26</x:f>
        <x:v>5.277777777777778</x:v>
      </x:c>
      <x:c r="J1106" s="9" t="n">
        <x:f>I1106*'Parameters'!$C$18</x:f>
        <x:v>1.0555555555555556</x:v>
      </x:c>
      <x:c r="K1106" s="9" t="n">
        <x:f>J1106*'Parameters'!$C$19</x:f>
        <x:v>1.3194444444444444</x:v>
      </x:c>
      <x:c r="L1106" s="9" t="n">
        <x:f>I1106*(1-0.40)-J1106</x:f>
        <x:v>2.1111111111111107</x:v>
      </x:c>
      <x:c r="M1106" s="9" t="n">
        <x:f>'Physical_Arcs'!S26</x:f>
        <x:v>5.277777777777778</x:v>
      </x:c>
      <x:c r="N1106" s="9" t="n">
        <x:f>M1106*'Parameters'!$C$18</x:f>
        <x:v>1.0555555555555556</x:v>
      </x:c>
      <x:c r="O1106" s="9" t="n">
        <x:f>N1106*'Parameters'!$C$19</x:f>
        <x:v>1.3194444444444444</x:v>
      </x:c>
      <x:c r="P1106" s="9" t="n">
        <x:f>M1106*(1-0.40)-N1106</x:f>
        <x:v>2.1111111111111107</x:v>
      </x:c>
      <x:c r="Q1106" s="9" t="n">
        <x:f>'Physical_Arcs'!T26</x:f>
        <x:v>2.638888888888889</x:v>
      </x:c>
      <x:c r="R1106" s="9" t="n">
        <x:f>Q1106*'Parameters'!$C$18</x:f>
        <x:v>0.5277777777777778</x:v>
      </x:c>
      <x:c r="S1106" s="9" t="n">
        <x:f>R1106*'Parameters'!$C$19</x:f>
        <x:v>0.6597222222222222</x:v>
      </x:c>
      <x:c r="T1106" s="9" t="n">
        <x:f>Q1106*(1-0.40)-R1106</x:f>
        <x:v>1.0555555555555554</x:v>
      </x:c>
    </x:row>
    <x:row r="1107" ht="21" customHeight="1">
      <x:c r="A1107" s="3" t="n">
        <x:v>18</x:v>
      </x:c>
      <x:c r="B1107" s="3" t="str">
        <x:v>03:00</x:v>
      </x:c>
      <x:c r="C1107" s="3" t="n">
        <x:v>4</x:v>
      </x:c>
      <x:c r="D1107" s="3" t="n">
        <x:v>26</x:v>
      </x:c>
      <x:c r="E1107" s="3" t="n">
        <x:v>4</x:v>
      </x:c>
      <x:c r="F1107" s="3" t="n">
        <x:v>7</x:v>
      </x:c>
      <x:c r="G1107" s="9" t="n">
        <x:v>0.08</x:v>
      </x:c>
      <x:c r="H1107" s="9" t="n">
        <x:v>1.099203</x:v>
      </x:c>
      <x:c r="I1107" s="9" t="n">
        <x:f>'Physical_Arcs'!R27</x:f>
        <x:v>6.527777777777778</x:v>
      </x:c>
      <x:c r="J1107" s="9" t="n">
        <x:f>I1107*'Parameters'!$C$18</x:f>
        <x:v>1.3055555555555556</x:v>
      </x:c>
      <x:c r="K1107" s="9" t="n">
        <x:f>J1107*'Parameters'!$C$19</x:f>
        <x:v>1.6319444444444444</x:v>
      </x:c>
      <x:c r="L1107" s="9" t="n">
        <x:f>I1107*(1-0.40)-J1107</x:f>
        <x:v>2.6111111111111107</x:v>
      </x:c>
      <x:c r="M1107" s="9" t="n">
        <x:f>'Physical_Arcs'!S27</x:f>
        <x:v>6.527777777777778</x:v>
      </x:c>
      <x:c r="N1107" s="9" t="n">
        <x:f>M1107*'Parameters'!$C$18</x:f>
        <x:v>1.3055555555555556</x:v>
      </x:c>
      <x:c r="O1107" s="9" t="n">
        <x:f>N1107*'Parameters'!$C$19</x:f>
        <x:v>1.6319444444444444</x:v>
      </x:c>
      <x:c r="P1107" s="9" t="n">
        <x:f>M1107*(1-0.40)-N1107</x:f>
        <x:v>2.6111111111111107</x:v>
      </x:c>
      <x:c r="Q1107" s="9" t="n">
        <x:f>'Physical_Arcs'!T27</x:f>
        <x:v>3.2777777777777777</x:v>
      </x:c>
      <x:c r="R1107" s="9" t="n">
        <x:f>Q1107*'Parameters'!$C$18</x:f>
        <x:v>0.6555555555555556</x:v>
      </x:c>
      <x:c r="S1107" s="9" t="n">
        <x:f>R1107*'Parameters'!$C$19</x:f>
        <x:v>0.8194444444444444</x:v>
      </x:c>
      <x:c r="T1107" s="9" t="n">
        <x:f>Q1107*(1-0.40)-R1107</x:f>
        <x:v>1.311111111111111</x:v>
      </x:c>
    </x:row>
    <x:row r="1108" ht="21" customHeight="1">
      <x:c r="A1108" s="3" t="n">
        <x:v>18</x:v>
      </x:c>
      <x:c r="B1108" s="3" t="str">
        <x:v>03:00</x:v>
      </x:c>
      <x:c r="C1108" s="3" t="n">
        <x:v>4</x:v>
      </x:c>
      <x:c r="D1108" s="3" t="n">
        <x:v>27</x:v>
      </x:c>
      <x:c r="E1108" s="3" t="n">
        <x:v>4</x:v>
      </x:c>
      <x:c r="F1108" s="3" t="n">
        <x:v>2</x:v>
      </x:c>
      <x:c r="G1108" s="9" t="n">
        <x:v>0.08</x:v>
      </x:c>
      <x:c r="H1108" s="9" t="n">
        <x:v>0.861111</x:v>
      </x:c>
      <x:c r="I1108" s="9" t="n">
        <x:f>'Physical_Arcs'!R28</x:f>
        <x:v>4.944444444444445</x:v>
      </x:c>
      <x:c r="J1108" s="9" t="n">
        <x:f>I1108*'Parameters'!$C$18</x:f>
        <x:v>0.9888888888888889</x:v>
      </x:c>
      <x:c r="K1108" s="9" t="n">
        <x:f>J1108*'Parameters'!$C$19</x:f>
        <x:v>1.2361111111111112</x:v>
      </x:c>
      <x:c r="L1108" s="9" t="n">
        <x:f>I1108*(1-0.40)-J1108</x:f>
        <x:v>1.9777777777777779</x:v>
      </x:c>
      <x:c r="M1108" s="9" t="n">
        <x:f>'Physical_Arcs'!S28</x:f>
        <x:v>4.944444444444445</x:v>
      </x:c>
      <x:c r="N1108" s="9" t="n">
        <x:f>M1108*'Parameters'!$C$18</x:f>
        <x:v>0.9888888888888889</x:v>
      </x:c>
      <x:c r="O1108" s="9" t="n">
        <x:f>N1108*'Parameters'!$C$19</x:f>
        <x:v>1.2361111111111112</x:v>
      </x:c>
      <x:c r="P1108" s="9" t="n">
        <x:f>M1108*(1-0.40)-N1108</x:f>
        <x:v>1.9777777777777779</x:v>
      </x:c>
      <x:c r="Q1108" s="9" t="n">
        <x:f>'Physical_Arcs'!T28</x:f>
        <x:v>2.4722222222222223</x:v>
      </x:c>
      <x:c r="R1108" s="9" t="n">
        <x:f>Q1108*'Parameters'!$C$18</x:f>
        <x:v>0.49444444444444446</x:v>
      </x:c>
      <x:c r="S1108" s="9" t="n">
        <x:f>R1108*'Parameters'!$C$19</x:f>
        <x:v>0.6180555555555556</x:v>
      </x:c>
      <x:c r="T1108" s="9" t="n">
        <x:f>Q1108*(1-0.40)-R1108</x:f>
        <x:v>0.9888888888888889</x:v>
      </x:c>
    </x:row>
    <x:row r="1109" ht="21" customHeight="1">
      <x:c r="A1109" s="3" t="n">
        <x:v>18</x:v>
      </x:c>
      <x:c r="B1109" s="3" t="str">
        <x:v>03:00</x:v>
      </x:c>
      <x:c r="C1109" s="3" t="n">
        <x:v>4</x:v>
      </x:c>
      <x:c r="D1109" s="3" t="n">
        <x:v>28</x:v>
      </x:c>
      <x:c r="E1109" s="3" t="n">
        <x:v>4</x:v>
      </x:c>
      <x:c r="F1109" s="3" t="n">
        <x:v>6</x:v>
      </x:c>
      <x:c r="G1109" s="9" t="n">
        <x:v>0.08</x:v>
      </x:c>
      <x:c r="H1109" s="9" t="n">
        <x:v>1.137214</x:v>
      </x:c>
      <x:c r="I1109" s="9" t="n">
        <x:f>'Physical_Arcs'!R29</x:f>
        <x:v>3.388888888888889</x:v>
      </x:c>
      <x:c r="J1109" s="9" t="n">
        <x:f>I1109*'Parameters'!$C$18</x:f>
        <x:v>0.6777777777777778</x:v>
      </x:c>
      <x:c r="K1109" s="9" t="n">
        <x:f>J1109*'Parameters'!$C$19</x:f>
        <x:v>0.8472222222222223</x:v>
      </x:c>
      <x:c r="L1109" s="9" t="n">
        <x:f>I1109*(1-0.40)-J1109</x:f>
        <x:v>1.3555555555555554</x:v>
      </x:c>
      <x:c r="M1109" s="9" t="n">
        <x:f>'Physical_Arcs'!S29</x:f>
        <x:v>3.388888888888889</x:v>
      </x:c>
      <x:c r="N1109" s="9" t="n">
        <x:f>M1109*'Parameters'!$C$18</x:f>
        <x:v>0.6777777777777778</x:v>
      </x:c>
      <x:c r="O1109" s="9" t="n">
        <x:f>N1109*'Parameters'!$C$19</x:f>
        <x:v>0.8472222222222223</x:v>
      </x:c>
      <x:c r="P1109" s="9" t="n">
        <x:f>M1109*(1-0.40)-N1109</x:f>
        <x:v>1.3555555555555554</x:v>
      </x:c>
      <x:c r="Q1109" s="9" t="n">
        <x:f>'Physical_Arcs'!T29</x:f>
        <x:v>1.6944444444444444</x:v>
      </x:c>
      <x:c r="R1109" s="9" t="n">
        <x:f>Q1109*'Parameters'!$C$18</x:f>
        <x:v>0.3388888888888889</x:v>
      </x:c>
      <x:c r="S1109" s="9" t="n">
        <x:f>R1109*'Parameters'!$C$19</x:f>
        <x:v>0.42361111111111116</x:v>
      </x:c>
      <x:c r="T1109" s="9" t="n">
        <x:f>Q1109*(1-0.40)-R1109</x:f>
        <x:v>0.6777777777777777</x:v>
      </x:c>
    </x:row>
    <x:row r="1110" ht="21" customHeight="1">
      <x:c r="A1110" s="3" t="n">
        <x:v>18</x:v>
      </x:c>
      <x:c r="B1110" s="3" t="str">
        <x:v>03:00</x:v>
      </x:c>
      <x:c r="C1110" s="3" t="n">
        <x:v>4</x:v>
      </x:c>
      <x:c r="D1110" s="3" t="n">
        <x:v>29</x:v>
      </x:c>
      <x:c r="E1110" s="3" t="n">
        <x:v>5</x:v>
      </x:c>
      <x:c r="F1110" s="3" t="n">
        <x:v>6</x:v>
      </x:c>
      <x:c r="G1110" s="9" t="n">
        <x:v>0.08</x:v>
      </x:c>
      <x:c r="H1110" s="9" t="n">
        <x:v>0.949994</x:v>
      </x:c>
      <x:c r="I1110" s="9" t="n">
        <x:f>'Physical_Arcs'!R30</x:f>
        <x:v>17.02777777777778</x:v>
      </x:c>
      <x:c r="J1110" s="9" t="n">
        <x:f>I1110*'Parameters'!$C$18</x:f>
        <x:v>3.405555555555556</x:v>
      </x:c>
      <x:c r="K1110" s="9" t="n">
        <x:f>J1110*'Parameters'!$C$19</x:f>
        <x:v>4.256944444444445</x:v>
      </x:c>
      <x:c r="L1110" s="9" t="n">
        <x:f>I1110*(1-0.40)-J1110</x:f>
        <x:v>6.811111111111111</x:v>
      </x:c>
      <x:c r="M1110" s="9" t="n">
        <x:f>'Physical_Arcs'!S30</x:f>
        <x:v>17.02777777777778</x:v>
      </x:c>
      <x:c r="N1110" s="9" t="n">
        <x:f>M1110*'Parameters'!$C$18</x:f>
        <x:v>3.405555555555556</x:v>
      </x:c>
      <x:c r="O1110" s="9" t="n">
        <x:f>N1110*'Parameters'!$C$19</x:f>
        <x:v>4.256944444444445</x:v>
      </x:c>
      <x:c r="P1110" s="9" t="n">
        <x:f>M1110*(1-0.40)-N1110</x:f>
        <x:v>6.811111111111111</x:v>
      </x:c>
      <x:c r="Q1110" s="9" t="n">
        <x:f>'Physical_Arcs'!T30</x:f>
        <x:v>17.02777777777778</x:v>
      </x:c>
      <x:c r="R1110" s="9" t="n">
        <x:f>Q1110*'Parameters'!$C$18</x:f>
        <x:v>3.405555555555556</x:v>
      </x:c>
      <x:c r="S1110" s="9" t="n">
        <x:f>R1110*'Parameters'!$C$19</x:f>
        <x:v>4.256944444444445</x:v>
      </x:c>
      <x:c r="T1110" s="9" t="n">
        <x:f>Q1110*(1-0.40)-R1110</x:f>
        <x:v>6.811111111111111</x:v>
      </x:c>
    </x:row>
    <x:row r="1111" ht="21" customHeight="1">
      <x:c r="A1111" s="3" t="n">
        <x:v>18</x:v>
      </x:c>
      <x:c r="B1111" s="3" t="str">
        <x:v>03:00</x:v>
      </x:c>
      <x:c r="C1111" s="3" t="n">
        <x:v>4</x:v>
      </x:c>
      <x:c r="D1111" s="3" t="n">
        <x:v>30</x:v>
      </x:c>
      <x:c r="E1111" s="3" t="n">
        <x:v>5</x:v>
      </x:c>
      <x:c r="F1111" s="3" t="n">
        <x:v>2</x:v>
      </x:c>
      <x:c r="G1111" s="9" t="n">
        <x:v>0.08</x:v>
      </x:c>
      <x:c r="H1111" s="9" t="n">
        <x:v>0.882396</x:v>
      </x:c>
      <x:c r="I1111" s="9" t="n">
        <x:f>'Physical_Arcs'!R31</x:f>
        <x:v>2.9444444444444446</x:v>
      </x:c>
      <x:c r="J1111" s="9" t="n">
        <x:f>I1111*'Parameters'!$C$18</x:f>
        <x:v>0.5888888888888889</x:v>
      </x:c>
      <x:c r="K1111" s="9" t="n">
        <x:f>J1111*'Parameters'!$C$19</x:f>
        <x:v>0.7361111111111112</x:v>
      </x:c>
      <x:c r="L1111" s="9" t="n">
        <x:f>I1111*(1-0.40)-J1111</x:f>
        <x:v>1.177777777777778</x:v>
      </x:c>
      <x:c r="M1111" s="9" t="n">
        <x:f>'Physical_Arcs'!S31</x:f>
        <x:v>2.9444444444444446</x:v>
      </x:c>
      <x:c r="N1111" s="9" t="n">
        <x:f>M1111*'Parameters'!$C$18</x:f>
        <x:v>0.5888888888888889</x:v>
      </x:c>
      <x:c r="O1111" s="9" t="n">
        <x:f>N1111*'Parameters'!$C$19</x:f>
        <x:v>0.7361111111111112</x:v>
      </x:c>
      <x:c r="P1111" s="9" t="n">
        <x:f>M1111*(1-0.40)-N1111</x:f>
        <x:v>1.177777777777778</x:v>
      </x:c>
      <x:c r="Q1111" s="9" t="n">
        <x:f>'Physical_Arcs'!T31</x:f>
        <x:v>1.4722222222222223</x:v>
      </x:c>
      <x:c r="R1111" s="9" t="n">
        <x:f>Q1111*'Parameters'!$C$18</x:f>
        <x:v>0.29444444444444445</x:v>
      </x:c>
      <x:c r="S1111" s="9" t="n">
        <x:f>R1111*'Parameters'!$C$19</x:f>
        <x:v>0.3680555555555556</x:v>
      </x:c>
      <x:c r="T1111" s="9" t="n">
        <x:f>Q1111*(1-0.40)-R1111</x:f>
        <x:v>0.588888888888889</x:v>
      </x:c>
    </x:row>
    <x:row r="1112" ht="21" customHeight="1">
      <x:c r="A1112" s="3" t="n">
        <x:v>18</x:v>
      </x:c>
      <x:c r="B1112" s="3" t="str">
        <x:v>03:00</x:v>
      </x:c>
      <x:c r="C1112" s="3" t="n">
        <x:v>4</x:v>
      </x:c>
      <x:c r="D1112" s="3" t="n">
        <x:v>31</x:v>
      </x:c>
      <x:c r="E1112" s="3" t="n">
        <x:v>5</x:v>
      </x:c>
      <x:c r="F1112" s="3" t="n">
        <x:v>8</x:v>
      </x:c>
      <x:c r="G1112" s="9" t="n">
        <x:v>0.08</x:v>
      </x:c>
      <x:c r="H1112" s="9" t="n">
        <x:v>0.986718</x:v>
      </x:c>
      <x:c r="I1112" s="9" t="n">
        <x:f>'Physical_Arcs'!R32</x:f>
        <x:v>9.333333333333334</x:v>
      </x:c>
      <x:c r="J1112" s="9" t="n">
        <x:f>I1112*'Parameters'!$C$18</x:f>
        <x:v>1.866666666666667</x:v>
      </x:c>
      <x:c r="K1112" s="9" t="n">
        <x:f>J1112*'Parameters'!$C$19</x:f>
        <x:v>2.3333333333333335</x:v>
      </x:c>
      <x:c r="L1112" s="9" t="n">
        <x:f>I1112*(1-0.40)-J1112</x:f>
        <x:v>3.7333333333333334</x:v>
      </x:c>
      <x:c r="M1112" s="9" t="n">
        <x:f>'Physical_Arcs'!S32</x:f>
        <x:v>9.333333333333334</x:v>
      </x:c>
      <x:c r="N1112" s="9" t="n">
        <x:f>M1112*'Parameters'!$C$18</x:f>
        <x:v>1.866666666666667</x:v>
      </x:c>
      <x:c r="O1112" s="9" t="n">
        <x:f>N1112*'Parameters'!$C$19</x:f>
        <x:v>2.3333333333333335</x:v>
      </x:c>
      <x:c r="P1112" s="9" t="n">
        <x:f>M1112*(1-0.40)-N1112</x:f>
        <x:v>3.7333333333333334</x:v>
      </x:c>
      <x:c r="Q1112" s="9" t="n">
        <x:f>'Physical_Arcs'!T32</x:f>
        <x:v>4.666666666666667</x:v>
      </x:c>
      <x:c r="R1112" s="9" t="n">
        <x:f>Q1112*'Parameters'!$C$18</x:f>
        <x:v>0.9333333333333335</x:v>
      </x:c>
      <x:c r="S1112" s="9" t="n">
        <x:f>R1112*'Parameters'!$C$19</x:f>
        <x:v>1.1666666666666667</x:v>
      </x:c>
      <x:c r="T1112" s="9" t="n">
        <x:f>Q1112*(1-0.40)-R1112</x:f>
        <x:v>1.8666666666666667</x:v>
      </x:c>
    </x:row>
    <x:row r="1113" ht="21" customHeight="1">
      <x:c r="A1113" s="3" t="n">
        <x:v>18</x:v>
      </x:c>
      <x:c r="B1113" s="3" t="str">
        <x:v>03:00</x:v>
      </x:c>
      <x:c r="C1113" s="3" t="n">
        <x:v>4</x:v>
      </x:c>
      <x:c r="D1113" s="3" t="n">
        <x:v>32</x:v>
      </x:c>
      <x:c r="E1113" s="3" t="n">
        <x:v>5</x:v>
      </x:c>
      <x:c r="F1113" s="3" t="n">
        <x:v>3</x:v>
      </x:c>
      <x:c r="G1113" s="9" t="n">
        <x:v>0.08</x:v>
      </x:c>
      <x:c r="H1113" s="9" t="n">
        <x:v>1.089544</x:v>
      </x:c>
      <x:c r="I1113" s="9" t="n">
        <x:f>'Physical_Arcs'!R33</x:f>
        <x:v>11.13888888888889</x:v>
      </x:c>
      <x:c r="J1113" s="9" t="n">
        <x:f>I1113*'Parameters'!$C$18</x:f>
        <x:v>2.227777777777778</x:v>
      </x:c>
      <x:c r="K1113" s="9" t="n">
        <x:f>J1113*'Parameters'!$C$19</x:f>
        <x:v>2.7847222222222223</x:v>
      </x:c>
      <x:c r="L1113" s="9" t="n">
        <x:f>I1113*(1-0.40)-J1113</x:f>
        <x:v>4.455555555555556</x:v>
      </x:c>
      <x:c r="M1113" s="9" t="n">
        <x:f>'Physical_Arcs'!S33</x:f>
        <x:v>11.13888888888889</x:v>
      </x:c>
      <x:c r="N1113" s="9" t="n">
        <x:f>M1113*'Parameters'!$C$18</x:f>
        <x:v>2.227777777777778</x:v>
      </x:c>
      <x:c r="O1113" s="9" t="n">
        <x:f>N1113*'Parameters'!$C$19</x:f>
        <x:v>2.7847222222222223</x:v>
      </x:c>
      <x:c r="P1113" s="9" t="n">
        <x:f>M1113*(1-0.40)-N1113</x:f>
        <x:v>4.455555555555556</x:v>
      </x:c>
      <x:c r="Q1113" s="9" t="n">
        <x:f>'Physical_Arcs'!T33</x:f>
        <x:v>5.583333333333333</x:v>
      </x:c>
      <x:c r="R1113" s="9" t="n">
        <x:f>Q1113*'Parameters'!$C$18</x:f>
        <x:v>1.1166666666666667</x:v>
      </x:c>
      <x:c r="S1113" s="9" t="n">
        <x:f>R1113*'Parameters'!$C$19</x:f>
        <x:v>1.3958333333333335</x:v>
      </x:c>
      <x:c r="T1113" s="9" t="n">
        <x:f>Q1113*(1-0.40)-R1113</x:f>
        <x:v>2.233333333333333</x:v>
      </x:c>
    </x:row>
    <x:row r="1114" ht="21" customHeight="1">
      <x:c r="A1114" s="3" t="n">
        <x:v>18</x:v>
      </x:c>
      <x:c r="B1114" s="3" t="str">
        <x:v>03:00</x:v>
      </x:c>
      <x:c r="C1114" s="3" t="n">
        <x:v>4</x:v>
      </x:c>
      <x:c r="D1114" s="3" t="n">
        <x:v>33</x:v>
      </x:c>
      <x:c r="E1114" s="3" t="n">
        <x:v>5</x:v>
      </x:c>
      <x:c r="F1114" s="3" t="n">
        <x:v>10</x:v>
      </x:c>
      <x:c r="G1114" s="9" t="n">
        <x:v>0.08</x:v>
      </x:c>
      <x:c r="H1114" s="9" t="n">
        <x:v>1.103596</x:v>
      </x:c>
      <x:c r="I1114" s="9" t="n">
        <x:f>'Physical_Arcs'!R34</x:f>
        <x:v>4.611111111111111</x:v>
      </x:c>
      <x:c r="J1114" s="9" t="n">
        <x:f>I1114*'Parameters'!$C$18</x:f>
        <x:v>0.9222222222222222</x:v>
      </x:c>
      <x:c r="K1114" s="9" t="n">
        <x:f>J1114*'Parameters'!$C$19</x:f>
        <x:v>1.1527777777777777</x:v>
      </x:c>
      <x:c r="L1114" s="9" t="n">
        <x:f>I1114*(1-0.40)-J1114</x:f>
        <x:v>1.844444444444444</x:v>
      </x:c>
      <x:c r="M1114" s="9" t="n">
        <x:f>'Physical_Arcs'!S34</x:f>
        <x:v>4.611111111111111</x:v>
      </x:c>
      <x:c r="N1114" s="9" t="n">
        <x:f>M1114*'Parameters'!$C$18</x:f>
        <x:v>0.9222222222222222</x:v>
      </x:c>
      <x:c r="O1114" s="9" t="n">
        <x:f>N1114*'Parameters'!$C$19</x:f>
        <x:v>1.1527777777777777</x:v>
      </x:c>
      <x:c r="P1114" s="9" t="n">
        <x:f>M1114*(1-0.40)-N1114</x:f>
        <x:v>1.844444444444444</x:v>
      </x:c>
      <x:c r="Q1114" s="9" t="n">
        <x:f>'Physical_Arcs'!T34</x:f>
        <x:v>2.3055555555555554</x:v>
      </x:c>
      <x:c r="R1114" s="9" t="n">
        <x:f>Q1114*'Parameters'!$C$18</x:f>
        <x:v>0.4611111111111111</x:v>
      </x:c>
      <x:c r="S1114" s="9" t="n">
        <x:f>R1114*'Parameters'!$C$19</x:f>
        <x:v>0.5763888888888888</x:v>
      </x:c>
      <x:c r="T1114" s="9" t="n">
        <x:f>Q1114*(1-0.40)-R1114</x:f>
        <x:v>0.922222222222222</x:v>
      </x:c>
    </x:row>
    <x:row r="1115" ht="21" customHeight="1">
      <x:c r="A1115" s="3" t="n">
        <x:v>18</x:v>
      </x:c>
      <x:c r="B1115" s="3" t="str">
        <x:v>03:00</x:v>
      </x:c>
      <x:c r="C1115" s="3" t="n">
        <x:v>4</x:v>
      </x:c>
      <x:c r="D1115" s="3" t="n">
        <x:v>34</x:v>
      </x:c>
      <x:c r="E1115" s="3" t="n">
        <x:v>6</x:v>
      </x:c>
      <x:c r="F1115" s="3" t="n">
        <x:v>7</x:v>
      </x:c>
      <x:c r="G1115" s="9" t="n">
        <x:v>0.08</x:v>
      </x:c>
      <x:c r="H1115" s="9" t="n">
        <x:v>0.973887</x:v>
      </x:c>
      <x:c r="I1115" s="9" t="n">
        <x:f>'Physical_Arcs'!R35</x:f>
        <x:v>17.02777777777778</x:v>
      </x:c>
      <x:c r="J1115" s="9" t="n">
        <x:f>I1115*'Parameters'!$C$18</x:f>
        <x:v>3.405555555555556</x:v>
      </x:c>
      <x:c r="K1115" s="9" t="n">
        <x:f>J1115*'Parameters'!$C$19</x:f>
        <x:v>4.256944444444445</x:v>
      </x:c>
      <x:c r="L1115" s="9" t="n">
        <x:f>I1115*(1-0.40)-J1115</x:f>
        <x:v>6.811111111111111</x:v>
      </x:c>
      <x:c r="M1115" s="9" t="n">
        <x:f>'Physical_Arcs'!S35</x:f>
        <x:v>17.02777777777778</x:v>
      </x:c>
      <x:c r="N1115" s="9" t="n">
        <x:f>M1115*'Parameters'!$C$18</x:f>
        <x:v>3.405555555555556</x:v>
      </x:c>
      <x:c r="O1115" s="9" t="n">
        <x:f>N1115*'Parameters'!$C$19</x:f>
        <x:v>4.256944444444445</x:v>
      </x:c>
      <x:c r="P1115" s="9" t="n">
        <x:f>M1115*(1-0.40)-N1115</x:f>
        <x:v>6.811111111111111</x:v>
      </x:c>
      <x:c r="Q1115" s="9" t="n">
        <x:f>'Physical_Arcs'!T35</x:f>
        <x:v>17.02777777777778</x:v>
      </x:c>
      <x:c r="R1115" s="9" t="n">
        <x:f>Q1115*'Parameters'!$C$18</x:f>
        <x:v>3.405555555555556</x:v>
      </x:c>
      <x:c r="S1115" s="9" t="n">
        <x:f>R1115*'Parameters'!$C$19</x:f>
        <x:v>4.256944444444445</x:v>
      </x:c>
      <x:c r="T1115" s="9" t="n">
        <x:f>Q1115*(1-0.40)-R1115</x:f>
        <x:v>6.811111111111111</x:v>
      </x:c>
    </x:row>
    <x:row r="1116" ht="21" customHeight="1">
      <x:c r="A1116" s="3" t="n">
        <x:v>18</x:v>
      </x:c>
      <x:c r="B1116" s="3" t="str">
        <x:v>03:00</x:v>
      </x:c>
      <x:c r="C1116" s="3" t="n">
        <x:v>4</x:v>
      </x:c>
      <x:c r="D1116" s="3" t="n">
        <x:v>35</x:v>
      </x:c>
      <x:c r="E1116" s="3" t="n">
        <x:v>6</x:v>
      </x:c>
      <x:c r="F1116" s="3" t="n">
        <x:v>10</x:v>
      </x:c>
      <x:c r="G1116" s="9" t="n">
        <x:v>0.08</x:v>
      </x:c>
      <x:c r="H1116" s="9" t="n">
        <x:v>1.009062</x:v>
      </x:c>
      <x:c r="I1116" s="9" t="n">
        <x:f>'Physical_Arcs'!R36</x:f>
        <x:v>4.055555555555555</x:v>
      </x:c>
      <x:c r="J1116" s="9" t="n">
        <x:f>I1116*'Parameters'!$C$18</x:f>
        <x:v>0.8111111111111111</x:v>
      </x:c>
      <x:c r="K1116" s="9" t="n">
        <x:f>J1116*'Parameters'!$C$19</x:f>
        <x:v>1.0138888888888888</x:v>
      </x:c>
      <x:c r="L1116" s="9" t="n">
        <x:f>I1116*(1-0.40)-J1116</x:f>
        <x:v>1.622222222222222</x:v>
      </x:c>
      <x:c r="M1116" s="9" t="n">
        <x:f>'Physical_Arcs'!S36</x:f>
        <x:v>4.055555555555555</x:v>
      </x:c>
      <x:c r="N1116" s="9" t="n">
        <x:f>M1116*'Parameters'!$C$18</x:f>
        <x:v>0.8111111111111111</x:v>
      </x:c>
      <x:c r="O1116" s="9" t="n">
        <x:f>N1116*'Parameters'!$C$19</x:f>
        <x:v>1.0138888888888888</x:v>
      </x:c>
      <x:c r="P1116" s="9" t="n">
        <x:f>M1116*(1-0.40)-N1116</x:f>
        <x:v>1.622222222222222</x:v>
      </x:c>
      <x:c r="Q1116" s="9" t="n">
        <x:f>'Physical_Arcs'!T36</x:f>
        <x:v>2.0277777777777777</x:v>
      </x:c>
      <x:c r="R1116" s="9" t="n">
        <x:f>Q1116*'Parameters'!$C$18</x:f>
        <x:v>0.40555555555555556</x:v>
      </x:c>
      <x:c r="S1116" s="9" t="n">
        <x:f>R1116*'Parameters'!$C$19</x:f>
        <x:v>0.5069444444444444</x:v>
      </x:c>
      <x:c r="T1116" s="9" t="n">
        <x:f>Q1116*(1-0.40)-R1116</x:f>
        <x:v>0.811111111111111</x:v>
      </x:c>
    </x:row>
    <x:row r="1117" ht="21" customHeight="1">
      <x:c r="A1117" s="3" t="n">
        <x:v>18</x:v>
      </x:c>
      <x:c r="B1117" s="3" t="str">
        <x:v>03:00</x:v>
      </x:c>
      <x:c r="C1117" s="3" t="n">
        <x:v>4</x:v>
      </x:c>
      <x:c r="D1117" s="3" t="n">
        <x:v>36</x:v>
      </x:c>
      <x:c r="E1117" s="3" t="n">
        <x:v>6</x:v>
      </x:c>
      <x:c r="F1117" s="3" t="n">
        <x:v>8</x:v>
      </x:c>
      <x:c r="G1117" s="9" t="n">
        <x:v>0.08</x:v>
      </x:c>
      <x:c r="H1117" s="9" t="n">
        <x:v>1.132129</x:v>
      </x:c>
      <x:c r="I1117" s="9" t="n">
        <x:f>'Physical_Arcs'!R37</x:f>
        <x:v>6.972222222222222</x:v>
      </x:c>
      <x:c r="J1117" s="9" t="n">
        <x:f>I1117*'Parameters'!$C$18</x:f>
        <x:v>1.3944444444444446</x:v>
      </x:c>
      <x:c r="K1117" s="9" t="n">
        <x:f>J1117*'Parameters'!$C$19</x:f>
        <x:v>1.7430555555555558</x:v>
      </x:c>
      <x:c r="L1117" s="9" t="n">
        <x:f>I1117*(1-0.40)-J1117</x:f>
        <x:v>2.7888888888888888</x:v>
      </x:c>
      <x:c r="M1117" s="9" t="n">
        <x:f>'Physical_Arcs'!S37</x:f>
        <x:v>6.972222222222222</x:v>
      </x:c>
      <x:c r="N1117" s="9" t="n">
        <x:f>M1117*'Parameters'!$C$18</x:f>
        <x:v>1.3944444444444446</x:v>
      </x:c>
      <x:c r="O1117" s="9" t="n">
        <x:f>N1117*'Parameters'!$C$19</x:f>
        <x:v>1.7430555555555558</x:v>
      </x:c>
      <x:c r="P1117" s="9" t="n">
        <x:f>M1117*(1-0.40)-N1117</x:f>
        <x:v>2.7888888888888888</x:v>
      </x:c>
      <x:c r="Q1117" s="9" t="n">
        <x:f>'Physical_Arcs'!T37</x:f>
        <x:v>3.5</x:v>
      </x:c>
      <x:c r="R1117" s="9" t="n">
        <x:f>Q1117*'Parameters'!$C$18</x:f>
        <x:v>0.7000000000000001</x:v>
      </x:c>
      <x:c r="S1117" s="9" t="n">
        <x:f>R1117*'Parameters'!$C$19</x:f>
        <x:v>0.8750000000000001</x:v>
      </x:c>
      <x:c r="T1117" s="9" t="n">
        <x:f>Q1117*(1-0.40)-R1117</x:f>
        <x:v>1.4</x:v>
      </x:c>
    </x:row>
    <x:row r="1118" ht="21" customHeight="1">
      <x:c r="A1118" s="3" t="n">
        <x:v>18</x:v>
      </x:c>
      <x:c r="B1118" s="3" t="str">
        <x:v>03:00</x:v>
      </x:c>
      <x:c r="C1118" s="3" t="n">
        <x:v>4</x:v>
      </x:c>
      <x:c r="D1118" s="3" t="n">
        <x:v>37</x:v>
      </x:c>
      <x:c r="E1118" s="3" t="n">
        <x:v>6</x:v>
      </x:c>
      <x:c r="F1118" s="3" t="n">
        <x:v>1</x:v>
      </x:c>
      <x:c r="G1118" s="9" t="n">
        <x:v>0.08</x:v>
      </x:c>
      <x:c r="H1118" s="9" t="n">
        <x:v>1.020746</x:v>
      </x:c>
      <x:c r="I1118" s="9" t="n">
        <x:f>'Physical_Arcs'!R38</x:f>
        <x:v>6.305555555555555</x:v>
      </x:c>
      <x:c r="J1118" s="9" t="n">
        <x:f>I1118*'Parameters'!$C$18</x:f>
        <x:v>1.261111111111111</x:v>
      </x:c>
      <x:c r="K1118" s="9" t="n">
        <x:f>J1118*'Parameters'!$C$19</x:f>
        <x:v>1.5763888888888888</x:v>
      </x:c>
      <x:c r="L1118" s="9" t="n">
        <x:f>I1118*(1-0.40)-J1118</x:f>
        <x:v>2.522222222222222</x:v>
      </x:c>
      <x:c r="M1118" s="9" t="n">
        <x:f>'Physical_Arcs'!S38</x:f>
        <x:v>6.305555555555555</x:v>
      </x:c>
      <x:c r="N1118" s="9" t="n">
        <x:f>M1118*'Parameters'!$C$18</x:f>
        <x:v>1.261111111111111</x:v>
      </x:c>
      <x:c r="O1118" s="9" t="n">
        <x:f>N1118*'Parameters'!$C$19</x:f>
        <x:v>1.5763888888888888</x:v>
      </x:c>
      <x:c r="P1118" s="9" t="n">
        <x:f>M1118*(1-0.40)-N1118</x:f>
        <x:v>2.522222222222222</x:v>
      </x:c>
      <x:c r="Q1118" s="9" t="n">
        <x:f>'Physical_Arcs'!T38</x:f>
        <x:v>3.1666666666666665</x:v>
      </x:c>
      <x:c r="R1118" s="9" t="n">
        <x:f>Q1118*'Parameters'!$C$18</x:f>
        <x:v>0.6333333333333333</x:v>
      </x:c>
      <x:c r="S1118" s="9" t="n">
        <x:f>R1118*'Parameters'!$C$19</x:f>
        <x:v>0.7916666666666666</x:v>
      </x:c>
      <x:c r="T1118" s="9" t="n">
        <x:f>Q1118*(1-0.40)-R1118</x:f>
        <x:v>1.2666666666666666</x:v>
      </x:c>
    </x:row>
    <x:row r="1119" ht="21" customHeight="1">
      <x:c r="A1119" s="3" t="n">
        <x:v>18</x:v>
      </x:c>
      <x:c r="B1119" s="3" t="str">
        <x:v>03:00</x:v>
      </x:c>
      <x:c r="C1119" s="3" t="n">
        <x:v>4</x:v>
      </x:c>
      <x:c r="D1119" s="3" t="n">
        <x:v>38</x:v>
      </x:c>
      <x:c r="E1119" s="3" t="n">
        <x:v>6</x:v>
      </x:c>
      <x:c r="F1119" s="3" t="n">
        <x:v>3</x:v>
      </x:c>
      <x:c r="G1119" s="9" t="n">
        <x:v>0.08</x:v>
      </x:c>
      <x:c r="H1119" s="9" t="n">
        <x:v>1.149081</x:v>
      </x:c>
      <x:c r="I1119" s="9" t="n">
        <x:f>'Physical_Arcs'!R39</x:f>
        <x:v>1.9166666666666667</x:v>
      </x:c>
      <x:c r="J1119" s="9" t="n">
        <x:f>I1119*'Parameters'!$C$18</x:f>
        <x:v>0.38333333333333336</x:v>
      </x:c>
      <x:c r="K1119" s="9" t="n">
        <x:f>J1119*'Parameters'!$C$19</x:f>
        <x:v>0.4791666666666667</x:v>
      </x:c>
      <x:c r="L1119" s="9" t="n">
        <x:f>I1119*(1-0.40)-J1119</x:f>
        <x:v>0.7666666666666666</x:v>
      </x:c>
      <x:c r="M1119" s="9" t="n">
        <x:f>'Physical_Arcs'!S39</x:f>
        <x:v>1.9166666666666667</x:v>
      </x:c>
      <x:c r="N1119" s="9" t="n">
        <x:f>M1119*'Parameters'!$C$18</x:f>
        <x:v>0.38333333333333336</x:v>
      </x:c>
      <x:c r="O1119" s="9" t="n">
        <x:f>N1119*'Parameters'!$C$19</x:f>
        <x:v>0.4791666666666667</x:v>
      </x:c>
      <x:c r="P1119" s="9" t="n">
        <x:f>M1119*(1-0.40)-N1119</x:f>
        <x:v>0.7666666666666666</x:v>
      </x:c>
      <x:c r="Q1119" s="9" t="n">
        <x:f>'Physical_Arcs'!T39</x:f>
        <x:v>0.9722222222222222</x:v>
      </x:c>
      <x:c r="R1119" s="9" t="n">
        <x:f>Q1119*'Parameters'!$C$18</x:f>
        <x:v>0.19444444444444445</x:v>
      </x:c>
      <x:c r="S1119" s="9" t="n">
        <x:f>R1119*'Parameters'!$C$19</x:f>
        <x:v>0.24305555555555555</x:v>
      </x:c>
      <x:c r="T1119" s="9" t="n">
        <x:f>Q1119*(1-0.40)-R1119</x:f>
        <x:v>0.38888888888888884</x:v>
      </x:c>
    </x:row>
    <x:row r="1120" ht="21" customHeight="1">
      <x:c r="A1120" s="3" t="n">
        <x:v>18</x:v>
      </x:c>
      <x:c r="B1120" s="3" t="str">
        <x:v>03:00</x:v>
      </x:c>
      <x:c r="C1120" s="3" t="n">
        <x:v>4</x:v>
      </x:c>
      <x:c r="D1120" s="3" t="n">
        <x:v>39</x:v>
      </x:c>
      <x:c r="E1120" s="3" t="n">
        <x:v>7</x:v>
      </x:c>
      <x:c r="F1120" s="3" t="n">
        <x:v>8</x:v>
      </x:c>
      <x:c r="G1120" s="9" t="n">
        <x:v>0.08</x:v>
      </x:c>
      <x:c r="H1120" s="9" t="n">
        <x:v>1.003268</x:v>
      </x:c>
      <x:c r="I1120" s="9" t="n">
        <x:f>'Physical_Arcs'!R40</x:f>
        <x:v>17.02777777777778</x:v>
      </x:c>
      <x:c r="J1120" s="9" t="n">
        <x:f>I1120*'Parameters'!$C$18</x:f>
        <x:v>3.405555555555556</x:v>
      </x:c>
      <x:c r="K1120" s="9" t="n">
        <x:f>J1120*'Parameters'!$C$19</x:f>
        <x:v>4.256944444444445</x:v>
      </x:c>
      <x:c r="L1120" s="9" t="n">
        <x:f>I1120*(1-0.40)-J1120</x:f>
        <x:v>6.811111111111111</x:v>
      </x:c>
      <x:c r="M1120" s="9" t="n">
        <x:f>'Physical_Arcs'!S40</x:f>
        <x:v>17.02777777777778</x:v>
      </x:c>
      <x:c r="N1120" s="9" t="n">
        <x:f>M1120*'Parameters'!$C$18</x:f>
        <x:v>3.405555555555556</x:v>
      </x:c>
      <x:c r="O1120" s="9" t="n">
        <x:f>N1120*'Parameters'!$C$19</x:f>
        <x:v>4.256944444444445</x:v>
      </x:c>
      <x:c r="P1120" s="9" t="n">
        <x:f>M1120*(1-0.40)-N1120</x:f>
        <x:v>6.811111111111111</x:v>
      </x:c>
      <x:c r="Q1120" s="9" t="n">
        <x:f>'Physical_Arcs'!T40</x:f>
        <x:v>17.02777777777778</x:v>
      </x:c>
      <x:c r="R1120" s="9" t="n">
        <x:f>Q1120*'Parameters'!$C$18</x:f>
        <x:v>3.405555555555556</x:v>
      </x:c>
      <x:c r="S1120" s="9" t="n">
        <x:f>R1120*'Parameters'!$C$19</x:f>
        <x:v>4.256944444444445</x:v>
      </x:c>
      <x:c r="T1120" s="9" t="n">
        <x:f>Q1120*(1-0.40)-R1120</x:f>
        <x:v>6.811111111111111</x:v>
      </x:c>
    </x:row>
    <x:row r="1121" ht="21" customHeight="1">
      <x:c r="A1121" s="3" t="n">
        <x:v>18</x:v>
      </x:c>
      <x:c r="B1121" s="3" t="str">
        <x:v>03:00</x:v>
      </x:c>
      <x:c r="C1121" s="3" t="n">
        <x:v>4</x:v>
      </x:c>
      <x:c r="D1121" s="3" t="n">
        <x:v>40</x:v>
      </x:c>
      <x:c r="E1121" s="3" t="n">
        <x:v>7</x:v>
      </x:c>
      <x:c r="F1121" s="3" t="n">
        <x:v>1</x:v>
      </x:c>
      <x:c r="G1121" s="9" t="n">
        <x:v>0.08</x:v>
      </x:c>
      <x:c r="H1121" s="9" t="n">
        <x:v>1.057592</x:v>
      </x:c>
      <x:c r="I1121" s="9" t="n">
        <x:f>'Physical_Arcs'!R41</x:f>
        <x:v>7.972222222222222</x:v>
      </x:c>
      <x:c r="J1121" s="9" t="n">
        <x:f>I1121*'Parameters'!$C$18</x:f>
        <x:v>1.5944444444444446</x:v>
      </x:c>
      <x:c r="K1121" s="9" t="n">
        <x:f>J1121*'Parameters'!$C$19</x:f>
        <x:v>1.9930555555555558</x:v>
      </x:c>
      <x:c r="L1121" s="9" t="n">
        <x:f>I1121*(1-0.40)-J1121</x:f>
        <x:v>3.1888888888888887</x:v>
      </x:c>
      <x:c r="M1121" s="9" t="n">
        <x:f>'Physical_Arcs'!S41</x:f>
        <x:v>7.972222222222222</x:v>
      </x:c>
      <x:c r="N1121" s="9" t="n">
        <x:f>M1121*'Parameters'!$C$18</x:f>
        <x:v>1.5944444444444446</x:v>
      </x:c>
      <x:c r="O1121" s="9" t="n">
        <x:f>N1121*'Parameters'!$C$19</x:f>
        <x:v>1.9930555555555558</x:v>
      </x:c>
      <x:c r="P1121" s="9" t="n">
        <x:f>M1121*(1-0.40)-N1121</x:f>
        <x:v>3.1888888888888887</x:v>
      </x:c>
      <x:c r="Q1121" s="9" t="n">
        <x:f>'Physical_Arcs'!T41</x:f>
        <x:v>4</x:v>
      </x:c>
      <x:c r="R1121" s="9" t="n">
        <x:f>Q1121*'Parameters'!$C$18</x:f>
        <x:v>0.8</x:v>
      </x:c>
      <x:c r="S1121" s="9" t="n">
        <x:f>R1121*'Parameters'!$C$19</x:f>
        <x:v>1</x:v>
      </x:c>
      <x:c r="T1121" s="9" t="n">
        <x:f>Q1121*(1-0.40)-R1121</x:f>
        <x:v>1.5999999999999999</x:v>
      </x:c>
    </x:row>
    <x:row r="1122" ht="21" customHeight="1">
      <x:c r="A1122" s="3" t="n">
        <x:v>18</x:v>
      </x:c>
      <x:c r="B1122" s="3" t="str">
        <x:v>03:00</x:v>
      </x:c>
      <x:c r="C1122" s="3" t="n">
        <x:v>4</x:v>
      </x:c>
      <x:c r="D1122" s="3" t="n">
        <x:v>41</x:v>
      </x:c>
      <x:c r="E1122" s="3" t="n">
        <x:v>7</x:v>
      </x:c>
      <x:c r="F1122" s="3" t="n">
        <x:v>9</x:v>
      </x:c>
      <x:c r="G1122" s="9" t="n">
        <x:v>0.08</x:v>
      </x:c>
      <x:c r="H1122" s="9" t="n">
        <x:v>1.14801</x:v>
      </x:c>
      <x:c r="I1122" s="9" t="n">
        <x:f>'Physical_Arcs'!R42</x:f>
        <x:v>8.88888888888889</x:v>
      </x:c>
      <x:c r="J1122" s="9" t="n">
        <x:f>I1122*'Parameters'!$C$18</x:f>
        <x:v>1.777777777777778</x:v>
      </x:c>
      <x:c r="K1122" s="9" t="n">
        <x:f>J1122*'Parameters'!$C$19</x:f>
        <x:v>2.2222222222222223</x:v>
      </x:c>
      <x:c r="L1122" s="9" t="n">
        <x:f>I1122*(1-0.40)-J1122</x:f>
        <x:v>3.5555555555555554</x:v>
      </x:c>
      <x:c r="M1122" s="9" t="n">
        <x:f>'Physical_Arcs'!S42</x:f>
        <x:v>8.88888888888889</x:v>
      </x:c>
      <x:c r="N1122" s="9" t="n">
        <x:f>M1122*'Parameters'!$C$18</x:f>
        <x:v>1.777777777777778</x:v>
      </x:c>
      <x:c r="O1122" s="9" t="n">
        <x:f>N1122*'Parameters'!$C$19</x:f>
        <x:v>2.2222222222222223</x:v>
      </x:c>
      <x:c r="P1122" s="9" t="n">
        <x:f>M1122*(1-0.40)-N1122</x:f>
        <x:v>3.5555555555555554</x:v>
      </x:c>
      <x:c r="Q1122" s="9" t="n">
        <x:f>'Physical_Arcs'!T42</x:f>
        <x:v>4.444444444444445</x:v>
      </x:c>
      <x:c r="R1122" s="9" t="n">
        <x:f>Q1122*'Parameters'!$C$18</x:f>
        <x:v>0.888888888888889</x:v>
      </x:c>
      <x:c r="S1122" s="9" t="n">
        <x:f>R1122*'Parameters'!$C$19</x:f>
        <x:v>1.1111111111111112</x:v>
      </x:c>
      <x:c r="T1122" s="9" t="n">
        <x:f>Q1122*(1-0.40)-R1122</x:f>
        <x:v>1.7777777777777777</x:v>
      </x:c>
    </x:row>
    <x:row r="1123" ht="21" customHeight="1">
      <x:c r="A1123" s="3" t="n">
        <x:v>18</x:v>
      </x:c>
      <x:c r="B1123" s="3" t="str">
        <x:v>03:00</x:v>
      </x:c>
      <x:c r="C1123" s="3" t="n">
        <x:v>4</x:v>
      </x:c>
      <x:c r="D1123" s="3" t="n">
        <x:v>42</x:v>
      </x:c>
      <x:c r="E1123" s="3" t="n">
        <x:v>7</x:v>
      </x:c>
      <x:c r="F1123" s="3" t="n">
        <x:v>2</x:v>
      </x:c>
      <x:c r="G1123" s="9" t="n">
        <x:v>0.08</x:v>
      </x:c>
      <x:c r="H1123" s="9" t="n">
        <x:v>0.989237</x:v>
      </x:c>
      <x:c r="I1123" s="9" t="n">
        <x:f>'Physical_Arcs'!R43</x:f>
        <x:v>9</x:v>
      </x:c>
      <x:c r="J1123" s="9" t="n">
        <x:f>I1123*'Parameters'!$C$18</x:f>
        <x:v>1.8</x:v>
      </x:c>
      <x:c r="K1123" s="9" t="n">
        <x:f>J1123*'Parameters'!$C$19</x:f>
        <x:v>2.25</x:v>
      </x:c>
      <x:c r="L1123" s="9" t="n">
        <x:f>I1123*(1-0.40)-J1123</x:f>
        <x:v>3.5999999999999996</x:v>
      </x:c>
      <x:c r="M1123" s="9" t="n">
        <x:f>'Physical_Arcs'!S43</x:f>
        <x:v>9</x:v>
      </x:c>
      <x:c r="N1123" s="9" t="n">
        <x:f>M1123*'Parameters'!$C$18</x:f>
        <x:v>1.8</x:v>
      </x:c>
      <x:c r="O1123" s="9" t="n">
        <x:f>N1123*'Parameters'!$C$19</x:f>
        <x:v>2.25</x:v>
      </x:c>
      <x:c r="P1123" s="9" t="n">
        <x:f>M1123*(1-0.40)-N1123</x:f>
        <x:v>3.5999999999999996</x:v>
      </x:c>
      <x:c r="Q1123" s="9" t="n">
        <x:f>'Physical_Arcs'!T43</x:f>
        <x:v>4.5</x:v>
      </x:c>
      <x:c r="R1123" s="9" t="n">
        <x:f>Q1123*'Parameters'!$C$18</x:f>
        <x:v>0.9</x:v>
      </x:c>
      <x:c r="S1123" s="9" t="n">
        <x:f>R1123*'Parameters'!$C$19</x:f>
        <x:v>1.125</x:v>
      </x:c>
      <x:c r="T1123" s="9" t="n">
        <x:f>Q1123*(1-0.40)-R1123</x:f>
        <x:v>1.7999999999999998</x:v>
      </x:c>
    </x:row>
    <x:row r="1124" ht="21" customHeight="1">
      <x:c r="A1124" s="3" t="n">
        <x:v>18</x:v>
      </x:c>
      <x:c r="B1124" s="3" t="str">
        <x:v>03:00</x:v>
      </x:c>
      <x:c r="C1124" s="3" t="n">
        <x:v>4</x:v>
      </x:c>
      <x:c r="D1124" s="3" t="n">
        <x:v>43</x:v>
      </x:c>
      <x:c r="E1124" s="3" t="n">
        <x:v>7</x:v>
      </x:c>
      <x:c r="F1124" s="3" t="n">
        <x:v>3</x:v>
      </x:c>
      <x:c r="G1124" s="9" t="n">
        <x:v>0.08</x:v>
      </x:c>
      <x:c r="H1124" s="9" t="n">
        <x:v>1.050432</x:v>
      </x:c>
      <x:c r="I1124" s="9" t="n">
        <x:f>'Physical_Arcs'!R44</x:f>
        <x:v>7.638888888888889</x:v>
      </x:c>
      <x:c r="J1124" s="9" t="n">
        <x:f>I1124*'Parameters'!$C$18</x:f>
        <x:v>1.527777777777778</x:v>
      </x:c>
      <x:c r="K1124" s="9" t="n">
        <x:f>J1124*'Parameters'!$C$19</x:f>
        <x:v>1.9097222222222223</x:v>
      </x:c>
      <x:c r="L1124" s="9" t="n">
        <x:f>I1124*(1-0.40)-J1124</x:f>
        <x:v>3.0555555555555554</x:v>
      </x:c>
      <x:c r="M1124" s="9" t="n">
        <x:f>'Physical_Arcs'!S44</x:f>
        <x:v>7.638888888888889</x:v>
      </x:c>
      <x:c r="N1124" s="9" t="n">
        <x:f>M1124*'Parameters'!$C$18</x:f>
        <x:v>1.527777777777778</x:v>
      </x:c>
      <x:c r="O1124" s="9" t="n">
        <x:f>N1124*'Parameters'!$C$19</x:f>
        <x:v>1.9097222222222223</x:v>
      </x:c>
      <x:c r="P1124" s="9" t="n">
        <x:f>M1124*(1-0.40)-N1124</x:f>
        <x:v>3.0555555555555554</x:v>
      </x:c>
      <x:c r="Q1124" s="9" t="n">
        <x:f>'Physical_Arcs'!T44</x:f>
        <x:v>3.8333333333333335</x:v>
      </x:c>
      <x:c r="R1124" s="9" t="n">
        <x:f>Q1124*'Parameters'!$C$18</x:f>
        <x:v>0.7666666666666667</x:v>
      </x:c>
      <x:c r="S1124" s="9" t="n">
        <x:f>R1124*'Parameters'!$C$19</x:f>
        <x:v>0.9583333333333334</x:v>
      </x:c>
      <x:c r="T1124" s="9" t="n">
        <x:f>Q1124*(1-0.40)-R1124</x:f>
        <x:v>1.5333333333333332</x:v>
      </x:c>
    </x:row>
    <x:row r="1125" ht="21" customHeight="1">
      <x:c r="A1125" s="3" t="n">
        <x:v>18</x:v>
      </x:c>
      <x:c r="B1125" s="3" t="str">
        <x:v>03:00</x:v>
      </x:c>
      <x:c r="C1125" s="3" t="n">
        <x:v>4</x:v>
      </x:c>
      <x:c r="D1125" s="3" t="n">
        <x:v>44</x:v>
      </x:c>
      <x:c r="E1125" s="3" t="n">
        <x:v>8</x:v>
      </x:c>
      <x:c r="F1125" s="3" t="n">
        <x:v>9</x:v>
      </x:c>
      <x:c r="G1125" s="9" t="n">
        <x:v>0.08</x:v>
      </x:c>
      <x:c r="H1125" s="9" t="n">
        <x:v>0.868101</x:v>
      </x:c>
      <x:c r="I1125" s="9" t="n">
        <x:f>'Physical_Arcs'!R45</x:f>
        <x:v>17.02777777777778</x:v>
      </x:c>
      <x:c r="J1125" s="9" t="n">
        <x:f>I1125*'Parameters'!$C$18</x:f>
        <x:v>3.405555555555556</x:v>
      </x:c>
      <x:c r="K1125" s="9" t="n">
        <x:f>J1125*'Parameters'!$C$19</x:f>
        <x:v>4.256944444444445</x:v>
      </x:c>
      <x:c r="L1125" s="9" t="n">
        <x:f>I1125*(1-0.40)-J1125</x:f>
        <x:v>6.811111111111111</x:v>
      </x:c>
      <x:c r="M1125" s="9" t="n">
        <x:f>'Physical_Arcs'!S45</x:f>
        <x:v>17.02777777777778</x:v>
      </x:c>
      <x:c r="N1125" s="9" t="n">
        <x:f>M1125*'Parameters'!$C$18</x:f>
        <x:v>3.405555555555556</x:v>
      </x:c>
      <x:c r="O1125" s="9" t="n">
        <x:f>N1125*'Parameters'!$C$19</x:f>
        <x:v>4.256944444444445</x:v>
      </x:c>
      <x:c r="P1125" s="9" t="n">
        <x:f>M1125*(1-0.40)-N1125</x:f>
        <x:v>6.811111111111111</x:v>
      </x:c>
      <x:c r="Q1125" s="9" t="n">
        <x:f>'Physical_Arcs'!T45</x:f>
        <x:v>17.02777777777778</x:v>
      </x:c>
      <x:c r="R1125" s="9" t="n">
        <x:f>Q1125*'Parameters'!$C$18</x:f>
        <x:v>3.405555555555556</x:v>
      </x:c>
      <x:c r="S1125" s="9" t="n">
        <x:f>R1125*'Parameters'!$C$19</x:f>
        <x:v>4.256944444444445</x:v>
      </x:c>
      <x:c r="T1125" s="9" t="n">
        <x:f>Q1125*(1-0.40)-R1125</x:f>
        <x:v>6.811111111111111</x:v>
      </x:c>
    </x:row>
    <x:row r="1126" ht="21" customHeight="1">
      <x:c r="A1126" s="3" t="n">
        <x:v>18</x:v>
      </x:c>
      <x:c r="B1126" s="3" t="str">
        <x:v>03:00</x:v>
      </x:c>
      <x:c r="C1126" s="3" t="n">
        <x:v>4</x:v>
      </x:c>
      <x:c r="D1126" s="3" t="n">
        <x:v>45</x:v>
      </x:c>
      <x:c r="E1126" s="3" t="n">
        <x:v>8</x:v>
      </x:c>
      <x:c r="F1126" s="3" t="n">
        <x:v>3</x:v>
      </x:c>
      <x:c r="G1126" s="9" t="n">
        <x:v>0.08</x:v>
      </x:c>
      <x:c r="H1126" s="9" t="n">
        <x:v>0.944958</x:v>
      </x:c>
      <x:c r="I1126" s="9" t="n">
        <x:f>'Physical_Arcs'!R46</x:f>
        <x:v>5.388888888888889</x:v>
      </x:c>
      <x:c r="J1126" s="9" t="n">
        <x:f>I1126*'Parameters'!$C$18</x:f>
        <x:v>1.077777777777778</x:v>
      </x:c>
      <x:c r="K1126" s="9" t="n">
        <x:f>J1126*'Parameters'!$C$19</x:f>
        <x:v>1.3472222222222223</x:v>
      </x:c>
      <x:c r="L1126" s="9" t="n">
        <x:f>I1126*(1-0.40)-J1126</x:f>
        <x:v>2.1555555555555554</x:v>
      </x:c>
      <x:c r="M1126" s="9" t="n">
        <x:f>'Physical_Arcs'!S46</x:f>
        <x:v>5.388888888888889</x:v>
      </x:c>
      <x:c r="N1126" s="9" t="n">
        <x:f>M1126*'Parameters'!$C$18</x:f>
        <x:v>1.077777777777778</x:v>
      </x:c>
      <x:c r="O1126" s="9" t="n">
        <x:f>N1126*'Parameters'!$C$19</x:f>
        <x:v>1.3472222222222223</x:v>
      </x:c>
      <x:c r="P1126" s="9" t="n">
        <x:f>M1126*(1-0.40)-N1126</x:f>
        <x:v>2.1555555555555554</x:v>
      </x:c>
      <x:c r="Q1126" s="9" t="n">
        <x:f>'Physical_Arcs'!T46</x:f>
        <x:v>2.6944444444444446</x:v>
      </x:c>
      <x:c r="R1126" s="9" t="n">
        <x:f>Q1126*'Parameters'!$C$18</x:f>
        <x:v>0.538888888888889</x:v>
      </x:c>
      <x:c r="S1126" s="9" t="n">
        <x:f>R1126*'Parameters'!$C$19</x:f>
        <x:v>0.6736111111111112</x:v>
      </x:c>
      <x:c r="T1126" s="9" t="n">
        <x:f>Q1126*(1-0.40)-R1126</x:f>
        <x:v>1.0777777777777777</x:v>
      </x:c>
    </x:row>
    <x:row r="1127" ht="21" customHeight="1">
      <x:c r="A1127" s="3" t="n">
        <x:v>18</x:v>
      </x:c>
      <x:c r="B1127" s="3" t="str">
        <x:v>03:00</x:v>
      </x:c>
      <x:c r="C1127" s="3" t="n">
        <x:v>4</x:v>
      </x:c>
      <x:c r="D1127" s="3" t="n">
        <x:v>46</x:v>
      </x:c>
      <x:c r="E1127" s="3" t="n">
        <x:v>8</x:v>
      </x:c>
      <x:c r="F1127" s="3" t="n">
        <x:v>7</x:v>
      </x:c>
      <x:c r="G1127" s="9" t="n">
        <x:v>0.08</x:v>
      </x:c>
      <x:c r="H1127" s="9" t="n">
        <x:v>0.866232</x:v>
      </x:c>
      <x:c r="I1127" s="9" t="n">
        <x:f>'Physical_Arcs'!R47</x:f>
        <x:v>5.388888888888889</x:v>
      </x:c>
      <x:c r="J1127" s="9" t="n">
        <x:f>I1127*'Parameters'!$C$18</x:f>
        <x:v>1.077777777777778</x:v>
      </x:c>
      <x:c r="K1127" s="9" t="n">
        <x:f>J1127*'Parameters'!$C$19</x:f>
        <x:v>1.3472222222222223</x:v>
      </x:c>
      <x:c r="L1127" s="9" t="n">
        <x:f>I1127*(1-0.40)-J1127</x:f>
        <x:v>2.1555555555555554</x:v>
      </x:c>
      <x:c r="M1127" s="9" t="n">
        <x:f>'Physical_Arcs'!S47</x:f>
        <x:v>5.388888888888889</x:v>
      </x:c>
      <x:c r="N1127" s="9" t="n">
        <x:f>M1127*'Parameters'!$C$18</x:f>
        <x:v>1.077777777777778</x:v>
      </x:c>
      <x:c r="O1127" s="9" t="n">
        <x:f>N1127*'Parameters'!$C$19</x:f>
        <x:v>1.3472222222222223</x:v>
      </x:c>
      <x:c r="P1127" s="9" t="n">
        <x:f>M1127*(1-0.40)-N1127</x:f>
        <x:v>2.1555555555555554</x:v>
      </x:c>
      <x:c r="Q1127" s="9" t="n">
        <x:f>'Physical_Arcs'!T47</x:f>
        <x:v>2.6944444444444446</x:v>
      </x:c>
      <x:c r="R1127" s="9" t="n">
        <x:f>Q1127*'Parameters'!$C$18</x:f>
        <x:v>0.538888888888889</x:v>
      </x:c>
      <x:c r="S1127" s="9" t="n">
        <x:f>R1127*'Parameters'!$C$19</x:f>
        <x:v>0.6736111111111112</x:v>
      </x:c>
      <x:c r="T1127" s="9" t="n">
        <x:f>Q1127*(1-0.40)-R1127</x:f>
        <x:v>1.0777777777777777</x:v>
      </x:c>
    </x:row>
    <x:row r="1128" ht="21" customHeight="1">
      <x:c r="A1128" s="3" t="n">
        <x:v>18</x:v>
      </x:c>
      <x:c r="B1128" s="3" t="str">
        <x:v>03:00</x:v>
      </x:c>
      <x:c r="C1128" s="3" t="n">
        <x:v>4</x:v>
      </x:c>
      <x:c r="D1128" s="3" t="n">
        <x:v>47</x:v>
      </x:c>
      <x:c r="E1128" s="3" t="n">
        <x:v>8</x:v>
      </x:c>
      <x:c r="F1128" s="3" t="n">
        <x:v>2</x:v>
      </x:c>
      <x:c r="G1128" s="9" t="n">
        <x:v>0.08</x:v>
      </x:c>
      <x:c r="H1128" s="9" t="n">
        <x:v>1.135644</x:v>
      </x:c>
      <x:c r="I1128" s="9" t="n">
        <x:f>'Physical_Arcs'!R48</x:f>
        <x:v>8.083333333333334</x:v>
      </x:c>
      <x:c r="J1128" s="9" t="n">
        <x:f>I1128*'Parameters'!$C$18</x:f>
        <x:v>1.616666666666667</x:v>
      </x:c>
      <x:c r="K1128" s="9" t="n">
        <x:f>J1128*'Parameters'!$C$19</x:f>
        <x:v>2.0208333333333335</x:v>
      </x:c>
      <x:c r="L1128" s="9" t="n">
        <x:f>I1128*(1-0.40)-J1128</x:f>
        <x:v>3.2333333333333334</x:v>
      </x:c>
      <x:c r="M1128" s="9" t="n">
        <x:f>'Physical_Arcs'!S48</x:f>
        <x:v>8.083333333333334</x:v>
      </x:c>
      <x:c r="N1128" s="9" t="n">
        <x:f>M1128*'Parameters'!$C$18</x:f>
        <x:v>1.616666666666667</x:v>
      </x:c>
      <x:c r="O1128" s="9" t="n">
        <x:f>N1128*'Parameters'!$C$19</x:f>
        <x:v>2.0208333333333335</x:v>
      </x:c>
      <x:c r="P1128" s="9" t="n">
        <x:f>M1128*(1-0.40)-N1128</x:f>
        <x:v>3.2333333333333334</x:v>
      </x:c>
      <x:c r="Q1128" s="9" t="n">
        <x:f>'Physical_Arcs'!T48</x:f>
        <x:v>4.055555555555555</x:v>
      </x:c>
      <x:c r="R1128" s="9" t="n">
        <x:f>Q1128*'Parameters'!$C$18</x:f>
        <x:v>0.8111111111111111</x:v>
      </x:c>
      <x:c r="S1128" s="9" t="n">
        <x:f>R1128*'Parameters'!$C$19</x:f>
        <x:v>1.0138888888888888</x:v>
      </x:c>
      <x:c r="T1128" s="9" t="n">
        <x:f>Q1128*(1-0.40)-R1128</x:f>
        <x:v>1.622222222222222</x:v>
      </x:c>
    </x:row>
    <x:row r="1129" ht="21" customHeight="1">
      <x:c r="A1129" s="3" t="n">
        <x:v>18</x:v>
      </x:c>
      <x:c r="B1129" s="3" t="str">
        <x:v>03:00</x:v>
      </x:c>
      <x:c r="C1129" s="3" t="n">
        <x:v>4</x:v>
      </x:c>
      <x:c r="D1129" s="3" t="n">
        <x:v>48</x:v>
      </x:c>
      <x:c r="E1129" s="3" t="n">
        <x:v>8</x:v>
      </x:c>
      <x:c r="F1129" s="3" t="n">
        <x:v>6</x:v>
      </x:c>
      <x:c r="G1129" s="9" t="n">
        <x:v>0.08</x:v>
      </x:c>
      <x:c r="H1129" s="9" t="n">
        <x:v>0.850778</x:v>
      </x:c>
      <x:c r="I1129" s="9" t="n">
        <x:f>'Physical_Arcs'!R49</x:f>
        <x:v>10.555555555555555</x:v>
      </x:c>
      <x:c r="J1129" s="9" t="n">
        <x:f>I1129*'Parameters'!$C$18</x:f>
        <x:v>2.111111111111111</x:v>
      </x:c>
      <x:c r="K1129" s="9" t="n">
        <x:f>J1129*'Parameters'!$C$19</x:f>
        <x:v>2.638888888888889</x:v>
      </x:c>
      <x:c r="L1129" s="9" t="n">
        <x:f>I1129*(1-0.40)-J1129</x:f>
        <x:v>4.222222222222221</x:v>
      </x:c>
      <x:c r="M1129" s="9" t="n">
        <x:f>'Physical_Arcs'!S49</x:f>
        <x:v>10.555555555555555</x:v>
      </x:c>
      <x:c r="N1129" s="9" t="n">
        <x:f>M1129*'Parameters'!$C$18</x:f>
        <x:v>2.111111111111111</x:v>
      </x:c>
      <x:c r="O1129" s="9" t="n">
        <x:f>N1129*'Parameters'!$C$19</x:f>
        <x:v>2.638888888888889</x:v>
      </x:c>
      <x:c r="P1129" s="9" t="n">
        <x:f>M1129*(1-0.40)-N1129</x:f>
        <x:v>4.222222222222221</x:v>
      </x:c>
      <x:c r="Q1129" s="9" t="n">
        <x:f>'Physical_Arcs'!T49</x:f>
        <x:v>5.277777777777778</x:v>
      </x:c>
      <x:c r="R1129" s="9" t="n">
        <x:f>Q1129*'Parameters'!$C$18</x:f>
        <x:v>1.0555555555555556</x:v>
      </x:c>
      <x:c r="S1129" s="9" t="n">
        <x:f>R1129*'Parameters'!$C$19</x:f>
        <x:v>1.3194444444444444</x:v>
      </x:c>
      <x:c r="T1129" s="9" t="n">
        <x:f>Q1129*(1-0.40)-R1129</x:f>
        <x:v>2.1111111111111107</x:v>
      </x:c>
    </x:row>
    <x:row r="1130" ht="21" customHeight="1">
      <x:c r="A1130" s="3" t="n">
        <x:v>18</x:v>
      </x:c>
      <x:c r="B1130" s="3" t="str">
        <x:v>03:00</x:v>
      </x:c>
      <x:c r="C1130" s="3" t="n">
        <x:v>4</x:v>
      </x:c>
      <x:c r="D1130" s="3" t="n">
        <x:v>49</x:v>
      </x:c>
      <x:c r="E1130" s="3" t="n">
        <x:v>8</x:v>
      </x:c>
      <x:c r="F1130" s="3" t="n">
        <x:v>4</x:v>
      </x:c>
      <x:c r="G1130" s="9" t="n">
        <x:v>0.08</x:v>
      </x:c>
      <x:c r="H1130" s="9" t="n">
        <x:v>0.904949</x:v>
      </x:c>
      <x:c r="I1130" s="9" t="n">
        <x:f>'Physical_Arcs'!R50</x:f>
        <x:v>1.5833333333333333</x:v>
      </x:c>
      <x:c r="J1130" s="9" t="n">
        <x:f>I1130*'Parameters'!$C$18</x:f>
        <x:v>0.31666666666666665</x:v>
      </x:c>
      <x:c r="K1130" s="9" t="n">
        <x:f>J1130*'Parameters'!$C$19</x:f>
        <x:v>0.3958333333333333</x:v>
      </x:c>
      <x:c r="L1130" s="9" t="n">
        <x:f>I1130*(1-0.40)-J1130</x:f>
        <x:v>0.6333333333333333</x:v>
      </x:c>
      <x:c r="M1130" s="9" t="n">
        <x:f>'Physical_Arcs'!S50</x:f>
        <x:v>1.5833333333333333</x:v>
      </x:c>
      <x:c r="N1130" s="9" t="n">
        <x:f>M1130*'Parameters'!$C$18</x:f>
        <x:v>0.31666666666666665</x:v>
      </x:c>
      <x:c r="O1130" s="9" t="n">
        <x:f>N1130*'Parameters'!$C$19</x:f>
        <x:v>0.3958333333333333</x:v>
      </x:c>
      <x:c r="P1130" s="9" t="n">
        <x:f>M1130*(1-0.40)-N1130</x:f>
        <x:v>0.6333333333333333</x:v>
      </x:c>
      <x:c r="Q1130" s="9" t="n">
        <x:f>'Physical_Arcs'!T50</x:f>
        <x:v>0.8055555555555556</x:v>
      </x:c>
      <x:c r="R1130" s="9" t="n">
        <x:f>Q1130*'Parameters'!$C$18</x:f>
        <x:v>0.16111111111111112</x:v>
      </x:c>
      <x:c r="S1130" s="9" t="n">
        <x:f>R1130*'Parameters'!$C$19</x:f>
        <x:v>0.2013888888888889</x:v>
      </x:c>
      <x:c r="T1130" s="9" t="n">
        <x:f>Q1130*(1-0.40)-R1130</x:f>
        <x:v>0.3222222222222222</x:v>
      </x:c>
    </x:row>
    <x:row r="1131" ht="21" customHeight="1">
      <x:c r="A1131" s="3" t="n">
        <x:v>18</x:v>
      </x:c>
      <x:c r="B1131" s="3" t="str">
        <x:v>03:00</x:v>
      </x:c>
      <x:c r="C1131" s="3" t="n">
        <x:v>4</x:v>
      </x:c>
      <x:c r="D1131" s="3" t="n">
        <x:v>50</x:v>
      </x:c>
      <x:c r="E1131" s="3" t="n">
        <x:v>8</x:v>
      </x:c>
      <x:c r="F1131" s="3" t="n">
        <x:v>5</x:v>
      </x:c>
      <x:c r="G1131" s="9" t="n">
        <x:v>0.08</x:v>
      </x:c>
      <x:c r="H1131" s="9" t="n">
        <x:v>0.990416</x:v>
      </x:c>
      <x:c r="I1131" s="9" t="n">
        <x:f>'Physical_Arcs'!R51</x:f>
        <x:v>10.777777777777779</x:v>
      </x:c>
      <x:c r="J1131" s="9" t="n">
        <x:f>I1131*'Parameters'!$C$18</x:f>
        <x:v>2.155555555555556</x:v>
      </x:c>
      <x:c r="K1131" s="9" t="n">
        <x:f>J1131*'Parameters'!$C$19</x:f>
        <x:v>2.6944444444444446</x:v>
      </x:c>
      <x:c r="L1131" s="9" t="n">
        <x:f>I1131*(1-0.40)-J1131</x:f>
        <x:v>4.311111111111111</x:v>
      </x:c>
      <x:c r="M1131" s="9" t="n">
        <x:f>'Physical_Arcs'!S51</x:f>
        <x:v>10.777777777777779</x:v>
      </x:c>
      <x:c r="N1131" s="9" t="n">
        <x:f>M1131*'Parameters'!$C$18</x:f>
        <x:v>2.155555555555556</x:v>
      </x:c>
      <x:c r="O1131" s="9" t="n">
        <x:f>N1131*'Parameters'!$C$19</x:f>
        <x:v>2.6944444444444446</x:v>
      </x:c>
      <x:c r="P1131" s="9" t="n">
        <x:f>M1131*(1-0.40)-N1131</x:f>
        <x:v>4.311111111111111</x:v>
      </x:c>
      <x:c r="Q1131" s="9" t="n">
        <x:f>'Physical_Arcs'!T51</x:f>
        <x:v>5.388888888888889</x:v>
      </x:c>
      <x:c r="R1131" s="9" t="n">
        <x:f>Q1131*'Parameters'!$C$18</x:f>
        <x:v>1.077777777777778</x:v>
      </x:c>
      <x:c r="S1131" s="9" t="n">
        <x:f>R1131*'Parameters'!$C$19</x:f>
        <x:v>1.3472222222222223</x:v>
      </x:c>
      <x:c r="T1131" s="9" t="n">
        <x:f>Q1131*(1-0.40)-R1131</x:f>
        <x:v>2.1555555555555554</x:v>
      </x:c>
    </x:row>
    <x:row r="1132" ht="21" customHeight="1">
      <x:c r="A1132" s="3" t="n">
        <x:v>18</x:v>
      </x:c>
      <x:c r="B1132" s="3" t="str">
        <x:v>03:00</x:v>
      </x:c>
      <x:c r="C1132" s="3" t="n">
        <x:v>4</x:v>
      </x:c>
      <x:c r="D1132" s="3" t="n">
        <x:v>51</x:v>
      </x:c>
      <x:c r="E1132" s="3" t="n">
        <x:v>8</x:v>
      </x:c>
      <x:c r="F1132" s="3" t="n">
        <x:v>1</x:v>
      </x:c>
      <x:c r="G1132" s="9" t="n">
        <x:v>0.08</x:v>
      </x:c>
      <x:c r="H1132" s="9" t="n">
        <x:v>1.039066</x:v>
      </x:c>
      <x:c r="I1132" s="9" t="n">
        <x:f>'Physical_Arcs'!R52</x:f>
        <x:v>8.88888888888889</x:v>
      </x:c>
      <x:c r="J1132" s="9" t="n">
        <x:f>I1132*'Parameters'!$C$18</x:f>
        <x:v>1.777777777777778</x:v>
      </x:c>
      <x:c r="K1132" s="9" t="n">
        <x:f>J1132*'Parameters'!$C$19</x:f>
        <x:v>2.2222222222222223</x:v>
      </x:c>
      <x:c r="L1132" s="9" t="n">
        <x:f>I1132*(1-0.40)-J1132</x:f>
        <x:v>3.5555555555555554</x:v>
      </x:c>
      <x:c r="M1132" s="9" t="n">
        <x:f>'Physical_Arcs'!S52</x:f>
        <x:v>8.88888888888889</x:v>
      </x:c>
      <x:c r="N1132" s="9" t="n">
        <x:f>M1132*'Parameters'!$C$18</x:f>
        <x:v>1.777777777777778</x:v>
      </x:c>
      <x:c r="O1132" s="9" t="n">
        <x:f>N1132*'Parameters'!$C$19</x:f>
        <x:v>2.2222222222222223</x:v>
      </x:c>
      <x:c r="P1132" s="9" t="n">
        <x:f>M1132*(1-0.40)-N1132</x:f>
        <x:v>3.5555555555555554</x:v>
      </x:c>
      <x:c r="Q1132" s="9" t="n">
        <x:f>'Physical_Arcs'!T52</x:f>
        <x:v>4.444444444444445</x:v>
      </x:c>
      <x:c r="R1132" s="9" t="n">
        <x:f>Q1132*'Parameters'!$C$18</x:f>
        <x:v>0.888888888888889</x:v>
      </x:c>
      <x:c r="S1132" s="9" t="n">
        <x:f>R1132*'Parameters'!$C$19</x:f>
        <x:v>1.1111111111111112</x:v>
      </x:c>
      <x:c r="T1132" s="9" t="n">
        <x:f>Q1132*(1-0.40)-R1132</x:f>
        <x:v>1.7777777777777777</x:v>
      </x:c>
    </x:row>
    <x:row r="1133" ht="21" customHeight="1">
      <x:c r="A1133" s="3" t="n">
        <x:v>18</x:v>
      </x:c>
      <x:c r="B1133" s="3" t="str">
        <x:v>03:00</x:v>
      </x:c>
      <x:c r="C1133" s="3" t="n">
        <x:v>4</x:v>
      </x:c>
      <x:c r="D1133" s="3" t="n">
        <x:v>52</x:v>
      </x:c>
      <x:c r="E1133" s="3" t="n">
        <x:v>9</x:v>
      </x:c>
      <x:c r="F1133" s="3" t="n">
        <x:v>10</x:v>
      </x:c>
      <x:c r="G1133" s="9" t="n">
        <x:v>0.08</x:v>
      </x:c>
      <x:c r="H1133" s="9" t="n">
        <x:v>0.954096</x:v>
      </x:c>
      <x:c r="I1133" s="9" t="n">
        <x:f>'Physical_Arcs'!R53</x:f>
        <x:v>17.02777777777778</x:v>
      </x:c>
      <x:c r="J1133" s="9" t="n">
        <x:f>I1133*'Parameters'!$C$18</x:f>
        <x:v>3.405555555555556</x:v>
      </x:c>
      <x:c r="K1133" s="9" t="n">
        <x:f>J1133*'Parameters'!$C$19</x:f>
        <x:v>4.256944444444445</x:v>
      </x:c>
      <x:c r="L1133" s="9" t="n">
        <x:f>I1133*(1-0.40)-J1133</x:f>
        <x:v>6.811111111111111</x:v>
      </x:c>
      <x:c r="M1133" s="9" t="n">
        <x:f>'Physical_Arcs'!S53</x:f>
        <x:v>17.02777777777778</x:v>
      </x:c>
      <x:c r="N1133" s="9" t="n">
        <x:f>M1133*'Parameters'!$C$18</x:f>
        <x:v>3.405555555555556</x:v>
      </x:c>
      <x:c r="O1133" s="9" t="n">
        <x:f>N1133*'Parameters'!$C$19</x:f>
        <x:v>4.256944444444445</x:v>
      </x:c>
      <x:c r="P1133" s="9" t="n">
        <x:f>M1133*(1-0.40)-N1133</x:f>
        <x:v>6.811111111111111</x:v>
      </x:c>
      <x:c r="Q1133" s="9" t="n">
        <x:f>'Physical_Arcs'!T53</x:f>
        <x:v>17.02777777777778</x:v>
      </x:c>
      <x:c r="R1133" s="9" t="n">
        <x:f>Q1133*'Parameters'!$C$18</x:f>
        <x:v>3.405555555555556</x:v>
      </x:c>
      <x:c r="S1133" s="9" t="n">
        <x:f>R1133*'Parameters'!$C$19</x:f>
        <x:v>4.256944444444445</x:v>
      </x:c>
      <x:c r="T1133" s="9" t="n">
        <x:f>Q1133*(1-0.40)-R1133</x:f>
        <x:v>6.811111111111111</x:v>
      </x:c>
    </x:row>
    <x:row r="1134" ht="21" customHeight="1">
      <x:c r="A1134" s="3" t="n">
        <x:v>18</x:v>
      </x:c>
      <x:c r="B1134" s="3" t="str">
        <x:v>03:00</x:v>
      </x:c>
      <x:c r="C1134" s="3" t="n">
        <x:v>4</x:v>
      </x:c>
      <x:c r="D1134" s="3" t="n">
        <x:v>53</x:v>
      </x:c>
      <x:c r="E1134" s="3" t="n">
        <x:v>9</x:v>
      </x:c>
      <x:c r="F1134" s="3" t="n">
        <x:v>6</x:v>
      </x:c>
      <x:c r="G1134" s="9" t="n">
        <x:v>0.08</x:v>
      </x:c>
      <x:c r="H1134" s="9" t="n">
        <x:v>1.125574</x:v>
      </x:c>
      <x:c r="I1134" s="9" t="n">
        <x:f>'Physical_Arcs'!R54</x:f>
        <x:v>9.666666666666666</x:v>
      </x:c>
      <x:c r="J1134" s="9" t="n">
        <x:f>I1134*'Parameters'!$C$18</x:f>
        <x:v>1.9333333333333333</x:v>
      </x:c>
      <x:c r="K1134" s="9" t="n">
        <x:f>J1134*'Parameters'!$C$19</x:f>
        <x:v>2.4166666666666665</x:v>
      </x:c>
      <x:c r="L1134" s="9" t="n">
        <x:f>I1134*(1-0.40)-J1134</x:f>
        <x:v>3.8666666666666663</x:v>
      </x:c>
      <x:c r="M1134" s="9" t="n">
        <x:f>'Physical_Arcs'!S54</x:f>
        <x:v>9.666666666666666</x:v>
      </x:c>
      <x:c r="N1134" s="9" t="n">
        <x:f>M1134*'Parameters'!$C$18</x:f>
        <x:v>1.9333333333333333</x:v>
      </x:c>
      <x:c r="O1134" s="9" t="n">
        <x:f>N1134*'Parameters'!$C$19</x:f>
        <x:v>2.4166666666666665</x:v>
      </x:c>
      <x:c r="P1134" s="9" t="n">
        <x:f>M1134*(1-0.40)-N1134</x:f>
        <x:v>3.8666666666666663</x:v>
      </x:c>
      <x:c r="Q1134" s="9" t="n">
        <x:f>'Physical_Arcs'!T54</x:f>
        <x:v>4.833333333333333</x:v>
      </x:c>
      <x:c r="R1134" s="9" t="n">
        <x:f>Q1134*'Parameters'!$C$18</x:f>
        <x:v>0.9666666666666667</x:v>
      </x:c>
      <x:c r="S1134" s="9" t="n">
        <x:f>R1134*'Parameters'!$C$19</x:f>
        <x:v>1.2083333333333333</x:v>
      </x:c>
      <x:c r="T1134" s="9" t="n">
        <x:f>Q1134*(1-0.40)-R1134</x:f>
        <x:v>1.9333333333333331</x:v>
      </x:c>
    </x:row>
    <x:row r="1135" ht="21" customHeight="1">
      <x:c r="A1135" s="3" t="n">
        <x:v>18</x:v>
      </x:c>
      <x:c r="B1135" s="3" t="str">
        <x:v>03:00</x:v>
      </x:c>
      <x:c r="C1135" s="3" t="n">
        <x:v>4</x:v>
      </x:c>
      <x:c r="D1135" s="3" t="n">
        <x:v>54</x:v>
      </x:c>
      <x:c r="E1135" s="3" t="n">
        <x:v>9</x:v>
      </x:c>
      <x:c r="F1135" s="3" t="n">
        <x:v>2</x:v>
      </x:c>
      <x:c r="G1135" s="9" t="n">
        <x:v>0.08</x:v>
      </x:c>
      <x:c r="H1135" s="9" t="n">
        <x:v>0.854534</x:v>
      </x:c>
      <x:c r="I1135" s="9" t="n">
        <x:f>'Physical_Arcs'!R55</x:f>
        <x:v>9.88888888888889</x:v>
      </x:c>
      <x:c r="J1135" s="9" t="n">
        <x:f>I1135*'Parameters'!$C$18</x:f>
        <x:v>1.9777777777777779</x:v>
      </x:c>
      <x:c r="K1135" s="9" t="n">
        <x:f>J1135*'Parameters'!$C$19</x:f>
        <x:v>2.4722222222222223</x:v>
      </x:c>
      <x:c r="L1135" s="9" t="n">
        <x:f>I1135*(1-0.40)-J1135</x:f>
        <x:v>3.9555555555555557</x:v>
      </x:c>
      <x:c r="M1135" s="9" t="n">
        <x:f>'Physical_Arcs'!S55</x:f>
        <x:v>9.88888888888889</x:v>
      </x:c>
      <x:c r="N1135" s="9" t="n">
        <x:f>M1135*'Parameters'!$C$18</x:f>
        <x:v>1.9777777777777779</x:v>
      </x:c>
      <x:c r="O1135" s="9" t="n">
        <x:f>N1135*'Parameters'!$C$19</x:f>
        <x:v>2.4722222222222223</x:v>
      </x:c>
      <x:c r="P1135" s="9" t="n">
        <x:f>M1135*(1-0.40)-N1135</x:f>
        <x:v>3.9555555555555557</x:v>
      </x:c>
      <x:c r="Q1135" s="9" t="n">
        <x:f>'Physical_Arcs'!T55</x:f>
        <x:v>4.944444444444445</x:v>
      </x:c>
      <x:c r="R1135" s="9" t="n">
        <x:f>Q1135*'Parameters'!$C$18</x:f>
        <x:v>0.9888888888888889</x:v>
      </x:c>
      <x:c r="S1135" s="9" t="n">
        <x:f>R1135*'Parameters'!$C$19</x:f>
        <x:v>1.2361111111111112</x:v>
      </x:c>
      <x:c r="T1135" s="9" t="n">
        <x:f>Q1135*(1-0.40)-R1135</x:f>
        <x:v>1.9777777777777779</x:v>
      </x:c>
    </x:row>
    <x:row r="1136" ht="21" customHeight="1">
      <x:c r="A1136" s="3" t="n">
        <x:v>18</x:v>
      </x:c>
      <x:c r="B1136" s="3" t="str">
        <x:v>03:00</x:v>
      </x:c>
      <x:c r="C1136" s="3" t="n">
        <x:v>4</x:v>
      </x:c>
      <x:c r="D1136" s="3" t="n">
        <x:v>55</x:v>
      </x:c>
      <x:c r="E1136" s="3" t="n">
        <x:v>9</x:v>
      </x:c>
      <x:c r="F1136" s="3" t="n">
        <x:v>7</x:v>
      </x:c>
      <x:c r="G1136" s="9" t="n">
        <x:v>0.08</x:v>
      </x:c>
      <x:c r="H1136" s="9" t="n">
        <x:v>0.900033</x:v>
      </x:c>
      <x:c r="I1136" s="9" t="n">
        <x:f>'Physical_Arcs'!R56</x:f>
        <x:v>4.166666666666667</x:v>
      </x:c>
      <x:c r="J1136" s="9" t="n">
        <x:f>I1136*'Parameters'!$C$18</x:f>
        <x:v>0.8333333333333335</x:v>
      </x:c>
      <x:c r="K1136" s="9" t="n">
        <x:f>J1136*'Parameters'!$C$19</x:f>
        <x:v>1.041666666666667</x:v>
      </x:c>
      <x:c r="L1136" s="9" t="n">
        <x:f>I1136*(1-0.40)-J1136</x:f>
        <x:v>1.6666666666666665</x:v>
      </x:c>
      <x:c r="M1136" s="9" t="n">
        <x:f>'Physical_Arcs'!S56</x:f>
        <x:v>4.166666666666667</x:v>
      </x:c>
      <x:c r="N1136" s="9" t="n">
        <x:f>M1136*'Parameters'!$C$18</x:f>
        <x:v>0.8333333333333335</x:v>
      </x:c>
      <x:c r="O1136" s="9" t="n">
        <x:f>N1136*'Parameters'!$C$19</x:f>
        <x:v>1.041666666666667</x:v>
      </x:c>
      <x:c r="P1136" s="9" t="n">
        <x:f>M1136*(1-0.40)-N1136</x:f>
        <x:v>1.6666666666666665</x:v>
      </x:c>
      <x:c r="Q1136" s="9" t="n">
        <x:f>'Physical_Arcs'!T56</x:f>
        <x:v>2.0833333333333335</x:v>
      </x:c>
      <x:c r="R1136" s="9" t="n">
        <x:f>Q1136*'Parameters'!$C$18</x:f>
        <x:v>0.41666666666666674</x:v>
      </x:c>
      <x:c r="S1136" s="9" t="n">
        <x:f>R1136*'Parameters'!$C$19</x:f>
        <x:v>0.5208333333333335</x:v>
      </x:c>
      <x:c r="T1136" s="9" t="n">
        <x:f>Q1136*(1-0.40)-R1136</x:f>
        <x:v>0.8333333333333333</x:v>
      </x:c>
    </x:row>
    <x:row r="1137" ht="21" customHeight="1">
      <x:c r="A1137" s="3" t="n">
        <x:v>18</x:v>
      </x:c>
      <x:c r="B1137" s="3" t="str">
        <x:v>03:00</x:v>
      </x:c>
      <x:c r="C1137" s="3" t="n">
        <x:v>4</x:v>
      </x:c>
      <x:c r="D1137" s="3" t="n">
        <x:v>56</x:v>
      </x:c>
      <x:c r="E1137" s="3" t="n">
        <x:v>9</x:v>
      </x:c>
      <x:c r="F1137" s="3" t="n">
        <x:v>3</x:v>
      </x:c>
      <x:c r="G1137" s="9" t="n">
        <x:v>0.08</x:v>
      </x:c>
      <x:c r="H1137" s="9" t="n">
        <x:v>0.893428</x:v>
      </x:c>
      <x:c r="I1137" s="9" t="n">
        <x:f>'Physical_Arcs'!R57</x:f>
        <x:v>3.7222222222222223</x:v>
      </x:c>
      <x:c r="J1137" s="9" t="n">
        <x:f>I1137*'Parameters'!$C$18</x:f>
        <x:v>0.7444444444444445</x:v>
      </x:c>
      <x:c r="K1137" s="9" t="n">
        <x:f>J1137*'Parameters'!$C$19</x:f>
        <x:v>0.9305555555555556</x:v>
      </x:c>
      <x:c r="L1137" s="9" t="n">
        <x:f>I1137*(1-0.40)-J1137</x:f>
        <x:v>1.488888888888889</x:v>
      </x:c>
      <x:c r="M1137" s="9" t="n">
        <x:f>'Physical_Arcs'!S57</x:f>
        <x:v>3.7222222222222223</x:v>
      </x:c>
      <x:c r="N1137" s="9" t="n">
        <x:f>M1137*'Parameters'!$C$18</x:f>
        <x:v>0.7444444444444445</x:v>
      </x:c>
      <x:c r="O1137" s="9" t="n">
        <x:f>N1137*'Parameters'!$C$19</x:f>
        <x:v>0.9305555555555556</x:v>
      </x:c>
      <x:c r="P1137" s="9" t="n">
        <x:f>M1137*(1-0.40)-N1137</x:f>
        <x:v>1.488888888888889</x:v>
      </x:c>
      <x:c r="Q1137" s="9" t="n">
        <x:f>'Physical_Arcs'!T57</x:f>
        <x:v>1.8611111111111112</x:v>
      </x:c>
      <x:c r="R1137" s="9" t="n">
        <x:f>Q1137*'Parameters'!$C$18</x:f>
        <x:v>0.37222222222222223</x:v>
      </x:c>
      <x:c r="S1137" s="9" t="n">
        <x:f>R1137*'Parameters'!$C$19</x:f>
        <x:v>0.4652777777777778</x:v>
      </x:c>
      <x:c r="T1137" s="9" t="n">
        <x:f>Q1137*(1-0.40)-R1137</x:f>
        <x:v>0.7444444444444445</x:v>
      </x:c>
    </x:row>
    <x:row r="1138" ht="21" customHeight="1">
      <x:c r="A1138" s="3" t="n">
        <x:v>18</x:v>
      </x:c>
      <x:c r="B1138" s="3" t="str">
        <x:v>03:00</x:v>
      </x:c>
      <x:c r="C1138" s="3" t="n">
        <x:v>4</x:v>
      </x:c>
      <x:c r="D1138" s="3" t="n">
        <x:v>57</x:v>
      </x:c>
      <x:c r="E1138" s="3" t="n">
        <x:v>10</x:v>
      </x:c>
      <x:c r="F1138" s="3" t="n">
        <x:v>1</x:v>
      </x:c>
      <x:c r="G1138" s="9" t="n">
        <x:v>0.08</x:v>
      </x:c>
      <x:c r="H1138" s="9" t="n">
        <x:v>1.027979</x:v>
      </x:c>
      <x:c r="I1138" s="9" t="n">
        <x:f>'Physical_Arcs'!R58</x:f>
        <x:v>17.02777777777778</x:v>
      </x:c>
      <x:c r="J1138" s="9" t="n">
        <x:f>I1138*'Parameters'!$C$18</x:f>
        <x:v>3.405555555555556</x:v>
      </x:c>
      <x:c r="K1138" s="9" t="n">
        <x:f>J1138*'Parameters'!$C$19</x:f>
        <x:v>4.256944444444445</x:v>
      </x:c>
      <x:c r="L1138" s="9" t="n">
        <x:f>I1138*(1-0.40)-J1138</x:f>
        <x:v>6.811111111111111</x:v>
      </x:c>
      <x:c r="M1138" s="9" t="n">
        <x:f>'Physical_Arcs'!S58</x:f>
        <x:v>17.02777777777778</x:v>
      </x:c>
      <x:c r="N1138" s="9" t="n">
        <x:f>M1138*'Parameters'!$C$18</x:f>
        <x:v>3.405555555555556</x:v>
      </x:c>
      <x:c r="O1138" s="9" t="n">
        <x:f>N1138*'Parameters'!$C$19</x:f>
        <x:v>4.256944444444445</x:v>
      </x:c>
      <x:c r="P1138" s="9" t="n">
        <x:f>M1138*(1-0.40)-N1138</x:f>
        <x:v>6.811111111111111</x:v>
      </x:c>
      <x:c r="Q1138" s="9" t="n">
        <x:f>'Physical_Arcs'!T58</x:f>
        <x:v>17.02777777777778</x:v>
      </x:c>
      <x:c r="R1138" s="9" t="n">
        <x:f>Q1138*'Parameters'!$C$18</x:f>
        <x:v>3.405555555555556</x:v>
      </x:c>
      <x:c r="S1138" s="9" t="n">
        <x:f>R1138*'Parameters'!$C$19</x:f>
        <x:v>4.256944444444445</x:v>
      </x:c>
      <x:c r="T1138" s="9" t="n">
        <x:f>Q1138*(1-0.40)-R1138</x:f>
        <x:v>6.811111111111111</x:v>
      </x:c>
    </x:row>
    <x:row r="1139" ht="21" customHeight="1">
      <x:c r="A1139" s="3" t="n">
        <x:v>18</x:v>
      </x:c>
      <x:c r="B1139" s="3" t="str">
        <x:v>03:00</x:v>
      </x:c>
      <x:c r="C1139" s="3" t="n">
        <x:v>4</x:v>
      </x:c>
      <x:c r="D1139" s="3" t="n">
        <x:v>58</x:v>
      </x:c>
      <x:c r="E1139" s="3" t="n">
        <x:v>10</x:v>
      </x:c>
      <x:c r="F1139" s="3" t="n">
        <x:v>6</x:v>
      </x:c>
      <x:c r="G1139" s="9" t="n">
        <x:v>0.08</x:v>
      </x:c>
      <x:c r="H1139" s="9" t="n">
        <x:v>0.952676</x:v>
      </x:c>
      <x:c r="I1139" s="9" t="n">
        <x:f>'Physical_Arcs'!R59</x:f>
        <x:v>6.305555555555555</x:v>
      </x:c>
      <x:c r="J1139" s="9" t="n">
        <x:f>I1139*'Parameters'!$C$18</x:f>
        <x:v>1.261111111111111</x:v>
      </x:c>
      <x:c r="K1139" s="9" t="n">
        <x:f>J1139*'Parameters'!$C$19</x:f>
        <x:v>1.5763888888888888</x:v>
      </x:c>
      <x:c r="L1139" s="9" t="n">
        <x:f>I1139*(1-0.40)-J1139</x:f>
        <x:v>2.522222222222222</x:v>
      </x:c>
      <x:c r="M1139" s="9" t="n">
        <x:f>'Physical_Arcs'!S59</x:f>
        <x:v>6.305555555555555</x:v>
      </x:c>
      <x:c r="N1139" s="9" t="n">
        <x:f>M1139*'Parameters'!$C$18</x:f>
        <x:v>1.261111111111111</x:v>
      </x:c>
      <x:c r="O1139" s="9" t="n">
        <x:f>N1139*'Parameters'!$C$19</x:f>
        <x:v>1.5763888888888888</x:v>
      </x:c>
      <x:c r="P1139" s="9" t="n">
        <x:f>M1139*(1-0.40)-N1139</x:f>
        <x:v>2.522222222222222</x:v>
      </x:c>
      <x:c r="Q1139" s="9" t="n">
        <x:f>'Physical_Arcs'!T59</x:f>
        <x:v>3.1666666666666665</x:v>
      </x:c>
      <x:c r="R1139" s="9" t="n">
        <x:f>Q1139*'Parameters'!$C$18</x:f>
        <x:v>0.6333333333333333</x:v>
      </x:c>
      <x:c r="S1139" s="9" t="n">
        <x:f>R1139*'Parameters'!$C$19</x:f>
        <x:v>0.7916666666666666</x:v>
      </x:c>
      <x:c r="T1139" s="9" t="n">
        <x:f>Q1139*(1-0.40)-R1139</x:f>
        <x:v>1.2666666666666666</x:v>
      </x:c>
    </x:row>
    <x:row r="1140" ht="21" customHeight="1">
      <x:c r="A1140" s="3" t="n">
        <x:v>18</x:v>
      </x:c>
      <x:c r="B1140" s="3" t="str">
        <x:v>03:00</x:v>
      </x:c>
      <x:c r="C1140" s="3" t="n">
        <x:v>4</x:v>
      </x:c>
      <x:c r="D1140" s="3" t="n">
        <x:v>59</x:v>
      </x:c>
      <x:c r="E1140" s="3" t="n">
        <x:v>10</x:v>
      </x:c>
      <x:c r="F1140" s="3" t="n">
        <x:v>4</x:v>
      </x:c>
      <x:c r="G1140" s="9" t="n">
        <x:v>0.08</x:v>
      </x:c>
      <x:c r="H1140" s="9" t="n">
        <x:v>1.114542</x:v>
      </x:c>
      <x:c r="I1140" s="9" t="n">
        <x:f>'Physical_Arcs'!R60</x:f>
        <x:v>1.5833333333333333</x:v>
      </x:c>
      <x:c r="J1140" s="9" t="n">
        <x:f>I1140*'Parameters'!$C$18</x:f>
        <x:v>0.31666666666666665</x:v>
      </x:c>
      <x:c r="K1140" s="9" t="n">
        <x:f>J1140*'Parameters'!$C$19</x:f>
        <x:v>0.3958333333333333</x:v>
      </x:c>
      <x:c r="L1140" s="9" t="n">
        <x:f>I1140*(1-0.40)-J1140</x:f>
        <x:v>0.6333333333333333</x:v>
      </x:c>
      <x:c r="M1140" s="9" t="n">
        <x:f>'Physical_Arcs'!S60</x:f>
        <x:v>1.5833333333333333</x:v>
      </x:c>
      <x:c r="N1140" s="9" t="n">
        <x:f>M1140*'Parameters'!$C$18</x:f>
        <x:v>0.31666666666666665</x:v>
      </x:c>
      <x:c r="O1140" s="9" t="n">
        <x:f>N1140*'Parameters'!$C$19</x:f>
        <x:v>0.3958333333333333</x:v>
      </x:c>
      <x:c r="P1140" s="9" t="n">
        <x:f>M1140*(1-0.40)-N1140</x:f>
        <x:v>0.6333333333333333</x:v>
      </x:c>
      <x:c r="Q1140" s="9" t="n">
        <x:f>'Physical_Arcs'!T60</x:f>
        <x:v>0.8055555555555556</x:v>
      </x:c>
      <x:c r="R1140" s="9" t="n">
        <x:f>Q1140*'Parameters'!$C$18</x:f>
        <x:v>0.16111111111111112</x:v>
      </x:c>
      <x:c r="S1140" s="9" t="n">
        <x:f>R1140*'Parameters'!$C$19</x:f>
        <x:v>0.2013888888888889</x:v>
      </x:c>
      <x:c r="T1140" s="9" t="n">
        <x:f>Q1140*(1-0.40)-R1140</x:f>
        <x:v>0.3222222222222222</x:v>
      </x:c>
    </x:row>
    <x:row r="1141" ht="21" customHeight="1">
      <x:c r="A1141" s="3" t="n">
        <x:v>18</x:v>
      </x:c>
      <x:c r="B1141" s="3" t="str">
        <x:v>03:00</x:v>
      </x:c>
      <x:c r="C1141" s="3" t="n">
        <x:v>4</x:v>
      </x:c>
      <x:c r="D1141" s="3" t="n">
        <x:v>60</x:v>
      </x:c>
      <x:c r="E1141" s="3" t="n">
        <x:v>10</x:v>
      </x:c>
      <x:c r="F1141" s="3" t="n">
        <x:v>9</x:v>
      </x:c>
      <x:c r="G1141" s="9" t="n">
        <x:v>0.08</x:v>
      </x:c>
      <x:c r="H1141" s="9" t="n">
        <x:v>1.092245</x:v>
      </x:c>
      <x:c r="I1141" s="9" t="n">
        <x:f>'Physical_Arcs'!R61</x:f>
        <x:v>10.333333333333334</x:v>
      </x:c>
      <x:c r="J1141" s="9" t="n">
        <x:f>I1141*'Parameters'!$C$18</x:f>
        <x:v>2.066666666666667</x:v>
      </x:c>
      <x:c r="K1141" s="9" t="n">
        <x:f>J1141*'Parameters'!$C$19</x:f>
        <x:v>2.5833333333333335</x:v>
      </x:c>
      <x:c r="L1141" s="9" t="n">
        <x:f>I1141*(1-0.40)-J1141</x:f>
        <x:v>4.133333333333333</x:v>
      </x:c>
      <x:c r="M1141" s="9" t="n">
        <x:f>'Physical_Arcs'!S61</x:f>
        <x:v>10.333333333333334</x:v>
      </x:c>
      <x:c r="N1141" s="9" t="n">
        <x:f>M1141*'Parameters'!$C$18</x:f>
        <x:v>2.066666666666667</x:v>
      </x:c>
      <x:c r="O1141" s="9" t="n">
        <x:f>N1141*'Parameters'!$C$19</x:f>
        <x:v>2.5833333333333335</x:v>
      </x:c>
      <x:c r="P1141" s="9" t="n">
        <x:f>M1141*(1-0.40)-N1141</x:f>
        <x:v>4.133333333333333</x:v>
      </x:c>
      <x:c r="Q1141" s="9" t="n">
        <x:f>'Physical_Arcs'!T61</x:f>
        <x:v>5.166666666666667</x:v>
      </x:c>
      <x:c r="R1141" s="9" t="n">
        <x:f>Q1141*'Parameters'!$C$18</x:f>
        <x:v>1.0333333333333334</x:v>
      </x:c>
      <x:c r="S1141" s="9" t="n">
        <x:f>R1141*'Parameters'!$C$19</x:f>
        <x:v>1.2916666666666667</x:v>
      </x:c>
      <x:c r="T1141" s="9" t="n">
        <x:f>Q1141*(1-0.40)-R1141</x:f>
        <x:v>2.0666666666666664</x:v>
      </x:c>
    </x:row>
    <x:row r="1142" ht="21" customHeight="1">
      <x:c r="A1142" s="3" t="n">
        <x:v>19</x:v>
      </x:c>
      <x:c r="B1142" s="3" t="str">
        <x:v>03:10</x:v>
      </x:c>
      <x:c r="C1142" s="3" t="n">
        <x:v>4</x:v>
      </x:c>
      <x:c r="D1142" s="3" t="n">
        <x:v>1</x:v>
      </x:c>
      <x:c r="E1142" s="3" t="n">
        <x:v>1</x:v>
      </x:c>
      <x:c r="F1142" s="3" t="n">
        <x:v>2</x:v>
      </x:c>
      <x:c r="G1142" s="9" t="n">
        <x:v>0.08</x:v>
      </x:c>
      <x:c r="H1142" s="9" t="n">
        <x:v>0.914787</x:v>
      </x:c>
      <x:c r="I1142" s="9" t="n">
        <x:f>'Physical_Arcs'!R2</x:f>
        <x:v>17.02777777777778</x:v>
      </x:c>
      <x:c r="J1142" s="9" t="n">
        <x:f>I1142*'Parameters'!$C$18</x:f>
        <x:v>3.405555555555556</x:v>
      </x:c>
      <x:c r="K1142" s="9" t="n">
        <x:f>J1142*'Parameters'!$C$19</x:f>
        <x:v>4.256944444444445</x:v>
      </x:c>
      <x:c r="L1142" s="9" t="n">
        <x:f>I1142*(1-0.40)-J1142</x:f>
        <x:v>6.811111111111111</x:v>
      </x:c>
      <x:c r="M1142" s="9" t="n">
        <x:f>'Physical_Arcs'!S2</x:f>
        <x:v>17.02777777777778</x:v>
      </x:c>
      <x:c r="N1142" s="9" t="n">
        <x:f>M1142*'Parameters'!$C$18</x:f>
        <x:v>3.405555555555556</x:v>
      </x:c>
      <x:c r="O1142" s="9" t="n">
        <x:f>N1142*'Parameters'!$C$19</x:f>
        <x:v>4.256944444444445</x:v>
      </x:c>
      <x:c r="P1142" s="9" t="n">
        <x:f>M1142*(1-0.40)-N1142</x:f>
        <x:v>6.811111111111111</x:v>
      </x:c>
      <x:c r="Q1142" s="9" t="n">
        <x:f>'Physical_Arcs'!T2</x:f>
        <x:v>17.02777777777778</x:v>
      </x:c>
      <x:c r="R1142" s="9" t="n">
        <x:f>Q1142*'Parameters'!$C$18</x:f>
        <x:v>3.405555555555556</x:v>
      </x:c>
      <x:c r="S1142" s="9" t="n">
        <x:f>R1142*'Parameters'!$C$19</x:f>
        <x:v>4.256944444444445</x:v>
      </x:c>
      <x:c r="T1142" s="9" t="n">
        <x:f>Q1142*(1-0.40)-R1142</x:f>
        <x:v>6.811111111111111</x:v>
      </x:c>
    </x:row>
    <x:row r="1143" ht="21" customHeight="1">
      <x:c r="A1143" s="3" t="n">
        <x:v>19</x:v>
      </x:c>
      <x:c r="B1143" s="3" t="str">
        <x:v>03:10</x:v>
      </x:c>
      <x:c r="C1143" s="3" t="n">
        <x:v>4</x:v>
      </x:c>
      <x:c r="D1143" s="3" t="n">
        <x:v>2</x:v>
      </x:c>
      <x:c r="E1143" s="3" t="n">
        <x:v>1</x:v>
      </x:c>
      <x:c r="F1143" s="3" t="n">
        <x:v>10</x:v>
      </x:c>
      <x:c r="G1143" s="9" t="n">
        <x:v>0.08</x:v>
      </x:c>
      <x:c r="H1143" s="9" t="n">
        <x:v>1.003995</x:v>
      </x:c>
      <x:c r="I1143" s="9" t="n">
        <x:f>'Physical_Arcs'!R3</x:f>
        <x:v>3.2777777777777777</x:v>
      </x:c>
      <x:c r="J1143" s="9" t="n">
        <x:f>I1143*'Parameters'!$C$18</x:f>
        <x:v>0.6555555555555556</x:v>
      </x:c>
      <x:c r="K1143" s="9" t="n">
        <x:f>J1143*'Parameters'!$C$19</x:f>
        <x:v>0.8194444444444444</x:v>
      </x:c>
      <x:c r="L1143" s="9" t="n">
        <x:f>I1143*(1-0.40)-J1143</x:f>
        <x:v>1.311111111111111</x:v>
      </x:c>
      <x:c r="M1143" s="9" t="n">
        <x:f>'Physical_Arcs'!S3</x:f>
        <x:v>3.2777777777777777</x:v>
      </x:c>
      <x:c r="N1143" s="9" t="n">
        <x:f>M1143*'Parameters'!$C$18</x:f>
        <x:v>0.6555555555555556</x:v>
      </x:c>
      <x:c r="O1143" s="9" t="n">
        <x:f>N1143*'Parameters'!$C$19</x:f>
        <x:v>0.8194444444444444</x:v>
      </x:c>
      <x:c r="P1143" s="9" t="n">
        <x:f>M1143*(1-0.40)-N1143</x:f>
        <x:v>1.311111111111111</x:v>
      </x:c>
      <x:c r="Q1143" s="9" t="n">
        <x:f>'Physical_Arcs'!T3</x:f>
        <x:v>1.6388888888888888</x:v>
      </x:c>
      <x:c r="R1143" s="9" t="n">
        <x:f>Q1143*'Parameters'!$C$18</x:f>
        <x:v>0.3277777777777778</x:v>
      </x:c>
      <x:c r="S1143" s="9" t="n">
        <x:f>R1143*'Parameters'!$C$19</x:f>
        <x:v>0.4097222222222222</x:v>
      </x:c>
      <x:c r="T1143" s="9" t="n">
        <x:f>Q1143*(1-0.40)-R1143</x:f>
        <x:v>0.6555555555555554</x:v>
      </x:c>
    </x:row>
    <x:row r="1144" ht="21" customHeight="1">
      <x:c r="A1144" s="3" t="n">
        <x:v>19</x:v>
      </x:c>
      <x:c r="B1144" s="3" t="str">
        <x:v>03:10</x:v>
      </x:c>
      <x:c r="C1144" s="3" t="n">
        <x:v>4</x:v>
      </x:c>
      <x:c r="D1144" s="3" t="n">
        <x:v>3</x:v>
      </x:c>
      <x:c r="E1144" s="3" t="n">
        <x:v>1</x:v>
      </x:c>
      <x:c r="F1144" s="3" t="n">
        <x:v>8</x:v>
      </x:c>
      <x:c r="G1144" s="9" t="n">
        <x:v>0.08</x:v>
      </x:c>
      <x:c r="H1144" s="9" t="n">
        <x:v>0.923863</x:v>
      </x:c>
      <x:c r="I1144" s="9" t="n">
        <x:f>'Physical_Arcs'!R4</x:f>
        <x:v>6.083333333333333</x:v>
      </x:c>
      <x:c r="J1144" s="9" t="n">
        <x:f>I1144*'Parameters'!$C$18</x:f>
        <x:v>1.2166666666666668</x:v>
      </x:c>
      <x:c r="K1144" s="9" t="n">
        <x:f>J1144*'Parameters'!$C$19</x:f>
        <x:v>1.5208333333333335</x:v>
      </x:c>
      <x:c r="L1144" s="9" t="n">
        <x:f>I1144*(1-0.40)-J1144</x:f>
        <x:v>2.4333333333333327</x:v>
      </x:c>
      <x:c r="M1144" s="9" t="n">
        <x:f>'Physical_Arcs'!S4</x:f>
        <x:v>6.083333333333333</x:v>
      </x:c>
      <x:c r="N1144" s="9" t="n">
        <x:f>M1144*'Parameters'!$C$18</x:f>
        <x:v>1.2166666666666668</x:v>
      </x:c>
      <x:c r="O1144" s="9" t="n">
        <x:f>N1144*'Parameters'!$C$19</x:f>
        <x:v>1.5208333333333335</x:v>
      </x:c>
      <x:c r="P1144" s="9" t="n">
        <x:f>M1144*(1-0.40)-N1144</x:f>
        <x:v>2.4333333333333327</x:v>
      </x:c>
      <x:c r="Q1144" s="9" t="n">
        <x:f>'Physical_Arcs'!T4</x:f>
        <x:v>3.0555555555555554</x:v>
      </x:c>
      <x:c r="R1144" s="9" t="n">
        <x:f>Q1144*'Parameters'!$C$18</x:f>
        <x:v>0.6111111111111112</x:v>
      </x:c>
      <x:c r="S1144" s="9" t="n">
        <x:f>R1144*'Parameters'!$C$19</x:f>
        <x:v>0.763888888888889</x:v>
      </x:c>
      <x:c r="T1144" s="9" t="n">
        <x:f>Q1144*(1-0.40)-R1144</x:f>
        <x:v>1.2222222222222219</x:v>
      </x:c>
    </x:row>
    <x:row r="1145" ht="21" customHeight="1">
      <x:c r="A1145" s="3" t="n">
        <x:v>19</x:v>
      </x:c>
      <x:c r="B1145" s="3" t="str">
        <x:v>03:10</x:v>
      </x:c>
      <x:c r="C1145" s="3" t="n">
        <x:v>4</x:v>
      </x:c>
      <x:c r="D1145" s="3" t="n">
        <x:v>4</x:v>
      </x:c>
      <x:c r="E1145" s="3" t="n">
        <x:v>1</x:v>
      </x:c>
      <x:c r="F1145" s="3" t="n">
        <x:v>7</x:v>
      </x:c>
      <x:c r="G1145" s="9" t="n">
        <x:v>0.08</x:v>
      </x:c>
      <x:c r="H1145" s="9" t="n">
        <x:v>1.111072</x:v>
      </x:c>
      <x:c r="I1145" s="9" t="n">
        <x:f>'Physical_Arcs'!R5</x:f>
        <x:v>9</x:v>
      </x:c>
      <x:c r="J1145" s="9" t="n">
        <x:f>I1145*'Parameters'!$C$18</x:f>
        <x:v>1.8</x:v>
      </x:c>
      <x:c r="K1145" s="9" t="n">
        <x:f>J1145*'Parameters'!$C$19</x:f>
        <x:v>2.25</x:v>
      </x:c>
      <x:c r="L1145" s="9" t="n">
        <x:f>I1145*(1-0.40)-J1145</x:f>
        <x:v>3.5999999999999996</x:v>
      </x:c>
      <x:c r="M1145" s="9" t="n">
        <x:f>'Physical_Arcs'!S5</x:f>
        <x:v>9</x:v>
      </x:c>
      <x:c r="N1145" s="9" t="n">
        <x:f>M1145*'Parameters'!$C$18</x:f>
        <x:v>1.8</x:v>
      </x:c>
      <x:c r="O1145" s="9" t="n">
        <x:f>N1145*'Parameters'!$C$19</x:f>
        <x:v>2.25</x:v>
      </x:c>
      <x:c r="P1145" s="9" t="n">
        <x:f>M1145*(1-0.40)-N1145</x:f>
        <x:v>3.5999999999999996</x:v>
      </x:c>
      <x:c r="Q1145" s="9" t="n">
        <x:f>'Physical_Arcs'!T5</x:f>
        <x:v>4.5</x:v>
      </x:c>
      <x:c r="R1145" s="9" t="n">
        <x:f>Q1145*'Parameters'!$C$18</x:f>
        <x:v>0.9</x:v>
      </x:c>
      <x:c r="S1145" s="9" t="n">
        <x:f>R1145*'Parameters'!$C$19</x:f>
        <x:v>1.125</x:v>
      </x:c>
      <x:c r="T1145" s="9" t="n">
        <x:f>Q1145*(1-0.40)-R1145</x:f>
        <x:v>1.7999999999999998</x:v>
      </x:c>
    </x:row>
    <x:row r="1146" ht="21" customHeight="1">
      <x:c r="A1146" s="3" t="n">
        <x:v>19</x:v>
      </x:c>
      <x:c r="B1146" s="3" t="str">
        <x:v>03:10</x:v>
      </x:c>
      <x:c r="C1146" s="3" t="n">
        <x:v>4</x:v>
      </x:c>
      <x:c r="D1146" s="3" t="n">
        <x:v>5</x:v>
      </x:c>
      <x:c r="E1146" s="3" t="n">
        <x:v>1</x:v>
      </x:c>
      <x:c r="F1146" s="3" t="n">
        <x:v>4</x:v>
      </x:c>
      <x:c r="G1146" s="9" t="n">
        <x:v>0.08</x:v>
      </x:c>
      <x:c r="H1146" s="9" t="n">
        <x:v>1.001665</x:v>
      </x:c>
      <x:c r="I1146" s="9" t="n">
        <x:f>'Physical_Arcs'!R6</x:f>
        <x:v>4.166666666666667</x:v>
      </x:c>
      <x:c r="J1146" s="9" t="n">
        <x:f>I1146*'Parameters'!$C$18</x:f>
        <x:v>0.8333333333333335</x:v>
      </x:c>
      <x:c r="K1146" s="9" t="n">
        <x:f>J1146*'Parameters'!$C$19</x:f>
        <x:v>1.041666666666667</x:v>
      </x:c>
      <x:c r="L1146" s="9" t="n">
        <x:f>I1146*(1-0.40)-J1146</x:f>
        <x:v>1.6666666666666665</x:v>
      </x:c>
      <x:c r="M1146" s="9" t="n">
        <x:f>'Physical_Arcs'!S6</x:f>
        <x:v>4.166666666666667</x:v>
      </x:c>
      <x:c r="N1146" s="9" t="n">
        <x:f>M1146*'Parameters'!$C$18</x:f>
        <x:v>0.8333333333333335</x:v>
      </x:c>
      <x:c r="O1146" s="9" t="n">
        <x:f>N1146*'Parameters'!$C$19</x:f>
        <x:v>1.041666666666667</x:v>
      </x:c>
      <x:c r="P1146" s="9" t="n">
        <x:f>M1146*(1-0.40)-N1146</x:f>
        <x:v>1.6666666666666665</x:v>
      </x:c>
      <x:c r="Q1146" s="9" t="n">
        <x:f>'Physical_Arcs'!T6</x:f>
        <x:v>2.0833333333333335</x:v>
      </x:c>
      <x:c r="R1146" s="9" t="n">
        <x:f>Q1146*'Parameters'!$C$18</x:f>
        <x:v>0.41666666666666674</x:v>
      </x:c>
      <x:c r="S1146" s="9" t="n">
        <x:f>R1146*'Parameters'!$C$19</x:f>
        <x:v>0.5208333333333335</x:v>
      </x:c>
      <x:c r="T1146" s="9" t="n">
        <x:f>Q1146*(1-0.40)-R1146</x:f>
        <x:v>0.8333333333333333</x:v>
      </x:c>
    </x:row>
    <x:row r="1147" ht="21" customHeight="1">
      <x:c r="A1147" s="3" t="n">
        <x:v>19</x:v>
      </x:c>
      <x:c r="B1147" s="3" t="str">
        <x:v>03:10</x:v>
      </x:c>
      <x:c r="C1147" s="3" t="n">
        <x:v>4</x:v>
      </x:c>
      <x:c r="D1147" s="3" t="n">
        <x:v>6</x:v>
      </x:c>
      <x:c r="E1147" s="3" t="n">
        <x:v>1</x:v>
      </x:c>
      <x:c r="F1147" s="3" t="n">
        <x:v>9</x:v>
      </x:c>
      <x:c r="G1147" s="9" t="n">
        <x:v>0.08</x:v>
      </x:c>
      <x:c r="H1147" s="9" t="n">
        <x:v>0.942884</x:v>
      </x:c>
      <x:c r="I1147" s="9" t="n">
        <x:f>'Physical_Arcs'!R7</x:f>
        <x:v>11.027777777777779</x:v>
      </x:c>
      <x:c r="J1147" s="9" t="n">
        <x:f>I1147*'Parameters'!$C$18</x:f>
        <x:v>2.2055555555555557</x:v>
      </x:c>
      <x:c r="K1147" s="9" t="n">
        <x:f>J1147*'Parameters'!$C$19</x:f>
        <x:v>2.7569444444444446</x:v>
      </x:c>
      <x:c r="L1147" s="9" t="n">
        <x:f>I1147*(1-0.40)-J1147</x:f>
        <x:v>4.411111111111111</x:v>
      </x:c>
      <x:c r="M1147" s="9" t="n">
        <x:f>'Physical_Arcs'!S7</x:f>
        <x:v>11.027777777777779</x:v>
      </x:c>
      <x:c r="N1147" s="9" t="n">
        <x:f>M1147*'Parameters'!$C$18</x:f>
        <x:v>2.2055555555555557</x:v>
      </x:c>
      <x:c r="O1147" s="9" t="n">
        <x:f>N1147*'Parameters'!$C$19</x:f>
        <x:v>2.7569444444444446</x:v>
      </x:c>
      <x:c r="P1147" s="9" t="n">
        <x:f>M1147*(1-0.40)-N1147</x:f>
        <x:v>4.411111111111111</x:v>
      </x:c>
      <x:c r="Q1147" s="9" t="n">
        <x:f>'Physical_Arcs'!T7</x:f>
        <x:v>5.527777777777778</x:v>
      </x:c>
      <x:c r="R1147" s="9" t="n">
        <x:f>Q1147*'Parameters'!$C$18</x:f>
        <x:v>1.1055555555555556</x:v>
      </x:c>
      <x:c r="S1147" s="9" t="n">
        <x:f>R1147*'Parameters'!$C$19</x:f>
        <x:v>1.3819444444444446</x:v>
      </x:c>
      <x:c r="T1147" s="9" t="n">
        <x:f>Q1147*(1-0.40)-R1147</x:f>
        <x:v>2.211111111111111</x:v>
      </x:c>
    </x:row>
    <x:row r="1148" ht="21" customHeight="1">
      <x:c r="A1148" s="3" t="n">
        <x:v>19</x:v>
      </x:c>
      <x:c r="B1148" s="3" t="str">
        <x:v>03:10</x:v>
      </x:c>
      <x:c r="C1148" s="3" t="n">
        <x:v>4</x:v>
      </x:c>
      <x:c r="D1148" s="3" t="n">
        <x:v>7</x:v>
      </x:c>
      <x:c r="E1148" s="3" t="n">
        <x:v>1</x:v>
      </x:c>
      <x:c r="F1148" s="3" t="n">
        <x:v>5</x:v>
      </x:c>
      <x:c r="G1148" s="9" t="n">
        <x:v>0.08</x:v>
      </x:c>
      <x:c r="H1148" s="9" t="n">
        <x:v>1.038222</x:v>
      </x:c>
      <x:c r="I1148" s="9" t="n">
        <x:f>'Physical_Arcs'!R8</x:f>
        <x:v>7.972222222222222</x:v>
      </x:c>
      <x:c r="J1148" s="9" t="n">
        <x:f>I1148*'Parameters'!$C$18</x:f>
        <x:v>1.5944444444444446</x:v>
      </x:c>
      <x:c r="K1148" s="9" t="n">
        <x:f>J1148*'Parameters'!$C$19</x:f>
        <x:v>1.9930555555555558</x:v>
      </x:c>
      <x:c r="L1148" s="9" t="n">
        <x:f>I1148*(1-0.40)-J1148</x:f>
        <x:v>3.1888888888888887</x:v>
      </x:c>
      <x:c r="M1148" s="9" t="n">
        <x:f>'Physical_Arcs'!S8</x:f>
        <x:v>7.972222222222222</x:v>
      </x:c>
      <x:c r="N1148" s="9" t="n">
        <x:f>M1148*'Parameters'!$C$18</x:f>
        <x:v>1.5944444444444446</x:v>
      </x:c>
      <x:c r="O1148" s="9" t="n">
        <x:f>N1148*'Parameters'!$C$19</x:f>
        <x:v>1.9930555555555558</x:v>
      </x:c>
      <x:c r="P1148" s="9" t="n">
        <x:f>M1148*(1-0.40)-N1148</x:f>
        <x:v>3.1888888888888887</x:v>
      </x:c>
      <x:c r="Q1148" s="9" t="n">
        <x:f>'Physical_Arcs'!T8</x:f>
        <x:v>4</x:v>
      </x:c>
      <x:c r="R1148" s="9" t="n">
        <x:f>Q1148*'Parameters'!$C$18</x:f>
        <x:v>0.8</x:v>
      </x:c>
      <x:c r="S1148" s="9" t="n">
        <x:f>R1148*'Parameters'!$C$19</x:f>
        <x:v>1</x:v>
      </x:c>
      <x:c r="T1148" s="9" t="n">
        <x:f>Q1148*(1-0.40)-R1148</x:f>
        <x:v>1.5999999999999999</x:v>
      </x:c>
    </x:row>
    <x:row r="1149" ht="21" customHeight="1">
      <x:c r="A1149" s="3" t="n">
        <x:v>19</x:v>
      </x:c>
      <x:c r="B1149" s="3" t="str">
        <x:v>03:10</x:v>
      </x:c>
      <x:c r="C1149" s="3" t="n">
        <x:v>4</x:v>
      </x:c>
      <x:c r="D1149" s="3" t="n">
        <x:v>8</x:v>
      </x:c>
      <x:c r="E1149" s="3" t="n">
        <x:v>1</x:v>
      </x:c>
      <x:c r="F1149" s="3" t="n">
        <x:v>3</x:v>
      </x:c>
      <x:c r="G1149" s="9" t="n">
        <x:v>0.08</x:v>
      </x:c>
      <x:c r="H1149" s="9" t="n">
        <x:v>1.122297</x:v>
      </x:c>
      <x:c r="I1149" s="9" t="n">
        <x:f>'Physical_Arcs'!R9</x:f>
        <x:v>4.166666666666667</x:v>
      </x:c>
      <x:c r="J1149" s="9" t="n">
        <x:f>I1149*'Parameters'!$C$18</x:f>
        <x:v>0.8333333333333335</x:v>
      </x:c>
      <x:c r="K1149" s="9" t="n">
        <x:f>J1149*'Parameters'!$C$19</x:f>
        <x:v>1.041666666666667</x:v>
      </x:c>
      <x:c r="L1149" s="9" t="n">
        <x:f>I1149*(1-0.40)-J1149</x:f>
        <x:v>1.6666666666666665</x:v>
      </x:c>
      <x:c r="M1149" s="9" t="n">
        <x:f>'Physical_Arcs'!S9</x:f>
        <x:v>4.166666666666667</x:v>
      </x:c>
      <x:c r="N1149" s="9" t="n">
        <x:f>M1149*'Parameters'!$C$18</x:f>
        <x:v>0.8333333333333335</x:v>
      </x:c>
      <x:c r="O1149" s="9" t="n">
        <x:f>N1149*'Parameters'!$C$19</x:f>
        <x:v>1.041666666666667</x:v>
      </x:c>
      <x:c r="P1149" s="9" t="n">
        <x:f>M1149*(1-0.40)-N1149</x:f>
        <x:v>1.6666666666666665</x:v>
      </x:c>
      <x:c r="Q1149" s="9" t="n">
        <x:f>'Physical_Arcs'!T9</x:f>
        <x:v>2.0833333333333335</x:v>
      </x:c>
      <x:c r="R1149" s="9" t="n">
        <x:f>Q1149*'Parameters'!$C$18</x:f>
        <x:v>0.41666666666666674</x:v>
      </x:c>
      <x:c r="S1149" s="9" t="n">
        <x:f>R1149*'Parameters'!$C$19</x:f>
        <x:v>0.5208333333333335</x:v>
      </x:c>
      <x:c r="T1149" s="9" t="n">
        <x:f>Q1149*(1-0.40)-R1149</x:f>
        <x:v>0.8333333333333333</x:v>
      </x:c>
    </x:row>
    <x:row r="1150" ht="21" customHeight="1">
      <x:c r="A1150" s="3" t="n">
        <x:v>19</x:v>
      </x:c>
      <x:c r="B1150" s="3" t="str">
        <x:v>03:10</x:v>
      </x:c>
      <x:c r="C1150" s="3" t="n">
        <x:v>4</x:v>
      </x:c>
      <x:c r="D1150" s="3" t="n">
        <x:v>9</x:v>
      </x:c>
      <x:c r="E1150" s="3" t="n">
        <x:v>1</x:v>
      </x:c>
      <x:c r="F1150" s="3" t="n">
        <x:v>6</x:v>
      </x:c>
      <x:c r="G1150" s="9" t="n">
        <x:v>0.08</x:v>
      </x:c>
      <x:c r="H1150" s="9" t="n">
        <x:v>1.132682</x:v>
      </x:c>
      <x:c r="I1150" s="9" t="n">
        <x:f>'Physical_Arcs'!R10</x:f>
        <x:v>2.138888888888889</x:v>
      </x:c>
      <x:c r="J1150" s="9" t="n">
        <x:f>I1150*'Parameters'!$C$18</x:f>
        <x:v>0.4277777777777778</x:v>
      </x:c>
      <x:c r="K1150" s="9" t="n">
        <x:f>J1150*'Parameters'!$C$19</x:f>
        <x:v>0.5347222222222223</x:v>
      </x:c>
      <x:c r="L1150" s="9" t="n">
        <x:f>I1150*(1-0.40)-J1150</x:f>
        <x:v>0.8555555555555554</x:v>
      </x:c>
      <x:c r="M1150" s="9" t="n">
        <x:f>'Physical_Arcs'!S10</x:f>
        <x:v>2.138888888888889</x:v>
      </x:c>
      <x:c r="N1150" s="9" t="n">
        <x:f>M1150*'Parameters'!$C$18</x:f>
        <x:v>0.4277777777777778</x:v>
      </x:c>
      <x:c r="O1150" s="9" t="n">
        <x:f>N1150*'Parameters'!$C$19</x:f>
        <x:v>0.5347222222222223</x:v>
      </x:c>
      <x:c r="P1150" s="9" t="n">
        <x:f>M1150*(1-0.40)-N1150</x:f>
        <x:v>0.8555555555555554</x:v>
      </x:c>
      <x:c r="Q1150" s="9" t="n">
        <x:f>'Physical_Arcs'!T10</x:f>
        <x:v>1.0833333333333333</x:v>
      </x:c>
      <x:c r="R1150" s="9" t="n">
        <x:f>Q1150*'Parameters'!$C$18</x:f>
        <x:v>0.21666666666666667</x:v>
      </x:c>
      <x:c r="S1150" s="9" t="n">
        <x:f>R1150*'Parameters'!$C$19</x:f>
        <x:v>0.27083333333333337</x:v>
      </x:c>
      <x:c r="T1150" s="9" t="n">
        <x:f>Q1150*(1-0.40)-R1150</x:f>
        <x:v>0.43333333333333324</x:v>
      </x:c>
    </x:row>
    <x:row r="1151" ht="21" customHeight="1">
      <x:c r="A1151" s="3" t="n">
        <x:v>19</x:v>
      </x:c>
      <x:c r="B1151" s="3" t="str">
        <x:v>03:10</x:v>
      </x:c>
      <x:c r="C1151" s="3" t="n">
        <x:v>4</x:v>
      </x:c>
      <x:c r="D1151" s="3" t="n">
        <x:v>10</x:v>
      </x:c>
      <x:c r="E1151" s="3" t="n">
        <x:v>2</x:v>
      </x:c>
      <x:c r="F1151" s="3" t="n">
        <x:v>3</x:v>
      </x:c>
      <x:c r="G1151" s="9" t="n">
        <x:v>0.08</x:v>
      </x:c>
      <x:c r="H1151" s="9" t="n">
        <x:v>0.871154</x:v>
      </x:c>
      <x:c r="I1151" s="9" t="n">
        <x:f>'Physical_Arcs'!R11</x:f>
        <x:v>17.02777777777778</x:v>
      </x:c>
      <x:c r="J1151" s="9" t="n">
        <x:f>I1151*'Parameters'!$C$18</x:f>
        <x:v>3.405555555555556</x:v>
      </x:c>
      <x:c r="K1151" s="9" t="n">
        <x:f>J1151*'Parameters'!$C$19</x:f>
        <x:v>4.256944444444445</x:v>
      </x:c>
      <x:c r="L1151" s="9" t="n">
        <x:f>I1151*(1-0.40)-J1151</x:f>
        <x:v>6.811111111111111</x:v>
      </x:c>
      <x:c r="M1151" s="9" t="n">
        <x:f>'Physical_Arcs'!S11</x:f>
        <x:v>17.02777777777778</x:v>
      </x:c>
      <x:c r="N1151" s="9" t="n">
        <x:f>M1151*'Parameters'!$C$18</x:f>
        <x:v>3.405555555555556</x:v>
      </x:c>
      <x:c r="O1151" s="9" t="n">
        <x:f>N1151*'Parameters'!$C$19</x:f>
        <x:v>4.256944444444445</x:v>
      </x:c>
      <x:c r="P1151" s="9" t="n">
        <x:f>M1151*(1-0.40)-N1151</x:f>
        <x:v>6.811111111111111</x:v>
      </x:c>
      <x:c r="Q1151" s="9" t="n">
        <x:f>'Physical_Arcs'!T11</x:f>
        <x:v>17.02777777777778</x:v>
      </x:c>
      <x:c r="R1151" s="9" t="n">
        <x:f>Q1151*'Parameters'!$C$18</x:f>
        <x:v>3.405555555555556</x:v>
      </x:c>
      <x:c r="S1151" s="9" t="n">
        <x:f>R1151*'Parameters'!$C$19</x:f>
        <x:v>4.256944444444445</x:v>
      </x:c>
      <x:c r="T1151" s="9" t="n">
        <x:f>Q1151*(1-0.40)-R1151</x:f>
        <x:v>6.811111111111111</x:v>
      </x:c>
    </x:row>
    <x:row r="1152" ht="21" customHeight="1">
      <x:c r="A1152" s="3" t="n">
        <x:v>19</x:v>
      </x:c>
      <x:c r="B1152" s="3" t="str">
        <x:v>03:10</x:v>
      </x:c>
      <x:c r="C1152" s="3" t="n">
        <x:v>4</x:v>
      </x:c>
      <x:c r="D1152" s="3" t="n">
        <x:v>11</x:v>
      </x:c>
      <x:c r="E1152" s="3" t="n">
        <x:v>2</x:v>
      </x:c>
      <x:c r="F1152" s="3" t="n">
        <x:v>4</x:v>
      </x:c>
      <x:c r="G1152" s="9" t="n">
        <x:v>0.08</x:v>
      </x:c>
      <x:c r="H1152" s="9" t="n">
        <x:v>1.147412</x:v>
      </x:c>
      <x:c r="I1152" s="9" t="n">
        <x:f>'Physical_Arcs'!R12</x:f>
        <x:v>7.972222222222222</x:v>
      </x:c>
      <x:c r="J1152" s="9" t="n">
        <x:f>I1152*'Parameters'!$C$18</x:f>
        <x:v>1.5944444444444446</x:v>
      </x:c>
      <x:c r="K1152" s="9" t="n">
        <x:f>J1152*'Parameters'!$C$19</x:f>
        <x:v>1.9930555555555558</x:v>
      </x:c>
      <x:c r="L1152" s="9" t="n">
        <x:f>I1152*(1-0.40)-J1152</x:f>
        <x:v>3.1888888888888887</x:v>
      </x:c>
      <x:c r="M1152" s="9" t="n">
        <x:f>'Physical_Arcs'!S12</x:f>
        <x:v>7.972222222222222</x:v>
      </x:c>
      <x:c r="N1152" s="9" t="n">
        <x:f>M1152*'Parameters'!$C$18</x:f>
        <x:v>1.5944444444444446</x:v>
      </x:c>
      <x:c r="O1152" s="9" t="n">
        <x:f>N1152*'Parameters'!$C$19</x:f>
        <x:v>1.9930555555555558</x:v>
      </x:c>
      <x:c r="P1152" s="9" t="n">
        <x:f>M1152*(1-0.40)-N1152</x:f>
        <x:v>3.1888888888888887</x:v>
      </x:c>
      <x:c r="Q1152" s="9" t="n">
        <x:f>'Physical_Arcs'!T12</x:f>
        <x:v>4</x:v>
      </x:c>
      <x:c r="R1152" s="9" t="n">
        <x:f>Q1152*'Parameters'!$C$18</x:f>
        <x:v>0.8</x:v>
      </x:c>
      <x:c r="S1152" s="9" t="n">
        <x:f>R1152*'Parameters'!$C$19</x:f>
        <x:v>1</x:v>
      </x:c>
      <x:c r="T1152" s="9" t="n">
        <x:f>Q1152*(1-0.40)-R1152</x:f>
        <x:v>1.5999999999999999</x:v>
      </x:c>
    </x:row>
    <x:row r="1153" ht="21" customHeight="1">
      <x:c r="A1153" s="3" t="n">
        <x:v>19</x:v>
      </x:c>
      <x:c r="B1153" s="3" t="str">
        <x:v>03:10</x:v>
      </x:c>
      <x:c r="C1153" s="3" t="n">
        <x:v>4</x:v>
      </x:c>
      <x:c r="D1153" s="3" t="n">
        <x:v>12</x:v>
      </x:c>
      <x:c r="E1153" s="3" t="n">
        <x:v>2</x:v>
      </x:c>
      <x:c r="F1153" s="3" t="n">
        <x:v>7</x:v>
      </x:c>
      <x:c r="G1153" s="9" t="n">
        <x:v>0.08</x:v>
      </x:c>
      <x:c r="H1153" s="9" t="n">
        <x:v>0.96729</x:v>
      </x:c>
      <x:c r="I1153" s="9" t="n">
        <x:f>'Physical_Arcs'!R13</x:f>
        <x:v>4.611111111111111</x:v>
      </x:c>
      <x:c r="J1153" s="9" t="n">
        <x:f>I1153*'Parameters'!$C$18</x:f>
        <x:v>0.9222222222222222</x:v>
      </x:c>
      <x:c r="K1153" s="9" t="n">
        <x:f>J1153*'Parameters'!$C$19</x:f>
        <x:v>1.1527777777777777</x:v>
      </x:c>
      <x:c r="L1153" s="9" t="n">
        <x:f>I1153*(1-0.40)-J1153</x:f>
        <x:v>1.844444444444444</x:v>
      </x:c>
      <x:c r="M1153" s="9" t="n">
        <x:f>'Physical_Arcs'!S13</x:f>
        <x:v>4.611111111111111</x:v>
      </x:c>
      <x:c r="N1153" s="9" t="n">
        <x:f>M1153*'Parameters'!$C$18</x:f>
        <x:v>0.9222222222222222</x:v>
      </x:c>
      <x:c r="O1153" s="9" t="n">
        <x:f>N1153*'Parameters'!$C$19</x:f>
        <x:v>1.1527777777777777</x:v>
      </x:c>
      <x:c r="P1153" s="9" t="n">
        <x:f>M1153*(1-0.40)-N1153</x:f>
        <x:v>1.844444444444444</x:v>
      </x:c>
      <x:c r="Q1153" s="9" t="n">
        <x:f>'Physical_Arcs'!T13</x:f>
        <x:v>2.3055555555555554</x:v>
      </x:c>
      <x:c r="R1153" s="9" t="n">
        <x:f>Q1153*'Parameters'!$C$18</x:f>
        <x:v>0.4611111111111111</x:v>
      </x:c>
      <x:c r="S1153" s="9" t="n">
        <x:f>R1153*'Parameters'!$C$19</x:f>
        <x:v>0.5763888888888888</x:v>
      </x:c>
      <x:c r="T1153" s="9" t="n">
        <x:f>Q1153*(1-0.40)-R1153</x:f>
        <x:v>0.922222222222222</x:v>
      </x:c>
    </x:row>
    <x:row r="1154" ht="21" customHeight="1">
      <x:c r="A1154" s="3" t="n">
        <x:v>19</x:v>
      </x:c>
      <x:c r="B1154" s="3" t="str">
        <x:v>03:10</x:v>
      </x:c>
      <x:c r="C1154" s="3" t="n">
        <x:v>4</x:v>
      </x:c>
      <x:c r="D1154" s="3" t="n">
        <x:v>13</x:v>
      </x:c>
      <x:c r="E1154" s="3" t="n">
        <x:v>2</x:v>
      </x:c>
      <x:c r="F1154" s="3" t="n">
        <x:v>9</x:v>
      </x:c>
      <x:c r="G1154" s="9" t="n">
        <x:v>0.08</x:v>
      </x:c>
      <x:c r="H1154" s="9" t="n">
        <x:v>1.117625</x:v>
      </x:c>
      <x:c r="I1154" s="9" t="n">
        <x:f>'Physical_Arcs'!R14</x:f>
        <x:v>8.666666666666666</x:v>
      </x:c>
      <x:c r="J1154" s="9" t="n">
        <x:f>I1154*'Parameters'!$C$18</x:f>
        <x:v>1.7333333333333334</x:v>
      </x:c>
      <x:c r="K1154" s="9" t="n">
        <x:f>J1154*'Parameters'!$C$19</x:f>
        <x:v>2.166666666666667</x:v>
      </x:c>
      <x:c r="L1154" s="9" t="n">
        <x:f>I1154*(1-0.40)-J1154</x:f>
        <x:v>3.466666666666666</x:v>
      </x:c>
      <x:c r="M1154" s="9" t="n">
        <x:f>'Physical_Arcs'!S14</x:f>
        <x:v>8.666666666666666</x:v>
      </x:c>
      <x:c r="N1154" s="9" t="n">
        <x:f>M1154*'Parameters'!$C$18</x:f>
        <x:v>1.7333333333333334</x:v>
      </x:c>
      <x:c r="O1154" s="9" t="n">
        <x:f>N1154*'Parameters'!$C$19</x:f>
        <x:v>2.166666666666667</x:v>
      </x:c>
      <x:c r="P1154" s="9" t="n">
        <x:f>M1154*(1-0.40)-N1154</x:f>
        <x:v>3.466666666666666</x:v>
      </x:c>
      <x:c r="Q1154" s="9" t="n">
        <x:f>'Physical_Arcs'!T14</x:f>
        <x:v>4.333333333333333</x:v>
      </x:c>
      <x:c r="R1154" s="9" t="n">
        <x:f>Q1154*'Parameters'!$C$18</x:f>
        <x:v>0.8666666666666667</x:v>
      </x:c>
      <x:c r="S1154" s="9" t="n">
        <x:f>R1154*'Parameters'!$C$19</x:f>
        <x:v>1.0833333333333335</x:v>
      </x:c>
      <x:c r="T1154" s="9" t="n">
        <x:f>Q1154*(1-0.40)-R1154</x:f>
        <x:v>1.733333333333333</x:v>
      </x:c>
    </x:row>
    <x:row r="1155" ht="21" customHeight="1">
      <x:c r="A1155" s="3" t="n">
        <x:v>19</x:v>
      </x:c>
      <x:c r="B1155" s="3" t="str">
        <x:v>03:10</x:v>
      </x:c>
      <x:c r="C1155" s="3" t="n">
        <x:v>4</x:v>
      </x:c>
      <x:c r="D1155" s="3" t="n">
        <x:v>14</x:v>
      </x:c>
      <x:c r="E1155" s="3" t="n">
        <x:v>2</x:v>
      </x:c>
      <x:c r="F1155" s="3" t="n">
        <x:v>8</x:v>
      </x:c>
      <x:c r="G1155" s="9" t="n">
        <x:v>0.08</x:v>
      </x:c>
      <x:c r="H1155" s="9" t="n">
        <x:v>1.144902</x:v>
      </x:c>
      <x:c r="I1155" s="9" t="n">
        <x:f>'Physical_Arcs'!R15</x:f>
        <x:v>7.75</x:v>
      </x:c>
      <x:c r="J1155" s="9" t="n">
        <x:f>I1155*'Parameters'!$C$18</x:f>
        <x:v>1.55</x:v>
      </x:c>
      <x:c r="K1155" s="9" t="n">
        <x:f>J1155*'Parameters'!$C$19</x:f>
        <x:v>1.9375</x:v>
      </x:c>
      <x:c r="L1155" s="9" t="n">
        <x:f>I1155*(1-0.40)-J1155</x:f>
        <x:v>3.0999999999999996</x:v>
      </x:c>
      <x:c r="M1155" s="9" t="n">
        <x:f>'Physical_Arcs'!S15</x:f>
        <x:v>7.75</x:v>
      </x:c>
      <x:c r="N1155" s="9" t="n">
        <x:f>M1155*'Parameters'!$C$18</x:f>
        <x:v>1.55</x:v>
      </x:c>
      <x:c r="O1155" s="9" t="n">
        <x:f>N1155*'Parameters'!$C$19</x:f>
        <x:v>1.9375</x:v>
      </x:c>
      <x:c r="P1155" s="9" t="n">
        <x:f>M1155*(1-0.40)-N1155</x:f>
        <x:v>3.0999999999999996</x:v>
      </x:c>
      <x:c r="Q1155" s="9" t="n">
        <x:f>'Physical_Arcs'!T15</x:f>
        <x:v>3.888888888888889</x:v>
      </x:c>
      <x:c r="R1155" s="9" t="n">
        <x:f>Q1155*'Parameters'!$C$18</x:f>
        <x:v>0.7777777777777778</x:v>
      </x:c>
      <x:c r="S1155" s="9" t="n">
        <x:f>R1155*'Parameters'!$C$19</x:f>
        <x:v>0.9722222222222222</x:v>
      </x:c>
      <x:c r="T1155" s="9" t="n">
        <x:f>Q1155*(1-0.40)-R1155</x:f>
        <x:v>1.5555555555555554</x:v>
      </x:c>
    </x:row>
    <x:row r="1156" ht="21" customHeight="1">
      <x:c r="A1156" s="3" t="n">
        <x:v>19</x:v>
      </x:c>
      <x:c r="B1156" s="3" t="str">
        <x:v>03:10</x:v>
      </x:c>
      <x:c r="C1156" s="3" t="n">
        <x:v>4</x:v>
      </x:c>
      <x:c r="D1156" s="3" t="n">
        <x:v>15</x:v>
      </x:c>
      <x:c r="E1156" s="3" t="n">
        <x:v>2</x:v>
      </x:c>
      <x:c r="F1156" s="3" t="n">
        <x:v>10</x:v>
      </x:c>
      <x:c r="G1156" s="9" t="n">
        <x:v>0.08</x:v>
      </x:c>
      <x:c r="H1156" s="9" t="n">
        <x:v>1.146684</x:v>
      </x:c>
      <x:c r="I1156" s="9" t="n">
        <x:f>'Physical_Arcs'!R16</x:f>
        <x:v>7.416666666666667</x:v>
      </x:c>
      <x:c r="J1156" s="9" t="n">
        <x:f>I1156*'Parameters'!$C$18</x:f>
        <x:v>1.4833333333333334</x:v>
      </x:c>
      <x:c r="K1156" s="9" t="n">
        <x:f>J1156*'Parameters'!$C$19</x:f>
        <x:v>1.8541666666666667</x:v>
      </x:c>
      <x:c r="L1156" s="9" t="n">
        <x:f>I1156*(1-0.40)-J1156</x:f>
        <x:v>2.966666666666667</x:v>
      </x:c>
      <x:c r="M1156" s="9" t="n">
        <x:f>'Physical_Arcs'!S16</x:f>
        <x:v>7.416666666666667</x:v>
      </x:c>
      <x:c r="N1156" s="9" t="n">
        <x:f>M1156*'Parameters'!$C$18</x:f>
        <x:v>1.4833333333333334</x:v>
      </x:c>
      <x:c r="O1156" s="9" t="n">
        <x:f>N1156*'Parameters'!$C$19</x:f>
        <x:v>1.8541666666666667</x:v>
      </x:c>
      <x:c r="P1156" s="9" t="n">
        <x:f>M1156*(1-0.40)-N1156</x:f>
        <x:v>2.966666666666667</x:v>
      </x:c>
      <x:c r="Q1156" s="9" t="n">
        <x:f>'Physical_Arcs'!T16</x:f>
        <x:v>3.7222222222222223</x:v>
      </x:c>
      <x:c r="R1156" s="9" t="n">
        <x:f>Q1156*'Parameters'!$C$18</x:f>
        <x:v>0.7444444444444445</x:v>
      </x:c>
      <x:c r="S1156" s="9" t="n">
        <x:f>R1156*'Parameters'!$C$19</x:f>
        <x:v>0.9305555555555556</x:v>
      </x:c>
      <x:c r="T1156" s="9" t="n">
        <x:f>Q1156*(1-0.40)-R1156</x:f>
        <x:v>1.488888888888889</x:v>
      </x:c>
    </x:row>
    <x:row r="1157" ht="21" customHeight="1">
      <x:c r="A1157" s="3" t="n">
        <x:v>19</x:v>
      </x:c>
      <x:c r="B1157" s="3" t="str">
        <x:v>03:10</x:v>
      </x:c>
      <x:c r="C1157" s="3" t="n">
        <x:v>4</x:v>
      </x:c>
      <x:c r="D1157" s="3" t="n">
        <x:v>16</x:v>
      </x:c>
      <x:c r="E1157" s="3" t="n">
        <x:v>3</x:v>
      </x:c>
      <x:c r="F1157" s="3" t="n">
        <x:v>4</x:v>
      </x:c>
      <x:c r="G1157" s="9" t="n">
        <x:v>0.08</x:v>
      </x:c>
      <x:c r="H1157" s="9" t="n">
        <x:v>1.017658</x:v>
      </x:c>
      <x:c r="I1157" s="9" t="n">
        <x:f>'Physical_Arcs'!R17</x:f>
        <x:v>17.02777777777778</x:v>
      </x:c>
      <x:c r="J1157" s="9" t="n">
        <x:f>I1157*'Parameters'!$C$18</x:f>
        <x:v>3.405555555555556</x:v>
      </x:c>
      <x:c r="K1157" s="9" t="n">
        <x:f>J1157*'Parameters'!$C$19</x:f>
        <x:v>4.256944444444445</x:v>
      </x:c>
      <x:c r="L1157" s="9" t="n">
        <x:f>I1157*(1-0.40)-J1157</x:f>
        <x:v>6.811111111111111</x:v>
      </x:c>
      <x:c r="M1157" s="9" t="n">
        <x:f>'Physical_Arcs'!S17</x:f>
        <x:v>17.02777777777778</x:v>
      </x:c>
      <x:c r="N1157" s="9" t="n">
        <x:f>M1157*'Parameters'!$C$18</x:f>
        <x:v>3.405555555555556</x:v>
      </x:c>
      <x:c r="O1157" s="9" t="n">
        <x:f>N1157*'Parameters'!$C$19</x:f>
        <x:v>4.256944444444445</x:v>
      </x:c>
      <x:c r="P1157" s="9" t="n">
        <x:f>M1157*(1-0.40)-N1157</x:f>
        <x:v>6.811111111111111</x:v>
      </x:c>
      <x:c r="Q1157" s="9" t="n">
        <x:f>'Physical_Arcs'!T17</x:f>
        <x:v>17.02777777777778</x:v>
      </x:c>
      <x:c r="R1157" s="9" t="n">
        <x:f>Q1157*'Parameters'!$C$18</x:f>
        <x:v>3.405555555555556</x:v>
      </x:c>
      <x:c r="S1157" s="9" t="n">
        <x:f>R1157*'Parameters'!$C$19</x:f>
        <x:v>4.256944444444445</x:v>
      </x:c>
      <x:c r="T1157" s="9" t="n">
        <x:f>Q1157*(1-0.40)-R1157</x:f>
        <x:v>6.811111111111111</x:v>
      </x:c>
    </x:row>
    <x:row r="1158" ht="21" customHeight="1">
      <x:c r="A1158" s="3" t="n">
        <x:v>19</x:v>
      </x:c>
      <x:c r="B1158" s="3" t="str">
        <x:v>03:10</x:v>
      </x:c>
      <x:c r="C1158" s="3" t="n">
        <x:v>4</x:v>
      </x:c>
      <x:c r="D1158" s="3" t="n">
        <x:v>17</x:v>
      </x:c>
      <x:c r="E1158" s="3" t="n">
        <x:v>3</x:v>
      </x:c>
      <x:c r="F1158" s="3" t="n">
        <x:v>2</x:v>
      </x:c>
      <x:c r="G1158" s="9" t="n">
        <x:v>0.08</x:v>
      </x:c>
      <x:c r="H1158" s="9" t="n">
        <x:v>0.875995</x:v>
      </x:c>
      <x:c r="I1158" s="9" t="n">
        <x:f>'Physical_Arcs'!R18</x:f>
        <x:v>10.666666666666666</x:v>
      </x:c>
      <x:c r="J1158" s="9" t="n">
        <x:f>I1158*'Parameters'!$C$18</x:f>
        <x:v>2.1333333333333333</x:v>
      </x:c>
      <x:c r="K1158" s="9" t="n">
        <x:f>J1158*'Parameters'!$C$19</x:f>
        <x:v>2.6666666666666665</x:v>
      </x:c>
      <x:c r="L1158" s="9" t="n">
        <x:f>I1158*(1-0.40)-J1158</x:f>
        <x:v>4.266666666666666</x:v>
      </x:c>
      <x:c r="M1158" s="9" t="n">
        <x:f>'Physical_Arcs'!S18</x:f>
        <x:v>10.666666666666666</x:v>
      </x:c>
      <x:c r="N1158" s="9" t="n">
        <x:f>M1158*'Parameters'!$C$18</x:f>
        <x:v>2.1333333333333333</x:v>
      </x:c>
      <x:c r="O1158" s="9" t="n">
        <x:f>N1158*'Parameters'!$C$19</x:f>
        <x:v>2.6666666666666665</x:v>
      </x:c>
      <x:c r="P1158" s="9" t="n">
        <x:f>M1158*(1-0.40)-N1158</x:f>
        <x:v>4.266666666666666</x:v>
      </x:c>
      <x:c r="Q1158" s="9" t="n">
        <x:f>'Physical_Arcs'!T18</x:f>
        <x:v>5.333333333333333</x:v>
      </x:c>
      <x:c r="R1158" s="9" t="n">
        <x:f>Q1158*'Parameters'!$C$18</x:f>
        <x:v>1.0666666666666667</x:v>
      </x:c>
      <x:c r="S1158" s="9" t="n">
        <x:f>R1158*'Parameters'!$C$19</x:f>
        <x:v>1.3333333333333333</x:v>
      </x:c>
      <x:c r="T1158" s="9" t="n">
        <x:f>Q1158*(1-0.40)-R1158</x:f>
        <x:v>2.133333333333333</x:v>
      </x:c>
    </x:row>
    <x:row r="1159" ht="21" customHeight="1">
      <x:c r="A1159" s="3" t="n">
        <x:v>19</x:v>
      </x:c>
      <x:c r="B1159" s="3" t="str">
        <x:v>03:10</x:v>
      </x:c>
      <x:c r="C1159" s="3" t="n">
        <x:v>4</x:v>
      </x:c>
      <x:c r="D1159" s="3" t="n">
        <x:v>18</x:v>
      </x:c>
      <x:c r="E1159" s="3" t="n">
        <x:v>3</x:v>
      </x:c>
      <x:c r="F1159" s="3" t="n">
        <x:v>1</x:v>
      </x:c>
      <x:c r="G1159" s="9" t="n">
        <x:v>0.08</x:v>
      </x:c>
      <x:c r="H1159" s="9" t="n">
        <x:v>1.015397</x:v>
      </x:c>
      <x:c r="I1159" s="9" t="n">
        <x:f>'Physical_Arcs'!R19</x:f>
        <x:v>5.166666666666667</x:v>
      </x:c>
      <x:c r="J1159" s="9" t="n">
        <x:f>I1159*'Parameters'!$C$18</x:f>
        <x:v>1.0333333333333334</x:v>
      </x:c>
      <x:c r="K1159" s="9" t="n">
        <x:f>J1159*'Parameters'!$C$19</x:f>
        <x:v>1.2916666666666667</x:v>
      </x:c>
      <x:c r="L1159" s="9" t="n">
        <x:f>I1159*(1-0.40)-J1159</x:f>
        <x:v>2.0666666666666664</x:v>
      </x:c>
      <x:c r="M1159" s="9" t="n">
        <x:f>'Physical_Arcs'!S19</x:f>
        <x:v>5.166666666666667</x:v>
      </x:c>
      <x:c r="N1159" s="9" t="n">
        <x:f>M1159*'Parameters'!$C$18</x:f>
        <x:v>1.0333333333333334</x:v>
      </x:c>
      <x:c r="O1159" s="9" t="n">
        <x:f>N1159*'Parameters'!$C$19</x:f>
        <x:v>1.2916666666666667</x:v>
      </x:c>
      <x:c r="P1159" s="9" t="n">
        <x:f>M1159*(1-0.40)-N1159</x:f>
        <x:v>2.0666666666666664</x:v>
      </x:c>
      <x:c r="Q1159" s="9" t="n">
        <x:f>'Physical_Arcs'!T19</x:f>
        <x:v>2.5833333333333335</x:v>
      </x:c>
      <x:c r="R1159" s="9" t="n">
        <x:f>Q1159*'Parameters'!$C$18</x:f>
        <x:v>0.5166666666666667</x:v>
      </x:c>
      <x:c r="S1159" s="9" t="n">
        <x:f>R1159*'Parameters'!$C$19</x:f>
        <x:v>0.6458333333333334</x:v>
      </x:c>
      <x:c r="T1159" s="9" t="n">
        <x:f>Q1159*(1-0.40)-R1159</x:f>
        <x:v>1.0333333333333332</x:v>
      </x:c>
    </x:row>
    <x:row r="1160" ht="21" customHeight="1">
      <x:c r="A1160" s="3" t="n">
        <x:v>19</x:v>
      </x:c>
      <x:c r="B1160" s="3" t="str">
        <x:v>03:10</x:v>
      </x:c>
      <x:c r="C1160" s="3" t="n">
        <x:v>4</x:v>
      </x:c>
      <x:c r="D1160" s="3" t="n">
        <x:v>19</x:v>
      </x:c>
      <x:c r="E1160" s="3" t="n">
        <x:v>3</x:v>
      </x:c>
      <x:c r="F1160" s="3" t="n">
        <x:v>7</x:v>
      </x:c>
      <x:c r="G1160" s="9" t="n">
        <x:v>0.08</x:v>
      </x:c>
      <x:c r="H1160" s="9" t="n">
        <x:v>0.996008</x:v>
      </x:c>
      <x:c r="I1160" s="9" t="n">
        <x:f>'Physical_Arcs'!R20</x:f>
        <x:v>5.75</x:v>
      </x:c>
      <x:c r="J1160" s="9" t="n">
        <x:f>I1160*'Parameters'!$C$18</x:f>
        <x:v>1.1500000000000001</x:v>
      </x:c>
      <x:c r="K1160" s="9" t="n">
        <x:f>J1160*'Parameters'!$C$19</x:f>
        <x:v>1.4375000000000002</x:v>
      </x:c>
      <x:c r="L1160" s="9" t="n">
        <x:f>I1160*(1-0.40)-J1160</x:f>
        <x:v>2.3</x:v>
      </x:c>
      <x:c r="M1160" s="9" t="n">
        <x:f>'Physical_Arcs'!S20</x:f>
        <x:v>5.75</x:v>
      </x:c>
      <x:c r="N1160" s="9" t="n">
        <x:f>M1160*'Parameters'!$C$18</x:f>
        <x:v>1.1500000000000001</x:v>
      </x:c>
      <x:c r="O1160" s="9" t="n">
        <x:f>N1160*'Parameters'!$C$19</x:f>
        <x:v>1.4375000000000002</x:v>
      </x:c>
      <x:c r="P1160" s="9" t="n">
        <x:f>M1160*(1-0.40)-N1160</x:f>
        <x:v>2.3</x:v>
      </x:c>
      <x:c r="Q1160" s="9" t="n">
        <x:f>'Physical_Arcs'!T20</x:f>
        <x:v>2.888888888888889</x:v>
      </x:c>
      <x:c r="R1160" s="9" t="n">
        <x:f>Q1160*'Parameters'!$C$18</x:f>
        <x:v>0.5777777777777778</x:v>
      </x:c>
      <x:c r="S1160" s="9" t="n">
        <x:f>R1160*'Parameters'!$C$19</x:f>
        <x:v>0.7222222222222223</x:v>
      </x:c>
      <x:c r="T1160" s="9" t="n">
        <x:f>Q1160*(1-0.40)-R1160</x:f>
        <x:v>1.1555555555555554</x:v>
      </x:c>
    </x:row>
    <x:row r="1161" ht="21" customHeight="1">
      <x:c r="A1161" s="3" t="n">
        <x:v>19</x:v>
      </x:c>
      <x:c r="B1161" s="3" t="str">
        <x:v>03:10</x:v>
      </x:c>
      <x:c r="C1161" s="3" t="n">
        <x:v>4</x:v>
      </x:c>
      <x:c r="D1161" s="3" t="n">
        <x:v>20</x:v>
      </x:c>
      <x:c r="E1161" s="3" t="n">
        <x:v>3</x:v>
      </x:c>
      <x:c r="F1161" s="3" t="n">
        <x:v>10</x:v>
      </x:c>
      <x:c r="G1161" s="9" t="n">
        <x:v>0.08</x:v>
      </x:c>
      <x:c r="H1161" s="9" t="n">
        <x:v>1.118855</x:v>
      </x:c>
      <x:c r="I1161" s="9" t="n">
        <x:f>'Physical_Arcs'!R21</x:f>
        <x:v>5.166666666666667</x:v>
      </x:c>
      <x:c r="J1161" s="9" t="n">
        <x:f>I1161*'Parameters'!$C$18</x:f>
        <x:v>1.0333333333333334</x:v>
      </x:c>
      <x:c r="K1161" s="9" t="n">
        <x:f>J1161*'Parameters'!$C$19</x:f>
        <x:v>1.2916666666666667</x:v>
      </x:c>
      <x:c r="L1161" s="9" t="n">
        <x:f>I1161*(1-0.40)-J1161</x:f>
        <x:v>2.0666666666666664</x:v>
      </x:c>
      <x:c r="M1161" s="9" t="n">
        <x:f>'Physical_Arcs'!S21</x:f>
        <x:v>5.166666666666667</x:v>
      </x:c>
      <x:c r="N1161" s="9" t="n">
        <x:f>M1161*'Parameters'!$C$18</x:f>
        <x:v>1.0333333333333334</x:v>
      </x:c>
      <x:c r="O1161" s="9" t="n">
        <x:f>N1161*'Parameters'!$C$19</x:f>
        <x:v>1.2916666666666667</x:v>
      </x:c>
      <x:c r="P1161" s="9" t="n">
        <x:f>M1161*(1-0.40)-N1161</x:f>
        <x:v>2.0666666666666664</x:v>
      </x:c>
      <x:c r="Q1161" s="9" t="n">
        <x:f>'Physical_Arcs'!T21</x:f>
        <x:v>2.5833333333333335</x:v>
      </x:c>
      <x:c r="R1161" s="9" t="n">
        <x:f>Q1161*'Parameters'!$C$18</x:f>
        <x:v>0.5166666666666667</x:v>
      </x:c>
      <x:c r="S1161" s="9" t="n">
        <x:f>R1161*'Parameters'!$C$19</x:f>
        <x:v>0.6458333333333334</x:v>
      </x:c>
      <x:c r="T1161" s="9" t="n">
        <x:f>Q1161*(1-0.40)-R1161</x:f>
        <x:v>1.0333333333333332</x:v>
      </x:c>
    </x:row>
    <x:row r="1162" ht="21" customHeight="1">
      <x:c r="A1162" s="3" t="n">
        <x:v>19</x:v>
      </x:c>
      <x:c r="B1162" s="3" t="str">
        <x:v>03:10</x:v>
      </x:c>
      <x:c r="C1162" s="3" t="n">
        <x:v>4</x:v>
      </x:c>
      <x:c r="D1162" s="3" t="n">
        <x:v>21</x:v>
      </x:c>
      <x:c r="E1162" s="3" t="n">
        <x:v>3</x:v>
      </x:c>
      <x:c r="F1162" s="3" t="n">
        <x:v>9</x:v>
      </x:c>
      <x:c r="G1162" s="9" t="n">
        <x:v>0.08</x:v>
      </x:c>
      <x:c r="H1162" s="9" t="n">
        <x:v>0.947299</x:v>
      </x:c>
      <x:c r="I1162" s="9" t="n">
        <x:f>'Physical_Arcs'!R22</x:f>
        <x:v>9.333333333333334</x:v>
      </x:c>
      <x:c r="J1162" s="9" t="n">
        <x:f>I1162*'Parameters'!$C$18</x:f>
        <x:v>1.866666666666667</x:v>
      </x:c>
      <x:c r="K1162" s="9" t="n">
        <x:f>J1162*'Parameters'!$C$19</x:f>
        <x:v>2.3333333333333335</x:v>
      </x:c>
      <x:c r="L1162" s="9" t="n">
        <x:f>I1162*(1-0.40)-J1162</x:f>
        <x:v>3.7333333333333334</x:v>
      </x:c>
      <x:c r="M1162" s="9" t="n">
        <x:f>'Physical_Arcs'!S22</x:f>
        <x:v>9.333333333333334</x:v>
      </x:c>
      <x:c r="N1162" s="9" t="n">
        <x:f>M1162*'Parameters'!$C$18</x:f>
        <x:v>1.866666666666667</x:v>
      </x:c>
      <x:c r="O1162" s="9" t="n">
        <x:f>N1162*'Parameters'!$C$19</x:f>
        <x:v>2.3333333333333335</x:v>
      </x:c>
      <x:c r="P1162" s="9" t="n">
        <x:f>M1162*(1-0.40)-N1162</x:f>
        <x:v>3.7333333333333334</x:v>
      </x:c>
      <x:c r="Q1162" s="9" t="n">
        <x:f>'Physical_Arcs'!T22</x:f>
        <x:v>4.666666666666667</x:v>
      </x:c>
      <x:c r="R1162" s="9" t="n">
        <x:f>Q1162*'Parameters'!$C$18</x:f>
        <x:v>0.9333333333333335</x:v>
      </x:c>
      <x:c r="S1162" s="9" t="n">
        <x:f>R1162*'Parameters'!$C$19</x:f>
        <x:v>1.1666666666666667</x:v>
      </x:c>
      <x:c r="T1162" s="9" t="n">
        <x:f>Q1162*(1-0.40)-R1162</x:f>
        <x:v>1.8666666666666667</x:v>
      </x:c>
    </x:row>
    <x:row r="1163" ht="21" customHeight="1">
      <x:c r="A1163" s="3" t="n">
        <x:v>19</x:v>
      </x:c>
      <x:c r="B1163" s="3" t="str">
        <x:v>03:10</x:v>
      </x:c>
      <x:c r="C1163" s="3" t="n">
        <x:v>4</x:v>
      </x:c>
      <x:c r="D1163" s="3" t="n">
        <x:v>22</x:v>
      </x:c>
      <x:c r="E1163" s="3" t="n">
        <x:v>4</x:v>
      </x:c>
      <x:c r="F1163" s="3" t="n">
        <x:v>5</x:v>
      </x:c>
      <x:c r="G1163" s="9" t="n">
        <x:v>0.08</x:v>
      </x:c>
      <x:c r="H1163" s="9" t="n">
        <x:v>0.958485</x:v>
      </x:c>
      <x:c r="I1163" s="9" t="n">
        <x:f>'Physical_Arcs'!R23</x:f>
        <x:v>17.02777777777778</x:v>
      </x:c>
      <x:c r="J1163" s="9" t="n">
        <x:f>I1163*'Parameters'!$C$18</x:f>
        <x:v>3.405555555555556</x:v>
      </x:c>
      <x:c r="K1163" s="9" t="n">
        <x:f>J1163*'Parameters'!$C$19</x:f>
        <x:v>4.256944444444445</x:v>
      </x:c>
      <x:c r="L1163" s="9" t="n">
        <x:f>I1163*(1-0.40)-J1163</x:f>
        <x:v>6.811111111111111</x:v>
      </x:c>
      <x:c r="M1163" s="9" t="n">
        <x:f>'Physical_Arcs'!S23</x:f>
        <x:v>17.02777777777778</x:v>
      </x:c>
      <x:c r="N1163" s="9" t="n">
        <x:f>M1163*'Parameters'!$C$18</x:f>
        <x:v>3.405555555555556</x:v>
      </x:c>
      <x:c r="O1163" s="9" t="n">
        <x:f>N1163*'Parameters'!$C$19</x:f>
        <x:v>4.256944444444445</x:v>
      </x:c>
      <x:c r="P1163" s="9" t="n">
        <x:f>M1163*(1-0.40)-N1163</x:f>
        <x:v>6.811111111111111</x:v>
      </x:c>
      <x:c r="Q1163" s="9" t="n">
        <x:f>'Physical_Arcs'!T23</x:f>
        <x:v>17.02777777777778</x:v>
      </x:c>
      <x:c r="R1163" s="9" t="n">
        <x:f>Q1163*'Parameters'!$C$18</x:f>
        <x:v>3.405555555555556</x:v>
      </x:c>
      <x:c r="S1163" s="9" t="n">
        <x:f>R1163*'Parameters'!$C$19</x:f>
        <x:v>4.256944444444445</x:v>
      </x:c>
      <x:c r="T1163" s="9" t="n">
        <x:f>Q1163*(1-0.40)-R1163</x:f>
        <x:v>6.811111111111111</x:v>
      </x:c>
    </x:row>
    <x:row r="1164" ht="21" customHeight="1">
      <x:c r="A1164" s="3" t="n">
        <x:v>19</x:v>
      </x:c>
      <x:c r="B1164" s="3" t="str">
        <x:v>03:10</x:v>
      </x:c>
      <x:c r="C1164" s="3" t="n">
        <x:v>4</x:v>
      </x:c>
      <x:c r="D1164" s="3" t="n">
        <x:v>23</x:v>
      </x:c>
      <x:c r="E1164" s="3" t="n">
        <x:v>4</x:v>
      </x:c>
      <x:c r="F1164" s="3" t="n">
        <x:v>3</x:v>
      </x:c>
      <x:c r="G1164" s="9" t="n">
        <x:v>0.08</x:v>
      </x:c>
      <x:c r="H1164" s="9" t="n">
        <x:v>0.944916</x:v>
      </x:c>
      <x:c r="I1164" s="9" t="n">
        <x:f>'Physical_Arcs'!R24</x:f>
        <x:v>9.333333333333334</x:v>
      </x:c>
      <x:c r="J1164" s="9" t="n">
        <x:f>I1164*'Parameters'!$C$18</x:f>
        <x:v>1.866666666666667</x:v>
      </x:c>
      <x:c r="K1164" s="9" t="n">
        <x:f>J1164*'Parameters'!$C$19</x:f>
        <x:v>2.3333333333333335</x:v>
      </x:c>
      <x:c r="L1164" s="9" t="n">
        <x:f>I1164*(1-0.40)-J1164</x:f>
        <x:v>3.7333333333333334</x:v>
      </x:c>
      <x:c r="M1164" s="9" t="n">
        <x:f>'Physical_Arcs'!S24</x:f>
        <x:v>9.333333333333334</x:v>
      </x:c>
      <x:c r="N1164" s="9" t="n">
        <x:f>M1164*'Parameters'!$C$18</x:f>
        <x:v>1.866666666666667</x:v>
      </x:c>
      <x:c r="O1164" s="9" t="n">
        <x:f>N1164*'Parameters'!$C$19</x:f>
        <x:v>2.3333333333333335</x:v>
      </x:c>
      <x:c r="P1164" s="9" t="n">
        <x:f>M1164*(1-0.40)-N1164</x:f>
        <x:v>3.7333333333333334</x:v>
      </x:c>
      <x:c r="Q1164" s="9" t="n">
        <x:f>'Physical_Arcs'!T24</x:f>
        <x:v>4.666666666666667</x:v>
      </x:c>
      <x:c r="R1164" s="9" t="n">
        <x:f>Q1164*'Parameters'!$C$18</x:f>
        <x:v>0.9333333333333335</x:v>
      </x:c>
      <x:c r="S1164" s="9" t="n">
        <x:f>R1164*'Parameters'!$C$19</x:f>
        <x:v>1.1666666666666667</x:v>
      </x:c>
      <x:c r="T1164" s="9" t="n">
        <x:f>Q1164*(1-0.40)-R1164</x:f>
        <x:v>1.8666666666666667</x:v>
      </x:c>
    </x:row>
    <x:row r="1165" ht="21" customHeight="1">
      <x:c r="A1165" s="3" t="n">
        <x:v>19</x:v>
      </x:c>
      <x:c r="B1165" s="3" t="str">
        <x:v>03:10</x:v>
      </x:c>
      <x:c r="C1165" s="3" t="n">
        <x:v>4</x:v>
      </x:c>
      <x:c r="D1165" s="3" t="n">
        <x:v>24</x:v>
      </x:c>
      <x:c r="E1165" s="3" t="n">
        <x:v>4</x:v>
      </x:c>
      <x:c r="F1165" s="3" t="n">
        <x:v>10</x:v>
      </x:c>
      <x:c r="G1165" s="9" t="n">
        <x:v>0.08</x:v>
      </x:c>
      <x:c r="H1165" s="9" t="n">
        <x:v>0.875461</x:v>
      </x:c>
      <x:c r="I1165" s="9" t="n">
        <x:f>'Physical_Arcs'!R25</x:f>
        <x:v>7.194444444444445</x:v>
      </x:c>
      <x:c r="J1165" s="9" t="n">
        <x:f>I1165*'Parameters'!$C$18</x:f>
        <x:v>1.438888888888889</x:v>
      </x:c>
      <x:c r="K1165" s="9" t="n">
        <x:f>J1165*'Parameters'!$C$19</x:f>
        <x:v>1.7986111111111114</x:v>
      </x:c>
      <x:c r="L1165" s="9" t="n">
        <x:f>I1165*(1-0.40)-J1165</x:f>
        <x:v>2.8777777777777773</x:v>
      </x:c>
      <x:c r="M1165" s="9" t="n">
        <x:f>'Physical_Arcs'!S25</x:f>
        <x:v>7.194444444444445</x:v>
      </x:c>
      <x:c r="N1165" s="9" t="n">
        <x:f>M1165*'Parameters'!$C$18</x:f>
        <x:v>1.438888888888889</x:v>
      </x:c>
      <x:c r="O1165" s="9" t="n">
        <x:f>N1165*'Parameters'!$C$19</x:f>
        <x:v>1.7986111111111114</x:v>
      </x:c>
      <x:c r="P1165" s="9" t="n">
        <x:f>M1165*(1-0.40)-N1165</x:f>
        <x:v>2.8777777777777773</x:v>
      </x:c>
      <x:c r="Q1165" s="9" t="n">
        <x:f>'Physical_Arcs'!T25</x:f>
        <x:v>3.611111111111111</x:v>
      </x:c>
      <x:c r="R1165" s="9" t="n">
        <x:f>Q1165*'Parameters'!$C$18</x:f>
        <x:v>0.7222222222222223</x:v>
      </x:c>
      <x:c r="S1165" s="9" t="n">
        <x:f>R1165*'Parameters'!$C$19</x:f>
        <x:v>0.9027777777777779</x:v>
      </x:c>
      <x:c r="T1165" s="9" t="n">
        <x:f>Q1165*(1-0.40)-R1165</x:f>
        <x:v>1.4444444444444442</x:v>
      </x:c>
    </x:row>
    <x:row r="1166" ht="21" customHeight="1">
      <x:c r="A1166" s="3" t="n">
        <x:v>19</x:v>
      </x:c>
      <x:c r="B1166" s="3" t="str">
        <x:v>03:10</x:v>
      </x:c>
      <x:c r="C1166" s="3" t="n">
        <x:v>4</x:v>
      </x:c>
      <x:c r="D1166" s="3" t="n">
        <x:v>25</x:v>
      </x:c>
      <x:c r="E1166" s="3" t="n">
        <x:v>4</x:v>
      </x:c>
      <x:c r="F1166" s="3" t="n">
        <x:v>8</x:v>
      </x:c>
      <x:c r="G1166" s="9" t="n">
        <x:v>0.08</x:v>
      </x:c>
      <x:c r="H1166" s="9" t="n">
        <x:v>0.993326</x:v>
      </x:c>
      <x:c r="I1166" s="9" t="n">
        <x:f>'Physical_Arcs'!R26</x:f>
        <x:v>5.277777777777778</x:v>
      </x:c>
      <x:c r="J1166" s="9" t="n">
        <x:f>I1166*'Parameters'!$C$18</x:f>
        <x:v>1.0555555555555556</x:v>
      </x:c>
      <x:c r="K1166" s="9" t="n">
        <x:f>J1166*'Parameters'!$C$19</x:f>
        <x:v>1.3194444444444444</x:v>
      </x:c>
      <x:c r="L1166" s="9" t="n">
        <x:f>I1166*(1-0.40)-J1166</x:f>
        <x:v>2.1111111111111107</x:v>
      </x:c>
      <x:c r="M1166" s="9" t="n">
        <x:f>'Physical_Arcs'!S26</x:f>
        <x:v>5.277777777777778</x:v>
      </x:c>
      <x:c r="N1166" s="9" t="n">
        <x:f>M1166*'Parameters'!$C$18</x:f>
        <x:v>1.0555555555555556</x:v>
      </x:c>
      <x:c r="O1166" s="9" t="n">
        <x:f>N1166*'Parameters'!$C$19</x:f>
        <x:v>1.3194444444444444</x:v>
      </x:c>
      <x:c r="P1166" s="9" t="n">
        <x:f>M1166*(1-0.40)-N1166</x:f>
        <x:v>2.1111111111111107</x:v>
      </x:c>
      <x:c r="Q1166" s="9" t="n">
        <x:f>'Physical_Arcs'!T26</x:f>
        <x:v>2.638888888888889</x:v>
      </x:c>
      <x:c r="R1166" s="9" t="n">
        <x:f>Q1166*'Parameters'!$C$18</x:f>
        <x:v>0.5277777777777778</x:v>
      </x:c>
      <x:c r="S1166" s="9" t="n">
        <x:f>R1166*'Parameters'!$C$19</x:f>
        <x:v>0.6597222222222222</x:v>
      </x:c>
      <x:c r="T1166" s="9" t="n">
        <x:f>Q1166*(1-0.40)-R1166</x:f>
        <x:v>1.0555555555555554</x:v>
      </x:c>
    </x:row>
    <x:row r="1167" ht="21" customHeight="1">
      <x:c r="A1167" s="3" t="n">
        <x:v>19</x:v>
      </x:c>
      <x:c r="B1167" s="3" t="str">
        <x:v>03:10</x:v>
      </x:c>
      <x:c r="C1167" s="3" t="n">
        <x:v>4</x:v>
      </x:c>
      <x:c r="D1167" s="3" t="n">
        <x:v>26</x:v>
      </x:c>
      <x:c r="E1167" s="3" t="n">
        <x:v>4</x:v>
      </x:c>
      <x:c r="F1167" s="3" t="n">
        <x:v>7</x:v>
      </x:c>
      <x:c r="G1167" s="9" t="n">
        <x:v>0.08</x:v>
      </x:c>
      <x:c r="H1167" s="9" t="n">
        <x:v>1.099203</x:v>
      </x:c>
      <x:c r="I1167" s="9" t="n">
        <x:f>'Physical_Arcs'!R27</x:f>
        <x:v>6.527777777777778</x:v>
      </x:c>
      <x:c r="J1167" s="9" t="n">
        <x:f>I1167*'Parameters'!$C$18</x:f>
        <x:v>1.3055555555555556</x:v>
      </x:c>
      <x:c r="K1167" s="9" t="n">
        <x:f>J1167*'Parameters'!$C$19</x:f>
        <x:v>1.6319444444444444</x:v>
      </x:c>
      <x:c r="L1167" s="9" t="n">
        <x:f>I1167*(1-0.40)-J1167</x:f>
        <x:v>2.6111111111111107</x:v>
      </x:c>
      <x:c r="M1167" s="9" t="n">
        <x:f>'Physical_Arcs'!S27</x:f>
        <x:v>6.527777777777778</x:v>
      </x:c>
      <x:c r="N1167" s="9" t="n">
        <x:f>M1167*'Parameters'!$C$18</x:f>
        <x:v>1.3055555555555556</x:v>
      </x:c>
      <x:c r="O1167" s="9" t="n">
        <x:f>N1167*'Parameters'!$C$19</x:f>
        <x:v>1.6319444444444444</x:v>
      </x:c>
      <x:c r="P1167" s="9" t="n">
        <x:f>M1167*(1-0.40)-N1167</x:f>
        <x:v>2.6111111111111107</x:v>
      </x:c>
      <x:c r="Q1167" s="9" t="n">
        <x:f>'Physical_Arcs'!T27</x:f>
        <x:v>3.2777777777777777</x:v>
      </x:c>
      <x:c r="R1167" s="9" t="n">
        <x:f>Q1167*'Parameters'!$C$18</x:f>
        <x:v>0.6555555555555556</x:v>
      </x:c>
      <x:c r="S1167" s="9" t="n">
        <x:f>R1167*'Parameters'!$C$19</x:f>
        <x:v>0.8194444444444444</x:v>
      </x:c>
      <x:c r="T1167" s="9" t="n">
        <x:f>Q1167*(1-0.40)-R1167</x:f>
        <x:v>1.311111111111111</x:v>
      </x:c>
    </x:row>
    <x:row r="1168" ht="21" customHeight="1">
      <x:c r="A1168" s="3" t="n">
        <x:v>19</x:v>
      </x:c>
      <x:c r="B1168" s="3" t="str">
        <x:v>03:10</x:v>
      </x:c>
      <x:c r="C1168" s="3" t="n">
        <x:v>4</x:v>
      </x:c>
      <x:c r="D1168" s="3" t="n">
        <x:v>27</x:v>
      </x:c>
      <x:c r="E1168" s="3" t="n">
        <x:v>4</x:v>
      </x:c>
      <x:c r="F1168" s="3" t="n">
        <x:v>2</x:v>
      </x:c>
      <x:c r="G1168" s="9" t="n">
        <x:v>0.08</x:v>
      </x:c>
      <x:c r="H1168" s="9" t="n">
        <x:v>0.861111</x:v>
      </x:c>
      <x:c r="I1168" s="9" t="n">
        <x:f>'Physical_Arcs'!R28</x:f>
        <x:v>4.944444444444445</x:v>
      </x:c>
      <x:c r="J1168" s="9" t="n">
        <x:f>I1168*'Parameters'!$C$18</x:f>
        <x:v>0.9888888888888889</x:v>
      </x:c>
      <x:c r="K1168" s="9" t="n">
        <x:f>J1168*'Parameters'!$C$19</x:f>
        <x:v>1.2361111111111112</x:v>
      </x:c>
      <x:c r="L1168" s="9" t="n">
        <x:f>I1168*(1-0.40)-J1168</x:f>
        <x:v>1.9777777777777779</x:v>
      </x:c>
      <x:c r="M1168" s="9" t="n">
        <x:f>'Physical_Arcs'!S28</x:f>
        <x:v>4.944444444444445</x:v>
      </x:c>
      <x:c r="N1168" s="9" t="n">
        <x:f>M1168*'Parameters'!$C$18</x:f>
        <x:v>0.9888888888888889</x:v>
      </x:c>
      <x:c r="O1168" s="9" t="n">
        <x:f>N1168*'Parameters'!$C$19</x:f>
        <x:v>1.2361111111111112</x:v>
      </x:c>
      <x:c r="P1168" s="9" t="n">
        <x:f>M1168*(1-0.40)-N1168</x:f>
        <x:v>1.9777777777777779</x:v>
      </x:c>
      <x:c r="Q1168" s="9" t="n">
        <x:f>'Physical_Arcs'!T28</x:f>
        <x:v>2.4722222222222223</x:v>
      </x:c>
      <x:c r="R1168" s="9" t="n">
        <x:f>Q1168*'Parameters'!$C$18</x:f>
        <x:v>0.49444444444444446</x:v>
      </x:c>
      <x:c r="S1168" s="9" t="n">
        <x:f>R1168*'Parameters'!$C$19</x:f>
        <x:v>0.6180555555555556</x:v>
      </x:c>
      <x:c r="T1168" s="9" t="n">
        <x:f>Q1168*(1-0.40)-R1168</x:f>
        <x:v>0.9888888888888889</x:v>
      </x:c>
    </x:row>
    <x:row r="1169" ht="21" customHeight="1">
      <x:c r="A1169" s="3" t="n">
        <x:v>19</x:v>
      </x:c>
      <x:c r="B1169" s="3" t="str">
        <x:v>03:10</x:v>
      </x:c>
      <x:c r="C1169" s="3" t="n">
        <x:v>4</x:v>
      </x:c>
      <x:c r="D1169" s="3" t="n">
        <x:v>28</x:v>
      </x:c>
      <x:c r="E1169" s="3" t="n">
        <x:v>4</x:v>
      </x:c>
      <x:c r="F1169" s="3" t="n">
        <x:v>6</x:v>
      </x:c>
      <x:c r="G1169" s="9" t="n">
        <x:v>0.08</x:v>
      </x:c>
      <x:c r="H1169" s="9" t="n">
        <x:v>1.137214</x:v>
      </x:c>
      <x:c r="I1169" s="9" t="n">
        <x:f>'Physical_Arcs'!R29</x:f>
        <x:v>3.388888888888889</x:v>
      </x:c>
      <x:c r="J1169" s="9" t="n">
        <x:f>I1169*'Parameters'!$C$18</x:f>
        <x:v>0.6777777777777778</x:v>
      </x:c>
      <x:c r="K1169" s="9" t="n">
        <x:f>J1169*'Parameters'!$C$19</x:f>
        <x:v>0.8472222222222223</x:v>
      </x:c>
      <x:c r="L1169" s="9" t="n">
        <x:f>I1169*(1-0.40)-J1169</x:f>
        <x:v>1.3555555555555554</x:v>
      </x:c>
      <x:c r="M1169" s="9" t="n">
        <x:f>'Physical_Arcs'!S29</x:f>
        <x:v>3.388888888888889</x:v>
      </x:c>
      <x:c r="N1169" s="9" t="n">
        <x:f>M1169*'Parameters'!$C$18</x:f>
        <x:v>0.6777777777777778</x:v>
      </x:c>
      <x:c r="O1169" s="9" t="n">
        <x:f>N1169*'Parameters'!$C$19</x:f>
        <x:v>0.8472222222222223</x:v>
      </x:c>
      <x:c r="P1169" s="9" t="n">
        <x:f>M1169*(1-0.40)-N1169</x:f>
        <x:v>1.3555555555555554</x:v>
      </x:c>
      <x:c r="Q1169" s="9" t="n">
        <x:f>'Physical_Arcs'!T29</x:f>
        <x:v>1.6944444444444444</x:v>
      </x:c>
      <x:c r="R1169" s="9" t="n">
        <x:f>Q1169*'Parameters'!$C$18</x:f>
        <x:v>0.3388888888888889</x:v>
      </x:c>
      <x:c r="S1169" s="9" t="n">
        <x:f>R1169*'Parameters'!$C$19</x:f>
        <x:v>0.42361111111111116</x:v>
      </x:c>
      <x:c r="T1169" s="9" t="n">
        <x:f>Q1169*(1-0.40)-R1169</x:f>
        <x:v>0.6777777777777777</x:v>
      </x:c>
    </x:row>
    <x:row r="1170" ht="21" customHeight="1">
      <x:c r="A1170" s="3" t="n">
        <x:v>19</x:v>
      </x:c>
      <x:c r="B1170" s="3" t="str">
        <x:v>03:10</x:v>
      </x:c>
      <x:c r="C1170" s="3" t="n">
        <x:v>4</x:v>
      </x:c>
      <x:c r="D1170" s="3" t="n">
        <x:v>29</x:v>
      </x:c>
      <x:c r="E1170" s="3" t="n">
        <x:v>5</x:v>
      </x:c>
      <x:c r="F1170" s="3" t="n">
        <x:v>6</x:v>
      </x:c>
      <x:c r="G1170" s="9" t="n">
        <x:v>0.08</x:v>
      </x:c>
      <x:c r="H1170" s="9" t="n">
        <x:v>0.949994</x:v>
      </x:c>
      <x:c r="I1170" s="9" t="n">
        <x:f>'Physical_Arcs'!R30</x:f>
        <x:v>17.02777777777778</x:v>
      </x:c>
      <x:c r="J1170" s="9" t="n">
        <x:f>I1170*'Parameters'!$C$18</x:f>
        <x:v>3.405555555555556</x:v>
      </x:c>
      <x:c r="K1170" s="9" t="n">
        <x:f>J1170*'Parameters'!$C$19</x:f>
        <x:v>4.256944444444445</x:v>
      </x:c>
      <x:c r="L1170" s="9" t="n">
        <x:f>I1170*(1-0.40)-J1170</x:f>
        <x:v>6.811111111111111</x:v>
      </x:c>
      <x:c r="M1170" s="9" t="n">
        <x:f>'Physical_Arcs'!S30</x:f>
        <x:v>17.02777777777778</x:v>
      </x:c>
      <x:c r="N1170" s="9" t="n">
        <x:f>M1170*'Parameters'!$C$18</x:f>
        <x:v>3.405555555555556</x:v>
      </x:c>
      <x:c r="O1170" s="9" t="n">
        <x:f>N1170*'Parameters'!$C$19</x:f>
        <x:v>4.256944444444445</x:v>
      </x:c>
      <x:c r="P1170" s="9" t="n">
        <x:f>M1170*(1-0.40)-N1170</x:f>
        <x:v>6.811111111111111</x:v>
      </x:c>
      <x:c r="Q1170" s="9" t="n">
        <x:f>'Physical_Arcs'!T30</x:f>
        <x:v>17.02777777777778</x:v>
      </x:c>
      <x:c r="R1170" s="9" t="n">
        <x:f>Q1170*'Parameters'!$C$18</x:f>
        <x:v>3.405555555555556</x:v>
      </x:c>
      <x:c r="S1170" s="9" t="n">
        <x:f>R1170*'Parameters'!$C$19</x:f>
        <x:v>4.256944444444445</x:v>
      </x:c>
      <x:c r="T1170" s="9" t="n">
        <x:f>Q1170*(1-0.40)-R1170</x:f>
        <x:v>6.811111111111111</x:v>
      </x:c>
    </x:row>
    <x:row r="1171" ht="21" customHeight="1">
      <x:c r="A1171" s="3" t="n">
        <x:v>19</x:v>
      </x:c>
      <x:c r="B1171" s="3" t="str">
        <x:v>03:10</x:v>
      </x:c>
      <x:c r="C1171" s="3" t="n">
        <x:v>4</x:v>
      </x:c>
      <x:c r="D1171" s="3" t="n">
        <x:v>30</x:v>
      </x:c>
      <x:c r="E1171" s="3" t="n">
        <x:v>5</x:v>
      </x:c>
      <x:c r="F1171" s="3" t="n">
        <x:v>2</x:v>
      </x:c>
      <x:c r="G1171" s="9" t="n">
        <x:v>0.08</x:v>
      </x:c>
      <x:c r="H1171" s="9" t="n">
        <x:v>0.882396</x:v>
      </x:c>
      <x:c r="I1171" s="9" t="n">
        <x:f>'Physical_Arcs'!R31</x:f>
        <x:v>2.9444444444444446</x:v>
      </x:c>
      <x:c r="J1171" s="9" t="n">
        <x:f>I1171*'Parameters'!$C$18</x:f>
        <x:v>0.5888888888888889</x:v>
      </x:c>
      <x:c r="K1171" s="9" t="n">
        <x:f>J1171*'Parameters'!$C$19</x:f>
        <x:v>0.7361111111111112</x:v>
      </x:c>
      <x:c r="L1171" s="9" t="n">
        <x:f>I1171*(1-0.40)-J1171</x:f>
        <x:v>1.177777777777778</x:v>
      </x:c>
      <x:c r="M1171" s="9" t="n">
        <x:f>'Physical_Arcs'!S31</x:f>
        <x:v>2.9444444444444446</x:v>
      </x:c>
      <x:c r="N1171" s="9" t="n">
        <x:f>M1171*'Parameters'!$C$18</x:f>
        <x:v>0.5888888888888889</x:v>
      </x:c>
      <x:c r="O1171" s="9" t="n">
        <x:f>N1171*'Parameters'!$C$19</x:f>
        <x:v>0.7361111111111112</x:v>
      </x:c>
      <x:c r="P1171" s="9" t="n">
        <x:f>M1171*(1-0.40)-N1171</x:f>
        <x:v>1.177777777777778</x:v>
      </x:c>
      <x:c r="Q1171" s="9" t="n">
        <x:f>'Physical_Arcs'!T31</x:f>
        <x:v>1.4722222222222223</x:v>
      </x:c>
      <x:c r="R1171" s="9" t="n">
        <x:f>Q1171*'Parameters'!$C$18</x:f>
        <x:v>0.29444444444444445</x:v>
      </x:c>
      <x:c r="S1171" s="9" t="n">
        <x:f>R1171*'Parameters'!$C$19</x:f>
        <x:v>0.3680555555555556</x:v>
      </x:c>
      <x:c r="T1171" s="9" t="n">
        <x:f>Q1171*(1-0.40)-R1171</x:f>
        <x:v>0.588888888888889</x:v>
      </x:c>
    </x:row>
    <x:row r="1172" ht="21" customHeight="1">
      <x:c r="A1172" s="3" t="n">
        <x:v>19</x:v>
      </x:c>
      <x:c r="B1172" s="3" t="str">
        <x:v>03:10</x:v>
      </x:c>
      <x:c r="C1172" s="3" t="n">
        <x:v>4</x:v>
      </x:c>
      <x:c r="D1172" s="3" t="n">
        <x:v>31</x:v>
      </x:c>
      <x:c r="E1172" s="3" t="n">
        <x:v>5</x:v>
      </x:c>
      <x:c r="F1172" s="3" t="n">
        <x:v>8</x:v>
      </x:c>
      <x:c r="G1172" s="9" t="n">
        <x:v>0.08</x:v>
      </x:c>
      <x:c r="H1172" s="9" t="n">
        <x:v>0.986718</x:v>
      </x:c>
      <x:c r="I1172" s="9" t="n">
        <x:f>'Physical_Arcs'!R32</x:f>
        <x:v>9.333333333333334</x:v>
      </x:c>
      <x:c r="J1172" s="9" t="n">
        <x:f>I1172*'Parameters'!$C$18</x:f>
        <x:v>1.866666666666667</x:v>
      </x:c>
      <x:c r="K1172" s="9" t="n">
        <x:f>J1172*'Parameters'!$C$19</x:f>
        <x:v>2.3333333333333335</x:v>
      </x:c>
      <x:c r="L1172" s="9" t="n">
        <x:f>I1172*(1-0.40)-J1172</x:f>
        <x:v>3.7333333333333334</x:v>
      </x:c>
      <x:c r="M1172" s="9" t="n">
        <x:f>'Physical_Arcs'!S32</x:f>
        <x:v>9.333333333333334</x:v>
      </x:c>
      <x:c r="N1172" s="9" t="n">
        <x:f>M1172*'Parameters'!$C$18</x:f>
        <x:v>1.866666666666667</x:v>
      </x:c>
      <x:c r="O1172" s="9" t="n">
        <x:f>N1172*'Parameters'!$C$19</x:f>
        <x:v>2.3333333333333335</x:v>
      </x:c>
      <x:c r="P1172" s="9" t="n">
        <x:f>M1172*(1-0.40)-N1172</x:f>
        <x:v>3.7333333333333334</x:v>
      </x:c>
      <x:c r="Q1172" s="9" t="n">
        <x:f>'Physical_Arcs'!T32</x:f>
        <x:v>4.666666666666667</x:v>
      </x:c>
      <x:c r="R1172" s="9" t="n">
        <x:f>Q1172*'Parameters'!$C$18</x:f>
        <x:v>0.9333333333333335</x:v>
      </x:c>
      <x:c r="S1172" s="9" t="n">
        <x:f>R1172*'Parameters'!$C$19</x:f>
        <x:v>1.1666666666666667</x:v>
      </x:c>
      <x:c r="T1172" s="9" t="n">
        <x:f>Q1172*(1-0.40)-R1172</x:f>
        <x:v>1.8666666666666667</x:v>
      </x:c>
    </x:row>
    <x:row r="1173" ht="21" customHeight="1">
      <x:c r="A1173" s="3" t="n">
        <x:v>19</x:v>
      </x:c>
      <x:c r="B1173" s="3" t="str">
        <x:v>03:10</x:v>
      </x:c>
      <x:c r="C1173" s="3" t="n">
        <x:v>4</x:v>
      </x:c>
      <x:c r="D1173" s="3" t="n">
        <x:v>32</x:v>
      </x:c>
      <x:c r="E1173" s="3" t="n">
        <x:v>5</x:v>
      </x:c>
      <x:c r="F1173" s="3" t="n">
        <x:v>3</x:v>
      </x:c>
      <x:c r="G1173" s="9" t="n">
        <x:v>0.08</x:v>
      </x:c>
      <x:c r="H1173" s="9" t="n">
        <x:v>1.089544</x:v>
      </x:c>
      <x:c r="I1173" s="9" t="n">
        <x:f>'Physical_Arcs'!R33</x:f>
        <x:v>11.13888888888889</x:v>
      </x:c>
      <x:c r="J1173" s="9" t="n">
        <x:f>I1173*'Parameters'!$C$18</x:f>
        <x:v>2.227777777777778</x:v>
      </x:c>
      <x:c r="K1173" s="9" t="n">
        <x:f>J1173*'Parameters'!$C$19</x:f>
        <x:v>2.7847222222222223</x:v>
      </x:c>
      <x:c r="L1173" s="9" t="n">
        <x:f>I1173*(1-0.40)-J1173</x:f>
        <x:v>4.455555555555556</x:v>
      </x:c>
      <x:c r="M1173" s="9" t="n">
        <x:f>'Physical_Arcs'!S33</x:f>
        <x:v>11.13888888888889</x:v>
      </x:c>
      <x:c r="N1173" s="9" t="n">
        <x:f>M1173*'Parameters'!$C$18</x:f>
        <x:v>2.227777777777778</x:v>
      </x:c>
      <x:c r="O1173" s="9" t="n">
        <x:f>N1173*'Parameters'!$C$19</x:f>
        <x:v>2.7847222222222223</x:v>
      </x:c>
      <x:c r="P1173" s="9" t="n">
        <x:f>M1173*(1-0.40)-N1173</x:f>
        <x:v>4.455555555555556</x:v>
      </x:c>
      <x:c r="Q1173" s="9" t="n">
        <x:f>'Physical_Arcs'!T33</x:f>
        <x:v>5.583333333333333</x:v>
      </x:c>
      <x:c r="R1173" s="9" t="n">
        <x:f>Q1173*'Parameters'!$C$18</x:f>
        <x:v>1.1166666666666667</x:v>
      </x:c>
      <x:c r="S1173" s="9" t="n">
        <x:f>R1173*'Parameters'!$C$19</x:f>
        <x:v>1.3958333333333335</x:v>
      </x:c>
      <x:c r="T1173" s="9" t="n">
        <x:f>Q1173*(1-0.40)-R1173</x:f>
        <x:v>2.233333333333333</x:v>
      </x:c>
    </x:row>
    <x:row r="1174" ht="21" customHeight="1">
      <x:c r="A1174" s="3" t="n">
        <x:v>19</x:v>
      </x:c>
      <x:c r="B1174" s="3" t="str">
        <x:v>03:10</x:v>
      </x:c>
      <x:c r="C1174" s="3" t="n">
        <x:v>4</x:v>
      </x:c>
      <x:c r="D1174" s="3" t="n">
        <x:v>33</x:v>
      </x:c>
      <x:c r="E1174" s="3" t="n">
        <x:v>5</x:v>
      </x:c>
      <x:c r="F1174" s="3" t="n">
        <x:v>10</x:v>
      </x:c>
      <x:c r="G1174" s="9" t="n">
        <x:v>0.08</x:v>
      </x:c>
      <x:c r="H1174" s="9" t="n">
        <x:v>1.103596</x:v>
      </x:c>
      <x:c r="I1174" s="9" t="n">
        <x:f>'Physical_Arcs'!R34</x:f>
        <x:v>4.611111111111111</x:v>
      </x:c>
      <x:c r="J1174" s="9" t="n">
        <x:f>I1174*'Parameters'!$C$18</x:f>
        <x:v>0.9222222222222222</x:v>
      </x:c>
      <x:c r="K1174" s="9" t="n">
        <x:f>J1174*'Parameters'!$C$19</x:f>
        <x:v>1.1527777777777777</x:v>
      </x:c>
      <x:c r="L1174" s="9" t="n">
        <x:f>I1174*(1-0.40)-J1174</x:f>
        <x:v>1.844444444444444</x:v>
      </x:c>
      <x:c r="M1174" s="9" t="n">
        <x:f>'Physical_Arcs'!S34</x:f>
        <x:v>4.611111111111111</x:v>
      </x:c>
      <x:c r="N1174" s="9" t="n">
        <x:f>M1174*'Parameters'!$C$18</x:f>
        <x:v>0.9222222222222222</x:v>
      </x:c>
      <x:c r="O1174" s="9" t="n">
        <x:f>N1174*'Parameters'!$C$19</x:f>
        <x:v>1.1527777777777777</x:v>
      </x:c>
      <x:c r="P1174" s="9" t="n">
        <x:f>M1174*(1-0.40)-N1174</x:f>
        <x:v>1.844444444444444</x:v>
      </x:c>
      <x:c r="Q1174" s="9" t="n">
        <x:f>'Physical_Arcs'!T34</x:f>
        <x:v>2.3055555555555554</x:v>
      </x:c>
      <x:c r="R1174" s="9" t="n">
        <x:f>Q1174*'Parameters'!$C$18</x:f>
        <x:v>0.4611111111111111</x:v>
      </x:c>
      <x:c r="S1174" s="9" t="n">
        <x:f>R1174*'Parameters'!$C$19</x:f>
        <x:v>0.5763888888888888</x:v>
      </x:c>
      <x:c r="T1174" s="9" t="n">
        <x:f>Q1174*(1-0.40)-R1174</x:f>
        <x:v>0.922222222222222</x:v>
      </x:c>
    </x:row>
    <x:row r="1175" ht="21" customHeight="1">
      <x:c r="A1175" s="3" t="n">
        <x:v>19</x:v>
      </x:c>
      <x:c r="B1175" s="3" t="str">
        <x:v>03:10</x:v>
      </x:c>
      <x:c r="C1175" s="3" t="n">
        <x:v>4</x:v>
      </x:c>
      <x:c r="D1175" s="3" t="n">
        <x:v>34</x:v>
      </x:c>
      <x:c r="E1175" s="3" t="n">
        <x:v>6</x:v>
      </x:c>
      <x:c r="F1175" s="3" t="n">
        <x:v>7</x:v>
      </x:c>
      <x:c r="G1175" s="9" t="n">
        <x:v>0.08</x:v>
      </x:c>
      <x:c r="H1175" s="9" t="n">
        <x:v>0.973887</x:v>
      </x:c>
      <x:c r="I1175" s="9" t="n">
        <x:f>'Physical_Arcs'!R35</x:f>
        <x:v>17.02777777777778</x:v>
      </x:c>
      <x:c r="J1175" s="9" t="n">
        <x:f>I1175*'Parameters'!$C$18</x:f>
        <x:v>3.405555555555556</x:v>
      </x:c>
      <x:c r="K1175" s="9" t="n">
        <x:f>J1175*'Parameters'!$C$19</x:f>
        <x:v>4.256944444444445</x:v>
      </x:c>
      <x:c r="L1175" s="9" t="n">
        <x:f>I1175*(1-0.40)-J1175</x:f>
        <x:v>6.811111111111111</x:v>
      </x:c>
      <x:c r="M1175" s="9" t="n">
        <x:f>'Physical_Arcs'!S35</x:f>
        <x:v>17.02777777777778</x:v>
      </x:c>
      <x:c r="N1175" s="9" t="n">
        <x:f>M1175*'Parameters'!$C$18</x:f>
        <x:v>3.405555555555556</x:v>
      </x:c>
      <x:c r="O1175" s="9" t="n">
        <x:f>N1175*'Parameters'!$C$19</x:f>
        <x:v>4.256944444444445</x:v>
      </x:c>
      <x:c r="P1175" s="9" t="n">
        <x:f>M1175*(1-0.40)-N1175</x:f>
        <x:v>6.811111111111111</x:v>
      </x:c>
      <x:c r="Q1175" s="9" t="n">
        <x:f>'Physical_Arcs'!T35</x:f>
        <x:v>17.02777777777778</x:v>
      </x:c>
      <x:c r="R1175" s="9" t="n">
        <x:f>Q1175*'Parameters'!$C$18</x:f>
        <x:v>3.405555555555556</x:v>
      </x:c>
      <x:c r="S1175" s="9" t="n">
        <x:f>R1175*'Parameters'!$C$19</x:f>
        <x:v>4.256944444444445</x:v>
      </x:c>
      <x:c r="T1175" s="9" t="n">
        <x:f>Q1175*(1-0.40)-R1175</x:f>
        <x:v>6.811111111111111</x:v>
      </x:c>
    </x:row>
    <x:row r="1176" ht="21" customHeight="1">
      <x:c r="A1176" s="3" t="n">
        <x:v>19</x:v>
      </x:c>
      <x:c r="B1176" s="3" t="str">
        <x:v>03:10</x:v>
      </x:c>
      <x:c r="C1176" s="3" t="n">
        <x:v>4</x:v>
      </x:c>
      <x:c r="D1176" s="3" t="n">
        <x:v>35</x:v>
      </x:c>
      <x:c r="E1176" s="3" t="n">
        <x:v>6</x:v>
      </x:c>
      <x:c r="F1176" s="3" t="n">
        <x:v>10</x:v>
      </x:c>
      <x:c r="G1176" s="9" t="n">
        <x:v>0.08</x:v>
      </x:c>
      <x:c r="H1176" s="9" t="n">
        <x:v>1.009062</x:v>
      </x:c>
      <x:c r="I1176" s="9" t="n">
        <x:f>'Physical_Arcs'!R36</x:f>
        <x:v>4.055555555555555</x:v>
      </x:c>
      <x:c r="J1176" s="9" t="n">
        <x:f>I1176*'Parameters'!$C$18</x:f>
        <x:v>0.8111111111111111</x:v>
      </x:c>
      <x:c r="K1176" s="9" t="n">
        <x:f>J1176*'Parameters'!$C$19</x:f>
        <x:v>1.0138888888888888</x:v>
      </x:c>
      <x:c r="L1176" s="9" t="n">
        <x:f>I1176*(1-0.40)-J1176</x:f>
        <x:v>1.622222222222222</x:v>
      </x:c>
      <x:c r="M1176" s="9" t="n">
        <x:f>'Physical_Arcs'!S36</x:f>
        <x:v>4.055555555555555</x:v>
      </x:c>
      <x:c r="N1176" s="9" t="n">
        <x:f>M1176*'Parameters'!$C$18</x:f>
        <x:v>0.8111111111111111</x:v>
      </x:c>
      <x:c r="O1176" s="9" t="n">
        <x:f>N1176*'Parameters'!$C$19</x:f>
        <x:v>1.0138888888888888</x:v>
      </x:c>
      <x:c r="P1176" s="9" t="n">
        <x:f>M1176*(1-0.40)-N1176</x:f>
        <x:v>1.622222222222222</x:v>
      </x:c>
      <x:c r="Q1176" s="9" t="n">
        <x:f>'Physical_Arcs'!T36</x:f>
        <x:v>2.0277777777777777</x:v>
      </x:c>
      <x:c r="R1176" s="9" t="n">
        <x:f>Q1176*'Parameters'!$C$18</x:f>
        <x:v>0.40555555555555556</x:v>
      </x:c>
      <x:c r="S1176" s="9" t="n">
        <x:f>R1176*'Parameters'!$C$19</x:f>
        <x:v>0.5069444444444444</x:v>
      </x:c>
      <x:c r="T1176" s="9" t="n">
        <x:f>Q1176*(1-0.40)-R1176</x:f>
        <x:v>0.811111111111111</x:v>
      </x:c>
    </x:row>
    <x:row r="1177" ht="21" customHeight="1">
      <x:c r="A1177" s="3" t="n">
        <x:v>19</x:v>
      </x:c>
      <x:c r="B1177" s="3" t="str">
        <x:v>03:10</x:v>
      </x:c>
      <x:c r="C1177" s="3" t="n">
        <x:v>4</x:v>
      </x:c>
      <x:c r="D1177" s="3" t="n">
        <x:v>36</x:v>
      </x:c>
      <x:c r="E1177" s="3" t="n">
        <x:v>6</x:v>
      </x:c>
      <x:c r="F1177" s="3" t="n">
        <x:v>8</x:v>
      </x:c>
      <x:c r="G1177" s="9" t="n">
        <x:v>0.08</x:v>
      </x:c>
      <x:c r="H1177" s="9" t="n">
        <x:v>1.132129</x:v>
      </x:c>
      <x:c r="I1177" s="9" t="n">
        <x:f>'Physical_Arcs'!R37</x:f>
        <x:v>6.972222222222222</x:v>
      </x:c>
      <x:c r="J1177" s="9" t="n">
        <x:f>I1177*'Parameters'!$C$18</x:f>
        <x:v>1.3944444444444446</x:v>
      </x:c>
      <x:c r="K1177" s="9" t="n">
        <x:f>J1177*'Parameters'!$C$19</x:f>
        <x:v>1.7430555555555558</x:v>
      </x:c>
      <x:c r="L1177" s="9" t="n">
        <x:f>I1177*(1-0.40)-J1177</x:f>
        <x:v>2.7888888888888888</x:v>
      </x:c>
      <x:c r="M1177" s="9" t="n">
        <x:f>'Physical_Arcs'!S37</x:f>
        <x:v>6.972222222222222</x:v>
      </x:c>
      <x:c r="N1177" s="9" t="n">
        <x:f>M1177*'Parameters'!$C$18</x:f>
        <x:v>1.3944444444444446</x:v>
      </x:c>
      <x:c r="O1177" s="9" t="n">
        <x:f>N1177*'Parameters'!$C$19</x:f>
        <x:v>1.7430555555555558</x:v>
      </x:c>
      <x:c r="P1177" s="9" t="n">
        <x:f>M1177*(1-0.40)-N1177</x:f>
        <x:v>2.7888888888888888</x:v>
      </x:c>
      <x:c r="Q1177" s="9" t="n">
        <x:f>'Physical_Arcs'!T37</x:f>
        <x:v>3.5</x:v>
      </x:c>
      <x:c r="R1177" s="9" t="n">
        <x:f>Q1177*'Parameters'!$C$18</x:f>
        <x:v>0.7000000000000001</x:v>
      </x:c>
      <x:c r="S1177" s="9" t="n">
        <x:f>R1177*'Parameters'!$C$19</x:f>
        <x:v>0.8750000000000001</x:v>
      </x:c>
      <x:c r="T1177" s="9" t="n">
        <x:f>Q1177*(1-0.40)-R1177</x:f>
        <x:v>1.4</x:v>
      </x:c>
    </x:row>
    <x:row r="1178" ht="21" customHeight="1">
      <x:c r="A1178" s="3" t="n">
        <x:v>19</x:v>
      </x:c>
      <x:c r="B1178" s="3" t="str">
        <x:v>03:10</x:v>
      </x:c>
      <x:c r="C1178" s="3" t="n">
        <x:v>4</x:v>
      </x:c>
      <x:c r="D1178" s="3" t="n">
        <x:v>37</x:v>
      </x:c>
      <x:c r="E1178" s="3" t="n">
        <x:v>6</x:v>
      </x:c>
      <x:c r="F1178" s="3" t="n">
        <x:v>1</x:v>
      </x:c>
      <x:c r="G1178" s="9" t="n">
        <x:v>0.08</x:v>
      </x:c>
      <x:c r="H1178" s="9" t="n">
        <x:v>1.020746</x:v>
      </x:c>
      <x:c r="I1178" s="9" t="n">
        <x:f>'Physical_Arcs'!R38</x:f>
        <x:v>6.305555555555555</x:v>
      </x:c>
      <x:c r="J1178" s="9" t="n">
        <x:f>I1178*'Parameters'!$C$18</x:f>
        <x:v>1.261111111111111</x:v>
      </x:c>
      <x:c r="K1178" s="9" t="n">
        <x:f>J1178*'Parameters'!$C$19</x:f>
        <x:v>1.5763888888888888</x:v>
      </x:c>
      <x:c r="L1178" s="9" t="n">
        <x:f>I1178*(1-0.40)-J1178</x:f>
        <x:v>2.522222222222222</x:v>
      </x:c>
      <x:c r="M1178" s="9" t="n">
        <x:f>'Physical_Arcs'!S38</x:f>
        <x:v>6.305555555555555</x:v>
      </x:c>
      <x:c r="N1178" s="9" t="n">
        <x:f>M1178*'Parameters'!$C$18</x:f>
        <x:v>1.261111111111111</x:v>
      </x:c>
      <x:c r="O1178" s="9" t="n">
        <x:f>N1178*'Parameters'!$C$19</x:f>
        <x:v>1.5763888888888888</x:v>
      </x:c>
      <x:c r="P1178" s="9" t="n">
        <x:f>M1178*(1-0.40)-N1178</x:f>
        <x:v>2.522222222222222</x:v>
      </x:c>
      <x:c r="Q1178" s="9" t="n">
        <x:f>'Physical_Arcs'!T38</x:f>
        <x:v>3.1666666666666665</x:v>
      </x:c>
      <x:c r="R1178" s="9" t="n">
        <x:f>Q1178*'Parameters'!$C$18</x:f>
        <x:v>0.6333333333333333</x:v>
      </x:c>
      <x:c r="S1178" s="9" t="n">
        <x:f>R1178*'Parameters'!$C$19</x:f>
        <x:v>0.7916666666666666</x:v>
      </x:c>
      <x:c r="T1178" s="9" t="n">
        <x:f>Q1178*(1-0.40)-R1178</x:f>
        <x:v>1.2666666666666666</x:v>
      </x:c>
    </x:row>
    <x:row r="1179" ht="21" customHeight="1">
      <x:c r="A1179" s="3" t="n">
        <x:v>19</x:v>
      </x:c>
      <x:c r="B1179" s="3" t="str">
        <x:v>03:10</x:v>
      </x:c>
      <x:c r="C1179" s="3" t="n">
        <x:v>4</x:v>
      </x:c>
      <x:c r="D1179" s="3" t="n">
        <x:v>38</x:v>
      </x:c>
      <x:c r="E1179" s="3" t="n">
        <x:v>6</x:v>
      </x:c>
      <x:c r="F1179" s="3" t="n">
        <x:v>3</x:v>
      </x:c>
      <x:c r="G1179" s="9" t="n">
        <x:v>0.08</x:v>
      </x:c>
      <x:c r="H1179" s="9" t="n">
        <x:v>1.149081</x:v>
      </x:c>
      <x:c r="I1179" s="9" t="n">
        <x:f>'Physical_Arcs'!R39</x:f>
        <x:v>1.9166666666666667</x:v>
      </x:c>
      <x:c r="J1179" s="9" t="n">
        <x:f>I1179*'Parameters'!$C$18</x:f>
        <x:v>0.38333333333333336</x:v>
      </x:c>
      <x:c r="K1179" s="9" t="n">
        <x:f>J1179*'Parameters'!$C$19</x:f>
        <x:v>0.4791666666666667</x:v>
      </x:c>
      <x:c r="L1179" s="9" t="n">
        <x:f>I1179*(1-0.40)-J1179</x:f>
        <x:v>0.7666666666666666</x:v>
      </x:c>
      <x:c r="M1179" s="9" t="n">
        <x:f>'Physical_Arcs'!S39</x:f>
        <x:v>1.9166666666666667</x:v>
      </x:c>
      <x:c r="N1179" s="9" t="n">
        <x:f>M1179*'Parameters'!$C$18</x:f>
        <x:v>0.38333333333333336</x:v>
      </x:c>
      <x:c r="O1179" s="9" t="n">
        <x:f>N1179*'Parameters'!$C$19</x:f>
        <x:v>0.4791666666666667</x:v>
      </x:c>
      <x:c r="P1179" s="9" t="n">
        <x:f>M1179*(1-0.40)-N1179</x:f>
        <x:v>0.7666666666666666</x:v>
      </x:c>
      <x:c r="Q1179" s="9" t="n">
        <x:f>'Physical_Arcs'!T39</x:f>
        <x:v>0.9722222222222222</x:v>
      </x:c>
      <x:c r="R1179" s="9" t="n">
        <x:f>Q1179*'Parameters'!$C$18</x:f>
        <x:v>0.19444444444444445</x:v>
      </x:c>
      <x:c r="S1179" s="9" t="n">
        <x:f>R1179*'Parameters'!$C$19</x:f>
        <x:v>0.24305555555555555</x:v>
      </x:c>
      <x:c r="T1179" s="9" t="n">
        <x:f>Q1179*(1-0.40)-R1179</x:f>
        <x:v>0.38888888888888884</x:v>
      </x:c>
    </x:row>
    <x:row r="1180" ht="21" customHeight="1">
      <x:c r="A1180" s="3" t="n">
        <x:v>19</x:v>
      </x:c>
      <x:c r="B1180" s="3" t="str">
        <x:v>03:10</x:v>
      </x:c>
      <x:c r="C1180" s="3" t="n">
        <x:v>4</x:v>
      </x:c>
      <x:c r="D1180" s="3" t="n">
        <x:v>39</x:v>
      </x:c>
      <x:c r="E1180" s="3" t="n">
        <x:v>7</x:v>
      </x:c>
      <x:c r="F1180" s="3" t="n">
        <x:v>8</x:v>
      </x:c>
      <x:c r="G1180" s="9" t="n">
        <x:v>0.08</x:v>
      </x:c>
      <x:c r="H1180" s="9" t="n">
        <x:v>1.003268</x:v>
      </x:c>
      <x:c r="I1180" s="9" t="n">
        <x:f>'Physical_Arcs'!R40</x:f>
        <x:v>17.02777777777778</x:v>
      </x:c>
      <x:c r="J1180" s="9" t="n">
        <x:f>I1180*'Parameters'!$C$18</x:f>
        <x:v>3.405555555555556</x:v>
      </x:c>
      <x:c r="K1180" s="9" t="n">
        <x:f>J1180*'Parameters'!$C$19</x:f>
        <x:v>4.256944444444445</x:v>
      </x:c>
      <x:c r="L1180" s="9" t="n">
        <x:f>I1180*(1-0.40)-J1180</x:f>
        <x:v>6.811111111111111</x:v>
      </x:c>
      <x:c r="M1180" s="9" t="n">
        <x:f>'Physical_Arcs'!S40</x:f>
        <x:v>17.02777777777778</x:v>
      </x:c>
      <x:c r="N1180" s="9" t="n">
        <x:f>M1180*'Parameters'!$C$18</x:f>
        <x:v>3.405555555555556</x:v>
      </x:c>
      <x:c r="O1180" s="9" t="n">
        <x:f>N1180*'Parameters'!$C$19</x:f>
        <x:v>4.256944444444445</x:v>
      </x:c>
      <x:c r="P1180" s="9" t="n">
        <x:f>M1180*(1-0.40)-N1180</x:f>
        <x:v>6.811111111111111</x:v>
      </x:c>
      <x:c r="Q1180" s="9" t="n">
        <x:f>'Physical_Arcs'!T40</x:f>
        <x:v>17.02777777777778</x:v>
      </x:c>
      <x:c r="R1180" s="9" t="n">
        <x:f>Q1180*'Parameters'!$C$18</x:f>
        <x:v>3.405555555555556</x:v>
      </x:c>
      <x:c r="S1180" s="9" t="n">
        <x:f>R1180*'Parameters'!$C$19</x:f>
        <x:v>4.256944444444445</x:v>
      </x:c>
      <x:c r="T1180" s="9" t="n">
        <x:f>Q1180*(1-0.40)-R1180</x:f>
        <x:v>6.811111111111111</x:v>
      </x:c>
    </x:row>
    <x:row r="1181" ht="21" customHeight="1">
      <x:c r="A1181" s="3" t="n">
        <x:v>19</x:v>
      </x:c>
      <x:c r="B1181" s="3" t="str">
        <x:v>03:10</x:v>
      </x:c>
      <x:c r="C1181" s="3" t="n">
        <x:v>4</x:v>
      </x:c>
      <x:c r="D1181" s="3" t="n">
        <x:v>40</x:v>
      </x:c>
      <x:c r="E1181" s="3" t="n">
        <x:v>7</x:v>
      </x:c>
      <x:c r="F1181" s="3" t="n">
        <x:v>1</x:v>
      </x:c>
      <x:c r="G1181" s="9" t="n">
        <x:v>0.08</x:v>
      </x:c>
      <x:c r="H1181" s="9" t="n">
        <x:v>1.057592</x:v>
      </x:c>
      <x:c r="I1181" s="9" t="n">
        <x:f>'Physical_Arcs'!R41</x:f>
        <x:v>7.972222222222222</x:v>
      </x:c>
      <x:c r="J1181" s="9" t="n">
        <x:f>I1181*'Parameters'!$C$18</x:f>
        <x:v>1.5944444444444446</x:v>
      </x:c>
      <x:c r="K1181" s="9" t="n">
        <x:f>J1181*'Parameters'!$C$19</x:f>
        <x:v>1.9930555555555558</x:v>
      </x:c>
      <x:c r="L1181" s="9" t="n">
        <x:f>I1181*(1-0.40)-J1181</x:f>
        <x:v>3.1888888888888887</x:v>
      </x:c>
      <x:c r="M1181" s="9" t="n">
        <x:f>'Physical_Arcs'!S41</x:f>
        <x:v>7.972222222222222</x:v>
      </x:c>
      <x:c r="N1181" s="9" t="n">
        <x:f>M1181*'Parameters'!$C$18</x:f>
        <x:v>1.5944444444444446</x:v>
      </x:c>
      <x:c r="O1181" s="9" t="n">
        <x:f>N1181*'Parameters'!$C$19</x:f>
        <x:v>1.9930555555555558</x:v>
      </x:c>
      <x:c r="P1181" s="9" t="n">
        <x:f>M1181*(1-0.40)-N1181</x:f>
        <x:v>3.1888888888888887</x:v>
      </x:c>
      <x:c r="Q1181" s="9" t="n">
        <x:f>'Physical_Arcs'!T41</x:f>
        <x:v>4</x:v>
      </x:c>
      <x:c r="R1181" s="9" t="n">
        <x:f>Q1181*'Parameters'!$C$18</x:f>
        <x:v>0.8</x:v>
      </x:c>
      <x:c r="S1181" s="9" t="n">
        <x:f>R1181*'Parameters'!$C$19</x:f>
        <x:v>1</x:v>
      </x:c>
      <x:c r="T1181" s="9" t="n">
        <x:f>Q1181*(1-0.40)-R1181</x:f>
        <x:v>1.5999999999999999</x:v>
      </x:c>
    </x:row>
    <x:row r="1182" ht="21" customHeight="1">
      <x:c r="A1182" s="3" t="n">
        <x:v>19</x:v>
      </x:c>
      <x:c r="B1182" s="3" t="str">
        <x:v>03:10</x:v>
      </x:c>
      <x:c r="C1182" s="3" t="n">
        <x:v>4</x:v>
      </x:c>
      <x:c r="D1182" s="3" t="n">
        <x:v>41</x:v>
      </x:c>
      <x:c r="E1182" s="3" t="n">
        <x:v>7</x:v>
      </x:c>
      <x:c r="F1182" s="3" t="n">
        <x:v>9</x:v>
      </x:c>
      <x:c r="G1182" s="9" t="n">
        <x:v>0.08</x:v>
      </x:c>
      <x:c r="H1182" s="9" t="n">
        <x:v>1.14801</x:v>
      </x:c>
      <x:c r="I1182" s="9" t="n">
        <x:f>'Physical_Arcs'!R42</x:f>
        <x:v>8.88888888888889</x:v>
      </x:c>
      <x:c r="J1182" s="9" t="n">
        <x:f>I1182*'Parameters'!$C$18</x:f>
        <x:v>1.777777777777778</x:v>
      </x:c>
      <x:c r="K1182" s="9" t="n">
        <x:f>J1182*'Parameters'!$C$19</x:f>
        <x:v>2.2222222222222223</x:v>
      </x:c>
      <x:c r="L1182" s="9" t="n">
        <x:f>I1182*(1-0.40)-J1182</x:f>
        <x:v>3.5555555555555554</x:v>
      </x:c>
      <x:c r="M1182" s="9" t="n">
        <x:f>'Physical_Arcs'!S42</x:f>
        <x:v>8.88888888888889</x:v>
      </x:c>
      <x:c r="N1182" s="9" t="n">
        <x:f>M1182*'Parameters'!$C$18</x:f>
        <x:v>1.777777777777778</x:v>
      </x:c>
      <x:c r="O1182" s="9" t="n">
        <x:f>N1182*'Parameters'!$C$19</x:f>
        <x:v>2.2222222222222223</x:v>
      </x:c>
      <x:c r="P1182" s="9" t="n">
        <x:f>M1182*(1-0.40)-N1182</x:f>
        <x:v>3.5555555555555554</x:v>
      </x:c>
      <x:c r="Q1182" s="9" t="n">
        <x:f>'Physical_Arcs'!T42</x:f>
        <x:v>4.444444444444445</x:v>
      </x:c>
      <x:c r="R1182" s="9" t="n">
        <x:f>Q1182*'Parameters'!$C$18</x:f>
        <x:v>0.888888888888889</x:v>
      </x:c>
      <x:c r="S1182" s="9" t="n">
        <x:f>R1182*'Parameters'!$C$19</x:f>
        <x:v>1.1111111111111112</x:v>
      </x:c>
      <x:c r="T1182" s="9" t="n">
        <x:f>Q1182*(1-0.40)-R1182</x:f>
        <x:v>1.7777777777777777</x:v>
      </x:c>
    </x:row>
    <x:row r="1183" ht="21" customHeight="1">
      <x:c r="A1183" s="3" t="n">
        <x:v>19</x:v>
      </x:c>
      <x:c r="B1183" s="3" t="str">
        <x:v>03:10</x:v>
      </x:c>
      <x:c r="C1183" s="3" t="n">
        <x:v>4</x:v>
      </x:c>
      <x:c r="D1183" s="3" t="n">
        <x:v>42</x:v>
      </x:c>
      <x:c r="E1183" s="3" t="n">
        <x:v>7</x:v>
      </x:c>
      <x:c r="F1183" s="3" t="n">
        <x:v>2</x:v>
      </x:c>
      <x:c r="G1183" s="9" t="n">
        <x:v>0.08</x:v>
      </x:c>
      <x:c r="H1183" s="9" t="n">
        <x:v>0.989237</x:v>
      </x:c>
      <x:c r="I1183" s="9" t="n">
        <x:f>'Physical_Arcs'!R43</x:f>
        <x:v>9</x:v>
      </x:c>
      <x:c r="J1183" s="9" t="n">
        <x:f>I1183*'Parameters'!$C$18</x:f>
        <x:v>1.8</x:v>
      </x:c>
      <x:c r="K1183" s="9" t="n">
        <x:f>J1183*'Parameters'!$C$19</x:f>
        <x:v>2.25</x:v>
      </x:c>
      <x:c r="L1183" s="9" t="n">
        <x:f>I1183*(1-0.40)-J1183</x:f>
        <x:v>3.5999999999999996</x:v>
      </x:c>
      <x:c r="M1183" s="9" t="n">
        <x:f>'Physical_Arcs'!S43</x:f>
        <x:v>9</x:v>
      </x:c>
      <x:c r="N1183" s="9" t="n">
        <x:f>M1183*'Parameters'!$C$18</x:f>
        <x:v>1.8</x:v>
      </x:c>
      <x:c r="O1183" s="9" t="n">
        <x:f>N1183*'Parameters'!$C$19</x:f>
        <x:v>2.25</x:v>
      </x:c>
      <x:c r="P1183" s="9" t="n">
        <x:f>M1183*(1-0.40)-N1183</x:f>
        <x:v>3.5999999999999996</x:v>
      </x:c>
      <x:c r="Q1183" s="9" t="n">
        <x:f>'Physical_Arcs'!T43</x:f>
        <x:v>4.5</x:v>
      </x:c>
      <x:c r="R1183" s="9" t="n">
        <x:f>Q1183*'Parameters'!$C$18</x:f>
        <x:v>0.9</x:v>
      </x:c>
      <x:c r="S1183" s="9" t="n">
        <x:f>R1183*'Parameters'!$C$19</x:f>
        <x:v>1.125</x:v>
      </x:c>
      <x:c r="T1183" s="9" t="n">
        <x:f>Q1183*(1-0.40)-R1183</x:f>
        <x:v>1.7999999999999998</x:v>
      </x:c>
    </x:row>
    <x:row r="1184" ht="21" customHeight="1">
      <x:c r="A1184" s="3" t="n">
        <x:v>19</x:v>
      </x:c>
      <x:c r="B1184" s="3" t="str">
        <x:v>03:10</x:v>
      </x:c>
      <x:c r="C1184" s="3" t="n">
        <x:v>4</x:v>
      </x:c>
      <x:c r="D1184" s="3" t="n">
        <x:v>43</x:v>
      </x:c>
      <x:c r="E1184" s="3" t="n">
        <x:v>7</x:v>
      </x:c>
      <x:c r="F1184" s="3" t="n">
        <x:v>3</x:v>
      </x:c>
      <x:c r="G1184" s="9" t="n">
        <x:v>0.08</x:v>
      </x:c>
      <x:c r="H1184" s="9" t="n">
        <x:v>1.050432</x:v>
      </x:c>
      <x:c r="I1184" s="9" t="n">
        <x:f>'Physical_Arcs'!R44</x:f>
        <x:v>7.638888888888889</x:v>
      </x:c>
      <x:c r="J1184" s="9" t="n">
        <x:f>I1184*'Parameters'!$C$18</x:f>
        <x:v>1.527777777777778</x:v>
      </x:c>
      <x:c r="K1184" s="9" t="n">
        <x:f>J1184*'Parameters'!$C$19</x:f>
        <x:v>1.9097222222222223</x:v>
      </x:c>
      <x:c r="L1184" s="9" t="n">
        <x:f>I1184*(1-0.40)-J1184</x:f>
        <x:v>3.0555555555555554</x:v>
      </x:c>
      <x:c r="M1184" s="9" t="n">
        <x:f>'Physical_Arcs'!S44</x:f>
        <x:v>7.638888888888889</x:v>
      </x:c>
      <x:c r="N1184" s="9" t="n">
        <x:f>M1184*'Parameters'!$C$18</x:f>
        <x:v>1.527777777777778</x:v>
      </x:c>
      <x:c r="O1184" s="9" t="n">
        <x:f>N1184*'Parameters'!$C$19</x:f>
        <x:v>1.9097222222222223</x:v>
      </x:c>
      <x:c r="P1184" s="9" t="n">
        <x:f>M1184*(1-0.40)-N1184</x:f>
        <x:v>3.0555555555555554</x:v>
      </x:c>
      <x:c r="Q1184" s="9" t="n">
        <x:f>'Physical_Arcs'!T44</x:f>
        <x:v>3.8333333333333335</x:v>
      </x:c>
      <x:c r="R1184" s="9" t="n">
        <x:f>Q1184*'Parameters'!$C$18</x:f>
        <x:v>0.7666666666666667</x:v>
      </x:c>
      <x:c r="S1184" s="9" t="n">
        <x:f>R1184*'Parameters'!$C$19</x:f>
        <x:v>0.9583333333333334</x:v>
      </x:c>
      <x:c r="T1184" s="9" t="n">
        <x:f>Q1184*(1-0.40)-R1184</x:f>
        <x:v>1.5333333333333332</x:v>
      </x:c>
    </x:row>
    <x:row r="1185" ht="21" customHeight="1">
      <x:c r="A1185" s="3" t="n">
        <x:v>19</x:v>
      </x:c>
      <x:c r="B1185" s="3" t="str">
        <x:v>03:10</x:v>
      </x:c>
      <x:c r="C1185" s="3" t="n">
        <x:v>4</x:v>
      </x:c>
      <x:c r="D1185" s="3" t="n">
        <x:v>44</x:v>
      </x:c>
      <x:c r="E1185" s="3" t="n">
        <x:v>8</x:v>
      </x:c>
      <x:c r="F1185" s="3" t="n">
        <x:v>9</x:v>
      </x:c>
      <x:c r="G1185" s="9" t="n">
        <x:v>0.08</x:v>
      </x:c>
      <x:c r="H1185" s="9" t="n">
        <x:v>0.868101</x:v>
      </x:c>
      <x:c r="I1185" s="9" t="n">
        <x:f>'Physical_Arcs'!R45</x:f>
        <x:v>17.02777777777778</x:v>
      </x:c>
      <x:c r="J1185" s="9" t="n">
        <x:f>I1185*'Parameters'!$C$18</x:f>
        <x:v>3.405555555555556</x:v>
      </x:c>
      <x:c r="K1185" s="9" t="n">
        <x:f>J1185*'Parameters'!$C$19</x:f>
        <x:v>4.256944444444445</x:v>
      </x:c>
      <x:c r="L1185" s="9" t="n">
        <x:f>I1185*(1-0.40)-J1185</x:f>
        <x:v>6.811111111111111</x:v>
      </x:c>
      <x:c r="M1185" s="9" t="n">
        <x:f>'Physical_Arcs'!S45</x:f>
        <x:v>17.02777777777778</x:v>
      </x:c>
      <x:c r="N1185" s="9" t="n">
        <x:f>M1185*'Parameters'!$C$18</x:f>
        <x:v>3.405555555555556</x:v>
      </x:c>
      <x:c r="O1185" s="9" t="n">
        <x:f>N1185*'Parameters'!$C$19</x:f>
        <x:v>4.256944444444445</x:v>
      </x:c>
      <x:c r="P1185" s="9" t="n">
        <x:f>M1185*(1-0.40)-N1185</x:f>
        <x:v>6.811111111111111</x:v>
      </x:c>
      <x:c r="Q1185" s="9" t="n">
        <x:f>'Physical_Arcs'!T45</x:f>
        <x:v>17.02777777777778</x:v>
      </x:c>
      <x:c r="R1185" s="9" t="n">
        <x:f>Q1185*'Parameters'!$C$18</x:f>
        <x:v>3.405555555555556</x:v>
      </x:c>
      <x:c r="S1185" s="9" t="n">
        <x:f>R1185*'Parameters'!$C$19</x:f>
        <x:v>4.256944444444445</x:v>
      </x:c>
      <x:c r="T1185" s="9" t="n">
        <x:f>Q1185*(1-0.40)-R1185</x:f>
        <x:v>6.811111111111111</x:v>
      </x:c>
    </x:row>
    <x:row r="1186" ht="21" customHeight="1">
      <x:c r="A1186" s="3" t="n">
        <x:v>19</x:v>
      </x:c>
      <x:c r="B1186" s="3" t="str">
        <x:v>03:10</x:v>
      </x:c>
      <x:c r="C1186" s="3" t="n">
        <x:v>4</x:v>
      </x:c>
      <x:c r="D1186" s="3" t="n">
        <x:v>45</x:v>
      </x:c>
      <x:c r="E1186" s="3" t="n">
        <x:v>8</x:v>
      </x:c>
      <x:c r="F1186" s="3" t="n">
        <x:v>3</x:v>
      </x:c>
      <x:c r="G1186" s="9" t="n">
        <x:v>0.08</x:v>
      </x:c>
      <x:c r="H1186" s="9" t="n">
        <x:v>0.944958</x:v>
      </x:c>
      <x:c r="I1186" s="9" t="n">
        <x:f>'Physical_Arcs'!R46</x:f>
        <x:v>5.388888888888889</x:v>
      </x:c>
      <x:c r="J1186" s="9" t="n">
        <x:f>I1186*'Parameters'!$C$18</x:f>
        <x:v>1.077777777777778</x:v>
      </x:c>
      <x:c r="K1186" s="9" t="n">
        <x:f>J1186*'Parameters'!$C$19</x:f>
        <x:v>1.3472222222222223</x:v>
      </x:c>
      <x:c r="L1186" s="9" t="n">
        <x:f>I1186*(1-0.40)-J1186</x:f>
        <x:v>2.1555555555555554</x:v>
      </x:c>
      <x:c r="M1186" s="9" t="n">
        <x:f>'Physical_Arcs'!S46</x:f>
        <x:v>5.388888888888889</x:v>
      </x:c>
      <x:c r="N1186" s="9" t="n">
        <x:f>M1186*'Parameters'!$C$18</x:f>
        <x:v>1.077777777777778</x:v>
      </x:c>
      <x:c r="O1186" s="9" t="n">
        <x:f>N1186*'Parameters'!$C$19</x:f>
        <x:v>1.3472222222222223</x:v>
      </x:c>
      <x:c r="P1186" s="9" t="n">
        <x:f>M1186*(1-0.40)-N1186</x:f>
        <x:v>2.1555555555555554</x:v>
      </x:c>
      <x:c r="Q1186" s="9" t="n">
        <x:f>'Physical_Arcs'!T46</x:f>
        <x:v>2.6944444444444446</x:v>
      </x:c>
      <x:c r="R1186" s="9" t="n">
        <x:f>Q1186*'Parameters'!$C$18</x:f>
        <x:v>0.538888888888889</x:v>
      </x:c>
      <x:c r="S1186" s="9" t="n">
        <x:f>R1186*'Parameters'!$C$19</x:f>
        <x:v>0.6736111111111112</x:v>
      </x:c>
      <x:c r="T1186" s="9" t="n">
        <x:f>Q1186*(1-0.40)-R1186</x:f>
        <x:v>1.0777777777777777</x:v>
      </x:c>
    </x:row>
    <x:row r="1187" ht="21" customHeight="1">
      <x:c r="A1187" s="3" t="n">
        <x:v>19</x:v>
      </x:c>
      <x:c r="B1187" s="3" t="str">
        <x:v>03:10</x:v>
      </x:c>
      <x:c r="C1187" s="3" t="n">
        <x:v>4</x:v>
      </x:c>
      <x:c r="D1187" s="3" t="n">
        <x:v>46</x:v>
      </x:c>
      <x:c r="E1187" s="3" t="n">
        <x:v>8</x:v>
      </x:c>
      <x:c r="F1187" s="3" t="n">
        <x:v>7</x:v>
      </x:c>
      <x:c r="G1187" s="9" t="n">
        <x:v>0.08</x:v>
      </x:c>
      <x:c r="H1187" s="9" t="n">
        <x:v>0.866232</x:v>
      </x:c>
      <x:c r="I1187" s="9" t="n">
        <x:f>'Physical_Arcs'!R47</x:f>
        <x:v>5.388888888888889</x:v>
      </x:c>
      <x:c r="J1187" s="9" t="n">
        <x:f>I1187*'Parameters'!$C$18</x:f>
        <x:v>1.077777777777778</x:v>
      </x:c>
      <x:c r="K1187" s="9" t="n">
        <x:f>J1187*'Parameters'!$C$19</x:f>
        <x:v>1.3472222222222223</x:v>
      </x:c>
      <x:c r="L1187" s="9" t="n">
        <x:f>I1187*(1-0.40)-J1187</x:f>
        <x:v>2.1555555555555554</x:v>
      </x:c>
      <x:c r="M1187" s="9" t="n">
        <x:f>'Physical_Arcs'!S47</x:f>
        <x:v>5.388888888888889</x:v>
      </x:c>
      <x:c r="N1187" s="9" t="n">
        <x:f>M1187*'Parameters'!$C$18</x:f>
        <x:v>1.077777777777778</x:v>
      </x:c>
      <x:c r="O1187" s="9" t="n">
        <x:f>N1187*'Parameters'!$C$19</x:f>
        <x:v>1.3472222222222223</x:v>
      </x:c>
      <x:c r="P1187" s="9" t="n">
        <x:f>M1187*(1-0.40)-N1187</x:f>
        <x:v>2.1555555555555554</x:v>
      </x:c>
      <x:c r="Q1187" s="9" t="n">
        <x:f>'Physical_Arcs'!T47</x:f>
        <x:v>2.6944444444444446</x:v>
      </x:c>
      <x:c r="R1187" s="9" t="n">
        <x:f>Q1187*'Parameters'!$C$18</x:f>
        <x:v>0.538888888888889</x:v>
      </x:c>
      <x:c r="S1187" s="9" t="n">
        <x:f>R1187*'Parameters'!$C$19</x:f>
        <x:v>0.6736111111111112</x:v>
      </x:c>
      <x:c r="T1187" s="9" t="n">
        <x:f>Q1187*(1-0.40)-R1187</x:f>
        <x:v>1.0777777777777777</x:v>
      </x:c>
    </x:row>
    <x:row r="1188" ht="21" customHeight="1">
      <x:c r="A1188" s="3" t="n">
        <x:v>19</x:v>
      </x:c>
      <x:c r="B1188" s="3" t="str">
        <x:v>03:10</x:v>
      </x:c>
      <x:c r="C1188" s="3" t="n">
        <x:v>4</x:v>
      </x:c>
      <x:c r="D1188" s="3" t="n">
        <x:v>47</x:v>
      </x:c>
      <x:c r="E1188" s="3" t="n">
        <x:v>8</x:v>
      </x:c>
      <x:c r="F1188" s="3" t="n">
        <x:v>2</x:v>
      </x:c>
      <x:c r="G1188" s="9" t="n">
        <x:v>0.08</x:v>
      </x:c>
      <x:c r="H1188" s="9" t="n">
        <x:v>1.135644</x:v>
      </x:c>
      <x:c r="I1188" s="9" t="n">
        <x:f>'Physical_Arcs'!R48</x:f>
        <x:v>8.083333333333334</x:v>
      </x:c>
      <x:c r="J1188" s="9" t="n">
        <x:f>I1188*'Parameters'!$C$18</x:f>
        <x:v>1.616666666666667</x:v>
      </x:c>
      <x:c r="K1188" s="9" t="n">
        <x:f>J1188*'Parameters'!$C$19</x:f>
        <x:v>2.0208333333333335</x:v>
      </x:c>
      <x:c r="L1188" s="9" t="n">
        <x:f>I1188*(1-0.40)-J1188</x:f>
        <x:v>3.2333333333333334</x:v>
      </x:c>
      <x:c r="M1188" s="9" t="n">
        <x:f>'Physical_Arcs'!S48</x:f>
        <x:v>8.083333333333334</x:v>
      </x:c>
      <x:c r="N1188" s="9" t="n">
        <x:f>M1188*'Parameters'!$C$18</x:f>
        <x:v>1.616666666666667</x:v>
      </x:c>
      <x:c r="O1188" s="9" t="n">
        <x:f>N1188*'Parameters'!$C$19</x:f>
        <x:v>2.0208333333333335</x:v>
      </x:c>
      <x:c r="P1188" s="9" t="n">
        <x:f>M1188*(1-0.40)-N1188</x:f>
        <x:v>3.2333333333333334</x:v>
      </x:c>
      <x:c r="Q1188" s="9" t="n">
        <x:f>'Physical_Arcs'!T48</x:f>
        <x:v>4.055555555555555</x:v>
      </x:c>
      <x:c r="R1188" s="9" t="n">
        <x:f>Q1188*'Parameters'!$C$18</x:f>
        <x:v>0.8111111111111111</x:v>
      </x:c>
      <x:c r="S1188" s="9" t="n">
        <x:f>R1188*'Parameters'!$C$19</x:f>
        <x:v>1.0138888888888888</x:v>
      </x:c>
      <x:c r="T1188" s="9" t="n">
        <x:f>Q1188*(1-0.40)-R1188</x:f>
        <x:v>1.622222222222222</x:v>
      </x:c>
    </x:row>
    <x:row r="1189" ht="21" customHeight="1">
      <x:c r="A1189" s="3" t="n">
        <x:v>19</x:v>
      </x:c>
      <x:c r="B1189" s="3" t="str">
        <x:v>03:10</x:v>
      </x:c>
      <x:c r="C1189" s="3" t="n">
        <x:v>4</x:v>
      </x:c>
      <x:c r="D1189" s="3" t="n">
        <x:v>48</x:v>
      </x:c>
      <x:c r="E1189" s="3" t="n">
        <x:v>8</x:v>
      </x:c>
      <x:c r="F1189" s="3" t="n">
        <x:v>6</x:v>
      </x:c>
      <x:c r="G1189" s="9" t="n">
        <x:v>0.08</x:v>
      </x:c>
      <x:c r="H1189" s="9" t="n">
        <x:v>0.850778</x:v>
      </x:c>
      <x:c r="I1189" s="9" t="n">
        <x:f>'Physical_Arcs'!R49</x:f>
        <x:v>10.555555555555555</x:v>
      </x:c>
      <x:c r="J1189" s="9" t="n">
        <x:f>I1189*'Parameters'!$C$18</x:f>
        <x:v>2.111111111111111</x:v>
      </x:c>
      <x:c r="K1189" s="9" t="n">
        <x:f>J1189*'Parameters'!$C$19</x:f>
        <x:v>2.638888888888889</x:v>
      </x:c>
      <x:c r="L1189" s="9" t="n">
        <x:f>I1189*(1-0.40)-J1189</x:f>
        <x:v>4.222222222222221</x:v>
      </x:c>
      <x:c r="M1189" s="9" t="n">
        <x:f>'Physical_Arcs'!S49</x:f>
        <x:v>10.555555555555555</x:v>
      </x:c>
      <x:c r="N1189" s="9" t="n">
        <x:f>M1189*'Parameters'!$C$18</x:f>
        <x:v>2.111111111111111</x:v>
      </x:c>
      <x:c r="O1189" s="9" t="n">
        <x:f>N1189*'Parameters'!$C$19</x:f>
        <x:v>2.638888888888889</x:v>
      </x:c>
      <x:c r="P1189" s="9" t="n">
        <x:f>M1189*(1-0.40)-N1189</x:f>
        <x:v>4.222222222222221</x:v>
      </x:c>
      <x:c r="Q1189" s="9" t="n">
        <x:f>'Physical_Arcs'!T49</x:f>
        <x:v>5.277777777777778</x:v>
      </x:c>
      <x:c r="R1189" s="9" t="n">
        <x:f>Q1189*'Parameters'!$C$18</x:f>
        <x:v>1.0555555555555556</x:v>
      </x:c>
      <x:c r="S1189" s="9" t="n">
        <x:f>R1189*'Parameters'!$C$19</x:f>
        <x:v>1.3194444444444444</x:v>
      </x:c>
      <x:c r="T1189" s="9" t="n">
        <x:f>Q1189*(1-0.40)-R1189</x:f>
        <x:v>2.1111111111111107</x:v>
      </x:c>
    </x:row>
    <x:row r="1190" ht="21" customHeight="1">
      <x:c r="A1190" s="3" t="n">
        <x:v>19</x:v>
      </x:c>
      <x:c r="B1190" s="3" t="str">
        <x:v>03:10</x:v>
      </x:c>
      <x:c r="C1190" s="3" t="n">
        <x:v>4</x:v>
      </x:c>
      <x:c r="D1190" s="3" t="n">
        <x:v>49</x:v>
      </x:c>
      <x:c r="E1190" s="3" t="n">
        <x:v>8</x:v>
      </x:c>
      <x:c r="F1190" s="3" t="n">
        <x:v>4</x:v>
      </x:c>
      <x:c r="G1190" s="9" t="n">
        <x:v>0.08</x:v>
      </x:c>
      <x:c r="H1190" s="9" t="n">
        <x:v>0.904949</x:v>
      </x:c>
      <x:c r="I1190" s="9" t="n">
        <x:f>'Physical_Arcs'!R50</x:f>
        <x:v>1.5833333333333333</x:v>
      </x:c>
      <x:c r="J1190" s="9" t="n">
        <x:f>I1190*'Parameters'!$C$18</x:f>
        <x:v>0.31666666666666665</x:v>
      </x:c>
      <x:c r="K1190" s="9" t="n">
        <x:f>J1190*'Parameters'!$C$19</x:f>
        <x:v>0.3958333333333333</x:v>
      </x:c>
      <x:c r="L1190" s="9" t="n">
        <x:f>I1190*(1-0.40)-J1190</x:f>
        <x:v>0.6333333333333333</x:v>
      </x:c>
      <x:c r="M1190" s="9" t="n">
        <x:f>'Physical_Arcs'!S50</x:f>
        <x:v>1.5833333333333333</x:v>
      </x:c>
      <x:c r="N1190" s="9" t="n">
        <x:f>M1190*'Parameters'!$C$18</x:f>
        <x:v>0.31666666666666665</x:v>
      </x:c>
      <x:c r="O1190" s="9" t="n">
        <x:f>N1190*'Parameters'!$C$19</x:f>
        <x:v>0.3958333333333333</x:v>
      </x:c>
      <x:c r="P1190" s="9" t="n">
        <x:f>M1190*(1-0.40)-N1190</x:f>
        <x:v>0.6333333333333333</x:v>
      </x:c>
      <x:c r="Q1190" s="9" t="n">
        <x:f>'Physical_Arcs'!T50</x:f>
        <x:v>0.8055555555555556</x:v>
      </x:c>
      <x:c r="R1190" s="9" t="n">
        <x:f>Q1190*'Parameters'!$C$18</x:f>
        <x:v>0.16111111111111112</x:v>
      </x:c>
      <x:c r="S1190" s="9" t="n">
        <x:f>R1190*'Parameters'!$C$19</x:f>
        <x:v>0.2013888888888889</x:v>
      </x:c>
      <x:c r="T1190" s="9" t="n">
        <x:f>Q1190*(1-0.40)-R1190</x:f>
        <x:v>0.3222222222222222</x:v>
      </x:c>
    </x:row>
    <x:row r="1191" ht="21" customHeight="1">
      <x:c r="A1191" s="3" t="n">
        <x:v>19</x:v>
      </x:c>
      <x:c r="B1191" s="3" t="str">
        <x:v>03:10</x:v>
      </x:c>
      <x:c r="C1191" s="3" t="n">
        <x:v>4</x:v>
      </x:c>
      <x:c r="D1191" s="3" t="n">
        <x:v>50</x:v>
      </x:c>
      <x:c r="E1191" s="3" t="n">
        <x:v>8</x:v>
      </x:c>
      <x:c r="F1191" s="3" t="n">
        <x:v>5</x:v>
      </x:c>
      <x:c r="G1191" s="9" t="n">
        <x:v>0.08</x:v>
      </x:c>
      <x:c r="H1191" s="9" t="n">
        <x:v>0.990416</x:v>
      </x:c>
      <x:c r="I1191" s="9" t="n">
        <x:f>'Physical_Arcs'!R51</x:f>
        <x:v>10.777777777777779</x:v>
      </x:c>
      <x:c r="J1191" s="9" t="n">
        <x:f>I1191*'Parameters'!$C$18</x:f>
        <x:v>2.155555555555556</x:v>
      </x:c>
      <x:c r="K1191" s="9" t="n">
        <x:f>J1191*'Parameters'!$C$19</x:f>
        <x:v>2.6944444444444446</x:v>
      </x:c>
      <x:c r="L1191" s="9" t="n">
        <x:f>I1191*(1-0.40)-J1191</x:f>
        <x:v>4.311111111111111</x:v>
      </x:c>
      <x:c r="M1191" s="9" t="n">
        <x:f>'Physical_Arcs'!S51</x:f>
        <x:v>10.777777777777779</x:v>
      </x:c>
      <x:c r="N1191" s="9" t="n">
        <x:f>M1191*'Parameters'!$C$18</x:f>
        <x:v>2.155555555555556</x:v>
      </x:c>
      <x:c r="O1191" s="9" t="n">
        <x:f>N1191*'Parameters'!$C$19</x:f>
        <x:v>2.6944444444444446</x:v>
      </x:c>
      <x:c r="P1191" s="9" t="n">
        <x:f>M1191*(1-0.40)-N1191</x:f>
        <x:v>4.311111111111111</x:v>
      </x:c>
      <x:c r="Q1191" s="9" t="n">
        <x:f>'Physical_Arcs'!T51</x:f>
        <x:v>5.388888888888889</x:v>
      </x:c>
      <x:c r="R1191" s="9" t="n">
        <x:f>Q1191*'Parameters'!$C$18</x:f>
        <x:v>1.077777777777778</x:v>
      </x:c>
      <x:c r="S1191" s="9" t="n">
        <x:f>R1191*'Parameters'!$C$19</x:f>
        <x:v>1.3472222222222223</x:v>
      </x:c>
      <x:c r="T1191" s="9" t="n">
        <x:f>Q1191*(1-0.40)-R1191</x:f>
        <x:v>2.1555555555555554</x:v>
      </x:c>
    </x:row>
    <x:row r="1192" ht="21" customHeight="1">
      <x:c r="A1192" s="3" t="n">
        <x:v>19</x:v>
      </x:c>
      <x:c r="B1192" s="3" t="str">
        <x:v>03:10</x:v>
      </x:c>
      <x:c r="C1192" s="3" t="n">
        <x:v>4</x:v>
      </x:c>
      <x:c r="D1192" s="3" t="n">
        <x:v>51</x:v>
      </x:c>
      <x:c r="E1192" s="3" t="n">
        <x:v>8</x:v>
      </x:c>
      <x:c r="F1192" s="3" t="n">
        <x:v>1</x:v>
      </x:c>
      <x:c r="G1192" s="9" t="n">
        <x:v>0.08</x:v>
      </x:c>
      <x:c r="H1192" s="9" t="n">
        <x:v>1.039066</x:v>
      </x:c>
      <x:c r="I1192" s="9" t="n">
        <x:f>'Physical_Arcs'!R52</x:f>
        <x:v>8.88888888888889</x:v>
      </x:c>
      <x:c r="J1192" s="9" t="n">
        <x:f>I1192*'Parameters'!$C$18</x:f>
        <x:v>1.777777777777778</x:v>
      </x:c>
      <x:c r="K1192" s="9" t="n">
        <x:f>J1192*'Parameters'!$C$19</x:f>
        <x:v>2.2222222222222223</x:v>
      </x:c>
      <x:c r="L1192" s="9" t="n">
        <x:f>I1192*(1-0.40)-J1192</x:f>
        <x:v>3.5555555555555554</x:v>
      </x:c>
      <x:c r="M1192" s="9" t="n">
        <x:f>'Physical_Arcs'!S52</x:f>
        <x:v>8.88888888888889</x:v>
      </x:c>
      <x:c r="N1192" s="9" t="n">
        <x:f>M1192*'Parameters'!$C$18</x:f>
        <x:v>1.777777777777778</x:v>
      </x:c>
      <x:c r="O1192" s="9" t="n">
        <x:f>N1192*'Parameters'!$C$19</x:f>
        <x:v>2.2222222222222223</x:v>
      </x:c>
      <x:c r="P1192" s="9" t="n">
        <x:f>M1192*(1-0.40)-N1192</x:f>
        <x:v>3.5555555555555554</x:v>
      </x:c>
      <x:c r="Q1192" s="9" t="n">
        <x:f>'Physical_Arcs'!T52</x:f>
        <x:v>4.444444444444445</x:v>
      </x:c>
      <x:c r="R1192" s="9" t="n">
        <x:f>Q1192*'Parameters'!$C$18</x:f>
        <x:v>0.888888888888889</x:v>
      </x:c>
      <x:c r="S1192" s="9" t="n">
        <x:f>R1192*'Parameters'!$C$19</x:f>
        <x:v>1.1111111111111112</x:v>
      </x:c>
      <x:c r="T1192" s="9" t="n">
        <x:f>Q1192*(1-0.40)-R1192</x:f>
        <x:v>1.7777777777777777</x:v>
      </x:c>
    </x:row>
    <x:row r="1193" ht="21" customHeight="1">
      <x:c r="A1193" s="3" t="n">
        <x:v>19</x:v>
      </x:c>
      <x:c r="B1193" s="3" t="str">
        <x:v>03:10</x:v>
      </x:c>
      <x:c r="C1193" s="3" t="n">
        <x:v>4</x:v>
      </x:c>
      <x:c r="D1193" s="3" t="n">
        <x:v>52</x:v>
      </x:c>
      <x:c r="E1193" s="3" t="n">
        <x:v>9</x:v>
      </x:c>
      <x:c r="F1193" s="3" t="n">
        <x:v>10</x:v>
      </x:c>
      <x:c r="G1193" s="9" t="n">
        <x:v>0.08</x:v>
      </x:c>
      <x:c r="H1193" s="9" t="n">
        <x:v>0.954096</x:v>
      </x:c>
      <x:c r="I1193" s="9" t="n">
        <x:f>'Physical_Arcs'!R53</x:f>
        <x:v>17.02777777777778</x:v>
      </x:c>
      <x:c r="J1193" s="9" t="n">
        <x:f>I1193*'Parameters'!$C$18</x:f>
        <x:v>3.405555555555556</x:v>
      </x:c>
      <x:c r="K1193" s="9" t="n">
        <x:f>J1193*'Parameters'!$C$19</x:f>
        <x:v>4.256944444444445</x:v>
      </x:c>
      <x:c r="L1193" s="9" t="n">
        <x:f>I1193*(1-0.40)-J1193</x:f>
        <x:v>6.811111111111111</x:v>
      </x:c>
      <x:c r="M1193" s="9" t="n">
        <x:f>'Physical_Arcs'!S53</x:f>
        <x:v>17.02777777777778</x:v>
      </x:c>
      <x:c r="N1193" s="9" t="n">
        <x:f>M1193*'Parameters'!$C$18</x:f>
        <x:v>3.405555555555556</x:v>
      </x:c>
      <x:c r="O1193" s="9" t="n">
        <x:f>N1193*'Parameters'!$C$19</x:f>
        <x:v>4.256944444444445</x:v>
      </x:c>
      <x:c r="P1193" s="9" t="n">
        <x:f>M1193*(1-0.40)-N1193</x:f>
        <x:v>6.811111111111111</x:v>
      </x:c>
      <x:c r="Q1193" s="9" t="n">
        <x:f>'Physical_Arcs'!T53</x:f>
        <x:v>17.02777777777778</x:v>
      </x:c>
      <x:c r="R1193" s="9" t="n">
        <x:f>Q1193*'Parameters'!$C$18</x:f>
        <x:v>3.405555555555556</x:v>
      </x:c>
      <x:c r="S1193" s="9" t="n">
        <x:f>R1193*'Parameters'!$C$19</x:f>
        <x:v>4.256944444444445</x:v>
      </x:c>
      <x:c r="T1193" s="9" t="n">
        <x:f>Q1193*(1-0.40)-R1193</x:f>
        <x:v>6.811111111111111</x:v>
      </x:c>
    </x:row>
    <x:row r="1194" ht="21" customHeight="1">
      <x:c r="A1194" s="3" t="n">
        <x:v>19</x:v>
      </x:c>
      <x:c r="B1194" s="3" t="str">
        <x:v>03:10</x:v>
      </x:c>
      <x:c r="C1194" s="3" t="n">
        <x:v>4</x:v>
      </x:c>
      <x:c r="D1194" s="3" t="n">
        <x:v>53</x:v>
      </x:c>
      <x:c r="E1194" s="3" t="n">
        <x:v>9</x:v>
      </x:c>
      <x:c r="F1194" s="3" t="n">
        <x:v>6</x:v>
      </x:c>
      <x:c r="G1194" s="9" t="n">
        <x:v>0.08</x:v>
      </x:c>
      <x:c r="H1194" s="9" t="n">
        <x:v>1.125574</x:v>
      </x:c>
      <x:c r="I1194" s="9" t="n">
        <x:f>'Physical_Arcs'!R54</x:f>
        <x:v>9.666666666666666</x:v>
      </x:c>
      <x:c r="J1194" s="9" t="n">
        <x:f>I1194*'Parameters'!$C$18</x:f>
        <x:v>1.9333333333333333</x:v>
      </x:c>
      <x:c r="K1194" s="9" t="n">
        <x:f>J1194*'Parameters'!$C$19</x:f>
        <x:v>2.4166666666666665</x:v>
      </x:c>
      <x:c r="L1194" s="9" t="n">
        <x:f>I1194*(1-0.40)-J1194</x:f>
        <x:v>3.8666666666666663</x:v>
      </x:c>
      <x:c r="M1194" s="9" t="n">
        <x:f>'Physical_Arcs'!S54</x:f>
        <x:v>9.666666666666666</x:v>
      </x:c>
      <x:c r="N1194" s="9" t="n">
        <x:f>M1194*'Parameters'!$C$18</x:f>
        <x:v>1.9333333333333333</x:v>
      </x:c>
      <x:c r="O1194" s="9" t="n">
        <x:f>N1194*'Parameters'!$C$19</x:f>
        <x:v>2.4166666666666665</x:v>
      </x:c>
      <x:c r="P1194" s="9" t="n">
        <x:f>M1194*(1-0.40)-N1194</x:f>
        <x:v>3.8666666666666663</x:v>
      </x:c>
      <x:c r="Q1194" s="9" t="n">
        <x:f>'Physical_Arcs'!T54</x:f>
        <x:v>4.833333333333333</x:v>
      </x:c>
      <x:c r="R1194" s="9" t="n">
        <x:f>Q1194*'Parameters'!$C$18</x:f>
        <x:v>0.9666666666666667</x:v>
      </x:c>
      <x:c r="S1194" s="9" t="n">
        <x:f>R1194*'Parameters'!$C$19</x:f>
        <x:v>1.2083333333333333</x:v>
      </x:c>
      <x:c r="T1194" s="9" t="n">
        <x:f>Q1194*(1-0.40)-R1194</x:f>
        <x:v>1.9333333333333331</x:v>
      </x:c>
    </x:row>
    <x:row r="1195" ht="21" customHeight="1">
      <x:c r="A1195" s="3" t="n">
        <x:v>19</x:v>
      </x:c>
      <x:c r="B1195" s="3" t="str">
        <x:v>03:10</x:v>
      </x:c>
      <x:c r="C1195" s="3" t="n">
        <x:v>4</x:v>
      </x:c>
      <x:c r="D1195" s="3" t="n">
        <x:v>54</x:v>
      </x:c>
      <x:c r="E1195" s="3" t="n">
        <x:v>9</x:v>
      </x:c>
      <x:c r="F1195" s="3" t="n">
        <x:v>2</x:v>
      </x:c>
      <x:c r="G1195" s="9" t="n">
        <x:v>0.08</x:v>
      </x:c>
      <x:c r="H1195" s="9" t="n">
        <x:v>0.854534</x:v>
      </x:c>
      <x:c r="I1195" s="9" t="n">
        <x:f>'Physical_Arcs'!R55</x:f>
        <x:v>9.88888888888889</x:v>
      </x:c>
      <x:c r="J1195" s="9" t="n">
        <x:f>I1195*'Parameters'!$C$18</x:f>
        <x:v>1.9777777777777779</x:v>
      </x:c>
      <x:c r="K1195" s="9" t="n">
        <x:f>J1195*'Parameters'!$C$19</x:f>
        <x:v>2.4722222222222223</x:v>
      </x:c>
      <x:c r="L1195" s="9" t="n">
        <x:f>I1195*(1-0.40)-J1195</x:f>
        <x:v>3.9555555555555557</x:v>
      </x:c>
      <x:c r="M1195" s="9" t="n">
        <x:f>'Physical_Arcs'!S55</x:f>
        <x:v>9.88888888888889</x:v>
      </x:c>
      <x:c r="N1195" s="9" t="n">
        <x:f>M1195*'Parameters'!$C$18</x:f>
        <x:v>1.9777777777777779</x:v>
      </x:c>
      <x:c r="O1195" s="9" t="n">
        <x:f>N1195*'Parameters'!$C$19</x:f>
        <x:v>2.4722222222222223</x:v>
      </x:c>
      <x:c r="P1195" s="9" t="n">
        <x:f>M1195*(1-0.40)-N1195</x:f>
        <x:v>3.9555555555555557</x:v>
      </x:c>
      <x:c r="Q1195" s="9" t="n">
        <x:f>'Physical_Arcs'!T55</x:f>
        <x:v>4.944444444444445</x:v>
      </x:c>
      <x:c r="R1195" s="9" t="n">
        <x:f>Q1195*'Parameters'!$C$18</x:f>
        <x:v>0.9888888888888889</x:v>
      </x:c>
      <x:c r="S1195" s="9" t="n">
        <x:f>R1195*'Parameters'!$C$19</x:f>
        <x:v>1.2361111111111112</x:v>
      </x:c>
      <x:c r="T1195" s="9" t="n">
        <x:f>Q1195*(1-0.40)-R1195</x:f>
        <x:v>1.9777777777777779</x:v>
      </x:c>
    </x:row>
    <x:row r="1196" ht="21" customHeight="1">
      <x:c r="A1196" s="3" t="n">
        <x:v>19</x:v>
      </x:c>
      <x:c r="B1196" s="3" t="str">
        <x:v>03:10</x:v>
      </x:c>
      <x:c r="C1196" s="3" t="n">
        <x:v>4</x:v>
      </x:c>
      <x:c r="D1196" s="3" t="n">
        <x:v>55</x:v>
      </x:c>
      <x:c r="E1196" s="3" t="n">
        <x:v>9</x:v>
      </x:c>
      <x:c r="F1196" s="3" t="n">
        <x:v>7</x:v>
      </x:c>
      <x:c r="G1196" s="9" t="n">
        <x:v>0.08</x:v>
      </x:c>
      <x:c r="H1196" s="9" t="n">
        <x:v>0.900033</x:v>
      </x:c>
      <x:c r="I1196" s="9" t="n">
        <x:f>'Physical_Arcs'!R56</x:f>
        <x:v>4.166666666666667</x:v>
      </x:c>
      <x:c r="J1196" s="9" t="n">
        <x:f>I1196*'Parameters'!$C$18</x:f>
        <x:v>0.8333333333333335</x:v>
      </x:c>
      <x:c r="K1196" s="9" t="n">
        <x:f>J1196*'Parameters'!$C$19</x:f>
        <x:v>1.041666666666667</x:v>
      </x:c>
      <x:c r="L1196" s="9" t="n">
        <x:f>I1196*(1-0.40)-J1196</x:f>
        <x:v>1.6666666666666665</x:v>
      </x:c>
      <x:c r="M1196" s="9" t="n">
        <x:f>'Physical_Arcs'!S56</x:f>
        <x:v>4.166666666666667</x:v>
      </x:c>
      <x:c r="N1196" s="9" t="n">
        <x:f>M1196*'Parameters'!$C$18</x:f>
        <x:v>0.8333333333333335</x:v>
      </x:c>
      <x:c r="O1196" s="9" t="n">
        <x:f>N1196*'Parameters'!$C$19</x:f>
        <x:v>1.041666666666667</x:v>
      </x:c>
      <x:c r="P1196" s="9" t="n">
        <x:f>M1196*(1-0.40)-N1196</x:f>
        <x:v>1.6666666666666665</x:v>
      </x:c>
      <x:c r="Q1196" s="9" t="n">
        <x:f>'Physical_Arcs'!T56</x:f>
        <x:v>2.0833333333333335</x:v>
      </x:c>
      <x:c r="R1196" s="9" t="n">
        <x:f>Q1196*'Parameters'!$C$18</x:f>
        <x:v>0.41666666666666674</x:v>
      </x:c>
      <x:c r="S1196" s="9" t="n">
        <x:f>R1196*'Parameters'!$C$19</x:f>
        <x:v>0.5208333333333335</x:v>
      </x:c>
      <x:c r="T1196" s="9" t="n">
        <x:f>Q1196*(1-0.40)-R1196</x:f>
        <x:v>0.8333333333333333</x:v>
      </x:c>
    </x:row>
    <x:row r="1197" ht="21" customHeight="1">
      <x:c r="A1197" s="3" t="n">
        <x:v>19</x:v>
      </x:c>
      <x:c r="B1197" s="3" t="str">
        <x:v>03:10</x:v>
      </x:c>
      <x:c r="C1197" s="3" t="n">
        <x:v>4</x:v>
      </x:c>
      <x:c r="D1197" s="3" t="n">
        <x:v>56</x:v>
      </x:c>
      <x:c r="E1197" s="3" t="n">
        <x:v>9</x:v>
      </x:c>
      <x:c r="F1197" s="3" t="n">
        <x:v>3</x:v>
      </x:c>
      <x:c r="G1197" s="9" t="n">
        <x:v>0.08</x:v>
      </x:c>
      <x:c r="H1197" s="9" t="n">
        <x:v>0.893428</x:v>
      </x:c>
      <x:c r="I1197" s="9" t="n">
        <x:f>'Physical_Arcs'!R57</x:f>
        <x:v>3.7222222222222223</x:v>
      </x:c>
      <x:c r="J1197" s="9" t="n">
        <x:f>I1197*'Parameters'!$C$18</x:f>
        <x:v>0.7444444444444445</x:v>
      </x:c>
      <x:c r="K1197" s="9" t="n">
        <x:f>J1197*'Parameters'!$C$19</x:f>
        <x:v>0.9305555555555556</x:v>
      </x:c>
      <x:c r="L1197" s="9" t="n">
        <x:f>I1197*(1-0.40)-J1197</x:f>
        <x:v>1.488888888888889</x:v>
      </x:c>
      <x:c r="M1197" s="9" t="n">
        <x:f>'Physical_Arcs'!S57</x:f>
        <x:v>3.7222222222222223</x:v>
      </x:c>
      <x:c r="N1197" s="9" t="n">
        <x:f>M1197*'Parameters'!$C$18</x:f>
        <x:v>0.7444444444444445</x:v>
      </x:c>
      <x:c r="O1197" s="9" t="n">
        <x:f>N1197*'Parameters'!$C$19</x:f>
        <x:v>0.9305555555555556</x:v>
      </x:c>
      <x:c r="P1197" s="9" t="n">
        <x:f>M1197*(1-0.40)-N1197</x:f>
        <x:v>1.488888888888889</x:v>
      </x:c>
      <x:c r="Q1197" s="9" t="n">
        <x:f>'Physical_Arcs'!T57</x:f>
        <x:v>1.8611111111111112</x:v>
      </x:c>
      <x:c r="R1197" s="9" t="n">
        <x:f>Q1197*'Parameters'!$C$18</x:f>
        <x:v>0.37222222222222223</x:v>
      </x:c>
      <x:c r="S1197" s="9" t="n">
        <x:f>R1197*'Parameters'!$C$19</x:f>
        <x:v>0.4652777777777778</x:v>
      </x:c>
      <x:c r="T1197" s="9" t="n">
        <x:f>Q1197*(1-0.40)-R1197</x:f>
        <x:v>0.7444444444444445</x:v>
      </x:c>
    </x:row>
    <x:row r="1198" ht="21" customHeight="1">
      <x:c r="A1198" s="3" t="n">
        <x:v>19</x:v>
      </x:c>
      <x:c r="B1198" s="3" t="str">
        <x:v>03:10</x:v>
      </x:c>
      <x:c r="C1198" s="3" t="n">
        <x:v>4</x:v>
      </x:c>
      <x:c r="D1198" s="3" t="n">
        <x:v>57</x:v>
      </x:c>
      <x:c r="E1198" s="3" t="n">
        <x:v>10</x:v>
      </x:c>
      <x:c r="F1198" s="3" t="n">
        <x:v>1</x:v>
      </x:c>
      <x:c r="G1198" s="9" t="n">
        <x:v>0.08</x:v>
      </x:c>
      <x:c r="H1198" s="9" t="n">
        <x:v>1.027979</x:v>
      </x:c>
      <x:c r="I1198" s="9" t="n">
        <x:f>'Physical_Arcs'!R58</x:f>
        <x:v>17.02777777777778</x:v>
      </x:c>
      <x:c r="J1198" s="9" t="n">
        <x:f>I1198*'Parameters'!$C$18</x:f>
        <x:v>3.405555555555556</x:v>
      </x:c>
      <x:c r="K1198" s="9" t="n">
        <x:f>J1198*'Parameters'!$C$19</x:f>
        <x:v>4.256944444444445</x:v>
      </x:c>
      <x:c r="L1198" s="9" t="n">
        <x:f>I1198*(1-0.40)-J1198</x:f>
        <x:v>6.811111111111111</x:v>
      </x:c>
      <x:c r="M1198" s="9" t="n">
        <x:f>'Physical_Arcs'!S58</x:f>
        <x:v>17.02777777777778</x:v>
      </x:c>
      <x:c r="N1198" s="9" t="n">
        <x:f>M1198*'Parameters'!$C$18</x:f>
        <x:v>3.405555555555556</x:v>
      </x:c>
      <x:c r="O1198" s="9" t="n">
        <x:f>N1198*'Parameters'!$C$19</x:f>
        <x:v>4.256944444444445</x:v>
      </x:c>
      <x:c r="P1198" s="9" t="n">
        <x:f>M1198*(1-0.40)-N1198</x:f>
        <x:v>6.811111111111111</x:v>
      </x:c>
      <x:c r="Q1198" s="9" t="n">
        <x:f>'Physical_Arcs'!T58</x:f>
        <x:v>17.02777777777778</x:v>
      </x:c>
      <x:c r="R1198" s="9" t="n">
        <x:f>Q1198*'Parameters'!$C$18</x:f>
        <x:v>3.405555555555556</x:v>
      </x:c>
      <x:c r="S1198" s="9" t="n">
        <x:f>R1198*'Parameters'!$C$19</x:f>
        <x:v>4.256944444444445</x:v>
      </x:c>
      <x:c r="T1198" s="9" t="n">
        <x:f>Q1198*(1-0.40)-R1198</x:f>
        <x:v>6.811111111111111</x:v>
      </x:c>
    </x:row>
    <x:row r="1199" ht="21" customHeight="1">
      <x:c r="A1199" s="3" t="n">
        <x:v>19</x:v>
      </x:c>
      <x:c r="B1199" s="3" t="str">
        <x:v>03:10</x:v>
      </x:c>
      <x:c r="C1199" s="3" t="n">
        <x:v>4</x:v>
      </x:c>
      <x:c r="D1199" s="3" t="n">
        <x:v>58</x:v>
      </x:c>
      <x:c r="E1199" s="3" t="n">
        <x:v>10</x:v>
      </x:c>
      <x:c r="F1199" s="3" t="n">
        <x:v>6</x:v>
      </x:c>
      <x:c r="G1199" s="9" t="n">
        <x:v>0.08</x:v>
      </x:c>
      <x:c r="H1199" s="9" t="n">
        <x:v>0.952676</x:v>
      </x:c>
      <x:c r="I1199" s="9" t="n">
        <x:f>'Physical_Arcs'!R59</x:f>
        <x:v>6.305555555555555</x:v>
      </x:c>
      <x:c r="J1199" s="9" t="n">
        <x:f>I1199*'Parameters'!$C$18</x:f>
        <x:v>1.261111111111111</x:v>
      </x:c>
      <x:c r="K1199" s="9" t="n">
        <x:f>J1199*'Parameters'!$C$19</x:f>
        <x:v>1.5763888888888888</x:v>
      </x:c>
      <x:c r="L1199" s="9" t="n">
        <x:f>I1199*(1-0.40)-J1199</x:f>
        <x:v>2.522222222222222</x:v>
      </x:c>
      <x:c r="M1199" s="9" t="n">
        <x:f>'Physical_Arcs'!S59</x:f>
        <x:v>6.305555555555555</x:v>
      </x:c>
      <x:c r="N1199" s="9" t="n">
        <x:f>M1199*'Parameters'!$C$18</x:f>
        <x:v>1.261111111111111</x:v>
      </x:c>
      <x:c r="O1199" s="9" t="n">
        <x:f>N1199*'Parameters'!$C$19</x:f>
        <x:v>1.5763888888888888</x:v>
      </x:c>
      <x:c r="P1199" s="9" t="n">
        <x:f>M1199*(1-0.40)-N1199</x:f>
        <x:v>2.522222222222222</x:v>
      </x:c>
      <x:c r="Q1199" s="9" t="n">
        <x:f>'Physical_Arcs'!T59</x:f>
        <x:v>3.1666666666666665</x:v>
      </x:c>
      <x:c r="R1199" s="9" t="n">
        <x:f>Q1199*'Parameters'!$C$18</x:f>
        <x:v>0.6333333333333333</x:v>
      </x:c>
      <x:c r="S1199" s="9" t="n">
        <x:f>R1199*'Parameters'!$C$19</x:f>
        <x:v>0.7916666666666666</x:v>
      </x:c>
      <x:c r="T1199" s="9" t="n">
        <x:f>Q1199*(1-0.40)-R1199</x:f>
        <x:v>1.2666666666666666</x:v>
      </x:c>
    </x:row>
    <x:row r="1200" ht="21" customHeight="1">
      <x:c r="A1200" s="3" t="n">
        <x:v>19</x:v>
      </x:c>
      <x:c r="B1200" s="3" t="str">
        <x:v>03:10</x:v>
      </x:c>
      <x:c r="C1200" s="3" t="n">
        <x:v>4</x:v>
      </x:c>
      <x:c r="D1200" s="3" t="n">
        <x:v>59</x:v>
      </x:c>
      <x:c r="E1200" s="3" t="n">
        <x:v>10</x:v>
      </x:c>
      <x:c r="F1200" s="3" t="n">
        <x:v>4</x:v>
      </x:c>
      <x:c r="G1200" s="9" t="n">
        <x:v>0.08</x:v>
      </x:c>
      <x:c r="H1200" s="9" t="n">
        <x:v>1.114542</x:v>
      </x:c>
      <x:c r="I1200" s="9" t="n">
        <x:f>'Physical_Arcs'!R60</x:f>
        <x:v>1.5833333333333333</x:v>
      </x:c>
      <x:c r="J1200" s="9" t="n">
        <x:f>I1200*'Parameters'!$C$18</x:f>
        <x:v>0.31666666666666665</x:v>
      </x:c>
      <x:c r="K1200" s="9" t="n">
        <x:f>J1200*'Parameters'!$C$19</x:f>
        <x:v>0.3958333333333333</x:v>
      </x:c>
      <x:c r="L1200" s="9" t="n">
        <x:f>I1200*(1-0.40)-J1200</x:f>
        <x:v>0.6333333333333333</x:v>
      </x:c>
      <x:c r="M1200" s="9" t="n">
        <x:f>'Physical_Arcs'!S60</x:f>
        <x:v>1.5833333333333333</x:v>
      </x:c>
      <x:c r="N1200" s="9" t="n">
        <x:f>M1200*'Parameters'!$C$18</x:f>
        <x:v>0.31666666666666665</x:v>
      </x:c>
      <x:c r="O1200" s="9" t="n">
        <x:f>N1200*'Parameters'!$C$19</x:f>
        <x:v>0.3958333333333333</x:v>
      </x:c>
      <x:c r="P1200" s="9" t="n">
        <x:f>M1200*(1-0.40)-N1200</x:f>
        <x:v>0.6333333333333333</x:v>
      </x:c>
      <x:c r="Q1200" s="9" t="n">
        <x:f>'Physical_Arcs'!T60</x:f>
        <x:v>0.8055555555555556</x:v>
      </x:c>
      <x:c r="R1200" s="9" t="n">
        <x:f>Q1200*'Parameters'!$C$18</x:f>
        <x:v>0.16111111111111112</x:v>
      </x:c>
      <x:c r="S1200" s="9" t="n">
        <x:f>R1200*'Parameters'!$C$19</x:f>
        <x:v>0.2013888888888889</x:v>
      </x:c>
      <x:c r="T1200" s="9" t="n">
        <x:f>Q1200*(1-0.40)-R1200</x:f>
        <x:v>0.3222222222222222</x:v>
      </x:c>
    </x:row>
    <x:row r="1201" ht="21" customHeight="1">
      <x:c r="A1201" s="3" t="n">
        <x:v>19</x:v>
      </x:c>
      <x:c r="B1201" s="3" t="str">
        <x:v>03:10</x:v>
      </x:c>
      <x:c r="C1201" s="3" t="n">
        <x:v>4</x:v>
      </x:c>
      <x:c r="D1201" s="3" t="n">
        <x:v>60</x:v>
      </x:c>
      <x:c r="E1201" s="3" t="n">
        <x:v>10</x:v>
      </x:c>
      <x:c r="F1201" s="3" t="n">
        <x:v>9</x:v>
      </x:c>
      <x:c r="G1201" s="9" t="n">
        <x:v>0.08</x:v>
      </x:c>
      <x:c r="H1201" s="9" t="n">
        <x:v>1.092245</x:v>
      </x:c>
      <x:c r="I1201" s="9" t="n">
        <x:f>'Physical_Arcs'!R61</x:f>
        <x:v>10.333333333333334</x:v>
      </x:c>
      <x:c r="J1201" s="9" t="n">
        <x:f>I1201*'Parameters'!$C$18</x:f>
        <x:v>2.066666666666667</x:v>
      </x:c>
      <x:c r="K1201" s="9" t="n">
        <x:f>J1201*'Parameters'!$C$19</x:f>
        <x:v>2.5833333333333335</x:v>
      </x:c>
      <x:c r="L1201" s="9" t="n">
        <x:f>I1201*(1-0.40)-J1201</x:f>
        <x:v>4.133333333333333</x:v>
      </x:c>
      <x:c r="M1201" s="9" t="n">
        <x:f>'Physical_Arcs'!S61</x:f>
        <x:v>10.333333333333334</x:v>
      </x:c>
      <x:c r="N1201" s="9" t="n">
        <x:f>M1201*'Parameters'!$C$18</x:f>
        <x:v>2.066666666666667</x:v>
      </x:c>
      <x:c r="O1201" s="9" t="n">
        <x:f>N1201*'Parameters'!$C$19</x:f>
        <x:v>2.5833333333333335</x:v>
      </x:c>
      <x:c r="P1201" s="9" t="n">
        <x:f>M1201*(1-0.40)-N1201</x:f>
        <x:v>4.133333333333333</x:v>
      </x:c>
      <x:c r="Q1201" s="9" t="n">
        <x:f>'Physical_Arcs'!T61</x:f>
        <x:v>5.166666666666667</x:v>
      </x:c>
      <x:c r="R1201" s="9" t="n">
        <x:f>Q1201*'Parameters'!$C$18</x:f>
        <x:v>1.0333333333333334</x:v>
      </x:c>
      <x:c r="S1201" s="9" t="n">
        <x:f>R1201*'Parameters'!$C$19</x:f>
        <x:v>1.2916666666666667</x:v>
      </x:c>
      <x:c r="T1201" s="9" t="n">
        <x:f>Q1201*(1-0.40)-R1201</x:f>
        <x:v>2.0666666666666664</x:v>
      </x:c>
    </x:row>
    <x:row r="1202" ht="21" customHeight="1">
      <x:c r="A1202" s="3" t="n">
        <x:v>20</x:v>
      </x:c>
      <x:c r="B1202" s="3" t="str">
        <x:v>03:20</x:v>
      </x:c>
      <x:c r="C1202" s="3" t="n">
        <x:v>4</x:v>
      </x:c>
      <x:c r="D1202" s="3" t="n">
        <x:v>1</x:v>
      </x:c>
      <x:c r="E1202" s="3" t="n">
        <x:v>1</x:v>
      </x:c>
      <x:c r="F1202" s="3" t="n">
        <x:v>2</x:v>
      </x:c>
      <x:c r="G1202" s="9" t="n">
        <x:v>0.08</x:v>
      </x:c>
      <x:c r="H1202" s="9" t="n">
        <x:v>0.914787</x:v>
      </x:c>
      <x:c r="I1202" s="9" t="n">
        <x:f>'Physical_Arcs'!R2</x:f>
        <x:v>17.02777777777778</x:v>
      </x:c>
      <x:c r="J1202" s="9" t="n">
        <x:f>I1202*'Parameters'!$C$18</x:f>
        <x:v>3.405555555555556</x:v>
      </x:c>
      <x:c r="K1202" s="9" t="n">
        <x:f>J1202*'Parameters'!$C$19</x:f>
        <x:v>4.256944444444445</x:v>
      </x:c>
      <x:c r="L1202" s="9" t="n">
        <x:f>I1202*(1-0.40)-J1202</x:f>
        <x:v>6.811111111111111</x:v>
      </x:c>
      <x:c r="M1202" s="9" t="n">
        <x:f>'Physical_Arcs'!S2</x:f>
        <x:v>17.02777777777778</x:v>
      </x:c>
      <x:c r="N1202" s="9" t="n">
        <x:f>M1202*'Parameters'!$C$18</x:f>
        <x:v>3.405555555555556</x:v>
      </x:c>
      <x:c r="O1202" s="9" t="n">
        <x:f>N1202*'Parameters'!$C$19</x:f>
        <x:v>4.256944444444445</x:v>
      </x:c>
      <x:c r="P1202" s="9" t="n">
        <x:f>M1202*(1-0.40)-N1202</x:f>
        <x:v>6.811111111111111</x:v>
      </x:c>
      <x:c r="Q1202" s="9" t="n">
        <x:f>'Physical_Arcs'!T2</x:f>
        <x:v>17.02777777777778</x:v>
      </x:c>
      <x:c r="R1202" s="9" t="n">
        <x:f>Q1202*'Parameters'!$C$18</x:f>
        <x:v>3.405555555555556</x:v>
      </x:c>
      <x:c r="S1202" s="9" t="n">
        <x:f>R1202*'Parameters'!$C$19</x:f>
        <x:v>4.256944444444445</x:v>
      </x:c>
      <x:c r="T1202" s="9" t="n">
        <x:f>Q1202*(1-0.40)-R1202</x:f>
        <x:v>6.811111111111111</x:v>
      </x:c>
    </x:row>
    <x:row r="1203" ht="21" customHeight="1">
      <x:c r="A1203" s="3" t="n">
        <x:v>20</x:v>
      </x:c>
      <x:c r="B1203" s="3" t="str">
        <x:v>03:20</x:v>
      </x:c>
      <x:c r="C1203" s="3" t="n">
        <x:v>4</x:v>
      </x:c>
      <x:c r="D1203" s="3" t="n">
        <x:v>2</x:v>
      </x:c>
      <x:c r="E1203" s="3" t="n">
        <x:v>1</x:v>
      </x:c>
      <x:c r="F1203" s="3" t="n">
        <x:v>10</x:v>
      </x:c>
      <x:c r="G1203" s="9" t="n">
        <x:v>0.08</x:v>
      </x:c>
      <x:c r="H1203" s="9" t="n">
        <x:v>1.003995</x:v>
      </x:c>
      <x:c r="I1203" s="9" t="n">
        <x:f>'Physical_Arcs'!R3</x:f>
        <x:v>3.2777777777777777</x:v>
      </x:c>
      <x:c r="J1203" s="9" t="n">
        <x:f>I1203*'Parameters'!$C$18</x:f>
        <x:v>0.6555555555555556</x:v>
      </x:c>
      <x:c r="K1203" s="9" t="n">
        <x:f>J1203*'Parameters'!$C$19</x:f>
        <x:v>0.8194444444444444</x:v>
      </x:c>
      <x:c r="L1203" s="9" t="n">
        <x:f>I1203*(1-0.40)-J1203</x:f>
        <x:v>1.311111111111111</x:v>
      </x:c>
      <x:c r="M1203" s="9" t="n">
        <x:f>'Physical_Arcs'!S3</x:f>
        <x:v>3.2777777777777777</x:v>
      </x:c>
      <x:c r="N1203" s="9" t="n">
        <x:f>M1203*'Parameters'!$C$18</x:f>
        <x:v>0.6555555555555556</x:v>
      </x:c>
      <x:c r="O1203" s="9" t="n">
        <x:f>N1203*'Parameters'!$C$19</x:f>
        <x:v>0.8194444444444444</x:v>
      </x:c>
      <x:c r="P1203" s="9" t="n">
        <x:f>M1203*(1-0.40)-N1203</x:f>
        <x:v>1.311111111111111</x:v>
      </x:c>
      <x:c r="Q1203" s="9" t="n">
        <x:f>'Physical_Arcs'!T3</x:f>
        <x:v>1.6388888888888888</x:v>
      </x:c>
      <x:c r="R1203" s="9" t="n">
        <x:f>Q1203*'Parameters'!$C$18</x:f>
        <x:v>0.3277777777777778</x:v>
      </x:c>
      <x:c r="S1203" s="9" t="n">
        <x:f>R1203*'Parameters'!$C$19</x:f>
        <x:v>0.4097222222222222</x:v>
      </x:c>
      <x:c r="T1203" s="9" t="n">
        <x:f>Q1203*(1-0.40)-R1203</x:f>
        <x:v>0.6555555555555554</x:v>
      </x:c>
    </x:row>
    <x:row r="1204" ht="21" customHeight="1">
      <x:c r="A1204" s="3" t="n">
        <x:v>20</x:v>
      </x:c>
      <x:c r="B1204" s="3" t="str">
        <x:v>03:20</x:v>
      </x:c>
      <x:c r="C1204" s="3" t="n">
        <x:v>4</x:v>
      </x:c>
      <x:c r="D1204" s="3" t="n">
        <x:v>3</x:v>
      </x:c>
      <x:c r="E1204" s="3" t="n">
        <x:v>1</x:v>
      </x:c>
      <x:c r="F1204" s="3" t="n">
        <x:v>8</x:v>
      </x:c>
      <x:c r="G1204" s="9" t="n">
        <x:v>0.08</x:v>
      </x:c>
      <x:c r="H1204" s="9" t="n">
        <x:v>0.923863</x:v>
      </x:c>
      <x:c r="I1204" s="9" t="n">
        <x:f>'Physical_Arcs'!R4</x:f>
        <x:v>6.083333333333333</x:v>
      </x:c>
      <x:c r="J1204" s="9" t="n">
        <x:f>I1204*'Parameters'!$C$18</x:f>
        <x:v>1.2166666666666668</x:v>
      </x:c>
      <x:c r="K1204" s="9" t="n">
        <x:f>J1204*'Parameters'!$C$19</x:f>
        <x:v>1.5208333333333335</x:v>
      </x:c>
      <x:c r="L1204" s="9" t="n">
        <x:f>I1204*(1-0.40)-J1204</x:f>
        <x:v>2.4333333333333327</x:v>
      </x:c>
      <x:c r="M1204" s="9" t="n">
        <x:f>'Physical_Arcs'!S4</x:f>
        <x:v>6.083333333333333</x:v>
      </x:c>
      <x:c r="N1204" s="9" t="n">
        <x:f>M1204*'Parameters'!$C$18</x:f>
        <x:v>1.2166666666666668</x:v>
      </x:c>
      <x:c r="O1204" s="9" t="n">
        <x:f>N1204*'Parameters'!$C$19</x:f>
        <x:v>1.5208333333333335</x:v>
      </x:c>
      <x:c r="P1204" s="9" t="n">
        <x:f>M1204*(1-0.40)-N1204</x:f>
        <x:v>2.4333333333333327</x:v>
      </x:c>
      <x:c r="Q1204" s="9" t="n">
        <x:f>'Physical_Arcs'!T4</x:f>
        <x:v>3.0555555555555554</x:v>
      </x:c>
      <x:c r="R1204" s="9" t="n">
        <x:f>Q1204*'Parameters'!$C$18</x:f>
        <x:v>0.6111111111111112</x:v>
      </x:c>
      <x:c r="S1204" s="9" t="n">
        <x:f>R1204*'Parameters'!$C$19</x:f>
        <x:v>0.763888888888889</x:v>
      </x:c>
      <x:c r="T1204" s="9" t="n">
        <x:f>Q1204*(1-0.40)-R1204</x:f>
        <x:v>1.2222222222222219</x:v>
      </x:c>
    </x:row>
    <x:row r="1205" ht="21" customHeight="1">
      <x:c r="A1205" s="3" t="n">
        <x:v>20</x:v>
      </x:c>
      <x:c r="B1205" s="3" t="str">
        <x:v>03:20</x:v>
      </x:c>
      <x:c r="C1205" s="3" t="n">
        <x:v>4</x:v>
      </x:c>
      <x:c r="D1205" s="3" t="n">
        <x:v>4</x:v>
      </x:c>
      <x:c r="E1205" s="3" t="n">
        <x:v>1</x:v>
      </x:c>
      <x:c r="F1205" s="3" t="n">
        <x:v>7</x:v>
      </x:c>
      <x:c r="G1205" s="9" t="n">
        <x:v>0.08</x:v>
      </x:c>
      <x:c r="H1205" s="9" t="n">
        <x:v>1.111072</x:v>
      </x:c>
      <x:c r="I1205" s="9" t="n">
        <x:f>'Physical_Arcs'!R5</x:f>
        <x:v>9</x:v>
      </x:c>
      <x:c r="J1205" s="9" t="n">
        <x:f>I1205*'Parameters'!$C$18</x:f>
        <x:v>1.8</x:v>
      </x:c>
      <x:c r="K1205" s="9" t="n">
        <x:f>J1205*'Parameters'!$C$19</x:f>
        <x:v>2.25</x:v>
      </x:c>
      <x:c r="L1205" s="9" t="n">
        <x:f>I1205*(1-0.40)-J1205</x:f>
        <x:v>3.5999999999999996</x:v>
      </x:c>
      <x:c r="M1205" s="9" t="n">
        <x:f>'Physical_Arcs'!S5</x:f>
        <x:v>9</x:v>
      </x:c>
      <x:c r="N1205" s="9" t="n">
        <x:f>M1205*'Parameters'!$C$18</x:f>
        <x:v>1.8</x:v>
      </x:c>
      <x:c r="O1205" s="9" t="n">
        <x:f>N1205*'Parameters'!$C$19</x:f>
        <x:v>2.25</x:v>
      </x:c>
      <x:c r="P1205" s="9" t="n">
        <x:f>M1205*(1-0.40)-N1205</x:f>
        <x:v>3.5999999999999996</x:v>
      </x:c>
      <x:c r="Q1205" s="9" t="n">
        <x:f>'Physical_Arcs'!T5</x:f>
        <x:v>4.5</x:v>
      </x:c>
      <x:c r="R1205" s="9" t="n">
        <x:f>Q1205*'Parameters'!$C$18</x:f>
        <x:v>0.9</x:v>
      </x:c>
      <x:c r="S1205" s="9" t="n">
        <x:f>R1205*'Parameters'!$C$19</x:f>
        <x:v>1.125</x:v>
      </x:c>
      <x:c r="T1205" s="9" t="n">
        <x:f>Q1205*(1-0.40)-R1205</x:f>
        <x:v>1.7999999999999998</x:v>
      </x:c>
    </x:row>
    <x:row r="1206" ht="21" customHeight="1">
      <x:c r="A1206" s="3" t="n">
        <x:v>20</x:v>
      </x:c>
      <x:c r="B1206" s="3" t="str">
        <x:v>03:20</x:v>
      </x:c>
      <x:c r="C1206" s="3" t="n">
        <x:v>4</x:v>
      </x:c>
      <x:c r="D1206" s="3" t="n">
        <x:v>5</x:v>
      </x:c>
      <x:c r="E1206" s="3" t="n">
        <x:v>1</x:v>
      </x:c>
      <x:c r="F1206" s="3" t="n">
        <x:v>4</x:v>
      </x:c>
      <x:c r="G1206" s="9" t="n">
        <x:v>0.08</x:v>
      </x:c>
      <x:c r="H1206" s="9" t="n">
        <x:v>1.001665</x:v>
      </x:c>
      <x:c r="I1206" s="9" t="n">
        <x:f>'Physical_Arcs'!R6</x:f>
        <x:v>4.166666666666667</x:v>
      </x:c>
      <x:c r="J1206" s="9" t="n">
        <x:f>I1206*'Parameters'!$C$18</x:f>
        <x:v>0.8333333333333335</x:v>
      </x:c>
      <x:c r="K1206" s="9" t="n">
        <x:f>J1206*'Parameters'!$C$19</x:f>
        <x:v>1.041666666666667</x:v>
      </x:c>
      <x:c r="L1206" s="9" t="n">
        <x:f>I1206*(1-0.40)-J1206</x:f>
        <x:v>1.6666666666666665</x:v>
      </x:c>
      <x:c r="M1206" s="9" t="n">
        <x:f>'Physical_Arcs'!S6</x:f>
        <x:v>4.166666666666667</x:v>
      </x:c>
      <x:c r="N1206" s="9" t="n">
        <x:f>M1206*'Parameters'!$C$18</x:f>
        <x:v>0.8333333333333335</x:v>
      </x:c>
      <x:c r="O1206" s="9" t="n">
        <x:f>N1206*'Parameters'!$C$19</x:f>
        <x:v>1.041666666666667</x:v>
      </x:c>
      <x:c r="P1206" s="9" t="n">
        <x:f>M1206*(1-0.40)-N1206</x:f>
        <x:v>1.6666666666666665</x:v>
      </x:c>
      <x:c r="Q1206" s="9" t="n">
        <x:f>'Physical_Arcs'!T6</x:f>
        <x:v>2.0833333333333335</x:v>
      </x:c>
      <x:c r="R1206" s="9" t="n">
        <x:f>Q1206*'Parameters'!$C$18</x:f>
        <x:v>0.41666666666666674</x:v>
      </x:c>
      <x:c r="S1206" s="9" t="n">
        <x:f>R1206*'Parameters'!$C$19</x:f>
        <x:v>0.5208333333333335</x:v>
      </x:c>
      <x:c r="T1206" s="9" t="n">
        <x:f>Q1206*(1-0.40)-R1206</x:f>
        <x:v>0.8333333333333333</x:v>
      </x:c>
    </x:row>
    <x:row r="1207" ht="21" customHeight="1">
      <x:c r="A1207" s="3" t="n">
        <x:v>20</x:v>
      </x:c>
      <x:c r="B1207" s="3" t="str">
        <x:v>03:20</x:v>
      </x:c>
      <x:c r="C1207" s="3" t="n">
        <x:v>4</x:v>
      </x:c>
      <x:c r="D1207" s="3" t="n">
        <x:v>6</x:v>
      </x:c>
      <x:c r="E1207" s="3" t="n">
        <x:v>1</x:v>
      </x:c>
      <x:c r="F1207" s="3" t="n">
        <x:v>9</x:v>
      </x:c>
      <x:c r="G1207" s="9" t="n">
        <x:v>0.08</x:v>
      </x:c>
      <x:c r="H1207" s="9" t="n">
        <x:v>0.942884</x:v>
      </x:c>
      <x:c r="I1207" s="9" t="n">
        <x:f>'Physical_Arcs'!R7</x:f>
        <x:v>11.027777777777779</x:v>
      </x:c>
      <x:c r="J1207" s="9" t="n">
        <x:f>I1207*'Parameters'!$C$18</x:f>
        <x:v>2.2055555555555557</x:v>
      </x:c>
      <x:c r="K1207" s="9" t="n">
        <x:f>J1207*'Parameters'!$C$19</x:f>
        <x:v>2.7569444444444446</x:v>
      </x:c>
      <x:c r="L1207" s="9" t="n">
        <x:f>I1207*(1-0.40)-J1207</x:f>
        <x:v>4.411111111111111</x:v>
      </x:c>
      <x:c r="M1207" s="9" t="n">
        <x:f>'Physical_Arcs'!S7</x:f>
        <x:v>11.027777777777779</x:v>
      </x:c>
      <x:c r="N1207" s="9" t="n">
        <x:f>M1207*'Parameters'!$C$18</x:f>
        <x:v>2.2055555555555557</x:v>
      </x:c>
      <x:c r="O1207" s="9" t="n">
        <x:f>N1207*'Parameters'!$C$19</x:f>
        <x:v>2.7569444444444446</x:v>
      </x:c>
      <x:c r="P1207" s="9" t="n">
        <x:f>M1207*(1-0.40)-N1207</x:f>
        <x:v>4.411111111111111</x:v>
      </x:c>
      <x:c r="Q1207" s="9" t="n">
        <x:f>'Physical_Arcs'!T7</x:f>
        <x:v>5.527777777777778</x:v>
      </x:c>
      <x:c r="R1207" s="9" t="n">
        <x:f>Q1207*'Parameters'!$C$18</x:f>
        <x:v>1.1055555555555556</x:v>
      </x:c>
      <x:c r="S1207" s="9" t="n">
        <x:f>R1207*'Parameters'!$C$19</x:f>
        <x:v>1.3819444444444446</x:v>
      </x:c>
      <x:c r="T1207" s="9" t="n">
        <x:f>Q1207*(1-0.40)-R1207</x:f>
        <x:v>2.211111111111111</x:v>
      </x:c>
    </x:row>
    <x:row r="1208" ht="21" customHeight="1">
      <x:c r="A1208" s="3" t="n">
        <x:v>20</x:v>
      </x:c>
      <x:c r="B1208" s="3" t="str">
        <x:v>03:20</x:v>
      </x:c>
      <x:c r="C1208" s="3" t="n">
        <x:v>4</x:v>
      </x:c>
      <x:c r="D1208" s="3" t="n">
        <x:v>7</x:v>
      </x:c>
      <x:c r="E1208" s="3" t="n">
        <x:v>1</x:v>
      </x:c>
      <x:c r="F1208" s="3" t="n">
        <x:v>5</x:v>
      </x:c>
      <x:c r="G1208" s="9" t="n">
        <x:v>0.08</x:v>
      </x:c>
      <x:c r="H1208" s="9" t="n">
        <x:v>1.038222</x:v>
      </x:c>
      <x:c r="I1208" s="9" t="n">
        <x:f>'Physical_Arcs'!R8</x:f>
        <x:v>7.972222222222222</x:v>
      </x:c>
      <x:c r="J1208" s="9" t="n">
        <x:f>I1208*'Parameters'!$C$18</x:f>
        <x:v>1.5944444444444446</x:v>
      </x:c>
      <x:c r="K1208" s="9" t="n">
        <x:f>J1208*'Parameters'!$C$19</x:f>
        <x:v>1.9930555555555558</x:v>
      </x:c>
      <x:c r="L1208" s="9" t="n">
        <x:f>I1208*(1-0.40)-J1208</x:f>
        <x:v>3.1888888888888887</x:v>
      </x:c>
      <x:c r="M1208" s="9" t="n">
        <x:f>'Physical_Arcs'!S8</x:f>
        <x:v>7.972222222222222</x:v>
      </x:c>
      <x:c r="N1208" s="9" t="n">
        <x:f>M1208*'Parameters'!$C$18</x:f>
        <x:v>1.5944444444444446</x:v>
      </x:c>
      <x:c r="O1208" s="9" t="n">
        <x:f>N1208*'Parameters'!$C$19</x:f>
        <x:v>1.9930555555555558</x:v>
      </x:c>
      <x:c r="P1208" s="9" t="n">
        <x:f>M1208*(1-0.40)-N1208</x:f>
        <x:v>3.1888888888888887</x:v>
      </x:c>
      <x:c r="Q1208" s="9" t="n">
        <x:f>'Physical_Arcs'!T8</x:f>
        <x:v>4</x:v>
      </x:c>
      <x:c r="R1208" s="9" t="n">
        <x:f>Q1208*'Parameters'!$C$18</x:f>
        <x:v>0.8</x:v>
      </x:c>
      <x:c r="S1208" s="9" t="n">
        <x:f>R1208*'Parameters'!$C$19</x:f>
        <x:v>1</x:v>
      </x:c>
      <x:c r="T1208" s="9" t="n">
        <x:f>Q1208*(1-0.40)-R1208</x:f>
        <x:v>1.5999999999999999</x:v>
      </x:c>
    </x:row>
    <x:row r="1209" ht="21" customHeight="1">
      <x:c r="A1209" s="3" t="n">
        <x:v>20</x:v>
      </x:c>
      <x:c r="B1209" s="3" t="str">
        <x:v>03:20</x:v>
      </x:c>
      <x:c r="C1209" s="3" t="n">
        <x:v>4</x:v>
      </x:c>
      <x:c r="D1209" s="3" t="n">
        <x:v>8</x:v>
      </x:c>
      <x:c r="E1209" s="3" t="n">
        <x:v>1</x:v>
      </x:c>
      <x:c r="F1209" s="3" t="n">
        <x:v>3</x:v>
      </x:c>
      <x:c r="G1209" s="9" t="n">
        <x:v>0.08</x:v>
      </x:c>
      <x:c r="H1209" s="9" t="n">
        <x:v>1.122297</x:v>
      </x:c>
      <x:c r="I1209" s="9" t="n">
        <x:f>'Physical_Arcs'!R9</x:f>
        <x:v>4.166666666666667</x:v>
      </x:c>
      <x:c r="J1209" s="9" t="n">
        <x:f>I1209*'Parameters'!$C$18</x:f>
        <x:v>0.8333333333333335</x:v>
      </x:c>
      <x:c r="K1209" s="9" t="n">
        <x:f>J1209*'Parameters'!$C$19</x:f>
        <x:v>1.041666666666667</x:v>
      </x:c>
      <x:c r="L1209" s="9" t="n">
        <x:f>I1209*(1-0.40)-J1209</x:f>
        <x:v>1.6666666666666665</x:v>
      </x:c>
      <x:c r="M1209" s="9" t="n">
        <x:f>'Physical_Arcs'!S9</x:f>
        <x:v>4.166666666666667</x:v>
      </x:c>
      <x:c r="N1209" s="9" t="n">
        <x:f>M1209*'Parameters'!$C$18</x:f>
        <x:v>0.8333333333333335</x:v>
      </x:c>
      <x:c r="O1209" s="9" t="n">
        <x:f>N1209*'Parameters'!$C$19</x:f>
        <x:v>1.041666666666667</x:v>
      </x:c>
      <x:c r="P1209" s="9" t="n">
        <x:f>M1209*(1-0.40)-N1209</x:f>
        <x:v>1.6666666666666665</x:v>
      </x:c>
      <x:c r="Q1209" s="9" t="n">
        <x:f>'Physical_Arcs'!T9</x:f>
        <x:v>2.0833333333333335</x:v>
      </x:c>
      <x:c r="R1209" s="9" t="n">
        <x:f>Q1209*'Parameters'!$C$18</x:f>
        <x:v>0.41666666666666674</x:v>
      </x:c>
      <x:c r="S1209" s="9" t="n">
        <x:f>R1209*'Parameters'!$C$19</x:f>
        <x:v>0.5208333333333335</x:v>
      </x:c>
      <x:c r="T1209" s="9" t="n">
        <x:f>Q1209*(1-0.40)-R1209</x:f>
        <x:v>0.8333333333333333</x:v>
      </x:c>
    </x:row>
    <x:row r="1210" ht="21" customHeight="1">
      <x:c r="A1210" s="3" t="n">
        <x:v>20</x:v>
      </x:c>
      <x:c r="B1210" s="3" t="str">
        <x:v>03:20</x:v>
      </x:c>
      <x:c r="C1210" s="3" t="n">
        <x:v>4</x:v>
      </x:c>
      <x:c r="D1210" s="3" t="n">
        <x:v>9</x:v>
      </x:c>
      <x:c r="E1210" s="3" t="n">
        <x:v>1</x:v>
      </x:c>
      <x:c r="F1210" s="3" t="n">
        <x:v>6</x:v>
      </x:c>
      <x:c r="G1210" s="9" t="n">
        <x:v>0.08</x:v>
      </x:c>
      <x:c r="H1210" s="9" t="n">
        <x:v>1.132682</x:v>
      </x:c>
      <x:c r="I1210" s="9" t="n">
        <x:f>'Physical_Arcs'!R10</x:f>
        <x:v>2.138888888888889</x:v>
      </x:c>
      <x:c r="J1210" s="9" t="n">
        <x:f>I1210*'Parameters'!$C$18</x:f>
        <x:v>0.4277777777777778</x:v>
      </x:c>
      <x:c r="K1210" s="9" t="n">
        <x:f>J1210*'Parameters'!$C$19</x:f>
        <x:v>0.5347222222222223</x:v>
      </x:c>
      <x:c r="L1210" s="9" t="n">
        <x:f>I1210*(1-0.40)-J1210</x:f>
        <x:v>0.8555555555555554</x:v>
      </x:c>
      <x:c r="M1210" s="9" t="n">
        <x:f>'Physical_Arcs'!S10</x:f>
        <x:v>2.138888888888889</x:v>
      </x:c>
      <x:c r="N1210" s="9" t="n">
        <x:f>M1210*'Parameters'!$C$18</x:f>
        <x:v>0.4277777777777778</x:v>
      </x:c>
      <x:c r="O1210" s="9" t="n">
        <x:f>N1210*'Parameters'!$C$19</x:f>
        <x:v>0.5347222222222223</x:v>
      </x:c>
      <x:c r="P1210" s="9" t="n">
        <x:f>M1210*(1-0.40)-N1210</x:f>
        <x:v>0.8555555555555554</x:v>
      </x:c>
      <x:c r="Q1210" s="9" t="n">
        <x:f>'Physical_Arcs'!T10</x:f>
        <x:v>1.0833333333333333</x:v>
      </x:c>
      <x:c r="R1210" s="9" t="n">
        <x:f>Q1210*'Parameters'!$C$18</x:f>
        <x:v>0.21666666666666667</x:v>
      </x:c>
      <x:c r="S1210" s="9" t="n">
        <x:f>R1210*'Parameters'!$C$19</x:f>
        <x:v>0.27083333333333337</x:v>
      </x:c>
      <x:c r="T1210" s="9" t="n">
        <x:f>Q1210*(1-0.40)-R1210</x:f>
        <x:v>0.43333333333333324</x:v>
      </x:c>
    </x:row>
    <x:row r="1211" ht="21" customHeight="1">
      <x:c r="A1211" s="3" t="n">
        <x:v>20</x:v>
      </x:c>
      <x:c r="B1211" s="3" t="str">
        <x:v>03:20</x:v>
      </x:c>
      <x:c r="C1211" s="3" t="n">
        <x:v>4</x:v>
      </x:c>
      <x:c r="D1211" s="3" t="n">
        <x:v>10</x:v>
      </x:c>
      <x:c r="E1211" s="3" t="n">
        <x:v>2</x:v>
      </x:c>
      <x:c r="F1211" s="3" t="n">
        <x:v>3</x:v>
      </x:c>
      <x:c r="G1211" s="9" t="n">
        <x:v>0.08</x:v>
      </x:c>
      <x:c r="H1211" s="9" t="n">
        <x:v>0.871154</x:v>
      </x:c>
      <x:c r="I1211" s="9" t="n">
        <x:f>'Physical_Arcs'!R11</x:f>
        <x:v>17.02777777777778</x:v>
      </x:c>
      <x:c r="J1211" s="9" t="n">
        <x:f>I1211*'Parameters'!$C$18</x:f>
        <x:v>3.405555555555556</x:v>
      </x:c>
      <x:c r="K1211" s="9" t="n">
        <x:f>J1211*'Parameters'!$C$19</x:f>
        <x:v>4.256944444444445</x:v>
      </x:c>
      <x:c r="L1211" s="9" t="n">
        <x:f>I1211*(1-0.40)-J1211</x:f>
        <x:v>6.811111111111111</x:v>
      </x:c>
      <x:c r="M1211" s="9" t="n">
        <x:f>'Physical_Arcs'!S11</x:f>
        <x:v>17.02777777777778</x:v>
      </x:c>
      <x:c r="N1211" s="9" t="n">
        <x:f>M1211*'Parameters'!$C$18</x:f>
        <x:v>3.405555555555556</x:v>
      </x:c>
      <x:c r="O1211" s="9" t="n">
        <x:f>N1211*'Parameters'!$C$19</x:f>
        <x:v>4.256944444444445</x:v>
      </x:c>
      <x:c r="P1211" s="9" t="n">
        <x:f>M1211*(1-0.40)-N1211</x:f>
        <x:v>6.811111111111111</x:v>
      </x:c>
      <x:c r="Q1211" s="9" t="n">
        <x:f>'Physical_Arcs'!T11</x:f>
        <x:v>17.02777777777778</x:v>
      </x:c>
      <x:c r="R1211" s="9" t="n">
        <x:f>Q1211*'Parameters'!$C$18</x:f>
        <x:v>3.405555555555556</x:v>
      </x:c>
      <x:c r="S1211" s="9" t="n">
        <x:f>R1211*'Parameters'!$C$19</x:f>
        <x:v>4.256944444444445</x:v>
      </x:c>
      <x:c r="T1211" s="9" t="n">
        <x:f>Q1211*(1-0.40)-R1211</x:f>
        <x:v>6.811111111111111</x:v>
      </x:c>
    </x:row>
    <x:row r="1212" ht="21" customHeight="1">
      <x:c r="A1212" s="3" t="n">
        <x:v>20</x:v>
      </x:c>
      <x:c r="B1212" s="3" t="str">
        <x:v>03:20</x:v>
      </x:c>
      <x:c r="C1212" s="3" t="n">
        <x:v>4</x:v>
      </x:c>
      <x:c r="D1212" s="3" t="n">
        <x:v>11</x:v>
      </x:c>
      <x:c r="E1212" s="3" t="n">
        <x:v>2</x:v>
      </x:c>
      <x:c r="F1212" s="3" t="n">
        <x:v>4</x:v>
      </x:c>
      <x:c r="G1212" s="9" t="n">
        <x:v>0.08</x:v>
      </x:c>
      <x:c r="H1212" s="9" t="n">
        <x:v>1.147412</x:v>
      </x:c>
      <x:c r="I1212" s="9" t="n">
        <x:f>'Physical_Arcs'!R12</x:f>
        <x:v>7.972222222222222</x:v>
      </x:c>
      <x:c r="J1212" s="9" t="n">
        <x:f>I1212*'Parameters'!$C$18</x:f>
        <x:v>1.5944444444444446</x:v>
      </x:c>
      <x:c r="K1212" s="9" t="n">
        <x:f>J1212*'Parameters'!$C$19</x:f>
        <x:v>1.9930555555555558</x:v>
      </x:c>
      <x:c r="L1212" s="9" t="n">
        <x:f>I1212*(1-0.40)-J1212</x:f>
        <x:v>3.1888888888888887</x:v>
      </x:c>
      <x:c r="M1212" s="9" t="n">
        <x:f>'Physical_Arcs'!S12</x:f>
        <x:v>7.972222222222222</x:v>
      </x:c>
      <x:c r="N1212" s="9" t="n">
        <x:f>M1212*'Parameters'!$C$18</x:f>
        <x:v>1.5944444444444446</x:v>
      </x:c>
      <x:c r="O1212" s="9" t="n">
        <x:f>N1212*'Parameters'!$C$19</x:f>
        <x:v>1.9930555555555558</x:v>
      </x:c>
      <x:c r="P1212" s="9" t="n">
        <x:f>M1212*(1-0.40)-N1212</x:f>
        <x:v>3.1888888888888887</x:v>
      </x:c>
      <x:c r="Q1212" s="9" t="n">
        <x:f>'Physical_Arcs'!T12</x:f>
        <x:v>4</x:v>
      </x:c>
      <x:c r="R1212" s="9" t="n">
        <x:f>Q1212*'Parameters'!$C$18</x:f>
        <x:v>0.8</x:v>
      </x:c>
      <x:c r="S1212" s="9" t="n">
        <x:f>R1212*'Parameters'!$C$19</x:f>
        <x:v>1</x:v>
      </x:c>
      <x:c r="T1212" s="9" t="n">
        <x:f>Q1212*(1-0.40)-R1212</x:f>
        <x:v>1.5999999999999999</x:v>
      </x:c>
    </x:row>
    <x:row r="1213" ht="21" customHeight="1">
      <x:c r="A1213" s="3" t="n">
        <x:v>20</x:v>
      </x:c>
      <x:c r="B1213" s="3" t="str">
        <x:v>03:20</x:v>
      </x:c>
      <x:c r="C1213" s="3" t="n">
        <x:v>4</x:v>
      </x:c>
      <x:c r="D1213" s="3" t="n">
        <x:v>12</x:v>
      </x:c>
      <x:c r="E1213" s="3" t="n">
        <x:v>2</x:v>
      </x:c>
      <x:c r="F1213" s="3" t="n">
        <x:v>7</x:v>
      </x:c>
      <x:c r="G1213" s="9" t="n">
        <x:v>0.08</x:v>
      </x:c>
      <x:c r="H1213" s="9" t="n">
        <x:v>0.96729</x:v>
      </x:c>
      <x:c r="I1213" s="9" t="n">
        <x:f>'Physical_Arcs'!R13</x:f>
        <x:v>4.611111111111111</x:v>
      </x:c>
      <x:c r="J1213" s="9" t="n">
        <x:f>I1213*'Parameters'!$C$18</x:f>
        <x:v>0.9222222222222222</x:v>
      </x:c>
      <x:c r="K1213" s="9" t="n">
        <x:f>J1213*'Parameters'!$C$19</x:f>
        <x:v>1.1527777777777777</x:v>
      </x:c>
      <x:c r="L1213" s="9" t="n">
        <x:f>I1213*(1-0.40)-J1213</x:f>
        <x:v>1.844444444444444</x:v>
      </x:c>
      <x:c r="M1213" s="9" t="n">
        <x:f>'Physical_Arcs'!S13</x:f>
        <x:v>4.611111111111111</x:v>
      </x:c>
      <x:c r="N1213" s="9" t="n">
        <x:f>M1213*'Parameters'!$C$18</x:f>
        <x:v>0.9222222222222222</x:v>
      </x:c>
      <x:c r="O1213" s="9" t="n">
        <x:f>N1213*'Parameters'!$C$19</x:f>
        <x:v>1.1527777777777777</x:v>
      </x:c>
      <x:c r="P1213" s="9" t="n">
        <x:f>M1213*(1-0.40)-N1213</x:f>
        <x:v>1.844444444444444</x:v>
      </x:c>
      <x:c r="Q1213" s="9" t="n">
        <x:f>'Physical_Arcs'!T13</x:f>
        <x:v>2.3055555555555554</x:v>
      </x:c>
      <x:c r="R1213" s="9" t="n">
        <x:f>Q1213*'Parameters'!$C$18</x:f>
        <x:v>0.4611111111111111</x:v>
      </x:c>
      <x:c r="S1213" s="9" t="n">
        <x:f>R1213*'Parameters'!$C$19</x:f>
        <x:v>0.5763888888888888</x:v>
      </x:c>
      <x:c r="T1213" s="9" t="n">
        <x:f>Q1213*(1-0.40)-R1213</x:f>
        <x:v>0.922222222222222</x:v>
      </x:c>
    </x:row>
    <x:row r="1214" ht="21" customHeight="1">
      <x:c r="A1214" s="3" t="n">
        <x:v>20</x:v>
      </x:c>
      <x:c r="B1214" s="3" t="str">
        <x:v>03:20</x:v>
      </x:c>
      <x:c r="C1214" s="3" t="n">
        <x:v>4</x:v>
      </x:c>
      <x:c r="D1214" s="3" t="n">
        <x:v>13</x:v>
      </x:c>
      <x:c r="E1214" s="3" t="n">
        <x:v>2</x:v>
      </x:c>
      <x:c r="F1214" s="3" t="n">
        <x:v>9</x:v>
      </x:c>
      <x:c r="G1214" s="9" t="n">
        <x:v>0.08</x:v>
      </x:c>
      <x:c r="H1214" s="9" t="n">
        <x:v>1.117625</x:v>
      </x:c>
      <x:c r="I1214" s="9" t="n">
        <x:f>'Physical_Arcs'!R14</x:f>
        <x:v>8.666666666666666</x:v>
      </x:c>
      <x:c r="J1214" s="9" t="n">
        <x:f>I1214*'Parameters'!$C$18</x:f>
        <x:v>1.7333333333333334</x:v>
      </x:c>
      <x:c r="K1214" s="9" t="n">
        <x:f>J1214*'Parameters'!$C$19</x:f>
        <x:v>2.166666666666667</x:v>
      </x:c>
      <x:c r="L1214" s="9" t="n">
        <x:f>I1214*(1-0.40)-J1214</x:f>
        <x:v>3.466666666666666</x:v>
      </x:c>
      <x:c r="M1214" s="9" t="n">
        <x:f>'Physical_Arcs'!S14</x:f>
        <x:v>8.666666666666666</x:v>
      </x:c>
      <x:c r="N1214" s="9" t="n">
        <x:f>M1214*'Parameters'!$C$18</x:f>
        <x:v>1.7333333333333334</x:v>
      </x:c>
      <x:c r="O1214" s="9" t="n">
        <x:f>N1214*'Parameters'!$C$19</x:f>
        <x:v>2.166666666666667</x:v>
      </x:c>
      <x:c r="P1214" s="9" t="n">
        <x:f>M1214*(1-0.40)-N1214</x:f>
        <x:v>3.466666666666666</x:v>
      </x:c>
      <x:c r="Q1214" s="9" t="n">
        <x:f>'Physical_Arcs'!T14</x:f>
        <x:v>4.333333333333333</x:v>
      </x:c>
      <x:c r="R1214" s="9" t="n">
        <x:f>Q1214*'Parameters'!$C$18</x:f>
        <x:v>0.8666666666666667</x:v>
      </x:c>
      <x:c r="S1214" s="9" t="n">
        <x:f>R1214*'Parameters'!$C$19</x:f>
        <x:v>1.0833333333333335</x:v>
      </x:c>
      <x:c r="T1214" s="9" t="n">
        <x:f>Q1214*(1-0.40)-R1214</x:f>
        <x:v>1.733333333333333</x:v>
      </x:c>
    </x:row>
    <x:row r="1215" ht="21" customHeight="1">
      <x:c r="A1215" s="3" t="n">
        <x:v>20</x:v>
      </x:c>
      <x:c r="B1215" s="3" t="str">
        <x:v>03:20</x:v>
      </x:c>
      <x:c r="C1215" s="3" t="n">
        <x:v>4</x:v>
      </x:c>
      <x:c r="D1215" s="3" t="n">
        <x:v>14</x:v>
      </x:c>
      <x:c r="E1215" s="3" t="n">
        <x:v>2</x:v>
      </x:c>
      <x:c r="F1215" s="3" t="n">
        <x:v>8</x:v>
      </x:c>
      <x:c r="G1215" s="9" t="n">
        <x:v>0.08</x:v>
      </x:c>
      <x:c r="H1215" s="9" t="n">
        <x:v>1.144902</x:v>
      </x:c>
      <x:c r="I1215" s="9" t="n">
        <x:f>'Physical_Arcs'!R15</x:f>
        <x:v>7.75</x:v>
      </x:c>
      <x:c r="J1215" s="9" t="n">
        <x:f>I1215*'Parameters'!$C$18</x:f>
        <x:v>1.55</x:v>
      </x:c>
      <x:c r="K1215" s="9" t="n">
        <x:f>J1215*'Parameters'!$C$19</x:f>
        <x:v>1.9375</x:v>
      </x:c>
      <x:c r="L1215" s="9" t="n">
        <x:f>I1215*(1-0.40)-J1215</x:f>
        <x:v>3.0999999999999996</x:v>
      </x:c>
      <x:c r="M1215" s="9" t="n">
        <x:f>'Physical_Arcs'!S15</x:f>
        <x:v>7.75</x:v>
      </x:c>
      <x:c r="N1215" s="9" t="n">
        <x:f>M1215*'Parameters'!$C$18</x:f>
        <x:v>1.55</x:v>
      </x:c>
      <x:c r="O1215" s="9" t="n">
        <x:f>N1215*'Parameters'!$C$19</x:f>
        <x:v>1.9375</x:v>
      </x:c>
      <x:c r="P1215" s="9" t="n">
        <x:f>M1215*(1-0.40)-N1215</x:f>
        <x:v>3.0999999999999996</x:v>
      </x:c>
      <x:c r="Q1215" s="9" t="n">
        <x:f>'Physical_Arcs'!T15</x:f>
        <x:v>3.888888888888889</x:v>
      </x:c>
      <x:c r="R1215" s="9" t="n">
        <x:f>Q1215*'Parameters'!$C$18</x:f>
        <x:v>0.7777777777777778</x:v>
      </x:c>
      <x:c r="S1215" s="9" t="n">
        <x:f>R1215*'Parameters'!$C$19</x:f>
        <x:v>0.9722222222222222</x:v>
      </x:c>
      <x:c r="T1215" s="9" t="n">
        <x:f>Q1215*(1-0.40)-R1215</x:f>
        <x:v>1.5555555555555554</x:v>
      </x:c>
    </x:row>
    <x:row r="1216" ht="21" customHeight="1">
      <x:c r="A1216" s="3" t="n">
        <x:v>20</x:v>
      </x:c>
      <x:c r="B1216" s="3" t="str">
        <x:v>03:20</x:v>
      </x:c>
      <x:c r="C1216" s="3" t="n">
        <x:v>4</x:v>
      </x:c>
      <x:c r="D1216" s="3" t="n">
        <x:v>15</x:v>
      </x:c>
      <x:c r="E1216" s="3" t="n">
        <x:v>2</x:v>
      </x:c>
      <x:c r="F1216" s="3" t="n">
        <x:v>10</x:v>
      </x:c>
      <x:c r="G1216" s="9" t="n">
        <x:v>0.08</x:v>
      </x:c>
      <x:c r="H1216" s="9" t="n">
        <x:v>1.146684</x:v>
      </x:c>
      <x:c r="I1216" s="9" t="n">
        <x:f>'Physical_Arcs'!R16</x:f>
        <x:v>7.416666666666667</x:v>
      </x:c>
      <x:c r="J1216" s="9" t="n">
        <x:f>I1216*'Parameters'!$C$18</x:f>
        <x:v>1.4833333333333334</x:v>
      </x:c>
      <x:c r="K1216" s="9" t="n">
        <x:f>J1216*'Parameters'!$C$19</x:f>
        <x:v>1.8541666666666667</x:v>
      </x:c>
      <x:c r="L1216" s="9" t="n">
        <x:f>I1216*(1-0.40)-J1216</x:f>
        <x:v>2.966666666666667</x:v>
      </x:c>
      <x:c r="M1216" s="9" t="n">
        <x:f>'Physical_Arcs'!S16</x:f>
        <x:v>7.416666666666667</x:v>
      </x:c>
      <x:c r="N1216" s="9" t="n">
        <x:f>M1216*'Parameters'!$C$18</x:f>
        <x:v>1.4833333333333334</x:v>
      </x:c>
      <x:c r="O1216" s="9" t="n">
        <x:f>N1216*'Parameters'!$C$19</x:f>
        <x:v>1.8541666666666667</x:v>
      </x:c>
      <x:c r="P1216" s="9" t="n">
        <x:f>M1216*(1-0.40)-N1216</x:f>
        <x:v>2.966666666666667</x:v>
      </x:c>
      <x:c r="Q1216" s="9" t="n">
        <x:f>'Physical_Arcs'!T16</x:f>
        <x:v>3.7222222222222223</x:v>
      </x:c>
      <x:c r="R1216" s="9" t="n">
        <x:f>Q1216*'Parameters'!$C$18</x:f>
        <x:v>0.7444444444444445</x:v>
      </x:c>
      <x:c r="S1216" s="9" t="n">
        <x:f>R1216*'Parameters'!$C$19</x:f>
        <x:v>0.9305555555555556</x:v>
      </x:c>
      <x:c r="T1216" s="9" t="n">
        <x:f>Q1216*(1-0.40)-R1216</x:f>
        <x:v>1.488888888888889</x:v>
      </x:c>
    </x:row>
    <x:row r="1217" ht="21" customHeight="1">
      <x:c r="A1217" s="3" t="n">
        <x:v>20</x:v>
      </x:c>
      <x:c r="B1217" s="3" t="str">
        <x:v>03:20</x:v>
      </x:c>
      <x:c r="C1217" s="3" t="n">
        <x:v>4</x:v>
      </x:c>
      <x:c r="D1217" s="3" t="n">
        <x:v>16</x:v>
      </x:c>
      <x:c r="E1217" s="3" t="n">
        <x:v>3</x:v>
      </x:c>
      <x:c r="F1217" s="3" t="n">
        <x:v>4</x:v>
      </x:c>
      <x:c r="G1217" s="9" t="n">
        <x:v>0.08</x:v>
      </x:c>
      <x:c r="H1217" s="9" t="n">
        <x:v>1.017658</x:v>
      </x:c>
      <x:c r="I1217" s="9" t="n">
        <x:f>'Physical_Arcs'!R17</x:f>
        <x:v>17.02777777777778</x:v>
      </x:c>
      <x:c r="J1217" s="9" t="n">
        <x:f>I1217*'Parameters'!$C$18</x:f>
        <x:v>3.405555555555556</x:v>
      </x:c>
      <x:c r="K1217" s="9" t="n">
        <x:f>J1217*'Parameters'!$C$19</x:f>
        <x:v>4.256944444444445</x:v>
      </x:c>
      <x:c r="L1217" s="9" t="n">
        <x:f>I1217*(1-0.40)-J1217</x:f>
        <x:v>6.811111111111111</x:v>
      </x:c>
      <x:c r="M1217" s="9" t="n">
        <x:f>'Physical_Arcs'!S17</x:f>
        <x:v>17.02777777777778</x:v>
      </x:c>
      <x:c r="N1217" s="9" t="n">
        <x:f>M1217*'Parameters'!$C$18</x:f>
        <x:v>3.405555555555556</x:v>
      </x:c>
      <x:c r="O1217" s="9" t="n">
        <x:f>N1217*'Parameters'!$C$19</x:f>
        <x:v>4.256944444444445</x:v>
      </x:c>
      <x:c r="P1217" s="9" t="n">
        <x:f>M1217*(1-0.40)-N1217</x:f>
        <x:v>6.811111111111111</x:v>
      </x:c>
      <x:c r="Q1217" s="9" t="n">
        <x:f>'Physical_Arcs'!T17</x:f>
        <x:v>17.02777777777778</x:v>
      </x:c>
      <x:c r="R1217" s="9" t="n">
        <x:f>Q1217*'Parameters'!$C$18</x:f>
        <x:v>3.405555555555556</x:v>
      </x:c>
      <x:c r="S1217" s="9" t="n">
        <x:f>R1217*'Parameters'!$C$19</x:f>
        <x:v>4.256944444444445</x:v>
      </x:c>
      <x:c r="T1217" s="9" t="n">
        <x:f>Q1217*(1-0.40)-R1217</x:f>
        <x:v>6.811111111111111</x:v>
      </x:c>
    </x:row>
    <x:row r="1218" ht="21" customHeight="1">
      <x:c r="A1218" s="3" t="n">
        <x:v>20</x:v>
      </x:c>
      <x:c r="B1218" s="3" t="str">
        <x:v>03:20</x:v>
      </x:c>
      <x:c r="C1218" s="3" t="n">
        <x:v>4</x:v>
      </x:c>
      <x:c r="D1218" s="3" t="n">
        <x:v>17</x:v>
      </x:c>
      <x:c r="E1218" s="3" t="n">
        <x:v>3</x:v>
      </x:c>
      <x:c r="F1218" s="3" t="n">
        <x:v>2</x:v>
      </x:c>
      <x:c r="G1218" s="9" t="n">
        <x:v>0.08</x:v>
      </x:c>
      <x:c r="H1218" s="9" t="n">
        <x:v>0.875995</x:v>
      </x:c>
      <x:c r="I1218" s="9" t="n">
        <x:f>'Physical_Arcs'!R18</x:f>
        <x:v>10.666666666666666</x:v>
      </x:c>
      <x:c r="J1218" s="9" t="n">
        <x:f>I1218*'Parameters'!$C$18</x:f>
        <x:v>2.1333333333333333</x:v>
      </x:c>
      <x:c r="K1218" s="9" t="n">
        <x:f>J1218*'Parameters'!$C$19</x:f>
        <x:v>2.6666666666666665</x:v>
      </x:c>
      <x:c r="L1218" s="9" t="n">
        <x:f>I1218*(1-0.40)-J1218</x:f>
        <x:v>4.266666666666666</x:v>
      </x:c>
      <x:c r="M1218" s="9" t="n">
        <x:f>'Physical_Arcs'!S18</x:f>
        <x:v>10.666666666666666</x:v>
      </x:c>
      <x:c r="N1218" s="9" t="n">
        <x:f>M1218*'Parameters'!$C$18</x:f>
        <x:v>2.1333333333333333</x:v>
      </x:c>
      <x:c r="O1218" s="9" t="n">
        <x:f>N1218*'Parameters'!$C$19</x:f>
        <x:v>2.6666666666666665</x:v>
      </x:c>
      <x:c r="P1218" s="9" t="n">
        <x:f>M1218*(1-0.40)-N1218</x:f>
        <x:v>4.266666666666666</x:v>
      </x:c>
      <x:c r="Q1218" s="9" t="n">
        <x:f>'Physical_Arcs'!T18</x:f>
        <x:v>5.333333333333333</x:v>
      </x:c>
      <x:c r="R1218" s="9" t="n">
        <x:f>Q1218*'Parameters'!$C$18</x:f>
        <x:v>1.0666666666666667</x:v>
      </x:c>
      <x:c r="S1218" s="9" t="n">
        <x:f>R1218*'Parameters'!$C$19</x:f>
        <x:v>1.3333333333333333</x:v>
      </x:c>
      <x:c r="T1218" s="9" t="n">
        <x:f>Q1218*(1-0.40)-R1218</x:f>
        <x:v>2.133333333333333</x:v>
      </x:c>
    </x:row>
    <x:row r="1219" ht="21" customHeight="1">
      <x:c r="A1219" s="3" t="n">
        <x:v>20</x:v>
      </x:c>
      <x:c r="B1219" s="3" t="str">
        <x:v>03:20</x:v>
      </x:c>
      <x:c r="C1219" s="3" t="n">
        <x:v>4</x:v>
      </x:c>
      <x:c r="D1219" s="3" t="n">
        <x:v>18</x:v>
      </x:c>
      <x:c r="E1219" s="3" t="n">
        <x:v>3</x:v>
      </x:c>
      <x:c r="F1219" s="3" t="n">
        <x:v>1</x:v>
      </x:c>
      <x:c r="G1219" s="9" t="n">
        <x:v>0.08</x:v>
      </x:c>
      <x:c r="H1219" s="9" t="n">
        <x:v>1.015397</x:v>
      </x:c>
      <x:c r="I1219" s="9" t="n">
        <x:f>'Physical_Arcs'!R19</x:f>
        <x:v>5.166666666666667</x:v>
      </x:c>
      <x:c r="J1219" s="9" t="n">
        <x:f>I1219*'Parameters'!$C$18</x:f>
        <x:v>1.0333333333333334</x:v>
      </x:c>
      <x:c r="K1219" s="9" t="n">
        <x:f>J1219*'Parameters'!$C$19</x:f>
        <x:v>1.2916666666666667</x:v>
      </x:c>
      <x:c r="L1219" s="9" t="n">
        <x:f>I1219*(1-0.40)-J1219</x:f>
        <x:v>2.0666666666666664</x:v>
      </x:c>
      <x:c r="M1219" s="9" t="n">
        <x:f>'Physical_Arcs'!S19</x:f>
        <x:v>5.166666666666667</x:v>
      </x:c>
      <x:c r="N1219" s="9" t="n">
        <x:f>M1219*'Parameters'!$C$18</x:f>
        <x:v>1.0333333333333334</x:v>
      </x:c>
      <x:c r="O1219" s="9" t="n">
        <x:f>N1219*'Parameters'!$C$19</x:f>
        <x:v>1.2916666666666667</x:v>
      </x:c>
      <x:c r="P1219" s="9" t="n">
        <x:f>M1219*(1-0.40)-N1219</x:f>
        <x:v>2.0666666666666664</x:v>
      </x:c>
      <x:c r="Q1219" s="9" t="n">
        <x:f>'Physical_Arcs'!T19</x:f>
        <x:v>2.5833333333333335</x:v>
      </x:c>
      <x:c r="R1219" s="9" t="n">
        <x:f>Q1219*'Parameters'!$C$18</x:f>
        <x:v>0.5166666666666667</x:v>
      </x:c>
      <x:c r="S1219" s="9" t="n">
        <x:f>R1219*'Parameters'!$C$19</x:f>
        <x:v>0.6458333333333334</x:v>
      </x:c>
      <x:c r="T1219" s="9" t="n">
        <x:f>Q1219*(1-0.40)-R1219</x:f>
        <x:v>1.0333333333333332</x:v>
      </x:c>
    </x:row>
    <x:row r="1220" ht="21" customHeight="1">
      <x:c r="A1220" s="3" t="n">
        <x:v>20</x:v>
      </x:c>
      <x:c r="B1220" s="3" t="str">
        <x:v>03:20</x:v>
      </x:c>
      <x:c r="C1220" s="3" t="n">
        <x:v>4</x:v>
      </x:c>
      <x:c r="D1220" s="3" t="n">
        <x:v>19</x:v>
      </x:c>
      <x:c r="E1220" s="3" t="n">
        <x:v>3</x:v>
      </x:c>
      <x:c r="F1220" s="3" t="n">
        <x:v>7</x:v>
      </x:c>
      <x:c r="G1220" s="9" t="n">
        <x:v>0.08</x:v>
      </x:c>
      <x:c r="H1220" s="9" t="n">
        <x:v>0.996008</x:v>
      </x:c>
      <x:c r="I1220" s="9" t="n">
        <x:f>'Physical_Arcs'!R20</x:f>
        <x:v>5.75</x:v>
      </x:c>
      <x:c r="J1220" s="9" t="n">
        <x:f>I1220*'Parameters'!$C$18</x:f>
        <x:v>1.1500000000000001</x:v>
      </x:c>
      <x:c r="K1220" s="9" t="n">
        <x:f>J1220*'Parameters'!$C$19</x:f>
        <x:v>1.4375000000000002</x:v>
      </x:c>
      <x:c r="L1220" s="9" t="n">
        <x:f>I1220*(1-0.40)-J1220</x:f>
        <x:v>2.3</x:v>
      </x:c>
      <x:c r="M1220" s="9" t="n">
        <x:f>'Physical_Arcs'!S20</x:f>
        <x:v>5.75</x:v>
      </x:c>
      <x:c r="N1220" s="9" t="n">
        <x:f>M1220*'Parameters'!$C$18</x:f>
        <x:v>1.1500000000000001</x:v>
      </x:c>
      <x:c r="O1220" s="9" t="n">
        <x:f>N1220*'Parameters'!$C$19</x:f>
        <x:v>1.4375000000000002</x:v>
      </x:c>
      <x:c r="P1220" s="9" t="n">
        <x:f>M1220*(1-0.40)-N1220</x:f>
        <x:v>2.3</x:v>
      </x:c>
      <x:c r="Q1220" s="9" t="n">
        <x:f>'Physical_Arcs'!T20</x:f>
        <x:v>2.888888888888889</x:v>
      </x:c>
      <x:c r="R1220" s="9" t="n">
        <x:f>Q1220*'Parameters'!$C$18</x:f>
        <x:v>0.5777777777777778</x:v>
      </x:c>
      <x:c r="S1220" s="9" t="n">
        <x:f>R1220*'Parameters'!$C$19</x:f>
        <x:v>0.7222222222222223</x:v>
      </x:c>
      <x:c r="T1220" s="9" t="n">
        <x:f>Q1220*(1-0.40)-R1220</x:f>
        <x:v>1.1555555555555554</x:v>
      </x:c>
    </x:row>
    <x:row r="1221" ht="21" customHeight="1">
      <x:c r="A1221" s="3" t="n">
        <x:v>20</x:v>
      </x:c>
      <x:c r="B1221" s="3" t="str">
        <x:v>03:20</x:v>
      </x:c>
      <x:c r="C1221" s="3" t="n">
        <x:v>4</x:v>
      </x:c>
      <x:c r="D1221" s="3" t="n">
        <x:v>20</x:v>
      </x:c>
      <x:c r="E1221" s="3" t="n">
        <x:v>3</x:v>
      </x:c>
      <x:c r="F1221" s="3" t="n">
        <x:v>10</x:v>
      </x:c>
      <x:c r="G1221" s="9" t="n">
        <x:v>0.08</x:v>
      </x:c>
      <x:c r="H1221" s="9" t="n">
        <x:v>1.118855</x:v>
      </x:c>
      <x:c r="I1221" s="9" t="n">
        <x:f>'Physical_Arcs'!R21</x:f>
        <x:v>5.166666666666667</x:v>
      </x:c>
      <x:c r="J1221" s="9" t="n">
        <x:f>I1221*'Parameters'!$C$18</x:f>
        <x:v>1.0333333333333334</x:v>
      </x:c>
      <x:c r="K1221" s="9" t="n">
        <x:f>J1221*'Parameters'!$C$19</x:f>
        <x:v>1.2916666666666667</x:v>
      </x:c>
      <x:c r="L1221" s="9" t="n">
        <x:f>I1221*(1-0.40)-J1221</x:f>
        <x:v>2.0666666666666664</x:v>
      </x:c>
      <x:c r="M1221" s="9" t="n">
        <x:f>'Physical_Arcs'!S21</x:f>
        <x:v>5.166666666666667</x:v>
      </x:c>
      <x:c r="N1221" s="9" t="n">
        <x:f>M1221*'Parameters'!$C$18</x:f>
        <x:v>1.0333333333333334</x:v>
      </x:c>
      <x:c r="O1221" s="9" t="n">
        <x:f>N1221*'Parameters'!$C$19</x:f>
        <x:v>1.2916666666666667</x:v>
      </x:c>
      <x:c r="P1221" s="9" t="n">
        <x:f>M1221*(1-0.40)-N1221</x:f>
        <x:v>2.0666666666666664</x:v>
      </x:c>
      <x:c r="Q1221" s="9" t="n">
        <x:f>'Physical_Arcs'!T21</x:f>
        <x:v>2.5833333333333335</x:v>
      </x:c>
      <x:c r="R1221" s="9" t="n">
        <x:f>Q1221*'Parameters'!$C$18</x:f>
        <x:v>0.5166666666666667</x:v>
      </x:c>
      <x:c r="S1221" s="9" t="n">
        <x:f>R1221*'Parameters'!$C$19</x:f>
        <x:v>0.6458333333333334</x:v>
      </x:c>
      <x:c r="T1221" s="9" t="n">
        <x:f>Q1221*(1-0.40)-R1221</x:f>
        <x:v>1.0333333333333332</x:v>
      </x:c>
    </x:row>
    <x:row r="1222" ht="21" customHeight="1">
      <x:c r="A1222" s="3" t="n">
        <x:v>20</x:v>
      </x:c>
      <x:c r="B1222" s="3" t="str">
        <x:v>03:20</x:v>
      </x:c>
      <x:c r="C1222" s="3" t="n">
        <x:v>4</x:v>
      </x:c>
      <x:c r="D1222" s="3" t="n">
        <x:v>21</x:v>
      </x:c>
      <x:c r="E1222" s="3" t="n">
        <x:v>3</x:v>
      </x:c>
      <x:c r="F1222" s="3" t="n">
        <x:v>9</x:v>
      </x:c>
      <x:c r="G1222" s="9" t="n">
        <x:v>0.08</x:v>
      </x:c>
      <x:c r="H1222" s="9" t="n">
        <x:v>0.947299</x:v>
      </x:c>
      <x:c r="I1222" s="9" t="n">
        <x:f>'Physical_Arcs'!R22</x:f>
        <x:v>9.333333333333334</x:v>
      </x:c>
      <x:c r="J1222" s="9" t="n">
        <x:f>I1222*'Parameters'!$C$18</x:f>
        <x:v>1.866666666666667</x:v>
      </x:c>
      <x:c r="K1222" s="9" t="n">
        <x:f>J1222*'Parameters'!$C$19</x:f>
        <x:v>2.3333333333333335</x:v>
      </x:c>
      <x:c r="L1222" s="9" t="n">
        <x:f>I1222*(1-0.40)-J1222</x:f>
        <x:v>3.7333333333333334</x:v>
      </x:c>
      <x:c r="M1222" s="9" t="n">
        <x:f>'Physical_Arcs'!S22</x:f>
        <x:v>9.333333333333334</x:v>
      </x:c>
      <x:c r="N1222" s="9" t="n">
        <x:f>M1222*'Parameters'!$C$18</x:f>
        <x:v>1.866666666666667</x:v>
      </x:c>
      <x:c r="O1222" s="9" t="n">
        <x:f>N1222*'Parameters'!$C$19</x:f>
        <x:v>2.3333333333333335</x:v>
      </x:c>
      <x:c r="P1222" s="9" t="n">
        <x:f>M1222*(1-0.40)-N1222</x:f>
        <x:v>3.7333333333333334</x:v>
      </x:c>
      <x:c r="Q1222" s="9" t="n">
        <x:f>'Physical_Arcs'!T22</x:f>
        <x:v>4.666666666666667</x:v>
      </x:c>
      <x:c r="R1222" s="9" t="n">
        <x:f>Q1222*'Parameters'!$C$18</x:f>
        <x:v>0.9333333333333335</x:v>
      </x:c>
      <x:c r="S1222" s="9" t="n">
        <x:f>R1222*'Parameters'!$C$19</x:f>
        <x:v>1.1666666666666667</x:v>
      </x:c>
      <x:c r="T1222" s="9" t="n">
        <x:f>Q1222*(1-0.40)-R1222</x:f>
        <x:v>1.8666666666666667</x:v>
      </x:c>
    </x:row>
    <x:row r="1223" ht="21" customHeight="1">
      <x:c r="A1223" s="3" t="n">
        <x:v>20</x:v>
      </x:c>
      <x:c r="B1223" s="3" t="str">
        <x:v>03:20</x:v>
      </x:c>
      <x:c r="C1223" s="3" t="n">
        <x:v>4</x:v>
      </x:c>
      <x:c r="D1223" s="3" t="n">
        <x:v>22</x:v>
      </x:c>
      <x:c r="E1223" s="3" t="n">
        <x:v>4</x:v>
      </x:c>
      <x:c r="F1223" s="3" t="n">
        <x:v>5</x:v>
      </x:c>
      <x:c r="G1223" s="9" t="n">
        <x:v>0.08</x:v>
      </x:c>
      <x:c r="H1223" s="9" t="n">
        <x:v>0.958485</x:v>
      </x:c>
      <x:c r="I1223" s="9" t="n">
        <x:f>'Physical_Arcs'!R23</x:f>
        <x:v>17.02777777777778</x:v>
      </x:c>
      <x:c r="J1223" s="9" t="n">
        <x:f>I1223*'Parameters'!$C$18</x:f>
        <x:v>3.405555555555556</x:v>
      </x:c>
      <x:c r="K1223" s="9" t="n">
        <x:f>J1223*'Parameters'!$C$19</x:f>
        <x:v>4.256944444444445</x:v>
      </x:c>
      <x:c r="L1223" s="9" t="n">
        <x:f>I1223*(1-0.40)-J1223</x:f>
        <x:v>6.811111111111111</x:v>
      </x:c>
      <x:c r="M1223" s="9" t="n">
        <x:f>'Physical_Arcs'!S23</x:f>
        <x:v>17.02777777777778</x:v>
      </x:c>
      <x:c r="N1223" s="9" t="n">
        <x:f>M1223*'Parameters'!$C$18</x:f>
        <x:v>3.405555555555556</x:v>
      </x:c>
      <x:c r="O1223" s="9" t="n">
        <x:f>N1223*'Parameters'!$C$19</x:f>
        <x:v>4.256944444444445</x:v>
      </x:c>
      <x:c r="P1223" s="9" t="n">
        <x:f>M1223*(1-0.40)-N1223</x:f>
        <x:v>6.811111111111111</x:v>
      </x:c>
      <x:c r="Q1223" s="9" t="n">
        <x:f>'Physical_Arcs'!T23</x:f>
        <x:v>17.02777777777778</x:v>
      </x:c>
      <x:c r="R1223" s="9" t="n">
        <x:f>Q1223*'Parameters'!$C$18</x:f>
        <x:v>3.405555555555556</x:v>
      </x:c>
      <x:c r="S1223" s="9" t="n">
        <x:f>R1223*'Parameters'!$C$19</x:f>
        <x:v>4.256944444444445</x:v>
      </x:c>
      <x:c r="T1223" s="9" t="n">
        <x:f>Q1223*(1-0.40)-R1223</x:f>
        <x:v>6.811111111111111</x:v>
      </x:c>
    </x:row>
    <x:row r="1224" ht="21" customHeight="1">
      <x:c r="A1224" s="3" t="n">
        <x:v>20</x:v>
      </x:c>
      <x:c r="B1224" s="3" t="str">
        <x:v>03:20</x:v>
      </x:c>
      <x:c r="C1224" s="3" t="n">
        <x:v>4</x:v>
      </x:c>
      <x:c r="D1224" s="3" t="n">
        <x:v>23</x:v>
      </x:c>
      <x:c r="E1224" s="3" t="n">
        <x:v>4</x:v>
      </x:c>
      <x:c r="F1224" s="3" t="n">
        <x:v>3</x:v>
      </x:c>
      <x:c r="G1224" s="9" t="n">
        <x:v>0.08</x:v>
      </x:c>
      <x:c r="H1224" s="9" t="n">
        <x:v>0.944916</x:v>
      </x:c>
      <x:c r="I1224" s="9" t="n">
        <x:f>'Physical_Arcs'!R24</x:f>
        <x:v>9.333333333333334</x:v>
      </x:c>
      <x:c r="J1224" s="9" t="n">
        <x:f>I1224*'Parameters'!$C$18</x:f>
        <x:v>1.866666666666667</x:v>
      </x:c>
      <x:c r="K1224" s="9" t="n">
        <x:f>J1224*'Parameters'!$C$19</x:f>
        <x:v>2.3333333333333335</x:v>
      </x:c>
      <x:c r="L1224" s="9" t="n">
        <x:f>I1224*(1-0.40)-J1224</x:f>
        <x:v>3.7333333333333334</x:v>
      </x:c>
      <x:c r="M1224" s="9" t="n">
        <x:f>'Physical_Arcs'!S24</x:f>
        <x:v>9.333333333333334</x:v>
      </x:c>
      <x:c r="N1224" s="9" t="n">
        <x:f>M1224*'Parameters'!$C$18</x:f>
        <x:v>1.866666666666667</x:v>
      </x:c>
      <x:c r="O1224" s="9" t="n">
        <x:f>N1224*'Parameters'!$C$19</x:f>
        <x:v>2.3333333333333335</x:v>
      </x:c>
      <x:c r="P1224" s="9" t="n">
        <x:f>M1224*(1-0.40)-N1224</x:f>
        <x:v>3.7333333333333334</x:v>
      </x:c>
      <x:c r="Q1224" s="9" t="n">
        <x:f>'Physical_Arcs'!T24</x:f>
        <x:v>4.666666666666667</x:v>
      </x:c>
      <x:c r="R1224" s="9" t="n">
        <x:f>Q1224*'Parameters'!$C$18</x:f>
        <x:v>0.9333333333333335</x:v>
      </x:c>
      <x:c r="S1224" s="9" t="n">
        <x:f>R1224*'Parameters'!$C$19</x:f>
        <x:v>1.1666666666666667</x:v>
      </x:c>
      <x:c r="T1224" s="9" t="n">
        <x:f>Q1224*(1-0.40)-R1224</x:f>
        <x:v>1.8666666666666667</x:v>
      </x:c>
    </x:row>
    <x:row r="1225" ht="21" customHeight="1">
      <x:c r="A1225" s="3" t="n">
        <x:v>20</x:v>
      </x:c>
      <x:c r="B1225" s="3" t="str">
        <x:v>03:20</x:v>
      </x:c>
      <x:c r="C1225" s="3" t="n">
        <x:v>4</x:v>
      </x:c>
      <x:c r="D1225" s="3" t="n">
        <x:v>24</x:v>
      </x:c>
      <x:c r="E1225" s="3" t="n">
        <x:v>4</x:v>
      </x:c>
      <x:c r="F1225" s="3" t="n">
        <x:v>10</x:v>
      </x:c>
      <x:c r="G1225" s="9" t="n">
        <x:v>0.08</x:v>
      </x:c>
      <x:c r="H1225" s="9" t="n">
        <x:v>0.875461</x:v>
      </x:c>
      <x:c r="I1225" s="9" t="n">
        <x:f>'Physical_Arcs'!R25</x:f>
        <x:v>7.194444444444445</x:v>
      </x:c>
      <x:c r="J1225" s="9" t="n">
        <x:f>I1225*'Parameters'!$C$18</x:f>
        <x:v>1.438888888888889</x:v>
      </x:c>
      <x:c r="K1225" s="9" t="n">
        <x:f>J1225*'Parameters'!$C$19</x:f>
        <x:v>1.7986111111111114</x:v>
      </x:c>
      <x:c r="L1225" s="9" t="n">
        <x:f>I1225*(1-0.40)-J1225</x:f>
        <x:v>2.8777777777777773</x:v>
      </x:c>
      <x:c r="M1225" s="9" t="n">
        <x:f>'Physical_Arcs'!S25</x:f>
        <x:v>7.194444444444445</x:v>
      </x:c>
      <x:c r="N1225" s="9" t="n">
        <x:f>M1225*'Parameters'!$C$18</x:f>
        <x:v>1.438888888888889</x:v>
      </x:c>
      <x:c r="O1225" s="9" t="n">
        <x:f>N1225*'Parameters'!$C$19</x:f>
        <x:v>1.7986111111111114</x:v>
      </x:c>
      <x:c r="P1225" s="9" t="n">
        <x:f>M1225*(1-0.40)-N1225</x:f>
        <x:v>2.8777777777777773</x:v>
      </x:c>
      <x:c r="Q1225" s="9" t="n">
        <x:f>'Physical_Arcs'!T25</x:f>
        <x:v>3.611111111111111</x:v>
      </x:c>
      <x:c r="R1225" s="9" t="n">
        <x:f>Q1225*'Parameters'!$C$18</x:f>
        <x:v>0.7222222222222223</x:v>
      </x:c>
      <x:c r="S1225" s="9" t="n">
        <x:f>R1225*'Parameters'!$C$19</x:f>
        <x:v>0.9027777777777779</x:v>
      </x:c>
      <x:c r="T1225" s="9" t="n">
        <x:f>Q1225*(1-0.40)-R1225</x:f>
        <x:v>1.4444444444444442</x:v>
      </x:c>
    </x:row>
    <x:row r="1226" ht="21" customHeight="1">
      <x:c r="A1226" s="3" t="n">
        <x:v>20</x:v>
      </x:c>
      <x:c r="B1226" s="3" t="str">
        <x:v>03:20</x:v>
      </x:c>
      <x:c r="C1226" s="3" t="n">
        <x:v>4</x:v>
      </x:c>
      <x:c r="D1226" s="3" t="n">
        <x:v>25</x:v>
      </x:c>
      <x:c r="E1226" s="3" t="n">
        <x:v>4</x:v>
      </x:c>
      <x:c r="F1226" s="3" t="n">
        <x:v>8</x:v>
      </x:c>
      <x:c r="G1226" s="9" t="n">
        <x:v>0.08</x:v>
      </x:c>
      <x:c r="H1226" s="9" t="n">
        <x:v>0.993326</x:v>
      </x:c>
      <x:c r="I1226" s="9" t="n">
        <x:f>'Physical_Arcs'!R26</x:f>
        <x:v>5.277777777777778</x:v>
      </x:c>
      <x:c r="J1226" s="9" t="n">
        <x:f>I1226*'Parameters'!$C$18</x:f>
        <x:v>1.0555555555555556</x:v>
      </x:c>
      <x:c r="K1226" s="9" t="n">
        <x:f>J1226*'Parameters'!$C$19</x:f>
        <x:v>1.3194444444444444</x:v>
      </x:c>
      <x:c r="L1226" s="9" t="n">
        <x:f>I1226*(1-0.40)-J1226</x:f>
        <x:v>2.1111111111111107</x:v>
      </x:c>
      <x:c r="M1226" s="9" t="n">
        <x:f>'Physical_Arcs'!S26</x:f>
        <x:v>5.277777777777778</x:v>
      </x:c>
      <x:c r="N1226" s="9" t="n">
        <x:f>M1226*'Parameters'!$C$18</x:f>
        <x:v>1.0555555555555556</x:v>
      </x:c>
      <x:c r="O1226" s="9" t="n">
        <x:f>N1226*'Parameters'!$C$19</x:f>
        <x:v>1.3194444444444444</x:v>
      </x:c>
      <x:c r="P1226" s="9" t="n">
        <x:f>M1226*(1-0.40)-N1226</x:f>
        <x:v>2.1111111111111107</x:v>
      </x:c>
      <x:c r="Q1226" s="9" t="n">
        <x:f>'Physical_Arcs'!T26</x:f>
        <x:v>2.638888888888889</x:v>
      </x:c>
      <x:c r="R1226" s="9" t="n">
        <x:f>Q1226*'Parameters'!$C$18</x:f>
        <x:v>0.5277777777777778</x:v>
      </x:c>
      <x:c r="S1226" s="9" t="n">
        <x:f>R1226*'Parameters'!$C$19</x:f>
        <x:v>0.6597222222222222</x:v>
      </x:c>
      <x:c r="T1226" s="9" t="n">
        <x:f>Q1226*(1-0.40)-R1226</x:f>
        <x:v>1.0555555555555554</x:v>
      </x:c>
    </x:row>
    <x:row r="1227" ht="21" customHeight="1">
      <x:c r="A1227" s="3" t="n">
        <x:v>20</x:v>
      </x:c>
      <x:c r="B1227" s="3" t="str">
        <x:v>03:20</x:v>
      </x:c>
      <x:c r="C1227" s="3" t="n">
        <x:v>4</x:v>
      </x:c>
      <x:c r="D1227" s="3" t="n">
        <x:v>26</x:v>
      </x:c>
      <x:c r="E1227" s="3" t="n">
        <x:v>4</x:v>
      </x:c>
      <x:c r="F1227" s="3" t="n">
        <x:v>7</x:v>
      </x:c>
      <x:c r="G1227" s="9" t="n">
        <x:v>0.08</x:v>
      </x:c>
      <x:c r="H1227" s="9" t="n">
        <x:v>1.099203</x:v>
      </x:c>
      <x:c r="I1227" s="9" t="n">
        <x:f>'Physical_Arcs'!R27</x:f>
        <x:v>6.527777777777778</x:v>
      </x:c>
      <x:c r="J1227" s="9" t="n">
        <x:f>I1227*'Parameters'!$C$18</x:f>
        <x:v>1.3055555555555556</x:v>
      </x:c>
      <x:c r="K1227" s="9" t="n">
        <x:f>J1227*'Parameters'!$C$19</x:f>
        <x:v>1.6319444444444444</x:v>
      </x:c>
      <x:c r="L1227" s="9" t="n">
        <x:f>I1227*(1-0.40)-J1227</x:f>
        <x:v>2.6111111111111107</x:v>
      </x:c>
      <x:c r="M1227" s="9" t="n">
        <x:f>'Physical_Arcs'!S27</x:f>
        <x:v>6.527777777777778</x:v>
      </x:c>
      <x:c r="N1227" s="9" t="n">
        <x:f>M1227*'Parameters'!$C$18</x:f>
        <x:v>1.3055555555555556</x:v>
      </x:c>
      <x:c r="O1227" s="9" t="n">
        <x:f>N1227*'Parameters'!$C$19</x:f>
        <x:v>1.6319444444444444</x:v>
      </x:c>
      <x:c r="P1227" s="9" t="n">
        <x:f>M1227*(1-0.40)-N1227</x:f>
        <x:v>2.6111111111111107</x:v>
      </x:c>
      <x:c r="Q1227" s="9" t="n">
        <x:f>'Physical_Arcs'!T27</x:f>
        <x:v>3.2777777777777777</x:v>
      </x:c>
      <x:c r="R1227" s="9" t="n">
        <x:f>Q1227*'Parameters'!$C$18</x:f>
        <x:v>0.6555555555555556</x:v>
      </x:c>
      <x:c r="S1227" s="9" t="n">
        <x:f>R1227*'Parameters'!$C$19</x:f>
        <x:v>0.8194444444444444</x:v>
      </x:c>
      <x:c r="T1227" s="9" t="n">
        <x:f>Q1227*(1-0.40)-R1227</x:f>
        <x:v>1.311111111111111</x:v>
      </x:c>
    </x:row>
    <x:row r="1228" ht="21" customHeight="1">
      <x:c r="A1228" s="3" t="n">
        <x:v>20</x:v>
      </x:c>
      <x:c r="B1228" s="3" t="str">
        <x:v>03:20</x:v>
      </x:c>
      <x:c r="C1228" s="3" t="n">
        <x:v>4</x:v>
      </x:c>
      <x:c r="D1228" s="3" t="n">
        <x:v>27</x:v>
      </x:c>
      <x:c r="E1228" s="3" t="n">
        <x:v>4</x:v>
      </x:c>
      <x:c r="F1228" s="3" t="n">
        <x:v>2</x:v>
      </x:c>
      <x:c r="G1228" s="9" t="n">
        <x:v>0.08</x:v>
      </x:c>
      <x:c r="H1228" s="9" t="n">
        <x:v>0.861111</x:v>
      </x:c>
      <x:c r="I1228" s="9" t="n">
        <x:f>'Physical_Arcs'!R28</x:f>
        <x:v>4.944444444444445</x:v>
      </x:c>
      <x:c r="J1228" s="9" t="n">
        <x:f>I1228*'Parameters'!$C$18</x:f>
        <x:v>0.9888888888888889</x:v>
      </x:c>
      <x:c r="K1228" s="9" t="n">
        <x:f>J1228*'Parameters'!$C$19</x:f>
        <x:v>1.2361111111111112</x:v>
      </x:c>
      <x:c r="L1228" s="9" t="n">
        <x:f>I1228*(1-0.40)-J1228</x:f>
        <x:v>1.9777777777777779</x:v>
      </x:c>
      <x:c r="M1228" s="9" t="n">
        <x:f>'Physical_Arcs'!S28</x:f>
        <x:v>4.944444444444445</x:v>
      </x:c>
      <x:c r="N1228" s="9" t="n">
        <x:f>M1228*'Parameters'!$C$18</x:f>
        <x:v>0.9888888888888889</x:v>
      </x:c>
      <x:c r="O1228" s="9" t="n">
        <x:f>N1228*'Parameters'!$C$19</x:f>
        <x:v>1.2361111111111112</x:v>
      </x:c>
      <x:c r="P1228" s="9" t="n">
        <x:f>M1228*(1-0.40)-N1228</x:f>
        <x:v>1.9777777777777779</x:v>
      </x:c>
      <x:c r="Q1228" s="9" t="n">
        <x:f>'Physical_Arcs'!T28</x:f>
        <x:v>2.4722222222222223</x:v>
      </x:c>
      <x:c r="R1228" s="9" t="n">
        <x:f>Q1228*'Parameters'!$C$18</x:f>
        <x:v>0.49444444444444446</x:v>
      </x:c>
      <x:c r="S1228" s="9" t="n">
        <x:f>R1228*'Parameters'!$C$19</x:f>
        <x:v>0.6180555555555556</x:v>
      </x:c>
      <x:c r="T1228" s="9" t="n">
        <x:f>Q1228*(1-0.40)-R1228</x:f>
        <x:v>0.9888888888888889</x:v>
      </x:c>
    </x:row>
    <x:row r="1229" ht="21" customHeight="1">
      <x:c r="A1229" s="3" t="n">
        <x:v>20</x:v>
      </x:c>
      <x:c r="B1229" s="3" t="str">
        <x:v>03:20</x:v>
      </x:c>
      <x:c r="C1229" s="3" t="n">
        <x:v>4</x:v>
      </x:c>
      <x:c r="D1229" s="3" t="n">
        <x:v>28</x:v>
      </x:c>
      <x:c r="E1229" s="3" t="n">
        <x:v>4</x:v>
      </x:c>
      <x:c r="F1229" s="3" t="n">
        <x:v>6</x:v>
      </x:c>
      <x:c r="G1229" s="9" t="n">
        <x:v>0.08</x:v>
      </x:c>
      <x:c r="H1229" s="9" t="n">
        <x:v>1.137214</x:v>
      </x:c>
      <x:c r="I1229" s="9" t="n">
        <x:f>'Physical_Arcs'!R29</x:f>
        <x:v>3.388888888888889</x:v>
      </x:c>
      <x:c r="J1229" s="9" t="n">
        <x:f>I1229*'Parameters'!$C$18</x:f>
        <x:v>0.6777777777777778</x:v>
      </x:c>
      <x:c r="K1229" s="9" t="n">
        <x:f>J1229*'Parameters'!$C$19</x:f>
        <x:v>0.8472222222222223</x:v>
      </x:c>
      <x:c r="L1229" s="9" t="n">
        <x:f>I1229*(1-0.40)-J1229</x:f>
        <x:v>1.3555555555555554</x:v>
      </x:c>
      <x:c r="M1229" s="9" t="n">
        <x:f>'Physical_Arcs'!S29</x:f>
        <x:v>3.388888888888889</x:v>
      </x:c>
      <x:c r="N1229" s="9" t="n">
        <x:f>M1229*'Parameters'!$C$18</x:f>
        <x:v>0.6777777777777778</x:v>
      </x:c>
      <x:c r="O1229" s="9" t="n">
        <x:f>N1229*'Parameters'!$C$19</x:f>
        <x:v>0.8472222222222223</x:v>
      </x:c>
      <x:c r="P1229" s="9" t="n">
        <x:f>M1229*(1-0.40)-N1229</x:f>
        <x:v>1.3555555555555554</x:v>
      </x:c>
      <x:c r="Q1229" s="9" t="n">
        <x:f>'Physical_Arcs'!T29</x:f>
        <x:v>1.6944444444444444</x:v>
      </x:c>
      <x:c r="R1229" s="9" t="n">
        <x:f>Q1229*'Parameters'!$C$18</x:f>
        <x:v>0.3388888888888889</x:v>
      </x:c>
      <x:c r="S1229" s="9" t="n">
        <x:f>R1229*'Parameters'!$C$19</x:f>
        <x:v>0.42361111111111116</x:v>
      </x:c>
      <x:c r="T1229" s="9" t="n">
        <x:f>Q1229*(1-0.40)-R1229</x:f>
        <x:v>0.6777777777777777</x:v>
      </x:c>
    </x:row>
    <x:row r="1230" ht="21" customHeight="1">
      <x:c r="A1230" s="3" t="n">
        <x:v>20</x:v>
      </x:c>
      <x:c r="B1230" s="3" t="str">
        <x:v>03:20</x:v>
      </x:c>
      <x:c r="C1230" s="3" t="n">
        <x:v>4</x:v>
      </x:c>
      <x:c r="D1230" s="3" t="n">
        <x:v>29</x:v>
      </x:c>
      <x:c r="E1230" s="3" t="n">
        <x:v>5</x:v>
      </x:c>
      <x:c r="F1230" s="3" t="n">
        <x:v>6</x:v>
      </x:c>
      <x:c r="G1230" s="9" t="n">
        <x:v>0.08</x:v>
      </x:c>
      <x:c r="H1230" s="9" t="n">
        <x:v>0.949994</x:v>
      </x:c>
      <x:c r="I1230" s="9" t="n">
        <x:f>'Physical_Arcs'!R30</x:f>
        <x:v>17.02777777777778</x:v>
      </x:c>
      <x:c r="J1230" s="9" t="n">
        <x:f>I1230*'Parameters'!$C$18</x:f>
        <x:v>3.405555555555556</x:v>
      </x:c>
      <x:c r="K1230" s="9" t="n">
        <x:f>J1230*'Parameters'!$C$19</x:f>
        <x:v>4.256944444444445</x:v>
      </x:c>
      <x:c r="L1230" s="9" t="n">
        <x:f>I1230*(1-0.40)-J1230</x:f>
        <x:v>6.811111111111111</x:v>
      </x:c>
      <x:c r="M1230" s="9" t="n">
        <x:f>'Physical_Arcs'!S30</x:f>
        <x:v>17.02777777777778</x:v>
      </x:c>
      <x:c r="N1230" s="9" t="n">
        <x:f>M1230*'Parameters'!$C$18</x:f>
        <x:v>3.405555555555556</x:v>
      </x:c>
      <x:c r="O1230" s="9" t="n">
        <x:f>N1230*'Parameters'!$C$19</x:f>
        <x:v>4.256944444444445</x:v>
      </x:c>
      <x:c r="P1230" s="9" t="n">
        <x:f>M1230*(1-0.40)-N1230</x:f>
        <x:v>6.811111111111111</x:v>
      </x:c>
      <x:c r="Q1230" s="9" t="n">
        <x:f>'Physical_Arcs'!T30</x:f>
        <x:v>17.02777777777778</x:v>
      </x:c>
      <x:c r="R1230" s="9" t="n">
        <x:f>Q1230*'Parameters'!$C$18</x:f>
        <x:v>3.405555555555556</x:v>
      </x:c>
      <x:c r="S1230" s="9" t="n">
        <x:f>R1230*'Parameters'!$C$19</x:f>
        <x:v>4.256944444444445</x:v>
      </x:c>
      <x:c r="T1230" s="9" t="n">
        <x:f>Q1230*(1-0.40)-R1230</x:f>
        <x:v>6.811111111111111</x:v>
      </x:c>
    </x:row>
    <x:row r="1231" ht="21" customHeight="1">
      <x:c r="A1231" s="3" t="n">
        <x:v>20</x:v>
      </x:c>
      <x:c r="B1231" s="3" t="str">
        <x:v>03:20</x:v>
      </x:c>
      <x:c r="C1231" s="3" t="n">
        <x:v>4</x:v>
      </x:c>
      <x:c r="D1231" s="3" t="n">
        <x:v>30</x:v>
      </x:c>
      <x:c r="E1231" s="3" t="n">
        <x:v>5</x:v>
      </x:c>
      <x:c r="F1231" s="3" t="n">
        <x:v>2</x:v>
      </x:c>
      <x:c r="G1231" s="9" t="n">
        <x:v>0.08</x:v>
      </x:c>
      <x:c r="H1231" s="9" t="n">
        <x:v>0.882396</x:v>
      </x:c>
      <x:c r="I1231" s="9" t="n">
        <x:f>'Physical_Arcs'!R31</x:f>
        <x:v>2.9444444444444446</x:v>
      </x:c>
      <x:c r="J1231" s="9" t="n">
        <x:f>I1231*'Parameters'!$C$18</x:f>
        <x:v>0.5888888888888889</x:v>
      </x:c>
      <x:c r="K1231" s="9" t="n">
        <x:f>J1231*'Parameters'!$C$19</x:f>
        <x:v>0.7361111111111112</x:v>
      </x:c>
      <x:c r="L1231" s="9" t="n">
        <x:f>I1231*(1-0.40)-J1231</x:f>
        <x:v>1.177777777777778</x:v>
      </x:c>
      <x:c r="M1231" s="9" t="n">
        <x:f>'Physical_Arcs'!S31</x:f>
        <x:v>2.9444444444444446</x:v>
      </x:c>
      <x:c r="N1231" s="9" t="n">
        <x:f>M1231*'Parameters'!$C$18</x:f>
        <x:v>0.5888888888888889</x:v>
      </x:c>
      <x:c r="O1231" s="9" t="n">
        <x:f>N1231*'Parameters'!$C$19</x:f>
        <x:v>0.7361111111111112</x:v>
      </x:c>
      <x:c r="P1231" s="9" t="n">
        <x:f>M1231*(1-0.40)-N1231</x:f>
        <x:v>1.177777777777778</x:v>
      </x:c>
      <x:c r="Q1231" s="9" t="n">
        <x:f>'Physical_Arcs'!T31</x:f>
        <x:v>1.4722222222222223</x:v>
      </x:c>
      <x:c r="R1231" s="9" t="n">
        <x:f>Q1231*'Parameters'!$C$18</x:f>
        <x:v>0.29444444444444445</x:v>
      </x:c>
      <x:c r="S1231" s="9" t="n">
        <x:f>R1231*'Parameters'!$C$19</x:f>
        <x:v>0.3680555555555556</x:v>
      </x:c>
      <x:c r="T1231" s="9" t="n">
        <x:f>Q1231*(1-0.40)-R1231</x:f>
        <x:v>0.588888888888889</x:v>
      </x:c>
    </x:row>
    <x:row r="1232" ht="21" customHeight="1">
      <x:c r="A1232" s="3" t="n">
        <x:v>20</x:v>
      </x:c>
      <x:c r="B1232" s="3" t="str">
        <x:v>03:20</x:v>
      </x:c>
      <x:c r="C1232" s="3" t="n">
        <x:v>4</x:v>
      </x:c>
      <x:c r="D1232" s="3" t="n">
        <x:v>31</x:v>
      </x:c>
      <x:c r="E1232" s="3" t="n">
        <x:v>5</x:v>
      </x:c>
      <x:c r="F1232" s="3" t="n">
        <x:v>8</x:v>
      </x:c>
      <x:c r="G1232" s="9" t="n">
        <x:v>0.08</x:v>
      </x:c>
      <x:c r="H1232" s="9" t="n">
        <x:v>0.986718</x:v>
      </x:c>
      <x:c r="I1232" s="9" t="n">
        <x:f>'Physical_Arcs'!R32</x:f>
        <x:v>9.333333333333334</x:v>
      </x:c>
      <x:c r="J1232" s="9" t="n">
        <x:f>I1232*'Parameters'!$C$18</x:f>
        <x:v>1.866666666666667</x:v>
      </x:c>
      <x:c r="K1232" s="9" t="n">
        <x:f>J1232*'Parameters'!$C$19</x:f>
        <x:v>2.3333333333333335</x:v>
      </x:c>
      <x:c r="L1232" s="9" t="n">
        <x:f>I1232*(1-0.40)-J1232</x:f>
        <x:v>3.7333333333333334</x:v>
      </x:c>
      <x:c r="M1232" s="9" t="n">
        <x:f>'Physical_Arcs'!S32</x:f>
        <x:v>9.333333333333334</x:v>
      </x:c>
      <x:c r="N1232" s="9" t="n">
        <x:f>M1232*'Parameters'!$C$18</x:f>
        <x:v>1.866666666666667</x:v>
      </x:c>
      <x:c r="O1232" s="9" t="n">
        <x:f>N1232*'Parameters'!$C$19</x:f>
        <x:v>2.3333333333333335</x:v>
      </x:c>
      <x:c r="P1232" s="9" t="n">
        <x:f>M1232*(1-0.40)-N1232</x:f>
        <x:v>3.7333333333333334</x:v>
      </x:c>
      <x:c r="Q1232" s="9" t="n">
        <x:f>'Physical_Arcs'!T32</x:f>
        <x:v>4.666666666666667</x:v>
      </x:c>
      <x:c r="R1232" s="9" t="n">
        <x:f>Q1232*'Parameters'!$C$18</x:f>
        <x:v>0.9333333333333335</x:v>
      </x:c>
      <x:c r="S1232" s="9" t="n">
        <x:f>R1232*'Parameters'!$C$19</x:f>
        <x:v>1.1666666666666667</x:v>
      </x:c>
      <x:c r="T1232" s="9" t="n">
        <x:f>Q1232*(1-0.40)-R1232</x:f>
        <x:v>1.8666666666666667</x:v>
      </x:c>
    </x:row>
    <x:row r="1233" ht="21" customHeight="1">
      <x:c r="A1233" s="3" t="n">
        <x:v>20</x:v>
      </x:c>
      <x:c r="B1233" s="3" t="str">
        <x:v>03:20</x:v>
      </x:c>
      <x:c r="C1233" s="3" t="n">
        <x:v>4</x:v>
      </x:c>
      <x:c r="D1233" s="3" t="n">
        <x:v>32</x:v>
      </x:c>
      <x:c r="E1233" s="3" t="n">
        <x:v>5</x:v>
      </x:c>
      <x:c r="F1233" s="3" t="n">
        <x:v>3</x:v>
      </x:c>
      <x:c r="G1233" s="9" t="n">
        <x:v>0.08</x:v>
      </x:c>
      <x:c r="H1233" s="9" t="n">
        <x:v>1.089544</x:v>
      </x:c>
      <x:c r="I1233" s="9" t="n">
        <x:f>'Physical_Arcs'!R33</x:f>
        <x:v>11.13888888888889</x:v>
      </x:c>
      <x:c r="J1233" s="9" t="n">
        <x:f>I1233*'Parameters'!$C$18</x:f>
        <x:v>2.227777777777778</x:v>
      </x:c>
      <x:c r="K1233" s="9" t="n">
        <x:f>J1233*'Parameters'!$C$19</x:f>
        <x:v>2.7847222222222223</x:v>
      </x:c>
      <x:c r="L1233" s="9" t="n">
        <x:f>I1233*(1-0.40)-J1233</x:f>
        <x:v>4.455555555555556</x:v>
      </x:c>
      <x:c r="M1233" s="9" t="n">
        <x:f>'Physical_Arcs'!S33</x:f>
        <x:v>11.13888888888889</x:v>
      </x:c>
      <x:c r="N1233" s="9" t="n">
        <x:f>M1233*'Parameters'!$C$18</x:f>
        <x:v>2.227777777777778</x:v>
      </x:c>
      <x:c r="O1233" s="9" t="n">
        <x:f>N1233*'Parameters'!$C$19</x:f>
        <x:v>2.7847222222222223</x:v>
      </x:c>
      <x:c r="P1233" s="9" t="n">
        <x:f>M1233*(1-0.40)-N1233</x:f>
        <x:v>4.455555555555556</x:v>
      </x:c>
      <x:c r="Q1233" s="9" t="n">
        <x:f>'Physical_Arcs'!T33</x:f>
        <x:v>5.583333333333333</x:v>
      </x:c>
      <x:c r="R1233" s="9" t="n">
        <x:f>Q1233*'Parameters'!$C$18</x:f>
        <x:v>1.1166666666666667</x:v>
      </x:c>
      <x:c r="S1233" s="9" t="n">
        <x:f>R1233*'Parameters'!$C$19</x:f>
        <x:v>1.3958333333333335</x:v>
      </x:c>
      <x:c r="T1233" s="9" t="n">
        <x:f>Q1233*(1-0.40)-R1233</x:f>
        <x:v>2.233333333333333</x:v>
      </x:c>
    </x:row>
    <x:row r="1234" ht="21" customHeight="1">
      <x:c r="A1234" s="3" t="n">
        <x:v>20</x:v>
      </x:c>
      <x:c r="B1234" s="3" t="str">
        <x:v>03:20</x:v>
      </x:c>
      <x:c r="C1234" s="3" t="n">
        <x:v>4</x:v>
      </x:c>
      <x:c r="D1234" s="3" t="n">
        <x:v>33</x:v>
      </x:c>
      <x:c r="E1234" s="3" t="n">
        <x:v>5</x:v>
      </x:c>
      <x:c r="F1234" s="3" t="n">
        <x:v>10</x:v>
      </x:c>
      <x:c r="G1234" s="9" t="n">
        <x:v>0.08</x:v>
      </x:c>
      <x:c r="H1234" s="9" t="n">
        <x:v>1.103596</x:v>
      </x:c>
      <x:c r="I1234" s="9" t="n">
        <x:f>'Physical_Arcs'!R34</x:f>
        <x:v>4.611111111111111</x:v>
      </x:c>
      <x:c r="J1234" s="9" t="n">
        <x:f>I1234*'Parameters'!$C$18</x:f>
        <x:v>0.9222222222222222</x:v>
      </x:c>
      <x:c r="K1234" s="9" t="n">
        <x:f>J1234*'Parameters'!$C$19</x:f>
        <x:v>1.1527777777777777</x:v>
      </x:c>
      <x:c r="L1234" s="9" t="n">
        <x:f>I1234*(1-0.40)-J1234</x:f>
        <x:v>1.844444444444444</x:v>
      </x:c>
      <x:c r="M1234" s="9" t="n">
        <x:f>'Physical_Arcs'!S34</x:f>
        <x:v>4.611111111111111</x:v>
      </x:c>
      <x:c r="N1234" s="9" t="n">
        <x:f>M1234*'Parameters'!$C$18</x:f>
        <x:v>0.9222222222222222</x:v>
      </x:c>
      <x:c r="O1234" s="9" t="n">
        <x:f>N1234*'Parameters'!$C$19</x:f>
        <x:v>1.1527777777777777</x:v>
      </x:c>
      <x:c r="P1234" s="9" t="n">
        <x:f>M1234*(1-0.40)-N1234</x:f>
        <x:v>1.844444444444444</x:v>
      </x:c>
      <x:c r="Q1234" s="9" t="n">
        <x:f>'Physical_Arcs'!T34</x:f>
        <x:v>2.3055555555555554</x:v>
      </x:c>
      <x:c r="R1234" s="9" t="n">
        <x:f>Q1234*'Parameters'!$C$18</x:f>
        <x:v>0.4611111111111111</x:v>
      </x:c>
      <x:c r="S1234" s="9" t="n">
        <x:f>R1234*'Parameters'!$C$19</x:f>
        <x:v>0.5763888888888888</x:v>
      </x:c>
      <x:c r="T1234" s="9" t="n">
        <x:f>Q1234*(1-0.40)-R1234</x:f>
        <x:v>0.922222222222222</x:v>
      </x:c>
    </x:row>
    <x:row r="1235" ht="21" customHeight="1">
      <x:c r="A1235" s="3" t="n">
        <x:v>20</x:v>
      </x:c>
      <x:c r="B1235" s="3" t="str">
        <x:v>03:20</x:v>
      </x:c>
      <x:c r="C1235" s="3" t="n">
        <x:v>4</x:v>
      </x:c>
      <x:c r="D1235" s="3" t="n">
        <x:v>34</x:v>
      </x:c>
      <x:c r="E1235" s="3" t="n">
        <x:v>6</x:v>
      </x:c>
      <x:c r="F1235" s="3" t="n">
        <x:v>7</x:v>
      </x:c>
      <x:c r="G1235" s="9" t="n">
        <x:v>0.08</x:v>
      </x:c>
      <x:c r="H1235" s="9" t="n">
        <x:v>0.973887</x:v>
      </x:c>
      <x:c r="I1235" s="9" t="n">
        <x:f>'Physical_Arcs'!R35</x:f>
        <x:v>17.02777777777778</x:v>
      </x:c>
      <x:c r="J1235" s="9" t="n">
        <x:f>I1235*'Parameters'!$C$18</x:f>
        <x:v>3.405555555555556</x:v>
      </x:c>
      <x:c r="K1235" s="9" t="n">
        <x:f>J1235*'Parameters'!$C$19</x:f>
        <x:v>4.256944444444445</x:v>
      </x:c>
      <x:c r="L1235" s="9" t="n">
        <x:f>I1235*(1-0.40)-J1235</x:f>
        <x:v>6.811111111111111</x:v>
      </x:c>
      <x:c r="M1235" s="9" t="n">
        <x:f>'Physical_Arcs'!S35</x:f>
        <x:v>17.02777777777778</x:v>
      </x:c>
      <x:c r="N1235" s="9" t="n">
        <x:f>M1235*'Parameters'!$C$18</x:f>
        <x:v>3.405555555555556</x:v>
      </x:c>
      <x:c r="O1235" s="9" t="n">
        <x:f>N1235*'Parameters'!$C$19</x:f>
        <x:v>4.256944444444445</x:v>
      </x:c>
      <x:c r="P1235" s="9" t="n">
        <x:f>M1235*(1-0.40)-N1235</x:f>
        <x:v>6.811111111111111</x:v>
      </x:c>
      <x:c r="Q1235" s="9" t="n">
        <x:f>'Physical_Arcs'!T35</x:f>
        <x:v>17.02777777777778</x:v>
      </x:c>
      <x:c r="R1235" s="9" t="n">
        <x:f>Q1235*'Parameters'!$C$18</x:f>
        <x:v>3.405555555555556</x:v>
      </x:c>
      <x:c r="S1235" s="9" t="n">
        <x:f>R1235*'Parameters'!$C$19</x:f>
        <x:v>4.256944444444445</x:v>
      </x:c>
      <x:c r="T1235" s="9" t="n">
        <x:f>Q1235*(1-0.40)-R1235</x:f>
        <x:v>6.811111111111111</x:v>
      </x:c>
    </x:row>
    <x:row r="1236" ht="21" customHeight="1">
      <x:c r="A1236" s="3" t="n">
        <x:v>20</x:v>
      </x:c>
      <x:c r="B1236" s="3" t="str">
        <x:v>03:20</x:v>
      </x:c>
      <x:c r="C1236" s="3" t="n">
        <x:v>4</x:v>
      </x:c>
      <x:c r="D1236" s="3" t="n">
        <x:v>35</x:v>
      </x:c>
      <x:c r="E1236" s="3" t="n">
        <x:v>6</x:v>
      </x:c>
      <x:c r="F1236" s="3" t="n">
        <x:v>10</x:v>
      </x:c>
      <x:c r="G1236" s="9" t="n">
        <x:v>0.08</x:v>
      </x:c>
      <x:c r="H1236" s="9" t="n">
        <x:v>1.009062</x:v>
      </x:c>
      <x:c r="I1236" s="9" t="n">
        <x:f>'Physical_Arcs'!R36</x:f>
        <x:v>4.055555555555555</x:v>
      </x:c>
      <x:c r="J1236" s="9" t="n">
        <x:f>I1236*'Parameters'!$C$18</x:f>
        <x:v>0.8111111111111111</x:v>
      </x:c>
      <x:c r="K1236" s="9" t="n">
        <x:f>J1236*'Parameters'!$C$19</x:f>
        <x:v>1.0138888888888888</x:v>
      </x:c>
      <x:c r="L1236" s="9" t="n">
        <x:f>I1236*(1-0.40)-J1236</x:f>
        <x:v>1.622222222222222</x:v>
      </x:c>
      <x:c r="M1236" s="9" t="n">
        <x:f>'Physical_Arcs'!S36</x:f>
        <x:v>4.055555555555555</x:v>
      </x:c>
      <x:c r="N1236" s="9" t="n">
        <x:f>M1236*'Parameters'!$C$18</x:f>
        <x:v>0.8111111111111111</x:v>
      </x:c>
      <x:c r="O1236" s="9" t="n">
        <x:f>N1236*'Parameters'!$C$19</x:f>
        <x:v>1.0138888888888888</x:v>
      </x:c>
      <x:c r="P1236" s="9" t="n">
        <x:f>M1236*(1-0.40)-N1236</x:f>
        <x:v>1.622222222222222</x:v>
      </x:c>
      <x:c r="Q1236" s="9" t="n">
        <x:f>'Physical_Arcs'!T36</x:f>
        <x:v>2.0277777777777777</x:v>
      </x:c>
      <x:c r="R1236" s="9" t="n">
        <x:f>Q1236*'Parameters'!$C$18</x:f>
        <x:v>0.40555555555555556</x:v>
      </x:c>
      <x:c r="S1236" s="9" t="n">
        <x:f>R1236*'Parameters'!$C$19</x:f>
        <x:v>0.5069444444444444</x:v>
      </x:c>
      <x:c r="T1236" s="9" t="n">
        <x:f>Q1236*(1-0.40)-R1236</x:f>
        <x:v>0.811111111111111</x:v>
      </x:c>
    </x:row>
    <x:row r="1237" ht="21" customHeight="1">
      <x:c r="A1237" s="3" t="n">
        <x:v>20</x:v>
      </x:c>
      <x:c r="B1237" s="3" t="str">
        <x:v>03:20</x:v>
      </x:c>
      <x:c r="C1237" s="3" t="n">
        <x:v>4</x:v>
      </x:c>
      <x:c r="D1237" s="3" t="n">
        <x:v>36</x:v>
      </x:c>
      <x:c r="E1237" s="3" t="n">
        <x:v>6</x:v>
      </x:c>
      <x:c r="F1237" s="3" t="n">
        <x:v>8</x:v>
      </x:c>
      <x:c r="G1237" s="9" t="n">
        <x:v>0.08</x:v>
      </x:c>
      <x:c r="H1237" s="9" t="n">
        <x:v>1.132129</x:v>
      </x:c>
      <x:c r="I1237" s="9" t="n">
        <x:f>'Physical_Arcs'!R37</x:f>
        <x:v>6.972222222222222</x:v>
      </x:c>
      <x:c r="J1237" s="9" t="n">
        <x:f>I1237*'Parameters'!$C$18</x:f>
        <x:v>1.3944444444444446</x:v>
      </x:c>
      <x:c r="K1237" s="9" t="n">
        <x:f>J1237*'Parameters'!$C$19</x:f>
        <x:v>1.7430555555555558</x:v>
      </x:c>
      <x:c r="L1237" s="9" t="n">
        <x:f>I1237*(1-0.40)-J1237</x:f>
        <x:v>2.7888888888888888</x:v>
      </x:c>
      <x:c r="M1237" s="9" t="n">
        <x:f>'Physical_Arcs'!S37</x:f>
        <x:v>6.972222222222222</x:v>
      </x:c>
      <x:c r="N1237" s="9" t="n">
        <x:f>M1237*'Parameters'!$C$18</x:f>
        <x:v>1.3944444444444446</x:v>
      </x:c>
      <x:c r="O1237" s="9" t="n">
        <x:f>N1237*'Parameters'!$C$19</x:f>
        <x:v>1.7430555555555558</x:v>
      </x:c>
      <x:c r="P1237" s="9" t="n">
        <x:f>M1237*(1-0.40)-N1237</x:f>
        <x:v>2.7888888888888888</x:v>
      </x:c>
      <x:c r="Q1237" s="9" t="n">
        <x:f>'Physical_Arcs'!T37</x:f>
        <x:v>3.5</x:v>
      </x:c>
      <x:c r="R1237" s="9" t="n">
        <x:f>Q1237*'Parameters'!$C$18</x:f>
        <x:v>0.7000000000000001</x:v>
      </x:c>
      <x:c r="S1237" s="9" t="n">
        <x:f>R1237*'Parameters'!$C$19</x:f>
        <x:v>0.8750000000000001</x:v>
      </x:c>
      <x:c r="T1237" s="9" t="n">
        <x:f>Q1237*(1-0.40)-R1237</x:f>
        <x:v>1.4</x:v>
      </x:c>
    </x:row>
    <x:row r="1238" ht="21" customHeight="1">
      <x:c r="A1238" s="3" t="n">
        <x:v>20</x:v>
      </x:c>
      <x:c r="B1238" s="3" t="str">
        <x:v>03:20</x:v>
      </x:c>
      <x:c r="C1238" s="3" t="n">
        <x:v>4</x:v>
      </x:c>
      <x:c r="D1238" s="3" t="n">
        <x:v>37</x:v>
      </x:c>
      <x:c r="E1238" s="3" t="n">
        <x:v>6</x:v>
      </x:c>
      <x:c r="F1238" s="3" t="n">
        <x:v>1</x:v>
      </x:c>
      <x:c r="G1238" s="9" t="n">
        <x:v>0.08</x:v>
      </x:c>
      <x:c r="H1238" s="9" t="n">
        <x:v>1.020746</x:v>
      </x:c>
      <x:c r="I1238" s="9" t="n">
        <x:f>'Physical_Arcs'!R38</x:f>
        <x:v>6.305555555555555</x:v>
      </x:c>
      <x:c r="J1238" s="9" t="n">
        <x:f>I1238*'Parameters'!$C$18</x:f>
        <x:v>1.261111111111111</x:v>
      </x:c>
      <x:c r="K1238" s="9" t="n">
        <x:f>J1238*'Parameters'!$C$19</x:f>
        <x:v>1.5763888888888888</x:v>
      </x:c>
      <x:c r="L1238" s="9" t="n">
        <x:f>I1238*(1-0.40)-J1238</x:f>
        <x:v>2.522222222222222</x:v>
      </x:c>
      <x:c r="M1238" s="9" t="n">
        <x:f>'Physical_Arcs'!S38</x:f>
        <x:v>6.305555555555555</x:v>
      </x:c>
      <x:c r="N1238" s="9" t="n">
        <x:f>M1238*'Parameters'!$C$18</x:f>
        <x:v>1.261111111111111</x:v>
      </x:c>
      <x:c r="O1238" s="9" t="n">
        <x:f>N1238*'Parameters'!$C$19</x:f>
        <x:v>1.5763888888888888</x:v>
      </x:c>
      <x:c r="P1238" s="9" t="n">
        <x:f>M1238*(1-0.40)-N1238</x:f>
        <x:v>2.522222222222222</x:v>
      </x:c>
      <x:c r="Q1238" s="9" t="n">
        <x:f>'Physical_Arcs'!T38</x:f>
        <x:v>3.1666666666666665</x:v>
      </x:c>
      <x:c r="R1238" s="9" t="n">
        <x:f>Q1238*'Parameters'!$C$18</x:f>
        <x:v>0.6333333333333333</x:v>
      </x:c>
      <x:c r="S1238" s="9" t="n">
        <x:f>R1238*'Parameters'!$C$19</x:f>
        <x:v>0.7916666666666666</x:v>
      </x:c>
      <x:c r="T1238" s="9" t="n">
        <x:f>Q1238*(1-0.40)-R1238</x:f>
        <x:v>1.2666666666666666</x:v>
      </x:c>
    </x:row>
    <x:row r="1239" ht="21" customHeight="1">
      <x:c r="A1239" s="3" t="n">
        <x:v>20</x:v>
      </x:c>
      <x:c r="B1239" s="3" t="str">
        <x:v>03:20</x:v>
      </x:c>
      <x:c r="C1239" s="3" t="n">
        <x:v>4</x:v>
      </x:c>
      <x:c r="D1239" s="3" t="n">
        <x:v>38</x:v>
      </x:c>
      <x:c r="E1239" s="3" t="n">
        <x:v>6</x:v>
      </x:c>
      <x:c r="F1239" s="3" t="n">
        <x:v>3</x:v>
      </x:c>
      <x:c r="G1239" s="9" t="n">
        <x:v>0.08</x:v>
      </x:c>
      <x:c r="H1239" s="9" t="n">
        <x:v>1.149081</x:v>
      </x:c>
      <x:c r="I1239" s="9" t="n">
        <x:f>'Physical_Arcs'!R39</x:f>
        <x:v>1.9166666666666667</x:v>
      </x:c>
      <x:c r="J1239" s="9" t="n">
        <x:f>I1239*'Parameters'!$C$18</x:f>
        <x:v>0.38333333333333336</x:v>
      </x:c>
      <x:c r="K1239" s="9" t="n">
        <x:f>J1239*'Parameters'!$C$19</x:f>
        <x:v>0.4791666666666667</x:v>
      </x:c>
      <x:c r="L1239" s="9" t="n">
        <x:f>I1239*(1-0.40)-J1239</x:f>
        <x:v>0.7666666666666666</x:v>
      </x:c>
      <x:c r="M1239" s="9" t="n">
        <x:f>'Physical_Arcs'!S39</x:f>
        <x:v>1.9166666666666667</x:v>
      </x:c>
      <x:c r="N1239" s="9" t="n">
        <x:f>M1239*'Parameters'!$C$18</x:f>
        <x:v>0.38333333333333336</x:v>
      </x:c>
      <x:c r="O1239" s="9" t="n">
        <x:f>N1239*'Parameters'!$C$19</x:f>
        <x:v>0.4791666666666667</x:v>
      </x:c>
      <x:c r="P1239" s="9" t="n">
        <x:f>M1239*(1-0.40)-N1239</x:f>
        <x:v>0.7666666666666666</x:v>
      </x:c>
      <x:c r="Q1239" s="9" t="n">
        <x:f>'Physical_Arcs'!T39</x:f>
        <x:v>0.9722222222222222</x:v>
      </x:c>
      <x:c r="R1239" s="9" t="n">
        <x:f>Q1239*'Parameters'!$C$18</x:f>
        <x:v>0.19444444444444445</x:v>
      </x:c>
      <x:c r="S1239" s="9" t="n">
        <x:f>R1239*'Parameters'!$C$19</x:f>
        <x:v>0.24305555555555555</x:v>
      </x:c>
      <x:c r="T1239" s="9" t="n">
        <x:f>Q1239*(1-0.40)-R1239</x:f>
        <x:v>0.38888888888888884</x:v>
      </x:c>
    </x:row>
    <x:row r="1240" ht="21" customHeight="1">
      <x:c r="A1240" s="3" t="n">
        <x:v>20</x:v>
      </x:c>
      <x:c r="B1240" s="3" t="str">
        <x:v>03:20</x:v>
      </x:c>
      <x:c r="C1240" s="3" t="n">
        <x:v>4</x:v>
      </x:c>
      <x:c r="D1240" s="3" t="n">
        <x:v>39</x:v>
      </x:c>
      <x:c r="E1240" s="3" t="n">
        <x:v>7</x:v>
      </x:c>
      <x:c r="F1240" s="3" t="n">
        <x:v>8</x:v>
      </x:c>
      <x:c r="G1240" s="9" t="n">
        <x:v>0.08</x:v>
      </x:c>
      <x:c r="H1240" s="9" t="n">
        <x:v>1.003268</x:v>
      </x:c>
      <x:c r="I1240" s="9" t="n">
        <x:f>'Physical_Arcs'!R40</x:f>
        <x:v>17.02777777777778</x:v>
      </x:c>
      <x:c r="J1240" s="9" t="n">
        <x:f>I1240*'Parameters'!$C$18</x:f>
        <x:v>3.405555555555556</x:v>
      </x:c>
      <x:c r="K1240" s="9" t="n">
        <x:f>J1240*'Parameters'!$C$19</x:f>
        <x:v>4.256944444444445</x:v>
      </x:c>
      <x:c r="L1240" s="9" t="n">
        <x:f>I1240*(1-0.40)-J1240</x:f>
        <x:v>6.811111111111111</x:v>
      </x:c>
      <x:c r="M1240" s="9" t="n">
        <x:f>'Physical_Arcs'!S40</x:f>
        <x:v>17.02777777777778</x:v>
      </x:c>
      <x:c r="N1240" s="9" t="n">
        <x:f>M1240*'Parameters'!$C$18</x:f>
        <x:v>3.405555555555556</x:v>
      </x:c>
      <x:c r="O1240" s="9" t="n">
        <x:f>N1240*'Parameters'!$C$19</x:f>
        <x:v>4.256944444444445</x:v>
      </x:c>
      <x:c r="P1240" s="9" t="n">
        <x:f>M1240*(1-0.40)-N1240</x:f>
        <x:v>6.811111111111111</x:v>
      </x:c>
      <x:c r="Q1240" s="9" t="n">
        <x:f>'Physical_Arcs'!T40</x:f>
        <x:v>17.02777777777778</x:v>
      </x:c>
      <x:c r="R1240" s="9" t="n">
        <x:f>Q1240*'Parameters'!$C$18</x:f>
        <x:v>3.405555555555556</x:v>
      </x:c>
      <x:c r="S1240" s="9" t="n">
        <x:f>R1240*'Parameters'!$C$19</x:f>
        <x:v>4.256944444444445</x:v>
      </x:c>
      <x:c r="T1240" s="9" t="n">
        <x:f>Q1240*(1-0.40)-R1240</x:f>
        <x:v>6.811111111111111</x:v>
      </x:c>
    </x:row>
    <x:row r="1241" ht="21" customHeight="1">
      <x:c r="A1241" s="3" t="n">
        <x:v>20</x:v>
      </x:c>
      <x:c r="B1241" s="3" t="str">
        <x:v>03:20</x:v>
      </x:c>
      <x:c r="C1241" s="3" t="n">
        <x:v>4</x:v>
      </x:c>
      <x:c r="D1241" s="3" t="n">
        <x:v>40</x:v>
      </x:c>
      <x:c r="E1241" s="3" t="n">
        <x:v>7</x:v>
      </x:c>
      <x:c r="F1241" s="3" t="n">
        <x:v>1</x:v>
      </x:c>
      <x:c r="G1241" s="9" t="n">
        <x:v>0.08</x:v>
      </x:c>
      <x:c r="H1241" s="9" t="n">
        <x:v>1.057592</x:v>
      </x:c>
      <x:c r="I1241" s="9" t="n">
        <x:f>'Physical_Arcs'!R41</x:f>
        <x:v>7.972222222222222</x:v>
      </x:c>
      <x:c r="J1241" s="9" t="n">
        <x:f>I1241*'Parameters'!$C$18</x:f>
        <x:v>1.5944444444444446</x:v>
      </x:c>
      <x:c r="K1241" s="9" t="n">
        <x:f>J1241*'Parameters'!$C$19</x:f>
        <x:v>1.9930555555555558</x:v>
      </x:c>
      <x:c r="L1241" s="9" t="n">
        <x:f>I1241*(1-0.40)-J1241</x:f>
        <x:v>3.1888888888888887</x:v>
      </x:c>
      <x:c r="M1241" s="9" t="n">
        <x:f>'Physical_Arcs'!S41</x:f>
        <x:v>7.972222222222222</x:v>
      </x:c>
      <x:c r="N1241" s="9" t="n">
        <x:f>M1241*'Parameters'!$C$18</x:f>
        <x:v>1.5944444444444446</x:v>
      </x:c>
      <x:c r="O1241" s="9" t="n">
        <x:f>N1241*'Parameters'!$C$19</x:f>
        <x:v>1.9930555555555558</x:v>
      </x:c>
      <x:c r="P1241" s="9" t="n">
        <x:f>M1241*(1-0.40)-N1241</x:f>
        <x:v>3.1888888888888887</x:v>
      </x:c>
      <x:c r="Q1241" s="9" t="n">
        <x:f>'Physical_Arcs'!T41</x:f>
        <x:v>4</x:v>
      </x:c>
      <x:c r="R1241" s="9" t="n">
        <x:f>Q1241*'Parameters'!$C$18</x:f>
        <x:v>0.8</x:v>
      </x:c>
      <x:c r="S1241" s="9" t="n">
        <x:f>R1241*'Parameters'!$C$19</x:f>
        <x:v>1</x:v>
      </x:c>
      <x:c r="T1241" s="9" t="n">
        <x:f>Q1241*(1-0.40)-R1241</x:f>
        <x:v>1.5999999999999999</x:v>
      </x:c>
    </x:row>
    <x:row r="1242" ht="21" customHeight="1">
      <x:c r="A1242" s="3" t="n">
        <x:v>20</x:v>
      </x:c>
      <x:c r="B1242" s="3" t="str">
        <x:v>03:20</x:v>
      </x:c>
      <x:c r="C1242" s="3" t="n">
        <x:v>4</x:v>
      </x:c>
      <x:c r="D1242" s="3" t="n">
        <x:v>41</x:v>
      </x:c>
      <x:c r="E1242" s="3" t="n">
        <x:v>7</x:v>
      </x:c>
      <x:c r="F1242" s="3" t="n">
        <x:v>9</x:v>
      </x:c>
      <x:c r="G1242" s="9" t="n">
        <x:v>0.08</x:v>
      </x:c>
      <x:c r="H1242" s="9" t="n">
        <x:v>1.14801</x:v>
      </x:c>
      <x:c r="I1242" s="9" t="n">
        <x:f>'Physical_Arcs'!R42</x:f>
        <x:v>8.88888888888889</x:v>
      </x:c>
      <x:c r="J1242" s="9" t="n">
        <x:f>I1242*'Parameters'!$C$18</x:f>
        <x:v>1.777777777777778</x:v>
      </x:c>
      <x:c r="K1242" s="9" t="n">
        <x:f>J1242*'Parameters'!$C$19</x:f>
        <x:v>2.2222222222222223</x:v>
      </x:c>
      <x:c r="L1242" s="9" t="n">
        <x:f>I1242*(1-0.40)-J1242</x:f>
        <x:v>3.5555555555555554</x:v>
      </x:c>
      <x:c r="M1242" s="9" t="n">
        <x:f>'Physical_Arcs'!S42</x:f>
        <x:v>8.88888888888889</x:v>
      </x:c>
      <x:c r="N1242" s="9" t="n">
        <x:f>M1242*'Parameters'!$C$18</x:f>
        <x:v>1.777777777777778</x:v>
      </x:c>
      <x:c r="O1242" s="9" t="n">
        <x:f>N1242*'Parameters'!$C$19</x:f>
        <x:v>2.2222222222222223</x:v>
      </x:c>
      <x:c r="P1242" s="9" t="n">
        <x:f>M1242*(1-0.40)-N1242</x:f>
        <x:v>3.5555555555555554</x:v>
      </x:c>
      <x:c r="Q1242" s="9" t="n">
        <x:f>'Physical_Arcs'!T42</x:f>
        <x:v>4.444444444444445</x:v>
      </x:c>
      <x:c r="R1242" s="9" t="n">
        <x:f>Q1242*'Parameters'!$C$18</x:f>
        <x:v>0.888888888888889</x:v>
      </x:c>
      <x:c r="S1242" s="9" t="n">
        <x:f>R1242*'Parameters'!$C$19</x:f>
        <x:v>1.1111111111111112</x:v>
      </x:c>
      <x:c r="T1242" s="9" t="n">
        <x:f>Q1242*(1-0.40)-R1242</x:f>
        <x:v>1.7777777777777777</x:v>
      </x:c>
    </x:row>
    <x:row r="1243" ht="21" customHeight="1">
      <x:c r="A1243" s="3" t="n">
        <x:v>20</x:v>
      </x:c>
      <x:c r="B1243" s="3" t="str">
        <x:v>03:20</x:v>
      </x:c>
      <x:c r="C1243" s="3" t="n">
        <x:v>4</x:v>
      </x:c>
      <x:c r="D1243" s="3" t="n">
        <x:v>42</x:v>
      </x:c>
      <x:c r="E1243" s="3" t="n">
        <x:v>7</x:v>
      </x:c>
      <x:c r="F1243" s="3" t="n">
        <x:v>2</x:v>
      </x:c>
      <x:c r="G1243" s="9" t="n">
        <x:v>0.08</x:v>
      </x:c>
      <x:c r="H1243" s="9" t="n">
        <x:v>0.989237</x:v>
      </x:c>
      <x:c r="I1243" s="9" t="n">
        <x:f>'Physical_Arcs'!R43</x:f>
        <x:v>9</x:v>
      </x:c>
      <x:c r="J1243" s="9" t="n">
        <x:f>I1243*'Parameters'!$C$18</x:f>
        <x:v>1.8</x:v>
      </x:c>
      <x:c r="K1243" s="9" t="n">
        <x:f>J1243*'Parameters'!$C$19</x:f>
        <x:v>2.25</x:v>
      </x:c>
      <x:c r="L1243" s="9" t="n">
        <x:f>I1243*(1-0.40)-J1243</x:f>
        <x:v>3.5999999999999996</x:v>
      </x:c>
      <x:c r="M1243" s="9" t="n">
        <x:f>'Physical_Arcs'!S43</x:f>
        <x:v>9</x:v>
      </x:c>
      <x:c r="N1243" s="9" t="n">
        <x:f>M1243*'Parameters'!$C$18</x:f>
        <x:v>1.8</x:v>
      </x:c>
      <x:c r="O1243" s="9" t="n">
        <x:f>N1243*'Parameters'!$C$19</x:f>
        <x:v>2.25</x:v>
      </x:c>
      <x:c r="P1243" s="9" t="n">
        <x:f>M1243*(1-0.40)-N1243</x:f>
        <x:v>3.5999999999999996</x:v>
      </x:c>
      <x:c r="Q1243" s="9" t="n">
        <x:f>'Physical_Arcs'!T43</x:f>
        <x:v>4.5</x:v>
      </x:c>
      <x:c r="R1243" s="9" t="n">
        <x:f>Q1243*'Parameters'!$C$18</x:f>
        <x:v>0.9</x:v>
      </x:c>
      <x:c r="S1243" s="9" t="n">
        <x:f>R1243*'Parameters'!$C$19</x:f>
        <x:v>1.125</x:v>
      </x:c>
      <x:c r="T1243" s="9" t="n">
        <x:f>Q1243*(1-0.40)-R1243</x:f>
        <x:v>1.7999999999999998</x:v>
      </x:c>
    </x:row>
    <x:row r="1244" ht="21" customHeight="1">
      <x:c r="A1244" s="3" t="n">
        <x:v>20</x:v>
      </x:c>
      <x:c r="B1244" s="3" t="str">
        <x:v>03:20</x:v>
      </x:c>
      <x:c r="C1244" s="3" t="n">
        <x:v>4</x:v>
      </x:c>
      <x:c r="D1244" s="3" t="n">
        <x:v>43</x:v>
      </x:c>
      <x:c r="E1244" s="3" t="n">
        <x:v>7</x:v>
      </x:c>
      <x:c r="F1244" s="3" t="n">
        <x:v>3</x:v>
      </x:c>
      <x:c r="G1244" s="9" t="n">
        <x:v>0.08</x:v>
      </x:c>
      <x:c r="H1244" s="9" t="n">
        <x:v>1.050432</x:v>
      </x:c>
      <x:c r="I1244" s="9" t="n">
        <x:f>'Physical_Arcs'!R44</x:f>
        <x:v>7.638888888888889</x:v>
      </x:c>
      <x:c r="J1244" s="9" t="n">
        <x:f>I1244*'Parameters'!$C$18</x:f>
        <x:v>1.527777777777778</x:v>
      </x:c>
      <x:c r="K1244" s="9" t="n">
        <x:f>J1244*'Parameters'!$C$19</x:f>
        <x:v>1.9097222222222223</x:v>
      </x:c>
      <x:c r="L1244" s="9" t="n">
        <x:f>I1244*(1-0.40)-J1244</x:f>
        <x:v>3.0555555555555554</x:v>
      </x:c>
      <x:c r="M1244" s="9" t="n">
        <x:f>'Physical_Arcs'!S44</x:f>
        <x:v>7.638888888888889</x:v>
      </x:c>
      <x:c r="N1244" s="9" t="n">
        <x:f>M1244*'Parameters'!$C$18</x:f>
        <x:v>1.527777777777778</x:v>
      </x:c>
      <x:c r="O1244" s="9" t="n">
        <x:f>N1244*'Parameters'!$C$19</x:f>
        <x:v>1.9097222222222223</x:v>
      </x:c>
      <x:c r="P1244" s="9" t="n">
        <x:f>M1244*(1-0.40)-N1244</x:f>
        <x:v>3.0555555555555554</x:v>
      </x:c>
      <x:c r="Q1244" s="9" t="n">
        <x:f>'Physical_Arcs'!T44</x:f>
        <x:v>3.8333333333333335</x:v>
      </x:c>
      <x:c r="R1244" s="9" t="n">
        <x:f>Q1244*'Parameters'!$C$18</x:f>
        <x:v>0.7666666666666667</x:v>
      </x:c>
      <x:c r="S1244" s="9" t="n">
        <x:f>R1244*'Parameters'!$C$19</x:f>
        <x:v>0.9583333333333334</x:v>
      </x:c>
      <x:c r="T1244" s="9" t="n">
        <x:f>Q1244*(1-0.40)-R1244</x:f>
        <x:v>1.5333333333333332</x:v>
      </x:c>
    </x:row>
    <x:row r="1245" ht="21" customHeight="1">
      <x:c r="A1245" s="3" t="n">
        <x:v>20</x:v>
      </x:c>
      <x:c r="B1245" s="3" t="str">
        <x:v>03:20</x:v>
      </x:c>
      <x:c r="C1245" s="3" t="n">
        <x:v>4</x:v>
      </x:c>
      <x:c r="D1245" s="3" t="n">
        <x:v>44</x:v>
      </x:c>
      <x:c r="E1245" s="3" t="n">
        <x:v>8</x:v>
      </x:c>
      <x:c r="F1245" s="3" t="n">
        <x:v>9</x:v>
      </x:c>
      <x:c r="G1245" s="9" t="n">
        <x:v>0.08</x:v>
      </x:c>
      <x:c r="H1245" s="9" t="n">
        <x:v>0.868101</x:v>
      </x:c>
      <x:c r="I1245" s="9" t="n">
        <x:f>'Physical_Arcs'!R45</x:f>
        <x:v>17.02777777777778</x:v>
      </x:c>
      <x:c r="J1245" s="9" t="n">
        <x:f>I1245*'Parameters'!$C$18</x:f>
        <x:v>3.405555555555556</x:v>
      </x:c>
      <x:c r="K1245" s="9" t="n">
        <x:f>J1245*'Parameters'!$C$19</x:f>
        <x:v>4.256944444444445</x:v>
      </x:c>
      <x:c r="L1245" s="9" t="n">
        <x:f>I1245*(1-0.40)-J1245</x:f>
        <x:v>6.811111111111111</x:v>
      </x:c>
      <x:c r="M1245" s="9" t="n">
        <x:f>'Physical_Arcs'!S45</x:f>
        <x:v>17.02777777777778</x:v>
      </x:c>
      <x:c r="N1245" s="9" t="n">
        <x:f>M1245*'Parameters'!$C$18</x:f>
        <x:v>3.405555555555556</x:v>
      </x:c>
      <x:c r="O1245" s="9" t="n">
        <x:f>N1245*'Parameters'!$C$19</x:f>
        <x:v>4.256944444444445</x:v>
      </x:c>
      <x:c r="P1245" s="9" t="n">
        <x:f>M1245*(1-0.40)-N1245</x:f>
        <x:v>6.811111111111111</x:v>
      </x:c>
      <x:c r="Q1245" s="9" t="n">
        <x:f>'Physical_Arcs'!T45</x:f>
        <x:v>17.02777777777778</x:v>
      </x:c>
      <x:c r="R1245" s="9" t="n">
        <x:f>Q1245*'Parameters'!$C$18</x:f>
        <x:v>3.405555555555556</x:v>
      </x:c>
      <x:c r="S1245" s="9" t="n">
        <x:f>R1245*'Parameters'!$C$19</x:f>
        <x:v>4.256944444444445</x:v>
      </x:c>
      <x:c r="T1245" s="9" t="n">
        <x:f>Q1245*(1-0.40)-R1245</x:f>
        <x:v>6.811111111111111</x:v>
      </x:c>
    </x:row>
    <x:row r="1246" ht="21" customHeight="1">
      <x:c r="A1246" s="3" t="n">
        <x:v>20</x:v>
      </x:c>
      <x:c r="B1246" s="3" t="str">
        <x:v>03:20</x:v>
      </x:c>
      <x:c r="C1246" s="3" t="n">
        <x:v>4</x:v>
      </x:c>
      <x:c r="D1246" s="3" t="n">
        <x:v>45</x:v>
      </x:c>
      <x:c r="E1246" s="3" t="n">
        <x:v>8</x:v>
      </x:c>
      <x:c r="F1246" s="3" t="n">
        <x:v>3</x:v>
      </x:c>
      <x:c r="G1246" s="9" t="n">
        <x:v>0.08</x:v>
      </x:c>
      <x:c r="H1246" s="9" t="n">
        <x:v>0.944958</x:v>
      </x:c>
      <x:c r="I1246" s="9" t="n">
        <x:f>'Physical_Arcs'!R46</x:f>
        <x:v>5.388888888888889</x:v>
      </x:c>
      <x:c r="J1246" s="9" t="n">
        <x:f>I1246*'Parameters'!$C$18</x:f>
        <x:v>1.077777777777778</x:v>
      </x:c>
      <x:c r="K1246" s="9" t="n">
        <x:f>J1246*'Parameters'!$C$19</x:f>
        <x:v>1.3472222222222223</x:v>
      </x:c>
      <x:c r="L1246" s="9" t="n">
        <x:f>I1246*(1-0.40)-J1246</x:f>
        <x:v>2.1555555555555554</x:v>
      </x:c>
      <x:c r="M1246" s="9" t="n">
        <x:f>'Physical_Arcs'!S46</x:f>
        <x:v>5.388888888888889</x:v>
      </x:c>
      <x:c r="N1246" s="9" t="n">
        <x:f>M1246*'Parameters'!$C$18</x:f>
        <x:v>1.077777777777778</x:v>
      </x:c>
      <x:c r="O1246" s="9" t="n">
        <x:f>N1246*'Parameters'!$C$19</x:f>
        <x:v>1.3472222222222223</x:v>
      </x:c>
      <x:c r="P1246" s="9" t="n">
        <x:f>M1246*(1-0.40)-N1246</x:f>
        <x:v>2.1555555555555554</x:v>
      </x:c>
      <x:c r="Q1246" s="9" t="n">
        <x:f>'Physical_Arcs'!T46</x:f>
        <x:v>2.6944444444444446</x:v>
      </x:c>
      <x:c r="R1246" s="9" t="n">
        <x:f>Q1246*'Parameters'!$C$18</x:f>
        <x:v>0.538888888888889</x:v>
      </x:c>
      <x:c r="S1246" s="9" t="n">
        <x:f>R1246*'Parameters'!$C$19</x:f>
        <x:v>0.6736111111111112</x:v>
      </x:c>
      <x:c r="T1246" s="9" t="n">
        <x:f>Q1246*(1-0.40)-R1246</x:f>
        <x:v>1.0777777777777777</x:v>
      </x:c>
    </x:row>
    <x:row r="1247" ht="21" customHeight="1">
      <x:c r="A1247" s="3" t="n">
        <x:v>20</x:v>
      </x:c>
      <x:c r="B1247" s="3" t="str">
        <x:v>03:20</x:v>
      </x:c>
      <x:c r="C1247" s="3" t="n">
        <x:v>4</x:v>
      </x:c>
      <x:c r="D1247" s="3" t="n">
        <x:v>46</x:v>
      </x:c>
      <x:c r="E1247" s="3" t="n">
        <x:v>8</x:v>
      </x:c>
      <x:c r="F1247" s="3" t="n">
        <x:v>7</x:v>
      </x:c>
      <x:c r="G1247" s="9" t="n">
        <x:v>0.08</x:v>
      </x:c>
      <x:c r="H1247" s="9" t="n">
        <x:v>0.866232</x:v>
      </x:c>
      <x:c r="I1247" s="9" t="n">
        <x:f>'Physical_Arcs'!R47</x:f>
        <x:v>5.388888888888889</x:v>
      </x:c>
      <x:c r="J1247" s="9" t="n">
        <x:f>I1247*'Parameters'!$C$18</x:f>
        <x:v>1.077777777777778</x:v>
      </x:c>
      <x:c r="K1247" s="9" t="n">
        <x:f>J1247*'Parameters'!$C$19</x:f>
        <x:v>1.3472222222222223</x:v>
      </x:c>
      <x:c r="L1247" s="9" t="n">
        <x:f>I1247*(1-0.40)-J1247</x:f>
        <x:v>2.1555555555555554</x:v>
      </x:c>
      <x:c r="M1247" s="9" t="n">
        <x:f>'Physical_Arcs'!S47</x:f>
        <x:v>5.388888888888889</x:v>
      </x:c>
      <x:c r="N1247" s="9" t="n">
        <x:f>M1247*'Parameters'!$C$18</x:f>
        <x:v>1.077777777777778</x:v>
      </x:c>
      <x:c r="O1247" s="9" t="n">
        <x:f>N1247*'Parameters'!$C$19</x:f>
        <x:v>1.3472222222222223</x:v>
      </x:c>
      <x:c r="P1247" s="9" t="n">
        <x:f>M1247*(1-0.40)-N1247</x:f>
        <x:v>2.1555555555555554</x:v>
      </x:c>
      <x:c r="Q1247" s="9" t="n">
        <x:f>'Physical_Arcs'!T47</x:f>
        <x:v>2.6944444444444446</x:v>
      </x:c>
      <x:c r="R1247" s="9" t="n">
        <x:f>Q1247*'Parameters'!$C$18</x:f>
        <x:v>0.538888888888889</x:v>
      </x:c>
      <x:c r="S1247" s="9" t="n">
        <x:f>R1247*'Parameters'!$C$19</x:f>
        <x:v>0.6736111111111112</x:v>
      </x:c>
      <x:c r="T1247" s="9" t="n">
        <x:f>Q1247*(1-0.40)-R1247</x:f>
        <x:v>1.0777777777777777</x:v>
      </x:c>
    </x:row>
    <x:row r="1248" ht="21" customHeight="1">
      <x:c r="A1248" s="3" t="n">
        <x:v>20</x:v>
      </x:c>
      <x:c r="B1248" s="3" t="str">
        <x:v>03:20</x:v>
      </x:c>
      <x:c r="C1248" s="3" t="n">
        <x:v>4</x:v>
      </x:c>
      <x:c r="D1248" s="3" t="n">
        <x:v>47</x:v>
      </x:c>
      <x:c r="E1248" s="3" t="n">
        <x:v>8</x:v>
      </x:c>
      <x:c r="F1248" s="3" t="n">
        <x:v>2</x:v>
      </x:c>
      <x:c r="G1248" s="9" t="n">
        <x:v>0.08</x:v>
      </x:c>
      <x:c r="H1248" s="9" t="n">
        <x:v>1.135644</x:v>
      </x:c>
      <x:c r="I1248" s="9" t="n">
        <x:f>'Physical_Arcs'!R48</x:f>
        <x:v>8.083333333333334</x:v>
      </x:c>
      <x:c r="J1248" s="9" t="n">
        <x:f>I1248*'Parameters'!$C$18</x:f>
        <x:v>1.616666666666667</x:v>
      </x:c>
      <x:c r="K1248" s="9" t="n">
        <x:f>J1248*'Parameters'!$C$19</x:f>
        <x:v>2.0208333333333335</x:v>
      </x:c>
      <x:c r="L1248" s="9" t="n">
        <x:f>I1248*(1-0.40)-J1248</x:f>
        <x:v>3.2333333333333334</x:v>
      </x:c>
      <x:c r="M1248" s="9" t="n">
        <x:f>'Physical_Arcs'!S48</x:f>
        <x:v>8.083333333333334</x:v>
      </x:c>
      <x:c r="N1248" s="9" t="n">
        <x:f>M1248*'Parameters'!$C$18</x:f>
        <x:v>1.616666666666667</x:v>
      </x:c>
      <x:c r="O1248" s="9" t="n">
        <x:f>N1248*'Parameters'!$C$19</x:f>
        <x:v>2.0208333333333335</x:v>
      </x:c>
      <x:c r="P1248" s="9" t="n">
        <x:f>M1248*(1-0.40)-N1248</x:f>
        <x:v>3.2333333333333334</x:v>
      </x:c>
      <x:c r="Q1248" s="9" t="n">
        <x:f>'Physical_Arcs'!T48</x:f>
        <x:v>4.055555555555555</x:v>
      </x:c>
      <x:c r="R1248" s="9" t="n">
        <x:f>Q1248*'Parameters'!$C$18</x:f>
        <x:v>0.8111111111111111</x:v>
      </x:c>
      <x:c r="S1248" s="9" t="n">
        <x:f>R1248*'Parameters'!$C$19</x:f>
        <x:v>1.0138888888888888</x:v>
      </x:c>
      <x:c r="T1248" s="9" t="n">
        <x:f>Q1248*(1-0.40)-R1248</x:f>
        <x:v>1.622222222222222</x:v>
      </x:c>
    </x:row>
    <x:row r="1249" ht="21" customHeight="1">
      <x:c r="A1249" s="3" t="n">
        <x:v>20</x:v>
      </x:c>
      <x:c r="B1249" s="3" t="str">
        <x:v>03:20</x:v>
      </x:c>
      <x:c r="C1249" s="3" t="n">
        <x:v>4</x:v>
      </x:c>
      <x:c r="D1249" s="3" t="n">
        <x:v>48</x:v>
      </x:c>
      <x:c r="E1249" s="3" t="n">
        <x:v>8</x:v>
      </x:c>
      <x:c r="F1249" s="3" t="n">
        <x:v>6</x:v>
      </x:c>
      <x:c r="G1249" s="9" t="n">
        <x:v>0.08</x:v>
      </x:c>
      <x:c r="H1249" s="9" t="n">
        <x:v>0.850778</x:v>
      </x:c>
      <x:c r="I1249" s="9" t="n">
        <x:f>'Physical_Arcs'!R49</x:f>
        <x:v>10.555555555555555</x:v>
      </x:c>
      <x:c r="J1249" s="9" t="n">
        <x:f>I1249*'Parameters'!$C$18</x:f>
        <x:v>2.111111111111111</x:v>
      </x:c>
      <x:c r="K1249" s="9" t="n">
        <x:f>J1249*'Parameters'!$C$19</x:f>
        <x:v>2.638888888888889</x:v>
      </x:c>
      <x:c r="L1249" s="9" t="n">
        <x:f>I1249*(1-0.40)-J1249</x:f>
        <x:v>4.222222222222221</x:v>
      </x:c>
      <x:c r="M1249" s="9" t="n">
        <x:f>'Physical_Arcs'!S49</x:f>
        <x:v>10.555555555555555</x:v>
      </x:c>
      <x:c r="N1249" s="9" t="n">
        <x:f>M1249*'Parameters'!$C$18</x:f>
        <x:v>2.111111111111111</x:v>
      </x:c>
      <x:c r="O1249" s="9" t="n">
        <x:f>N1249*'Parameters'!$C$19</x:f>
        <x:v>2.638888888888889</x:v>
      </x:c>
      <x:c r="P1249" s="9" t="n">
        <x:f>M1249*(1-0.40)-N1249</x:f>
        <x:v>4.222222222222221</x:v>
      </x:c>
      <x:c r="Q1249" s="9" t="n">
        <x:f>'Physical_Arcs'!T49</x:f>
        <x:v>5.277777777777778</x:v>
      </x:c>
      <x:c r="R1249" s="9" t="n">
        <x:f>Q1249*'Parameters'!$C$18</x:f>
        <x:v>1.0555555555555556</x:v>
      </x:c>
      <x:c r="S1249" s="9" t="n">
        <x:f>R1249*'Parameters'!$C$19</x:f>
        <x:v>1.3194444444444444</x:v>
      </x:c>
      <x:c r="T1249" s="9" t="n">
        <x:f>Q1249*(1-0.40)-R1249</x:f>
        <x:v>2.1111111111111107</x:v>
      </x:c>
    </x:row>
    <x:row r="1250" ht="21" customHeight="1">
      <x:c r="A1250" s="3" t="n">
        <x:v>20</x:v>
      </x:c>
      <x:c r="B1250" s="3" t="str">
        <x:v>03:20</x:v>
      </x:c>
      <x:c r="C1250" s="3" t="n">
        <x:v>4</x:v>
      </x:c>
      <x:c r="D1250" s="3" t="n">
        <x:v>49</x:v>
      </x:c>
      <x:c r="E1250" s="3" t="n">
        <x:v>8</x:v>
      </x:c>
      <x:c r="F1250" s="3" t="n">
        <x:v>4</x:v>
      </x:c>
      <x:c r="G1250" s="9" t="n">
        <x:v>0.08</x:v>
      </x:c>
      <x:c r="H1250" s="9" t="n">
        <x:v>0.904949</x:v>
      </x:c>
      <x:c r="I1250" s="9" t="n">
        <x:f>'Physical_Arcs'!R50</x:f>
        <x:v>1.5833333333333333</x:v>
      </x:c>
      <x:c r="J1250" s="9" t="n">
        <x:f>I1250*'Parameters'!$C$18</x:f>
        <x:v>0.31666666666666665</x:v>
      </x:c>
      <x:c r="K1250" s="9" t="n">
        <x:f>J1250*'Parameters'!$C$19</x:f>
        <x:v>0.3958333333333333</x:v>
      </x:c>
      <x:c r="L1250" s="9" t="n">
        <x:f>I1250*(1-0.40)-J1250</x:f>
        <x:v>0.6333333333333333</x:v>
      </x:c>
      <x:c r="M1250" s="9" t="n">
        <x:f>'Physical_Arcs'!S50</x:f>
        <x:v>1.5833333333333333</x:v>
      </x:c>
      <x:c r="N1250" s="9" t="n">
        <x:f>M1250*'Parameters'!$C$18</x:f>
        <x:v>0.31666666666666665</x:v>
      </x:c>
      <x:c r="O1250" s="9" t="n">
        <x:f>N1250*'Parameters'!$C$19</x:f>
        <x:v>0.3958333333333333</x:v>
      </x:c>
      <x:c r="P1250" s="9" t="n">
        <x:f>M1250*(1-0.40)-N1250</x:f>
        <x:v>0.6333333333333333</x:v>
      </x:c>
      <x:c r="Q1250" s="9" t="n">
        <x:f>'Physical_Arcs'!T50</x:f>
        <x:v>0.8055555555555556</x:v>
      </x:c>
      <x:c r="R1250" s="9" t="n">
        <x:f>Q1250*'Parameters'!$C$18</x:f>
        <x:v>0.16111111111111112</x:v>
      </x:c>
      <x:c r="S1250" s="9" t="n">
        <x:f>R1250*'Parameters'!$C$19</x:f>
        <x:v>0.2013888888888889</x:v>
      </x:c>
      <x:c r="T1250" s="9" t="n">
        <x:f>Q1250*(1-0.40)-R1250</x:f>
        <x:v>0.3222222222222222</x:v>
      </x:c>
    </x:row>
    <x:row r="1251" ht="21" customHeight="1">
      <x:c r="A1251" s="3" t="n">
        <x:v>20</x:v>
      </x:c>
      <x:c r="B1251" s="3" t="str">
        <x:v>03:20</x:v>
      </x:c>
      <x:c r="C1251" s="3" t="n">
        <x:v>4</x:v>
      </x:c>
      <x:c r="D1251" s="3" t="n">
        <x:v>50</x:v>
      </x:c>
      <x:c r="E1251" s="3" t="n">
        <x:v>8</x:v>
      </x:c>
      <x:c r="F1251" s="3" t="n">
        <x:v>5</x:v>
      </x:c>
      <x:c r="G1251" s="9" t="n">
        <x:v>0.08</x:v>
      </x:c>
      <x:c r="H1251" s="9" t="n">
        <x:v>0.990416</x:v>
      </x:c>
      <x:c r="I1251" s="9" t="n">
        <x:f>'Physical_Arcs'!R51</x:f>
        <x:v>10.777777777777779</x:v>
      </x:c>
      <x:c r="J1251" s="9" t="n">
        <x:f>I1251*'Parameters'!$C$18</x:f>
        <x:v>2.155555555555556</x:v>
      </x:c>
      <x:c r="K1251" s="9" t="n">
        <x:f>J1251*'Parameters'!$C$19</x:f>
        <x:v>2.6944444444444446</x:v>
      </x:c>
      <x:c r="L1251" s="9" t="n">
        <x:f>I1251*(1-0.40)-J1251</x:f>
        <x:v>4.311111111111111</x:v>
      </x:c>
      <x:c r="M1251" s="9" t="n">
        <x:f>'Physical_Arcs'!S51</x:f>
        <x:v>10.777777777777779</x:v>
      </x:c>
      <x:c r="N1251" s="9" t="n">
        <x:f>M1251*'Parameters'!$C$18</x:f>
        <x:v>2.155555555555556</x:v>
      </x:c>
      <x:c r="O1251" s="9" t="n">
        <x:f>N1251*'Parameters'!$C$19</x:f>
        <x:v>2.6944444444444446</x:v>
      </x:c>
      <x:c r="P1251" s="9" t="n">
        <x:f>M1251*(1-0.40)-N1251</x:f>
        <x:v>4.311111111111111</x:v>
      </x:c>
      <x:c r="Q1251" s="9" t="n">
        <x:f>'Physical_Arcs'!T51</x:f>
        <x:v>5.388888888888889</x:v>
      </x:c>
      <x:c r="R1251" s="9" t="n">
        <x:f>Q1251*'Parameters'!$C$18</x:f>
        <x:v>1.077777777777778</x:v>
      </x:c>
      <x:c r="S1251" s="9" t="n">
        <x:f>R1251*'Parameters'!$C$19</x:f>
        <x:v>1.3472222222222223</x:v>
      </x:c>
      <x:c r="T1251" s="9" t="n">
        <x:f>Q1251*(1-0.40)-R1251</x:f>
        <x:v>2.1555555555555554</x:v>
      </x:c>
    </x:row>
    <x:row r="1252" ht="21" customHeight="1">
      <x:c r="A1252" s="3" t="n">
        <x:v>20</x:v>
      </x:c>
      <x:c r="B1252" s="3" t="str">
        <x:v>03:20</x:v>
      </x:c>
      <x:c r="C1252" s="3" t="n">
        <x:v>4</x:v>
      </x:c>
      <x:c r="D1252" s="3" t="n">
        <x:v>51</x:v>
      </x:c>
      <x:c r="E1252" s="3" t="n">
        <x:v>8</x:v>
      </x:c>
      <x:c r="F1252" s="3" t="n">
        <x:v>1</x:v>
      </x:c>
      <x:c r="G1252" s="9" t="n">
        <x:v>0.08</x:v>
      </x:c>
      <x:c r="H1252" s="9" t="n">
        <x:v>1.039066</x:v>
      </x:c>
      <x:c r="I1252" s="9" t="n">
        <x:f>'Physical_Arcs'!R52</x:f>
        <x:v>8.88888888888889</x:v>
      </x:c>
      <x:c r="J1252" s="9" t="n">
        <x:f>I1252*'Parameters'!$C$18</x:f>
        <x:v>1.777777777777778</x:v>
      </x:c>
      <x:c r="K1252" s="9" t="n">
        <x:f>J1252*'Parameters'!$C$19</x:f>
        <x:v>2.2222222222222223</x:v>
      </x:c>
      <x:c r="L1252" s="9" t="n">
        <x:f>I1252*(1-0.40)-J1252</x:f>
        <x:v>3.5555555555555554</x:v>
      </x:c>
      <x:c r="M1252" s="9" t="n">
        <x:f>'Physical_Arcs'!S52</x:f>
        <x:v>8.88888888888889</x:v>
      </x:c>
      <x:c r="N1252" s="9" t="n">
        <x:f>M1252*'Parameters'!$C$18</x:f>
        <x:v>1.777777777777778</x:v>
      </x:c>
      <x:c r="O1252" s="9" t="n">
        <x:f>N1252*'Parameters'!$C$19</x:f>
        <x:v>2.2222222222222223</x:v>
      </x:c>
      <x:c r="P1252" s="9" t="n">
        <x:f>M1252*(1-0.40)-N1252</x:f>
        <x:v>3.5555555555555554</x:v>
      </x:c>
      <x:c r="Q1252" s="9" t="n">
        <x:f>'Physical_Arcs'!T52</x:f>
        <x:v>4.444444444444445</x:v>
      </x:c>
      <x:c r="R1252" s="9" t="n">
        <x:f>Q1252*'Parameters'!$C$18</x:f>
        <x:v>0.888888888888889</x:v>
      </x:c>
      <x:c r="S1252" s="9" t="n">
        <x:f>R1252*'Parameters'!$C$19</x:f>
        <x:v>1.1111111111111112</x:v>
      </x:c>
      <x:c r="T1252" s="9" t="n">
        <x:f>Q1252*(1-0.40)-R1252</x:f>
        <x:v>1.7777777777777777</x:v>
      </x:c>
    </x:row>
    <x:row r="1253" ht="21" customHeight="1">
      <x:c r="A1253" s="3" t="n">
        <x:v>20</x:v>
      </x:c>
      <x:c r="B1253" s="3" t="str">
        <x:v>03:20</x:v>
      </x:c>
      <x:c r="C1253" s="3" t="n">
        <x:v>4</x:v>
      </x:c>
      <x:c r="D1253" s="3" t="n">
        <x:v>52</x:v>
      </x:c>
      <x:c r="E1253" s="3" t="n">
        <x:v>9</x:v>
      </x:c>
      <x:c r="F1253" s="3" t="n">
        <x:v>10</x:v>
      </x:c>
      <x:c r="G1253" s="9" t="n">
        <x:v>0.08</x:v>
      </x:c>
      <x:c r="H1253" s="9" t="n">
        <x:v>0.954096</x:v>
      </x:c>
      <x:c r="I1253" s="9" t="n">
        <x:f>'Physical_Arcs'!R53</x:f>
        <x:v>17.02777777777778</x:v>
      </x:c>
      <x:c r="J1253" s="9" t="n">
        <x:f>I1253*'Parameters'!$C$18</x:f>
        <x:v>3.405555555555556</x:v>
      </x:c>
      <x:c r="K1253" s="9" t="n">
        <x:f>J1253*'Parameters'!$C$19</x:f>
        <x:v>4.256944444444445</x:v>
      </x:c>
      <x:c r="L1253" s="9" t="n">
        <x:f>I1253*(1-0.40)-J1253</x:f>
        <x:v>6.811111111111111</x:v>
      </x:c>
      <x:c r="M1253" s="9" t="n">
        <x:f>'Physical_Arcs'!S53</x:f>
        <x:v>17.02777777777778</x:v>
      </x:c>
      <x:c r="N1253" s="9" t="n">
        <x:f>M1253*'Parameters'!$C$18</x:f>
        <x:v>3.405555555555556</x:v>
      </x:c>
      <x:c r="O1253" s="9" t="n">
        <x:f>N1253*'Parameters'!$C$19</x:f>
        <x:v>4.256944444444445</x:v>
      </x:c>
      <x:c r="P1253" s="9" t="n">
        <x:f>M1253*(1-0.40)-N1253</x:f>
        <x:v>6.811111111111111</x:v>
      </x:c>
      <x:c r="Q1253" s="9" t="n">
        <x:f>'Physical_Arcs'!T53</x:f>
        <x:v>17.02777777777778</x:v>
      </x:c>
      <x:c r="R1253" s="9" t="n">
        <x:f>Q1253*'Parameters'!$C$18</x:f>
        <x:v>3.405555555555556</x:v>
      </x:c>
      <x:c r="S1253" s="9" t="n">
        <x:f>R1253*'Parameters'!$C$19</x:f>
        <x:v>4.256944444444445</x:v>
      </x:c>
      <x:c r="T1253" s="9" t="n">
        <x:f>Q1253*(1-0.40)-R1253</x:f>
        <x:v>6.811111111111111</x:v>
      </x:c>
    </x:row>
    <x:row r="1254" ht="21" customHeight="1">
      <x:c r="A1254" s="3" t="n">
        <x:v>20</x:v>
      </x:c>
      <x:c r="B1254" s="3" t="str">
        <x:v>03:20</x:v>
      </x:c>
      <x:c r="C1254" s="3" t="n">
        <x:v>4</x:v>
      </x:c>
      <x:c r="D1254" s="3" t="n">
        <x:v>53</x:v>
      </x:c>
      <x:c r="E1254" s="3" t="n">
        <x:v>9</x:v>
      </x:c>
      <x:c r="F1254" s="3" t="n">
        <x:v>6</x:v>
      </x:c>
      <x:c r="G1254" s="9" t="n">
        <x:v>0.08</x:v>
      </x:c>
      <x:c r="H1254" s="9" t="n">
        <x:v>1.125574</x:v>
      </x:c>
      <x:c r="I1254" s="9" t="n">
        <x:f>'Physical_Arcs'!R54</x:f>
        <x:v>9.666666666666666</x:v>
      </x:c>
      <x:c r="J1254" s="9" t="n">
        <x:f>I1254*'Parameters'!$C$18</x:f>
        <x:v>1.9333333333333333</x:v>
      </x:c>
      <x:c r="K1254" s="9" t="n">
        <x:f>J1254*'Parameters'!$C$19</x:f>
        <x:v>2.4166666666666665</x:v>
      </x:c>
      <x:c r="L1254" s="9" t="n">
        <x:f>I1254*(1-0.40)-J1254</x:f>
        <x:v>3.8666666666666663</x:v>
      </x:c>
      <x:c r="M1254" s="9" t="n">
        <x:f>'Physical_Arcs'!S54</x:f>
        <x:v>9.666666666666666</x:v>
      </x:c>
      <x:c r="N1254" s="9" t="n">
        <x:f>M1254*'Parameters'!$C$18</x:f>
        <x:v>1.9333333333333333</x:v>
      </x:c>
      <x:c r="O1254" s="9" t="n">
        <x:f>N1254*'Parameters'!$C$19</x:f>
        <x:v>2.4166666666666665</x:v>
      </x:c>
      <x:c r="P1254" s="9" t="n">
        <x:f>M1254*(1-0.40)-N1254</x:f>
        <x:v>3.8666666666666663</x:v>
      </x:c>
      <x:c r="Q1254" s="9" t="n">
        <x:f>'Physical_Arcs'!T54</x:f>
        <x:v>4.833333333333333</x:v>
      </x:c>
      <x:c r="R1254" s="9" t="n">
        <x:f>Q1254*'Parameters'!$C$18</x:f>
        <x:v>0.9666666666666667</x:v>
      </x:c>
      <x:c r="S1254" s="9" t="n">
        <x:f>R1254*'Parameters'!$C$19</x:f>
        <x:v>1.2083333333333333</x:v>
      </x:c>
      <x:c r="T1254" s="9" t="n">
        <x:f>Q1254*(1-0.40)-R1254</x:f>
        <x:v>1.9333333333333331</x:v>
      </x:c>
    </x:row>
    <x:row r="1255" ht="21" customHeight="1">
      <x:c r="A1255" s="3" t="n">
        <x:v>20</x:v>
      </x:c>
      <x:c r="B1255" s="3" t="str">
        <x:v>03:20</x:v>
      </x:c>
      <x:c r="C1255" s="3" t="n">
        <x:v>4</x:v>
      </x:c>
      <x:c r="D1255" s="3" t="n">
        <x:v>54</x:v>
      </x:c>
      <x:c r="E1255" s="3" t="n">
        <x:v>9</x:v>
      </x:c>
      <x:c r="F1255" s="3" t="n">
        <x:v>2</x:v>
      </x:c>
      <x:c r="G1255" s="9" t="n">
        <x:v>0.08</x:v>
      </x:c>
      <x:c r="H1255" s="9" t="n">
        <x:v>0.854534</x:v>
      </x:c>
      <x:c r="I1255" s="9" t="n">
        <x:f>'Physical_Arcs'!R55</x:f>
        <x:v>9.88888888888889</x:v>
      </x:c>
      <x:c r="J1255" s="9" t="n">
        <x:f>I1255*'Parameters'!$C$18</x:f>
        <x:v>1.9777777777777779</x:v>
      </x:c>
      <x:c r="K1255" s="9" t="n">
        <x:f>J1255*'Parameters'!$C$19</x:f>
        <x:v>2.4722222222222223</x:v>
      </x:c>
      <x:c r="L1255" s="9" t="n">
        <x:f>I1255*(1-0.40)-J1255</x:f>
        <x:v>3.9555555555555557</x:v>
      </x:c>
      <x:c r="M1255" s="9" t="n">
        <x:f>'Physical_Arcs'!S55</x:f>
        <x:v>9.88888888888889</x:v>
      </x:c>
      <x:c r="N1255" s="9" t="n">
        <x:f>M1255*'Parameters'!$C$18</x:f>
        <x:v>1.9777777777777779</x:v>
      </x:c>
      <x:c r="O1255" s="9" t="n">
        <x:f>N1255*'Parameters'!$C$19</x:f>
        <x:v>2.4722222222222223</x:v>
      </x:c>
      <x:c r="P1255" s="9" t="n">
        <x:f>M1255*(1-0.40)-N1255</x:f>
        <x:v>3.9555555555555557</x:v>
      </x:c>
      <x:c r="Q1255" s="9" t="n">
        <x:f>'Physical_Arcs'!T55</x:f>
        <x:v>4.944444444444445</x:v>
      </x:c>
      <x:c r="R1255" s="9" t="n">
        <x:f>Q1255*'Parameters'!$C$18</x:f>
        <x:v>0.9888888888888889</x:v>
      </x:c>
      <x:c r="S1255" s="9" t="n">
        <x:f>R1255*'Parameters'!$C$19</x:f>
        <x:v>1.2361111111111112</x:v>
      </x:c>
      <x:c r="T1255" s="9" t="n">
        <x:f>Q1255*(1-0.40)-R1255</x:f>
        <x:v>1.9777777777777779</x:v>
      </x:c>
    </x:row>
    <x:row r="1256" ht="21" customHeight="1">
      <x:c r="A1256" s="3" t="n">
        <x:v>20</x:v>
      </x:c>
      <x:c r="B1256" s="3" t="str">
        <x:v>03:20</x:v>
      </x:c>
      <x:c r="C1256" s="3" t="n">
        <x:v>4</x:v>
      </x:c>
      <x:c r="D1256" s="3" t="n">
        <x:v>55</x:v>
      </x:c>
      <x:c r="E1256" s="3" t="n">
        <x:v>9</x:v>
      </x:c>
      <x:c r="F1256" s="3" t="n">
        <x:v>7</x:v>
      </x:c>
      <x:c r="G1256" s="9" t="n">
        <x:v>0.08</x:v>
      </x:c>
      <x:c r="H1256" s="9" t="n">
        <x:v>0.900033</x:v>
      </x:c>
      <x:c r="I1256" s="9" t="n">
        <x:f>'Physical_Arcs'!R56</x:f>
        <x:v>4.166666666666667</x:v>
      </x:c>
      <x:c r="J1256" s="9" t="n">
        <x:f>I1256*'Parameters'!$C$18</x:f>
        <x:v>0.8333333333333335</x:v>
      </x:c>
      <x:c r="K1256" s="9" t="n">
        <x:f>J1256*'Parameters'!$C$19</x:f>
        <x:v>1.041666666666667</x:v>
      </x:c>
      <x:c r="L1256" s="9" t="n">
        <x:f>I1256*(1-0.40)-J1256</x:f>
        <x:v>1.6666666666666665</x:v>
      </x:c>
      <x:c r="M1256" s="9" t="n">
        <x:f>'Physical_Arcs'!S56</x:f>
        <x:v>4.166666666666667</x:v>
      </x:c>
      <x:c r="N1256" s="9" t="n">
        <x:f>M1256*'Parameters'!$C$18</x:f>
        <x:v>0.8333333333333335</x:v>
      </x:c>
      <x:c r="O1256" s="9" t="n">
        <x:f>N1256*'Parameters'!$C$19</x:f>
        <x:v>1.041666666666667</x:v>
      </x:c>
      <x:c r="P1256" s="9" t="n">
        <x:f>M1256*(1-0.40)-N1256</x:f>
        <x:v>1.6666666666666665</x:v>
      </x:c>
      <x:c r="Q1256" s="9" t="n">
        <x:f>'Physical_Arcs'!T56</x:f>
        <x:v>2.0833333333333335</x:v>
      </x:c>
      <x:c r="R1256" s="9" t="n">
        <x:f>Q1256*'Parameters'!$C$18</x:f>
        <x:v>0.41666666666666674</x:v>
      </x:c>
      <x:c r="S1256" s="9" t="n">
        <x:f>R1256*'Parameters'!$C$19</x:f>
        <x:v>0.5208333333333335</x:v>
      </x:c>
      <x:c r="T1256" s="9" t="n">
        <x:f>Q1256*(1-0.40)-R1256</x:f>
        <x:v>0.8333333333333333</x:v>
      </x:c>
    </x:row>
    <x:row r="1257" ht="21" customHeight="1">
      <x:c r="A1257" s="3" t="n">
        <x:v>20</x:v>
      </x:c>
      <x:c r="B1257" s="3" t="str">
        <x:v>03:20</x:v>
      </x:c>
      <x:c r="C1257" s="3" t="n">
        <x:v>4</x:v>
      </x:c>
      <x:c r="D1257" s="3" t="n">
        <x:v>56</x:v>
      </x:c>
      <x:c r="E1257" s="3" t="n">
        <x:v>9</x:v>
      </x:c>
      <x:c r="F1257" s="3" t="n">
        <x:v>3</x:v>
      </x:c>
      <x:c r="G1257" s="9" t="n">
        <x:v>0.08</x:v>
      </x:c>
      <x:c r="H1257" s="9" t="n">
        <x:v>0.893428</x:v>
      </x:c>
      <x:c r="I1257" s="9" t="n">
        <x:f>'Physical_Arcs'!R57</x:f>
        <x:v>3.7222222222222223</x:v>
      </x:c>
      <x:c r="J1257" s="9" t="n">
        <x:f>I1257*'Parameters'!$C$18</x:f>
        <x:v>0.7444444444444445</x:v>
      </x:c>
      <x:c r="K1257" s="9" t="n">
        <x:f>J1257*'Parameters'!$C$19</x:f>
        <x:v>0.9305555555555556</x:v>
      </x:c>
      <x:c r="L1257" s="9" t="n">
        <x:f>I1257*(1-0.40)-J1257</x:f>
        <x:v>1.488888888888889</x:v>
      </x:c>
      <x:c r="M1257" s="9" t="n">
        <x:f>'Physical_Arcs'!S57</x:f>
        <x:v>3.7222222222222223</x:v>
      </x:c>
      <x:c r="N1257" s="9" t="n">
        <x:f>M1257*'Parameters'!$C$18</x:f>
        <x:v>0.7444444444444445</x:v>
      </x:c>
      <x:c r="O1257" s="9" t="n">
        <x:f>N1257*'Parameters'!$C$19</x:f>
        <x:v>0.9305555555555556</x:v>
      </x:c>
      <x:c r="P1257" s="9" t="n">
        <x:f>M1257*(1-0.40)-N1257</x:f>
        <x:v>1.488888888888889</x:v>
      </x:c>
      <x:c r="Q1257" s="9" t="n">
        <x:f>'Physical_Arcs'!T57</x:f>
        <x:v>1.8611111111111112</x:v>
      </x:c>
      <x:c r="R1257" s="9" t="n">
        <x:f>Q1257*'Parameters'!$C$18</x:f>
        <x:v>0.37222222222222223</x:v>
      </x:c>
      <x:c r="S1257" s="9" t="n">
        <x:f>R1257*'Parameters'!$C$19</x:f>
        <x:v>0.4652777777777778</x:v>
      </x:c>
      <x:c r="T1257" s="9" t="n">
        <x:f>Q1257*(1-0.40)-R1257</x:f>
        <x:v>0.7444444444444445</x:v>
      </x:c>
    </x:row>
    <x:row r="1258" ht="21" customHeight="1">
      <x:c r="A1258" s="3" t="n">
        <x:v>20</x:v>
      </x:c>
      <x:c r="B1258" s="3" t="str">
        <x:v>03:20</x:v>
      </x:c>
      <x:c r="C1258" s="3" t="n">
        <x:v>4</x:v>
      </x:c>
      <x:c r="D1258" s="3" t="n">
        <x:v>57</x:v>
      </x:c>
      <x:c r="E1258" s="3" t="n">
        <x:v>10</x:v>
      </x:c>
      <x:c r="F1258" s="3" t="n">
        <x:v>1</x:v>
      </x:c>
      <x:c r="G1258" s="9" t="n">
        <x:v>0.08</x:v>
      </x:c>
      <x:c r="H1258" s="9" t="n">
        <x:v>1.027979</x:v>
      </x:c>
      <x:c r="I1258" s="9" t="n">
        <x:f>'Physical_Arcs'!R58</x:f>
        <x:v>17.02777777777778</x:v>
      </x:c>
      <x:c r="J1258" s="9" t="n">
        <x:f>I1258*'Parameters'!$C$18</x:f>
        <x:v>3.405555555555556</x:v>
      </x:c>
      <x:c r="K1258" s="9" t="n">
        <x:f>J1258*'Parameters'!$C$19</x:f>
        <x:v>4.256944444444445</x:v>
      </x:c>
      <x:c r="L1258" s="9" t="n">
        <x:f>I1258*(1-0.40)-J1258</x:f>
        <x:v>6.811111111111111</x:v>
      </x:c>
      <x:c r="M1258" s="9" t="n">
        <x:f>'Physical_Arcs'!S58</x:f>
        <x:v>17.02777777777778</x:v>
      </x:c>
      <x:c r="N1258" s="9" t="n">
        <x:f>M1258*'Parameters'!$C$18</x:f>
        <x:v>3.405555555555556</x:v>
      </x:c>
      <x:c r="O1258" s="9" t="n">
        <x:f>N1258*'Parameters'!$C$19</x:f>
        <x:v>4.256944444444445</x:v>
      </x:c>
      <x:c r="P1258" s="9" t="n">
        <x:f>M1258*(1-0.40)-N1258</x:f>
        <x:v>6.811111111111111</x:v>
      </x:c>
      <x:c r="Q1258" s="9" t="n">
        <x:f>'Physical_Arcs'!T58</x:f>
        <x:v>17.02777777777778</x:v>
      </x:c>
      <x:c r="R1258" s="9" t="n">
        <x:f>Q1258*'Parameters'!$C$18</x:f>
        <x:v>3.405555555555556</x:v>
      </x:c>
      <x:c r="S1258" s="9" t="n">
        <x:f>R1258*'Parameters'!$C$19</x:f>
        <x:v>4.256944444444445</x:v>
      </x:c>
      <x:c r="T1258" s="9" t="n">
        <x:f>Q1258*(1-0.40)-R1258</x:f>
        <x:v>6.811111111111111</x:v>
      </x:c>
    </x:row>
    <x:row r="1259" ht="21" customHeight="1">
      <x:c r="A1259" s="3" t="n">
        <x:v>20</x:v>
      </x:c>
      <x:c r="B1259" s="3" t="str">
        <x:v>03:20</x:v>
      </x:c>
      <x:c r="C1259" s="3" t="n">
        <x:v>4</x:v>
      </x:c>
      <x:c r="D1259" s="3" t="n">
        <x:v>58</x:v>
      </x:c>
      <x:c r="E1259" s="3" t="n">
        <x:v>10</x:v>
      </x:c>
      <x:c r="F1259" s="3" t="n">
        <x:v>6</x:v>
      </x:c>
      <x:c r="G1259" s="9" t="n">
        <x:v>0.08</x:v>
      </x:c>
      <x:c r="H1259" s="9" t="n">
        <x:v>0.952676</x:v>
      </x:c>
      <x:c r="I1259" s="9" t="n">
        <x:f>'Physical_Arcs'!R59</x:f>
        <x:v>6.305555555555555</x:v>
      </x:c>
      <x:c r="J1259" s="9" t="n">
        <x:f>I1259*'Parameters'!$C$18</x:f>
        <x:v>1.261111111111111</x:v>
      </x:c>
      <x:c r="K1259" s="9" t="n">
        <x:f>J1259*'Parameters'!$C$19</x:f>
        <x:v>1.5763888888888888</x:v>
      </x:c>
      <x:c r="L1259" s="9" t="n">
        <x:f>I1259*(1-0.40)-J1259</x:f>
        <x:v>2.522222222222222</x:v>
      </x:c>
      <x:c r="M1259" s="9" t="n">
        <x:f>'Physical_Arcs'!S59</x:f>
        <x:v>6.305555555555555</x:v>
      </x:c>
      <x:c r="N1259" s="9" t="n">
        <x:f>M1259*'Parameters'!$C$18</x:f>
        <x:v>1.261111111111111</x:v>
      </x:c>
      <x:c r="O1259" s="9" t="n">
        <x:f>N1259*'Parameters'!$C$19</x:f>
        <x:v>1.5763888888888888</x:v>
      </x:c>
      <x:c r="P1259" s="9" t="n">
        <x:f>M1259*(1-0.40)-N1259</x:f>
        <x:v>2.522222222222222</x:v>
      </x:c>
      <x:c r="Q1259" s="9" t="n">
        <x:f>'Physical_Arcs'!T59</x:f>
        <x:v>3.1666666666666665</x:v>
      </x:c>
      <x:c r="R1259" s="9" t="n">
        <x:f>Q1259*'Parameters'!$C$18</x:f>
        <x:v>0.6333333333333333</x:v>
      </x:c>
      <x:c r="S1259" s="9" t="n">
        <x:f>R1259*'Parameters'!$C$19</x:f>
        <x:v>0.7916666666666666</x:v>
      </x:c>
      <x:c r="T1259" s="9" t="n">
        <x:f>Q1259*(1-0.40)-R1259</x:f>
        <x:v>1.2666666666666666</x:v>
      </x:c>
    </x:row>
    <x:row r="1260" ht="21" customHeight="1">
      <x:c r="A1260" s="3" t="n">
        <x:v>20</x:v>
      </x:c>
      <x:c r="B1260" s="3" t="str">
        <x:v>03:20</x:v>
      </x:c>
      <x:c r="C1260" s="3" t="n">
        <x:v>4</x:v>
      </x:c>
      <x:c r="D1260" s="3" t="n">
        <x:v>59</x:v>
      </x:c>
      <x:c r="E1260" s="3" t="n">
        <x:v>10</x:v>
      </x:c>
      <x:c r="F1260" s="3" t="n">
        <x:v>4</x:v>
      </x:c>
      <x:c r="G1260" s="9" t="n">
        <x:v>0.08</x:v>
      </x:c>
      <x:c r="H1260" s="9" t="n">
        <x:v>1.114542</x:v>
      </x:c>
      <x:c r="I1260" s="9" t="n">
        <x:f>'Physical_Arcs'!R60</x:f>
        <x:v>1.5833333333333333</x:v>
      </x:c>
      <x:c r="J1260" s="9" t="n">
        <x:f>I1260*'Parameters'!$C$18</x:f>
        <x:v>0.31666666666666665</x:v>
      </x:c>
      <x:c r="K1260" s="9" t="n">
        <x:f>J1260*'Parameters'!$C$19</x:f>
        <x:v>0.3958333333333333</x:v>
      </x:c>
      <x:c r="L1260" s="9" t="n">
        <x:f>I1260*(1-0.40)-J1260</x:f>
        <x:v>0.6333333333333333</x:v>
      </x:c>
      <x:c r="M1260" s="9" t="n">
        <x:f>'Physical_Arcs'!S60</x:f>
        <x:v>1.5833333333333333</x:v>
      </x:c>
      <x:c r="N1260" s="9" t="n">
        <x:f>M1260*'Parameters'!$C$18</x:f>
        <x:v>0.31666666666666665</x:v>
      </x:c>
      <x:c r="O1260" s="9" t="n">
        <x:f>N1260*'Parameters'!$C$19</x:f>
        <x:v>0.3958333333333333</x:v>
      </x:c>
      <x:c r="P1260" s="9" t="n">
        <x:f>M1260*(1-0.40)-N1260</x:f>
        <x:v>0.6333333333333333</x:v>
      </x:c>
      <x:c r="Q1260" s="9" t="n">
        <x:f>'Physical_Arcs'!T60</x:f>
        <x:v>0.8055555555555556</x:v>
      </x:c>
      <x:c r="R1260" s="9" t="n">
        <x:f>Q1260*'Parameters'!$C$18</x:f>
        <x:v>0.16111111111111112</x:v>
      </x:c>
      <x:c r="S1260" s="9" t="n">
        <x:f>R1260*'Parameters'!$C$19</x:f>
        <x:v>0.2013888888888889</x:v>
      </x:c>
      <x:c r="T1260" s="9" t="n">
        <x:f>Q1260*(1-0.40)-R1260</x:f>
        <x:v>0.3222222222222222</x:v>
      </x:c>
    </x:row>
    <x:row r="1261" ht="21" customHeight="1">
      <x:c r="A1261" s="3" t="n">
        <x:v>20</x:v>
      </x:c>
      <x:c r="B1261" s="3" t="str">
        <x:v>03:20</x:v>
      </x:c>
      <x:c r="C1261" s="3" t="n">
        <x:v>4</x:v>
      </x:c>
      <x:c r="D1261" s="3" t="n">
        <x:v>60</x:v>
      </x:c>
      <x:c r="E1261" s="3" t="n">
        <x:v>10</x:v>
      </x:c>
      <x:c r="F1261" s="3" t="n">
        <x:v>9</x:v>
      </x:c>
      <x:c r="G1261" s="9" t="n">
        <x:v>0.08</x:v>
      </x:c>
      <x:c r="H1261" s="9" t="n">
        <x:v>1.092245</x:v>
      </x:c>
      <x:c r="I1261" s="9" t="n">
        <x:f>'Physical_Arcs'!R61</x:f>
        <x:v>10.333333333333334</x:v>
      </x:c>
      <x:c r="J1261" s="9" t="n">
        <x:f>I1261*'Parameters'!$C$18</x:f>
        <x:v>2.066666666666667</x:v>
      </x:c>
      <x:c r="K1261" s="9" t="n">
        <x:f>J1261*'Parameters'!$C$19</x:f>
        <x:v>2.5833333333333335</x:v>
      </x:c>
      <x:c r="L1261" s="9" t="n">
        <x:f>I1261*(1-0.40)-J1261</x:f>
        <x:v>4.133333333333333</x:v>
      </x:c>
      <x:c r="M1261" s="9" t="n">
        <x:f>'Physical_Arcs'!S61</x:f>
        <x:v>10.333333333333334</x:v>
      </x:c>
      <x:c r="N1261" s="9" t="n">
        <x:f>M1261*'Parameters'!$C$18</x:f>
        <x:v>2.066666666666667</x:v>
      </x:c>
      <x:c r="O1261" s="9" t="n">
        <x:f>N1261*'Parameters'!$C$19</x:f>
        <x:v>2.5833333333333335</x:v>
      </x:c>
      <x:c r="P1261" s="9" t="n">
        <x:f>M1261*(1-0.40)-N1261</x:f>
        <x:v>4.133333333333333</x:v>
      </x:c>
      <x:c r="Q1261" s="9" t="n">
        <x:f>'Physical_Arcs'!T61</x:f>
        <x:v>5.166666666666667</x:v>
      </x:c>
      <x:c r="R1261" s="9" t="n">
        <x:f>Q1261*'Parameters'!$C$18</x:f>
        <x:v>1.0333333333333334</x:v>
      </x:c>
      <x:c r="S1261" s="9" t="n">
        <x:f>R1261*'Parameters'!$C$19</x:f>
        <x:v>1.2916666666666667</x:v>
      </x:c>
      <x:c r="T1261" s="9" t="n">
        <x:f>Q1261*(1-0.40)-R1261</x:f>
        <x:v>2.0666666666666664</x:v>
      </x:c>
    </x:row>
    <x:row r="1262" ht="21" customHeight="1">
      <x:c r="A1262" s="3" t="n">
        <x:v>21</x:v>
      </x:c>
      <x:c r="B1262" s="3" t="str">
        <x:v>03:30</x:v>
      </x:c>
      <x:c r="C1262" s="3" t="n">
        <x:v>4</x:v>
      </x:c>
      <x:c r="D1262" s="3" t="n">
        <x:v>1</x:v>
      </x:c>
      <x:c r="E1262" s="3" t="n">
        <x:v>1</x:v>
      </x:c>
      <x:c r="F1262" s="3" t="n">
        <x:v>2</x:v>
      </x:c>
      <x:c r="G1262" s="9" t="n">
        <x:v>0.08</x:v>
      </x:c>
      <x:c r="H1262" s="9" t="n">
        <x:v>0.914787</x:v>
      </x:c>
      <x:c r="I1262" s="9" t="n">
        <x:f>'Physical_Arcs'!R2</x:f>
        <x:v>17.02777777777778</x:v>
      </x:c>
      <x:c r="J1262" s="9" t="n">
        <x:f>I1262*'Parameters'!$C$18</x:f>
        <x:v>3.405555555555556</x:v>
      </x:c>
      <x:c r="K1262" s="9" t="n">
        <x:f>J1262*'Parameters'!$C$19</x:f>
        <x:v>4.256944444444445</x:v>
      </x:c>
      <x:c r="L1262" s="9" t="n">
        <x:f>I1262*(1-0.40)-J1262</x:f>
        <x:v>6.811111111111111</x:v>
      </x:c>
      <x:c r="M1262" s="9" t="n">
        <x:f>'Physical_Arcs'!S2</x:f>
        <x:v>17.02777777777778</x:v>
      </x:c>
      <x:c r="N1262" s="9" t="n">
        <x:f>M1262*'Parameters'!$C$18</x:f>
        <x:v>3.405555555555556</x:v>
      </x:c>
      <x:c r="O1262" s="9" t="n">
        <x:f>N1262*'Parameters'!$C$19</x:f>
        <x:v>4.256944444444445</x:v>
      </x:c>
      <x:c r="P1262" s="9" t="n">
        <x:f>M1262*(1-0.40)-N1262</x:f>
        <x:v>6.811111111111111</x:v>
      </x:c>
      <x:c r="Q1262" s="9" t="n">
        <x:f>'Physical_Arcs'!T2</x:f>
        <x:v>17.02777777777778</x:v>
      </x:c>
      <x:c r="R1262" s="9" t="n">
        <x:f>Q1262*'Parameters'!$C$18</x:f>
        <x:v>3.405555555555556</x:v>
      </x:c>
      <x:c r="S1262" s="9" t="n">
        <x:f>R1262*'Parameters'!$C$19</x:f>
        <x:v>4.256944444444445</x:v>
      </x:c>
      <x:c r="T1262" s="9" t="n">
        <x:f>Q1262*(1-0.40)-R1262</x:f>
        <x:v>6.811111111111111</x:v>
      </x:c>
    </x:row>
    <x:row r="1263" ht="21" customHeight="1">
      <x:c r="A1263" s="3" t="n">
        <x:v>21</x:v>
      </x:c>
      <x:c r="B1263" s="3" t="str">
        <x:v>03:30</x:v>
      </x:c>
      <x:c r="C1263" s="3" t="n">
        <x:v>4</x:v>
      </x:c>
      <x:c r="D1263" s="3" t="n">
        <x:v>2</x:v>
      </x:c>
      <x:c r="E1263" s="3" t="n">
        <x:v>1</x:v>
      </x:c>
      <x:c r="F1263" s="3" t="n">
        <x:v>10</x:v>
      </x:c>
      <x:c r="G1263" s="9" t="n">
        <x:v>0.08</x:v>
      </x:c>
      <x:c r="H1263" s="9" t="n">
        <x:v>1.003995</x:v>
      </x:c>
      <x:c r="I1263" s="9" t="n">
        <x:f>'Physical_Arcs'!R3</x:f>
        <x:v>3.2777777777777777</x:v>
      </x:c>
      <x:c r="J1263" s="9" t="n">
        <x:f>I1263*'Parameters'!$C$18</x:f>
        <x:v>0.6555555555555556</x:v>
      </x:c>
      <x:c r="K1263" s="9" t="n">
        <x:f>J1263*'Parameters'!$C$19</x:f>
        <x:v>0.8194444444444444</x:v>
      </x:c>
      <x:c r="L1263" s="9" t="n">
        <x:f>I1263*(1-0.40)-J1263</x:f>
        <x:v>1.311111111111111</x:v>
      </x:c>
      <x:c r="M1263" s="9" t="n">
        <x:f>'Physical_Arcs'!S3</x:f>
        <x:v>3.2777777777777777</x:v>
      </x:c>
      <x:c r="N1263" s="9" t="n">
        <x:f>M1263*'Parameters'!$C$18</x:f>
        <x:v>0.6555555555555556</x:v>
      </x:c>
      <x:c r="O1263" s="9" t="n">
        <x:f>N1263*'Parameters'!$C$19</x:f>
        <x:v>0.8194444444444444</x:v>
      </x:c>
      <x:c r="P1263" s="9" t="n">
        <x:f>M1263*(1-0.40)-N1263</x:f>
        <x:v>1.311111111111111</x:v>
      </x:c>
      <x:c r="Q1263" s="9" t="n">
        <x:f>'Physical_Arcs'!T3</x:f>
        <x:v>1.6388888888888888</x:v>
      </x:c>
      <x:c r="R1263" s="9" t="n">
        <x:f>Q1263*'Parameters'!$C$18</x:f>
        <x:v>0.3277777777777778</x:v>
      </x:c>
      <x:c r="S1263" s="9" t="n">
        <x:f>R1263*'Parameters'!$C$19</x:f>
        <x:v>0.4097222222222222</x:v>
      </x:c>
      <x:c r="T1263" s="9" t="n">
        <x:f>Q1263*(1-0.40)-R1263</x:f>
        <x:v>0.6555555555555554</x:v>
      </x:c>
    </x:row>
    <x:row r="1264" ht="21" customHeight="1">
      <x:c r="A1264" s="3" t="n">
        <x:v>21</x:v>
      </x:c>
      <x:c r="B1264" s="3" t="str">
        <x:v>03:30</x:v>
      </x:c>
      <x:c r="C1264" s="3" t="n">
        <x:v>4</x:v>
      </x:c>
      <x:c r="D1264" s="3" t="n">
        <x:v>3</x:v>
      </x:c>
      <x:c r="E1264" s="3" t="n">
        <x:v>1</x:v>
      </x:c>
      <x:c r="F1264" s="3" t="n">
        <x:v>8</x:v>
      </x:c>
      <x:c r="G1264" s="9" t="n">
        <x:v>0.08</x:v>
      </x:c>
      <x:c r="H1264" s="9" t="n">
        <x:v>0.923863</x:v>
      </x:c>
      <x:c r="I1264" s="9" t="n">
        <x:f>'Physical_Arcs'!R4</x:f>
        <x:v>6.083333333333333</x:v>
      </x:c>
      <x:c r="J1264" s="9" t="n">
        <x:f>I1264*'Parameters'!$C$18</x:f>
        <x:v>1.2166666666666668</x:v>
      </x:c>
      <x:c r="K1264" s="9" t="n">
        <x:f>J1264*'Parameters'!$C$19</x:f>
        <x:v>1.5208333333333335</x:v>
      </x:c>
      <x:c r="L1264" s="9" t="n">
        <x:f>I1264*(1-0.40)-J1264</x:f>
        <x:v>2.4333333333333327</x:v>
      </x:c>
      <x:c r="M1264" s="9" t="n">
        <x:f>'Physical_Arcs'!S4</x:f>
        <x:v>6.083333333333333</x:v>
      </x:c>
      <x:c r="N1264" s="9" t="n">
        <x:f>M1264*'Parameters'!$C$18</x:f>
        <x:v>1.2166666666666668</x:v>
      </x:c>
      <x:c r="O1264" s="9" t="n">
        <x:f>N1264*'Parameters'!$C$19</x:f>
        <x:v>1.5208333333333335</x:v>
      </x:c>
      <x:c r="P1264" s="9" t="n">
        <x:f>M1264*(1-0.40)-N1264</x:f>
        <x:v>2.4333333333333327</x:v>
      </x:c>
      <x:c r="Q1264" s="9" t="n">
        <x:f>'Physical_Arcs'!T4</x:f>
        <x:v>3.0555555555555554</x:v>
      </x:c>
      <x:c r="R1264" s="9" t="n">
        <x:f>Q1264*'Parameters'!$C$18</x:f>
        <x:v>0.6111111111111112</x:v>
      </x:c>
      <x:c r="S1264" s="9" t="n">
        <x:f>R1264*'Parameters'!$C$19</x:f>
        <x:v>0.763888888888889</x:v>
      </x:c>
      <x:c r="T1264" s="9" t="n">
        <x:f>Q1264*(1-0.40)-R1264</x:f>
        <x:v>1.2222222222222219</x:v>
      </x:c>
    </x:row>
    <x:row r="1265" ht="21" customHeight="1">
      <x:c r="A1265" s="3" t="n">
        <x:v>21</x:v>
      </x:c>
      <x:c r="B1265" s="3" t="str">
        <x:v>03:30</x:v>
      </x:c>
      <x:c r="C1265" s="3" t="n">
        <x:v>4</x:v>
      </x:c>
      <x:c r="D1265" s="3" t="n">
        <x:v>4</x:v>
      </x:c>
      <x:c r="E1265" s="3" t="n">
        <x:v>1</x:v>
      </x:c>
      <x:c r="F1265" s="3" t="n">
        <x:v>7</x:v>
      </x:c>
      <x:c r="G1265" s="9" t="n">
        <x:v>0.08</x:v>
      </x:c>
      <x:c r="H1265" s="9" t="n">
        <x:v>1.111072</x:v>
      </x:c>
      <x:c r="I1265" s="9" t="n">
        <x:f>'Physical_Arcs'!R5</x:f>
        <x:v>9</x:v>
      </x:c>
      <x:c r="J1265" s="9" t="n">
        <x:f>I1265*'Parameters'!$C$18</x:f>
        <x:v>1.8</x:v>
      </x:c>
      <x:c r="K1265" s="9" t="n">
        <x:f>J1265*'Parameters'!$C$19</x:f>
        <x:v>2.25</x:v>
      </x:c>
      <x:c r="L1265" s="9" t="n">
        <x:f>I1265*(1-0.40)-J1265</x:f>
        <x:v>3.5999999999999996</x:v>
      </x:c>
      <x:c r="M1265" s="9" t="n">
        <x:f>'Physical_Arcs'!S5</x:f>
        <x:v>9</x:v>
      </x:c>
      <x:c r="N1265" s="9" t="n">
        <x:f>M1265*'Parameters'!$C$18</x:f>
        <x:v>1.8</x:v>
      </x:c>
      <x:c r="O1265" s="9" t="n">
        <x:f>N1265*'Parameters'!$C$19</x:f>
        <x:v>2.25</x:v>
      </x:c>
      <x:c r="P1265" s="9" t="n">
        <x:f>M1265*(1-0.40)-N1265</x:f>
        <x:v>3.5999999999999996</x:v>
      </x:c>
      <x:c r="Q1265" s="9" t="n">
        <x:f>'Physical_Arcs'!T5</x:f>
        <x:v>4.5</x:v>
      </x:c>
      <x:c r="R1265" s="9" t="n">
        <x:f>Q1265*'Parameters'!$C$18</x:f>
        <x:v>0.9</x:v>
      </x:c>
      <x:c r="S1265" s="9" t="n">
        <x:f>R1265*'Parameters'!$C$19</x:f>
        <x:v>1.125</x:v>
      </x:c>
      <x:c r="T1265" s="9" t="n">
        <x:f>Q1265*(1-0.40)-R1265</x:f>
        <x:v>1.7999999999999998</x:v>
      </x:c>
    </x:row>
    <x:row r="1266" ht="21" customHeight="1">
      <x:c r="A1266" s="3" t="n">
        <x:v>21</x:v>
      </x:c>
      <x:c r="B1266" s="3" t="str">
        <x:v>03:30</x:v>
      </x:c>
      <x:c r="C1266" s="3" t="n">
        <x:v>4</x:v>
      </x:c>
      <x:c r="D1266" s="3" t="n">
        <x:v>5</x:v>
      </x:c>
      <x:c r="E1266" s="3" t="n">
        <x:v>1</x:v>
      </x:c>
      <x:c r="F1266" s="3" t="n">
        <x:v>4</x:v>
      </x:c>
      <x:c r="G1266" s="9" t="n">
        <x:v>0.08</x:v>
      </x:c>
      <x:c r="H1266" s="9" t="n">
        <x:v>1.001665</x:v>
      </x:c>
      <x:c r="I1266" s="9" t="n">
        <x:f>'Physical_Arcs'!R6</x:f>
        <x:v>4.166666666666667</x:v>
      </x:c>
      <x:c r="J1266" s="9" t="n">
        <x:f>I1266*'Parameters'!$C$18</x:f>
        <x:v>0.8333333333333335</x:v>
      </x:c>
      <x:c r="K1266" s="9" t="n">
        <x:f>J1266*'Parameters'!$C$19</x:f>
        <x:v>1.041666666666667</x:v>
      </x:c>
      <x:c r="L1266" s="9" t="n">
        <x:f>I1266*(1-0.40)-J1266</x:f>
        <x:v>1.6666666666666665</x:v>
      </x:c>
      <x:c r="M1266" s="9" t="n">
        <x:f>'Physical_Arcs'!S6</x:f>
        <x:v>4.166666666666667</x:v>
      </x:c>
      <x:c r="N1266" s="9" t="n">
        <x:f>M1266*'Parameters'!$C$18</x:f>
        <x:v>0.8333333333333335</x:v>
      </x:c>
      <x:c r="O1266" s="9" t="n">
        <x:f>N1266*'Parameters'!$C$19</x:f>
        <x:v>1.041666666666667</x:v>
      </x:c>
      <x:c r="P1266" s="9" t="n">
        <x:f>M1266*(1-0.40)-N1266</x:f>
        <x:v>1.6666666666666665</x:v>
      </x:c>
      <x:c r="Q1266" s="9" t="n">
        <x:f>'Physical_Arcs'!T6</x:f>
        <x:v>2.0833333333333335</x:v>
      </x:c>
      <x:c r="R1266" s="9" t="n">
        <x:f>Q1266*'Parameters'!$C$18</x:f>
        <x:v>0.41666666666666674</x:v>
      </x:c>
      <x:c r="S1266" s="9" t="n">
        <x:f>R1266*'Parameters'!$C$19</x:f>
        <x:v>0.5208333333333335</x:v>
      </x:c>
      <x:c r="T1266" s="9" t="n">
        <x:f>Q1266*(1-0.40)-R1266</x:f>
        <x:v>0.8333333333333333</x:v>
      </x:c>
    </x:row>
    <x:row r="1267" ht="21" customHeight="1">
      <x:c r="A1267" s="3" t="n">
        <x:v>21</x:v>
      </x:c>
      <x:c r="B1267" s="3" t="str">
        <x:v>03:30</x:v>
      </x:c>
      <x:c r="C1267" s="3" t="n">
        <x:v>4</x:v>
      </x:c>
      <x:c r="D1267" s="3" t="n">
        <x:v>6</x:v>
      </x:c>
      <x:c r="E1267" s="3" t="n">
        <x:v>1</x:v>
      </x:c>
      <x:c r="F1267" s="3" t="n">
        <x:v>9</x:v>
      </x:c>
      <x:c r="G1267" s="9" t="n">
        <x:v>0.08</x:v>
      </x:c>
      <x:c r="H1267" s="9" t="n">
        <x:v>0.942884</x:v>
      </x:c>
      <x:c r="I1267" s="9" t="n">
        <x:f>'Physical_Arcs'!R7</x:f>
        <x:v>11.027777777777779</x:v>
      </x:c>
      <x:c r="J1267" s="9" t="n">
        <x:f>I1267*'Parameters'!$C$18</x:f>
        <x:v>2.2055555555555557</x:v>
      </x:c>
      <x:c r="K1267" s="9" t="n">
        <x:f>J1267*'Parameters'!$C$19</x:f>
        <x:v>2.7569444444444446</x:v>
      </x:c>
      <x:c r="L1267" s="9" t="n">
        <x:f>I1267*(1-0.40)-J1267</x:f>
        <x:v>4.411111111111111</x:v>
      </x:c>
      <x:c r="M1267" s="9" t="n">
        <x:f>'Physical_Arcs'!S7</x:f>
        <x:v>11.027777777777779</x:v>
      </x:c>
      <x:c r="N1267" s="9" t="n">
        <x:f>M1267*'Parameters'!$C$18</x:f>
        <x:v>2.2055555555555557</x:v>
      </x:c>
      <x:c r="O1267" s="9" t="n">
        <x:f>N1267*'Parameters'!$C$19</x:f>
        <x:v>2.7569444444444446</x:v>
      </x:c>
      <x:c r="P1267" s="9" t="n">
        <x:f>M1267*(1-0.40)-N1267</x:f>
        <x:v>4.411111111111111</x:v>
      </x:c>
      <x:c r="Q1267" s="9" t="n">
        <x:f>'Physical_Arcs'!T7</x:f>
        <x:v>5.527777777777778</x:v>
      </x:c>
      <x:c r="R1267" s="9" t="n">
        <x:f>Q1267*'Parameters'!$C$18</x:f>
        <x:v>1.1055555555555556</x:v>
      </x:c>
      <x:c r="S1267" s="9" t="n">
        <x:f>R1267*'Parameters'!$C$19</x:f>
        <x:v>1.3819444444444446</x:v>
      </x:c>
      <x:c r="T1267" s="9" t="n">
        <x:f>Q1267*(1-0.40)-R1267</x:f>
        <x:v>2.211111111111111</x:v>
      </x:c>
    </x:row>
    <x:row r="1268" ht="21" customHeight="1">
      <x:c r="A1268" s="3" t="n">
        <x:v>21</x:v>
      </x:c>
      <x:c r="B1268" s="3" t="str">
        <x:v>03:30</x:v>
      </x:c>
      <x:c r="C1268" s="3" t="n">
        <x:v>4</x:v>
      </x:c>
      <x:c r="D1268" s="3" t="n">
        <x:v>7</x:v>
      </x:c>
      <x:c r="E1268" s="3" t="n">
        <x:v>1</x:v>
      </x:c>
      <x:c r="F1268" s="3" t="n">
        <x:v>5</x:v>
      </x:c>
      <x:c r="G1268" s="9" t="n">
        <x:v>0.08</x:v>
      </x:c>
      <x:c r="H1268" s="9" t="n">
        <x:v>1.038222</x:v>
      </x:c>
      <x:c r="I1268" s="9" t="n">
        <x:f>'Physical_Arcs'!R8</x:f>
        <x:v>7.972222222222222</x:v>
      </x:c>
      <x:c r="J1268" s="9" t="n">
        <x:f>I1268*'Parameters'!$C$18</x:f>
        <x:v>1.5944444444444446</x:v>
      </x:c>
      <x:c r="K1268" s="9" t="n">
        <x:f>J1268*'Parameters'!$C$19</x:f>
        <x:v>1.9930555555555558</x:v>
      </x:c>
      <x:c r="L1268" s="9" t="n">
        <x:f>I1268*(1-0.40)-J1268</x:f>
        <x:v>3.1888888888888887</x:v>
      </x:c>
      <x:c r="M1268" s="9" t="n">
        <x:f>'Physical_Arcs'!S8</x:f>
        <x:v>7.972222222222222</x:v>
      </x:c>
      <x:c r="N1268" s="9" t="n">
        <x:f>M1268*'Parameters'!$C$18</x:f>
        <x:v>1.5944444444444446</x:v>
      </x:c>
      <x:c r="O1268" s="9" t="n">
        <x:f>N1268*'Parameters'!$C$19</x:f>
        <x:v>1.9930555555555558</x:v>
      </x:c>
      <x:c r="P1268" s="9" t="n">
        <x:f>M1268*(1-0.40)-N1268</x:f>
        <x:v>3.1888888888888887</x:v>
      </x:c>
      <x:c r="Q1268" s="9" t="n">
        <x:f>'Physical_Arcs'!T8</x:f>
        <x:v>4</x:v>
      </x:c>
      <x:c r="R1268" s="9" t="n">
        <x:f>Q1268*'Parameters'!$C$18</x:f>
        <x:v>0.8</x:v>
      </x:c>
      <x:c r="S1268" s="9" t="n">
        <x:f>R1268*'Parameters'!$C$19</x:f>
        <x:v>1</x:v>
      </x:c>
      <x:c r="T1268" s="9" t="n">
        <x:f>Q1268*(1-0.40)-R1268</x:f>
        <x:v>1.5999999999999999</x:v>
      </x:c>
    </x:row>
    <x:row r="1269" ht="21" customHeight="1">
      <x:c r="A1269" s="3" t="n">
        <x:v>21</x:v>
      </x:c>
      <x:c r="B1269" s="3" t="str">
        <x:v>03:30</x:v>
      </x:c>
      <x:c r="C1269" s="3" t="n">
        <x:v>4</x:v>
      </x:c>
      <x:c r="D1269" s="3" t="n">
        <x:v>8</x:v>
      </x:c>
      <x:c r="E1269" s="3" t="n">
        <x:v>1</x:v>
      </x:c>
      <x:c r="F1269" s="3" t="n">
        <x:v>3</x:v>
      </x:c>
      <x:c r="G1269" s="9" t="n">
        <x:v>0.08</x:v>
      </x:c>
      <x:c r="H1269" s="9" t="n">
        <x:v>1.122297</x:v>
      </x:c>
      <x:c r="I1269" s="9" t="n">
        <x:f>'Physical_Arcs'!R9</x:f>
        <x:v>4.166666666666667</x:v>
      </x:c>
      <x:c r="J1269" s="9" t="n">
        <x:f>I1269*'Parameters'!$C$18</x:f>
        <x:v>0.8333333333333335</x:v>
      </x:c>
      <x:c r="K1269" s="9" t="n">
        <x:f>J1269*'Parameters'!$C$19</x:f>
        <x:v>1.041666666666667</x:v>
      </x:c>
      <x:c r="L1269" s="9" t="n">
        <x:f>I1269*(1-0.40)-J1269</x:f>
        <x:v>1.6666666666666665</x:v>
      </x:c>
      <x:c r="M1269" s="9" t="n">
        <x:f>'Physical_Arcs'!S9</x:f>
        <x:v>4.166666666666667</x:v>
      </x:c>
      <x:c r="N1269" s="9" t="n">
        <x:f>M1269*'Parameters'!$C$18</x:f>
        <x:v>0.8333333333333335</x:v>
      </x:c>
      <x:c r="O1269" s="9" t="n">
        <x:f>N1269*'Parameters'!$C$19</x:f>
        <x:v>1.041666666666667</x:v>
      </x:c>
      <x:c r="P1269" s="9" t="n">
        <x:f>M1269*(1-0.40)-N1269</x:f>
        <x:v>1.6666666666666665</x:v>
      </x:c>
      <x:c r="Q1269" s="9" t="n">
        <x:f>'Physical_Arcs'!T9</x:f>
        <x:v>2.0833333333333335</x:v>
      </x:c>
      <x:c r="R1269" s="9" t="n">
        <x:f>Q1269*'Parameters'!$C$18</x:f>
        <x:v>0.41666666666666674</x:v>
      </x:c>
      <x:c r="S1269" s="9" t="n">
        <x:f>R1269*'Parameters'!$C$19</x:f>
        <x:v>0.5208333333333335</x:v>
      </x:c>
      <x:c r="T1269" s="9" t="n">
        <x:f>Q1269*(1-0.40)-R1269</x:f>
        <x:v>0.8333333333333333</x:v>
      </x:c>
    </x:row>
    <x:row r="1270" ht="21" customHeight="1">
      <x:c r="A1270" s="3" t="n">
        <x:v>21</x:v>
      </x:c>
      <x:c r="B1270" s="3" t="str">
        <x:v>03:30</x:v>
      </x:c>
      <x:c r="C1270" s="3" t="n">
        <x:v>4</x:v>
      </x:c>
      <x:c r="D1270" s="3" t="n">
        <x:v>9</x:v>
      </x:c>
      <x:c r="E1270" s="3" t="n">
        <x:v>1</x:v>
      </x:c>
      <x:c r="F1270" s="3" t="n">
        <x:v>6</x:v>
      </x:c>
      <x:c r="G1270" s="9" t="n">
        <x:v>0.08</x:v>
      </x:c>
      <x:c r="H1270" s="9" t="n">
        <x:v>1.132682</x:v>
      </x:c>
      <x:c r="I1270" s="9" t="n">
        <x:f>'Physical_Arcs'!R10</x:f>
        <x:v>2.138888888888889</x:v>
      </x:c>
      <x:c r="J1270" s="9" t="n">
        <x:f>I1270*'Parameters'!$C$18</x:f>
        <x:v>0.4277777777777778</x:v>
      </x:c>
      <x:c r="K1270" s="9" t="n">
        <x:f>J1270*'Parameters'!$C$19</x:f>
        <x:v>0.5347222222222223</x:v>
      </x:c>
      <x:c r="L1270" s="9" t="n">
        <x:f>I1270*(1-0.40)-J1270</x:f>
        <x:v>0.8555555555555554</x:v>
      </x:c>
      <x:c r="M1270" s="9" t="n">
        <x:f>'Physical_Arcs'!S10</x:f>
        <x:v>2.138888888888889</x:v>
      </x:c>
      <x:c r="N1270" s="9" t="n">
        <x:f>M1270*'Parameters'!$C$18</x:f>
        <x:v>0.4277777777777778</x:v>
      </x:c>
      <x:c r="O1270" s="9" t="n">
        <x:f>N1270*'Parameters'!$C$19</x:f>
        <x:v>0.5347222222222223</x:v>
      </x:c>
      <x:c r="P1270" s="9" t="n">
        <x:f>M1270*(1-0.40)-N1270</x:f>
        <x:v>0.8555555555555554</x:v>
      </x:c>
      <x:c r="Q1270" s="9" t="n">
        <x:f>'Physical_Arcs'!T10</x:f>
        <x:v>1.0833333333333333</x:v>
      </x:c>
      <x:c r="R1270" s="9" t="n">
        <x:f>Q1270*'Parameters'!$C$18</x:f>
        <x:v>0.21666666666666667</x:v>
      </x:c>
      <x:c r="S1270" s="9" t="n">
        <x:f>R1270*'Parameters'!$C$19</x:f>
        <x:v>0.27083333333333337</x:v>
      </x:c>
      <x:c r="T1270" s="9" t="n">
        <x:f>Q1270*(1-0.40)-R1270</x:f>
        <x:v>0.43333333333333324</x:v>
      </x:c>
    </x:row>
    <x:row r="1271" ht="21" customHeight="1">
      <x:c r="A1271" s="3" t="n">
        <x:v>21</x:v>
      </x:c>
      <x:c r="B1271" s="3" t="str">
        <x:v>03:30</x:v>
      </x:c>
      <x:c r="C1271" s="3" t="n">
        <x:v>4</x:v>
      </x:c>
      <x:c r="D1271" s="3" t="n">
        <x:v>10</x:v>
      </x:c>
      <x:c r="E1271" s="3" t="n">
        <x:v>2</x:v>
      </x:c>
      <x:c r="F1271" s="3" t="n">
        <x:v>3</x:v>
      </x:c>
      <x:c r="G1271" s="9" t="n">
        <x:v>0.08</x:v>
      </x:c>
      <x:c r="H1271" s="9" t="n">
        <x:v>0.871154</x:v>
      </x:c>
      <x:c r="I1271" s="9" t="n">
        <x:f>'Physical_Arcs'!R11</x:f>
        <x:v>17.02777777777778</x:v>
      </x:c>
      <x:c r="J1271" s="9" t="n">
        <x:f>I1271*'Parameters'!$C$18</x:f>
        <x:v>3.405555555555556</x:v>
      </x:c>
      <x:c r="K1271" s="9" t="n">
        <x:f>J1271*'Parameters'!$C$19</x:f>
        <x:v>4.256944444444445</x:v>
      </x:c>
      <x:c r="L1271" s="9" t="n">
        <x:f>I1271*(1-0.40)-J1271</x:f>
        <x:v>6.811111111111111</x:v>
      </x:c>
      <x:c r="M1271" s="9" t="n">
        <x:f>'Physical_Arcs'!S11</x:f>
        <x:v>17.02777777777778</x:v>
      </x:c>
      <x:c r="N1271" s="9" t="n">
        <x:f>M1271*'Parameters'!$C$18</x:f>
        <x:v>3.405555555555556</x:v>
      </x:c>
      <x:c r="O1271" s="9" t="n">
        <x:f>N1271*'Parameters'!$C$19</x:f>
        <x:v>4.256944444444445</x:v>
      </x:c>
      <x:c r="P1271" s="9" t="n">
        <x:f>M1271*(1-0.40)-N1271</x:f>
        <x:v>6.811111111111111</x:v>
      </x:c>
      <x:c r="Q1271" s="9" t="n">
        <x:f>'Physical_Arcs'!T11</x:f>
        <x:v>17.02777777777778</x:v>
      </x:c>
      <x:c r="R1271" s="9" t="n">
        <x:f>Q1271*'Parameters'!$C$18</x:f>
        <x:v>3.405555555555556</x:v>
      </x:c>
      <x:c r="S1271" s="9" t="n">
        <x:f>R1271*'Parameters'!$C$19</x:f>
        <x:v>4.256944444444445</x:v>
      </x:c>
      <x:c r="T1271" s="9" t="n">
        <x:f>Q1271*(1-0.40)-R1271</x:f>
        <x:v>6.811111111111111</x:v>
      </x:c>
    </x:row>
    <x:row r="1272" ht="21" customHeight="1">
      <x:c r="A1272" s="3" t="n">
        <x:v>21</x:v>
      </x:c>
      <x:c r="B1272" s="3" t="str">
        <x:v>03:30</x:v>
      </x:c>
      <x:c r="C1272" s="3" t="n">
        <x:v>4</x:v>
      </x:c>
      <x:c r="D1272" s="3" t="n">
        <x:v>11</x:v>
      </x:c>
      <x:c r="E1272" s="3" t="n">
        <x:v>2</x:v>
      </x:c>
      <x:c r="F1272" s="3" t="n">
        <x:v>4</x:v>
      </x:c>
      <x:c r="G1272" s="9" t="n">
        <x:v>0.08</x:v>
      </x:c>
      <x:c r="H1272" s="9" t="n">
        <x:v>1.147412</x:v>
      </x:c>
      <x:c r="I1272" s="9" t="n">
        <x:f>'Physical_Arcs'!R12</x:f>
        <x:v>7.972222222222222</x:v>
      </x:c>
      <x:c r="J1272" s="9" t="n">
        <x:f>I1272*'Parameters'!$C$18</x:f>
        <x:v>1.5944444444444446</x:v>
      </x:c>
      <x:c r="K1272" s="9" t="n">
        <x:f>J1272*'Parameters'!$C$19</x:f>
        <x:v>1.9930555555555558</x:v>
      </x:c>
      <x:c r="L1272" s="9" t="n">
        <x:f>I1272*(1-0.40)-J1272</x:f>
        <x:v>3.1888888888888887</x:v>
      </x:c>
      <x:c r="M1272" s="9" t="n">
        <x:f>'Physical_Arcs'!S12</x:f>
        <x:v>7.972222222222222</x:v>
      </x:c>
      <x:c r="N1272" s="9" t="n">
        <x:f>M1272*'Parameters'!$C$18</x:f>
        <x:v>1.5944444444444446</x:v>
      </x:c>
      <x:c r="O1272" s="9" t="n">
        <x:f>N1272*'Parameters'!$C$19</x:f>
        <x:v>1.9930555555555558</x:v>
      </x:c>
      <x:c r="P1272" s="9" t="n">
        <x:f>M1272*(1-0.40)-N1272</x:f>
        <x:v>3.1888888888888887</x:v>
      </x:c>
      <x:c r="Q1272" s="9" t="n">
        <x:f>'Physical_Arcs'!T12</x:f>
        <x:v>4</x:v>
      </x:c>
      <x:c r="R1272" s="9" t="n">
        <x:f>Q1272*'Parameters'!$C$18</x:f>
        <x:v>0.8</x:v>
      </x:c>
      <x:c r="S1272" s="9" t="n">
        <x:f>R1272*'Parameters'!$C$19</x:f>
        <x:v>1</x:v>
      </x:c>
      <x:c r="T1272" s="9" t="n">
        <x:f>Q1272*(1-0.40)-R1272</x:f>
        <x:v>1.5999999999999999</x:v>
      </x:c>
    </x:row>
    <x:row r="1273" ht="21" customHeight="1">
      <x:c r="A1273" s="3" t="n">
        <x:v>21</x:v>
      </x:c>
      <x:c r="B1273" s="3" t="str">
        <x:v>03:30</x:v>
      </x:c>
      <x:c r="C1273" s="3" t="n">
        <x:v>4</x:v>
      </x:c>
      <x:c r="D1273" s="3" t="n">
        <x:v>12</x:v>
      </x:c>
      <x:c r="E1273" s="3" t="n">
        <x:v>2</x:v>
      </x:c>
      <x:c r="F1273" s="3" t="n">
        <x:v>7</x:v>
      </x:c>
      <x:c r="G1273" s="9" t="n">
        <x:v>0.08</x:v>
      </x:c>
      <x:c r="H1273" s="9" t="n">
        <x:v>0.96729</x:v>
      </x:c>
      <x:c r="I1273" s="9" t="n">
        <x:f>'Physical_Arcs'!R13</x:f>
        <x:v>4.611111111111111</x:v>
      </x:c>
      <x:c r="J1273" s="9" t="n">
        <x:f>I1273*'Parameters'!$C$18</x:f>
        <x:v>0.9222222222222222</x:v>
      </x:c>
      <x:c r="K1273" s="9" t="n">
        <x:f>J1273*'Parameters'!$C$19</x:f>
        <x:v>1.1527777777777777</x:v>
      </x:c>
      <x:c r="L1273" s="9" t="n">
        <x:f>I1273*(1-0.40)-J1273</x:f>
        <x:v>1.844444444444444</x:v>
      </x:c>
      <x:c r="M1273" s="9" t="n">
        <x:f>'Physical_Arcs'!S13</x:f>
        <x:v>4.611111111111111</x:v>
      </x:c>
      <x:c r="N1273" s="9" t="n">
        <x:f>M1273*'Parameters'!$C$18</x:f>
        <x:v>0.9222222222222222</x:v>
      </x:c>
      <x:c r="O1273" s="9" t="n">
        <x:f>N1273*'Parameters'!$C$19</x:f>
        <x:v>1.1527777777777777</x:v>
      </x:c>
      <x:c r="P1273" s="9" t="n">
        <x:f>M1273*(1-0.40)-N1273</x:f>
        <x:v>1.844444444444444</x:v>
      </x:c>
      <x:c r="Q1273" s="9" t="n">
        <x:f>'Physical_Arcs'!T13</x:f>
        <x:v>2.3055555555555554</x:v>
      </x:c>
      <x:c r="R1273" s="9" t="n">
        <x:f>Q1273*'Parameters'!$C$18</x:f>
        <x:v>0.4611111111111111</x:v>
      </x:c>
      <x:c r="S1273" s="9" t="n">
        <x:f>R1273*'Parameters'!$C$19</x:f>
        <x:v>0.5763888888888888</x:v>
      </x:c>
      <x:c r="T1273" s="9" t="n">
        <x:f>Q1273*(1-0.40)-R1273</x:f>
        <x:v>0.922222222222222</x:v>
      </x:c>
    </x:row>
    <x:row r="1274" ht="21" customHeight="1">
      <x:c r="A1274" s="3" t="n">
        <x:v>21</x:v>
      </x:c>
      <x:c r="B1274" s="3" t="str">
        <x:v>03:30</x:v>
      </x:c>
      <x:c r="C1274" s="3" t="n">
        <x:v>4</x:v>
      </x:c>
      <x:c r="D1274" s="3" t="n">
        <x:v>13</x:v>
      </x:c>
      <x:c r="E1274" s="3" t="n">
        <x:v>2</x:v>
      </x:c>
      <x:c r="F1274" s="3" t="n">
        <x:v>9</x:v>
      </x:c>
      <x:c r="G1274" s="9" t="n">
        <x:v>0.08</x:v>
      </x:c>
      <x:c r="H1274" s="9" t="n">
        <x:v>1.117625</x:v>
      </x:c>
      <x:c r="I1274" s="9" t="n">
        <x:f>'Physical_Arcs'!R14</x:f>
        <x:v>8.666666666666666</x:v>
      </x:c>
      <x:c r="J1274" s="9" t="n">
        <x:f>I1274*'Parameters'!$C$18</x:f>
        <x:v>1.7333333333333334</x:v>
      </x:c>
      <x:c r="K1274" s="9" t="n">
        <x:f>J1274*'Parameters'!$C$19</x:f>
        <x:v>2.166666666666667</x:v>
      </x:c>
      <x:c r="L1274" s="9" t="n">
        <x:f>I1274*(1-0.40)-J1274</x:f>
        <x:v>3.466666666666666</x:v>
      </x:c>
      <x:c r="M1274" s="9" t="n">
        <x:f>'Physical_Arcs'!S14</x:f>
        <x:v>8.666666666666666</x:v>
      </x:c>
      <x:c r="N1274" s="9" t="n">
        <x:f>M1274*'Parameters'!$C$18</x:f>
        <x:v>1.7333333333333334</x:v>
      </x:c>
      <x:c r="O1274" s="9" t="n">
        <x:f>N1274*'Parameters'!$C$19</x:f>
        <x:v>2.166666666666667</x:v>
      </x:c>
      <x:c r="P1274" s="9" t="n">
        <x:f>M1274*(1-0.40)-N1274</x:f>
        <x:v>3.466666666666666</x:v>
      </x:c>
      <x:c r="Q1274" s="9" t="n">
        <x:f>'Physical_Arcs'!T14</x:f>
        <x:v>4.333333333333333</x:v>
      </x:c>
      <x:c r="R1274" s="9" t="n">
        <x:f>Q1274*'Parameters'!$C$18</x:f>
        <x:v>0.8666666666666667</x:v>
      </x:c>
      <x:c r="S1274" s="9" t="n">
        <x:f>R1274*'Parameters'!$C$19</x:f>
        <x:v>1.0833333333333335</x:v>
      </x:c>
      <x:c r="T1274" s="9" t="n">
        <x:f>Q1274*(1-0.40)-R1274</x:f>
        <x:v>1.733333333333333</x:v>
      </x:c>
    </x:row>
    <x:row r="1275" ht="21" customHeight="1">
      <x:c r="A1275" s="3" t="n">
        <x:v>21</x:v>
      </x:c>
      <x:c r="B1275" s="3" t="str">
        <x:v>03:30</x:v>
      </x:c>
      <x:c r="C1275" s="3" t="n">
        <x:v>4</x:v>
      </x:c>
      <x:c r="D1275" s="3" t="n">
        <x:v>14</x:v>
      </x:c>
      <x:c r="E1275" s="3" t="n">
        <x:v>2</x:v>
      </x:c>
      <x:c r="F1275" s="3" t="n">
        <x:v>8</x:v>
      </x:c>
      <x:c r="G1275" s="9" t="n">
        <x:v>0.08</x:v>
      </x:c>
      <x:c r="H1275" s="9" t="n">
        <x:v>1.144902</x:v>
      </x:c>
      <x:c r="I1275" s="9" t="n">
        <x:f>'Physical_Arcs'!R15</x:f>
        <x:v>7.75</x:v>
      </x:c>
      <x:c r="J1275" s="9" t="n">
        <x:f>I1275*'Parameters'!$C$18</x:f>
        <x:v>1.55</x:v>
      </x:c>
      <x:c r="K1275" s="9" t="n">
        <x:f>J1275*'Parameters'!$C$19</x:f>
        <x:v>1.9375</x:v>
      </x:c>
      <x:c r="L1275" s="9" t="n">
        <x:f>I1275*(1-0.40)-J1275</x:f>
        <x:v>3.0999999999999996</x:v>
      </x:c>
      <x:c r="M1275" s="9" t="n">
        <x:f>'Physical_Arcs'!S15</x:f>
        <x:v>7.75</x:v>
      </x:c>
      <x:c r="N1275" s="9" t="n">
        <x:f>M1275*'Parameters'!$C$18</x:f>
        <x:v>1.55</x:v>
      </x:c>
      <x:c r="O1275" s="9" t="n">
        <x:f>N1275*'Parameters'!$C$19</x:f>
        <x:v>1.9375</x:v>
      </x:c>
      <x:c r="P1275" s="9" t="n">
        <x:f>M1275*(1-0.40)-N1275</x:f>
        <x:v>3.0999999999999996</x:v>
      </x:c>
      <x:c r="Q1275" s="9" t="n">
        <x:f>'Physical_Arcs'!T15</x:f>
        <x:v>3.888888888888889</x:v>
      </x:c>
      <x:c r="R1275" s="9" t="n">
        <x:f>Q1275*'Parameters'!$C$18</x:f>
        <x:v>0.7777777777777778</x:v>
      </x:c>
      <x:c r="S1275" s="9" t="n">
        <x:f>R1275*'Parameters'!$C$19</x:f>
        <x:v>0.9722222222222222</x:v>
      </x:c>
      <x:c r="T1275" s="9" t="n">
        <x:f>Q1275*(1-0.40)-R1275</x:f>
        <x:v>1.5555555555555554</x:v>
      </x:c>
    </x:row>
    <x:row r="1276" ht="21" customHeight="1">
      <x:c r="A1276" s="3" t="n">
        <x:v>21</x:v>
      </x:c>
      <x:c r="B1276" s="3" t="str">
        <x:v>03:30</x:v>
      </x:c>
      <x:c r="C1276" s="3" t="n">
        <x:v>4</x:v>
      </x:c>
      <x:c r="D1276" s="3" t="n">
        <x:v>15</x:v>
      </x:c>
      <x:c r="E1276" s="3" t="n">
        <x:v>2</x:v>
      </x:c>
      <x:c r="F1276" s="3" t="n">
        <x:v>10</x:v>
      </x:c>
      <x:c r="G1276" s="9" t="n">
        <x:v>0.08</x:v>
      </x:c>
      <x:c r="H1276" s="9" t="n">
        <x:v>1.146684</x:v>
      </x:c>
      <x:c r="I1276" s="9" t="n">
        <x:f>'Physical_Arcs'!R16</x:f>
        <x:v>7.416666666666667</x:v>
      </x:c>
      <x:c r="J1276" s="9" t="n">
        <x:f>I1276*'Parameters'!$C$18</x:f>
        <x:v>1.4833333333333334</x:v>
      </x:c>
      <x:c r="K1276" s="9" t="n">
        <x:f>J1276*'Parameters'!$C$19</x:f>
        <x:v>1.8541666666666667</x:v>
      </x:c>
      <x:c r="L1276" s="9" t="n">
        <x:f>I1276*(1-0.40)-J1276</x:f>
        <x:v>2.966666666666667</x:v>
      </x:c>
      <x:c r="M1276" s="9" t="n">
        <x:f>'Physical_Arcs'!S16</x:f>
        <x:v>7.416666666666667</x:v>
      </x:c>
      <x:c r="N1276" s="9" t="n">
        <x:f>M1276*'Parameters'!$C$18</x:f>
        <x:v>1.4833333333333334</x:v>
      </x:c>
      <x:c r="O1276" s="9" t="n">
        <x:f>N1276*'Parameters'!$C$19</x:f>
        <x:v>1.8541666666666667</x:v>
      </x:c>
      <x:c r="P1276" s="9" t="n">
        <x:f>M1276*(1-0.40)-N1276</x:f>
        <x:v>2.966666666666667</x:v>
      </x:c>
      <x:c r="Q1276" s="9" t="n">
        <x:f>'Physical_Arcs'!T16</x:f>
        <x:v>3.7222222222222223</x:v>
      </x:c>
      <x:c r="R1276" s="9" t="n">
        <x:f>Q1276*'Parameters'!$C$18</x:f>
        <x:v>0.7444444444444445</x:v>
      </x:c>
      <x:c r="S1276" s="9" t="n">
        <x:f>R1276*'Parameters'!$C$19</x:f>
        <x:v>0.9305555555555556</x:v>
      </x:c>
      <x:c r="T1276" s="9" t="n">
        <x:f>Q1276*(1-0.40)-R1276</x:f>
        <x:v>1.488888888888889</x:v>
      </x:c>
    </x:row>
    <x:row r="1277" ht="21" customHeight="1">
      <x:c r="A1277" s="3" t="n">
        <x:v>21</x:v>
      </x:c>
      <x:c r="B1277" s="3" t="str">
        <x:v>03:30</x:v>
      </x:c>
      <x:c r="C1277" s="3" t="n">
        <x:v>4</x:v>
      </x:c>
      <x:c r="D1277" s="3" t="n">
        <x:v>16</x:v>
      </x:c>
      <x:c r="E1277" s="3" t="n">
        <x:v>3</x:v>
      </x:c>
      <x:c r="F1277" s="3" t="n">
        <x:v>4</x:v>
      </x:c>
      <x:c r="G1277" s="9" t="n">
        <x:v>0.08</x:v>
      </x:c>
      <x:c r="H1277" s="9" t="n">
        <x:v>1.017658</x:v>
      </x:c>
      <x:c r="I1277" s="9" t="n">
        <x:f>'Physical_Arcs'!R17</x:f>
        <x:v>17.02777777777778</x:v>
      </x:c>
      <x:c r="J1277" s="9" t="n">
        <x:f>I1277*'Parameters'!$C$18</x:f>
        <x:v>3.405555555555556</x:v>
      </x:c>
      <x:c r="K1277" s="9" t="n">
        <x:f>J1277*'Parameters'!$C$19</x:f>
        <x:v>4.256944444444445</x:v>
      </x:c>
      <x:c r="L1277" s="9" t="n">
        <x:f>I1277*(1-0.40)-J1277</x:f>
        <x:v>6.811111111111111</x:v>
      </x:c>
      <x:c r="M1277" s="9" t="n">
        <x:f>'Physical_Arcs'!S17</x:f>
        <x:v>17.02777777777778</x:v>
      </x:c>
      <x:c r="N1277" s="9" t="n">
        <x:f>M1277*'Parameters'!$C$18</x:f>
        <x:v>3.405555555555556</x:v>
      </x:c>
      <x:c r="O1277" s="9" t="n">
        <x:f>N1277*'Parameters'!$C$19</x:f>
        <x:v>4.256944444444445</x:v>
      </x:c>
      <x:c r="P1277" s="9" t="n">
        <x:f>M1277*(1-0.40)-N1277</x:f>
        <x:v>6.811111111111111</x:v>
      </x:c>
      <x:c r="Q1277" s="9" t="n">
        <x:f>'Physical_Arcs'!T17</x:f>
        <x:v>17.02777777777778</x:v>
      </x:c>
      <x:c r="R1277" s="9" t="n">
        <x:f>Q1277*'Parameters'!$C$18</x:f>
        <x:v>3.405555555555556</x:v>
      </x:c>
      <x:c r="S1277" s="9" t="n">
        <x:f>R1277*'Parameters'!$C$19</x:f>
        <x:v>4.256944444444445</x:v>
      </x:c>
      <x:c r="T1277" s="9" t="n">
        <x:f>Q1277*(1-0.40)-R1277</x:f>
        <x:v>6.811111111111111</x:v>
      </x:c>
    </x:row>
    <x:row r="1278" ht="21" customHeight="1">
      <x:c r="A1278" s="3" t="n">
        <x:v>21</x:v>
      </x:c>
      <x:c r="B1278" s="3" t="str">
        <x:v>03:30</x:v>
      </x:c>
      <x:c r="C1278" s="3" t="n">
        <x:v>4</x:v>
      </x:c>
      <x:c r="D1278" s="3" t="n">
        <x:v>17</x:v>
      </x:c>
      <x:c r="E1278" s="3" t="n">
        <x:v>3</x:v>
      </x:c>
      <x:c r="F1278" s="3" t="n">
        <x:v>2</x:v>
      </x:c>
      <x:c r="G1278" s="9" t="n">
        <x:v>0.08</x:v>
      </x:c>
      <x:c r="H1278" s="9" t="n">
        <x:v>0.875995</x:v>
      </x:c>
      <x:c r="I1278" s="9" t="n">
        <x:f>'Physical_Arcs'!R18</x:f>
        <x:v>10.666666666666666</x:v>
      </x:c>
      <x:c r="J1278" s="9" t="n">
        <x:f>I1278*'Parameters'!$C$18</x:f>
        <x:v>2.1333333333333333</x:v>
      </x:c>
      <x:c r="K1278" s="9" t="n">
        <x:f>J1278*'Parameters'!$C$19</x:f>
        <x:v>2.6666666666666665</x:v>
      </x:c>
      <x:c r="L1278" s="9" t="n">
        <x:f>I1278*(1-0.40)-J1278</x:f>
        <x:v>4.266666666666666</x:v>
      </x:c>
      <x:c r="M1278" s="9" t="n">
        <x:f>'Physical_Arcs'!S18</x:f>
        <x:v>10.666666666666666</x:v>
      </x:c>
      <x:c r="N1278" s="9" t="n">
        <x:f>M1278*'Parameters'!$C$18</x:f>
        <x:v>2.1333333333333333</x:v>
      </x:c>
      <x:c r="O1278" s="9" t="n">
        <x:f>N1278*'Parameters'!$C$19</x:f>
        <x:v>2.6666666666666665</x:v>
      </x:c>
      <x:c r="P1278" s="9" t="n">
        <x:f>M1278*(1-0.40)-N1278</x:f>
        <x:v>4.266666666666666</x:v>
      </x:c>
      <x:c r="Q1278" s="9" t="n">
        <x:f>'Physical_Arcs'!T18</x:f>
        <x:v>5.333333333333333</x:v>
      </x:c>
      <x:c r="R1278" s="9" t="n">
        <x:f>Q1278*'Parameters'!$C$18</x:f>
        <x:v>1.0666666666666667</x:v>
      </x:c>
      <x:c r="S1278" s="9" t="n">
        <x:f>R1278*'Parameters'!$C$19</x:f>
        <x:v>1.3333333333333333</x:v>
      </x:c>
      <x:c r="T1278" s="9" t="n">
        <x:f>Q1278*(1-0.40)-R1278</x:f>
        <x:v>2.133333333333333</x:v>
      </x:c>
    </x:row>
    <x:row r="1279" ht="21" customHeight="1">
      <x:c r="A1279" s="3" t="n">
        <x:v>21</x:v>
      </x:c>
      <x:c r="B1279" s="3" t="str">
        <x:v>03:30</x:v>
      </x:c>
      <x:c r="C1279" s="3" t="n">
        <x:v>4</x:v>
      </x:c>
      <x:c r="D1279" s="3" t="n">
        <x:v>18</x:v>
      </x:c>
      <x:c r="E1279" s="3" t="n">
        <x:v>3</x:v>
      </x:c>
      <x:c r="F1279" s="3" t="n">
        <x:v>1</x:v>
      </x:c>
      <x:c r="G1279" s="9" t="n">
        <x:v>0.08</x:v>
      </x:c>
      <x:c r="H1279" s="9" t="n">
        <x:v>1.015397</x:v>
      </x:c>
      <x:c r="I1279" s="9" t="n">
        <x:f>'Physical_Arcs'!R19</x:f>
        <x:v>5.166666666666667</x:v>
      </x:c>
      <x:c r="J1279" s="9" t="n">
        <x:f>I1279*'Parameters'!$C$18</x:f>
        <x:v>1.0333333333333334</x:v>
      </x:c>
      <x:c r="K1279" s="9" t="n">
        <x:f>J1279*'Parameters'!$C$19</x:f>
        <x:v>1.2916666666666667</x:v>
      </x:c>
      <x:c r="L1279" s="9" t="n">
        <x:f>I1279*(1-0.40)-J1279</x:f>
        <x:v>2.0666666666666664</x:v>
      </x:c>
      <x:c r="M1279" s="9" t="n">
        <x:f>'Physical_Arcs'!S19</x:f>
        <x:v>5.166666666666667</x:v>
      </x:c>
      <x:c r="N1279" s="9" t="n">
        <x:f>M1279*'Parameters'!$C$18</x:f>
        <x:v>1.0333333333333334</x:v>
      </x:c>
      <x:c r="O1279" s="9" t="n">
        <x:f>N1279*'Parameters'!$C$19</x:f>
        <x:v>1.2916666666666667</x:v>
      </x:c>
      <x:c r="P1279" s="9" t="n">
        <x:f>M1279*(1-0.40)-N1279</x:f>
        <x:v>2.0666666666666664</x:v>
      </x:c>
      <x:c r="Q1279" s="9" t="n">
        <x:f>'Physical_Arcs'!T19</x:f>
        <x:v>2.5833333333333335</x:v>
      </x:c>
      <x:c r="R1279" s="9" t="n">
        <x:f>Q1279*'Parameters'!$C$18</x:f>
        <x:v>0.5166666666666667</x:v>
      </x:c>
      <x:c r="S1279" s="9" t="n">
        <x:f>R1279*'Parameters'!$C$19</x:f>
        <x:v>0.6458333333333334</x:v>
      </x:c>
      <x:c r="T1279" s="9" t="n">
        <x:f>Q1279*(1-0.40)-R1279</x:f>
        <x:v>1.0333333333333332</x:v>
      </x:c>
    </x:row>
    <x:row r="1280" ht="21" customHeight="1">
      <x:c r="A1280" s="3" t="n">
        <x:v>21</x:v>
      </x:c>
      <x:c r="B1280" s="3" t="str">
        <x:v>03:30</x:v>
      </x:c>
      <x:c r="C1280" s="3" t="n">
        <x:v>4</x:v>
      </x:c>
      <x:c r="D1280" s="3" t="n">
        <x:v>19</x:v>
      </x:c>
      <x:c r="E1280" s="3" t="n">
        <x:v>3</x:v>
      </x:c>
      <x:c r="F1280" s="3" t="n">
        <x:v>7</x:v>
      </x:c>
      <x:c r="G1280" s="9" t="n">
        <x:v>0.08</x:v>
      </x:c>
      <x:c r="H1280" s="9" t="n">
        <x:v>0.996008</x:v>
      </x:c>
      <x:c r="I1280" s="9" t="n">
        <x:f>'Physical_Arcs'!R20</x:f>
        <x:v>5.75</x:v>
      </x:c>
      <x:c r="J1280" s="9" t="n">
        <x:f>I1280*'Parameters'!$C$18</x:f>
        <x:v>1.1500000000000001</x:v>
      </x:c>
      <x:c r="K1280" s="9" t="n">
        <x:f>J1280*'Parameters'!$C$19</x:f>
        <x:v>1.4375000000000002</x:v>
      </x:c>
      <x:c r="L1280" s="9" t="n">
        <x:f>I1280*(1-0.40)-J1280</x:f>
        <x:v>2.3</x:v>
      </x:c>
      <x:c r="M1280" s="9" t="n">
        <x:f>'Physical_Arcs'!S20</x:f>
        <x:v>5.75</x:v>
      </x:c>
      <x:c r="N1280" s="9" t="n">
        <x:f>M1280*'Parameters'!$C$18</x:f>
        <x:v>1.1500000000000001</x:v>
      </x:c>
      <x:c r="O1280" s="9" t="n">
        <x:f>N1280*'Parameters'!$C$19</x:f>
        <x:v>1.4375000000000002</x:v>
      </x:c>
      <x:c r="P1280" s="9" t="n">
        <x:f>M1280*(1-0.40)-N1280</x:f>
        <x:v>2.3</x:v>
      </x:c>
      <x:c r="Q1280" s="9" t="n">
        <x:f>'Physical_Arcs'!T20</x:f>
        <x:v>2.888888888888889</x:v>
      </x:c>
      <x:c r="R1280" s="9" t="n">
        <x:f>Q1280*'Parameters'!$C$18</x:f>
        <x:v>0.5777777777777778</x:v>
      </x:c>
      <x:c r="S1280" s="9" t="n">
        <x:f>R1280*'Parameters'!$C$19</x:f>
        <x:v>0.7222222222222223</x:v>
      </x:c>
      <x:c r="T1280" s="9" t="n">
        <x:f>Q1280*(1-0.40)-R1280</x:f>
        <x:v>1.1555555555555554</x:v>
      </x:c>
    </x:row>
    <x:row r="1281" ht="21" customHeight="1">
      <x:c r="A1281" s="3" t="n">
        <x:v>21</x:v>
      </x:c>
      <x:c r="B1281" s="3" t="str">
        <x:v>03:30</x:v>
      </x:c>
      <x:c r="C1281" s="3" t="n">
        <x:v>4</x:v>
      </x:c>
      <x:c r="D1281" s="3" t="n">
        <x:v>20</x:v>
      </x:c>
      <x:c r="E1281" s="3" t="n">
        <x:v>3</x:v>
      </x:c>
      <x:c r="F1281" s="3" t="n">
        <x:v>10</x:v>
      </x:c>
      <x:c r="G1281" s="9" t="n">
        <x:v>0.08</x:v>
      </x:c>
      <x:c r="H1281" s="9" t="n">
        <x:v>1.118855</x:v>
      </x:c>
      <x:c r="I1281" s="9" t="n">
        <x:f>'Physical_Arcs'!R21</x:f>
        <x:v>5.166666666666667</x:v>
      </x:c>
      <x:c r="J1281" s="9" t="n">
        <x:f>I1281*'Parameters'!$C$18</x:f>
        <x:v>1.0333333333333334</x:v>
      </x:c>
      <x:c r="K1281" s="9" t="n">
        <x:f>J1281*'Parameters'!$C$19</x:f>
        <x:v>1.2916666666666667</x:v>
      </x:c>
      <x:c r="L1281" s="9" t="n">
        <x:f>I1281*(1-0.40)-J1281</x:f>
        <x:v>2.0666666666666664</x:v>
      </x:c>
      <x:c r="M1281" s="9" t="n">
        <x:f>'Physical_Arcs'!S21</x:f>
        <x:v>5.166666666666667</x:v>
      </x:c>
      <x:c r="N1281" s="9" t="n">
        <x:f>M1281*'Parameters'!$C$18</x:f>
        <x:v>1.0333333333333334</x:v>
      </x:c>
      <x:c r="O1281" s="9" t="n">
        <x:f>N1281*'Parameters'!$C$19</x:f>
        <x:v>1.2916666666666667</x:v>
      </x:c>
      <x:c r="P1281" s="9" t="n">
        <x:f>M1281*(1-0.40)-N1281</x:f>
        <x:v>2.0666666666666664</x:v>
      </x:c>
      <x:c r="Q1281" s="9" t="n">
        <x:f>'Physical_Arcs'!T21</x:f>
        <x:v>2.5833333333333335</x:v>
      </x:c>
      <x:c r="R1281" s="9" t="n">
        <x:f>Q1281*'Parameters'!$C$18</x:f>
        <x:v>0.5166666666666667</x:v>
      </x:c>
      <x:c r="S1281" s="9" t="n">
        <x:f>R1281*'Parameters'!$C$19</x:f>
        <x:v>0.6458333333333334</x:v>
      </x:c>
      <x:c r="T1281" s="9" t="n">
        <x:f>Q1281*(1-0.40)-R1281</x:f>
        <x:v>1.0333333333333332</x:v>
      </x:c>
    </x:row>
    <x:row r="1282" ht="21" customHeight="1">
      <x:c r="A1282" s="3" t="n">
        <x:v>21</x:v>
      </x:c>
      <x:c r="B1282" s="3" t="str">
        <x:v>03:30</x:v>
      </x:c>
      <x:c r="C1282" s="3" t="n">
        <x:v>4</x:v>
      </x:c>
      <x:c r="D1282" s="3" t="n">
        <x:v>21</x:v>
      </x:c>
      <x:c r="E1282" s="3" t="n">
        <x:v>3</x:v>
      </x:c>
      <x:c r="F1282" s="3" t="n">
        <x:v>9</x:v>
      </x:c>
      <x:c r="G1282" s="9" t="n">
        <x:v>0.08</x:v>
      </x:c>
      <x:c r="H1282" s="9" t="n">
        <x:v>0.947299</x:v>
      </x:c>
      <x:c r="I1282" s="9" t="n">
        <x:f>'Physical_Arcs'!R22</x:f>
        <x:v>9.333333333333334</x:v>
      </x:c>
      <x:c r="J1282" s="9" t="n">
        <x:f>I1282*'Parameters'!$C$18</x:f>
        <x:v>1.866666666666667</x:v>
      </x:c>
      <x:c r="K1282" s="9" t="n">
        <x:f>J1282*'Parameters'!$C$19</x:f>
        <x:v>2.3333333333333335</x:v>
      </x:c>
      <x:c r="L1282" s="9" t="n">
        <x:f>I1282*(1-0.40)-J1282</x:f>
        <x:v>3.7333333333333334</x:v>
      </x:c>
      <x:c r="M1282" s="9" t="n">
        <x:f>'Physical_Arcs'!S22</x:f>
        <x:v>9.333333333333334</x:v>
      </x:c>
      <x:c r="N1282" s="9" t="n">
        <x:f>M1282*'Parameters'!$C$18</x:f>
        <x:v>1.866666666666667</x:v>
      </x:c>
      <x:c r="O1282" s="9" t="n">
        <x:f>N1282*'Parameters'!$C$19</x:f>
        <x:v>2.3333333333333335</x:v>
      </x:c>
      <x:c r="P1282" s="9" t="n">
        <x:f>M1282*(1-0.40)-N1282</x:f>
        <x:v>3.7333333333333334</x:v>
      </x:c>
      <x:c r="Q1282" s="9" t="n">
        <x:f>'Physical_Arcs'!T22</x:f>
        <x:v>4.666666666666667</x:v>
      </x:c>
      <x:c r="R1282" s="9" t="n">
        <x:f>Q1282*'Parameters'!$C$18</x:f>
        <x:v>0.9333333333333335</x:v>
      </x:c>
      <x:c r="S1282" s="9" t="n">
        <x:f>R1282*'Parameters'!$C$19</x:f>
        <x:v>1.1666666666666667</x:v>
      </x:c>
      <x:c r="T1282" s="9" t="n">
        <x:f>Q1282*(1-0.40)-R1282</x:f>
        <x:v>1.8666666666666667</x:v>
      </x:c>
    </x:row>
    <x:row r="1283" ht="21" customHeight="1">
      <x:c r="A1283" s="3" t="n">
        <x:v>21</x:v>
      </x:c>
      <x:c r="B1283" s="3" t="str">
        <x:v>03:30</x:v>
      </x:c>
      <x:c r="C1283" s="3" t="n">
        <x:v>4</x:v>
      </x:c>
      <x:c r="D1283" s="3" t="n">
        <x:v>22</x:v>
      </x:c>
      <x:c r="E1283" s="3" t="n">
        <x:v>4</x:v>
      </x:c>
      <x:c r="F1283" s="3" t="n">
        <x:v>5</x:v>
      </x:c>
      <x:c r="G1283" s="9" t="n">
        <x:v>0.08</x:v>
      </x:c>
      <x:c r="H1283" s="9" t="n">
        <x:v>0.958485</x:v>
      </x:c>
      <x:c r="I1283" s="9" t="n">
        <x:f>'Physical_Arcs'!R23</x:f>
        <x:v>17.02777777777778</x:v>
      </x:c>
      <x:c r="J1283" s="9" t="n">
        <x:f>I1283*'Parameters'!$C$18</x:f>
        <x:v>3.405555555555556</x:v>
      </x:c>
      <x:c r="K1283" s="9" t="n">
        <x:f>J1283*'Parameters'!$C$19</x:f>
        <x:v>4.256944444444445</x:v>
      </x:c>
      <x:c r="L1283" s="9" t="n">
        <x:f>I1283*(1-0.40)-J1283</x:f>
        <x:v>6.811111111111111</x:v>
      </x:c>
      <x:c r="M1283" s="9" t="n">
        <x:f>'Physical_Arcs'!S23</x:f>
        <x:v>17.02777777777778</x:v>
      </x:c>
      <x:c r="N1283" s="9" t="n">
        <x:f>M1283*'Parameters'!$C$18</x:f>
        <x:v>3.405555555555556</x:v>
      </x:c>
      <x:c r="O1283" s="9" t="n">
        <x:f>N1283*'Parameters'!$C$19</x:f>
        <x:v>4.256944444444445</x:v>
      </x:c>
      <x:c r="P1283" s="9" t="n">
        <x:f>M1283*(1-0.40)-N1283</x:f>
        <x:v>6.811111111111111</x:v>
      </x:c>
      <x:c r="Q1283" s="9" t="n">
        <x:f>'Physical_Arcs'!T23</x:f>
        <x:v>17.02777777777778</x:v>
      </x:c>
      <x:c r="R1283" s="9" t="n">
        <x:f>Q1283*'Parameters'!$C$18</x:f>
        <x:v>3.405555555555556</x:v>
      </x:c>
      <x:c r="S1283" s="9" t="n">
        <x:f>R1283*'Parameters'!$C$19</x:f>
        <x:v>4.256944444444445</x:v>
      </x:c>
      <x:c r="T1283" s="9" t="n">
        <x:f>Q1283*(1-0.40)-R1283</x:f>
        <x:v>6.811111111111111</x:v>
      </x:c>
    </x:row>
    <x:row r="1284" ht="21" customHeight="1">
      <x:c r="A1284" s="3" t="n">
        <x:v>21</x:v>
      </x:c>
      <x:c r="B1284" s="3" t="str">
        <x:v>03:30</x:v>
      </x:c>
      <x:c r="C1284" s="3" t="n">
        <x:v>4</x:v>
      </x:c>
      <x:c r="D1284" s="3" t="n">
        <x:v>23</x:v>
      </x:c>
      <x:c r="E1284" s="3" t="n">
        <x:v>4</x:v>
      </x:c>
      <x:c r="F1284" s="3" t="n">
        <x:v>3</x:v>
      </x:c>
      <x:c r="G1284" s="9" t="n">
        <x:v>0.08</x:v>
      </x:c>
      <x:c r="H1284" s="9" t="n">
        <x:v>0.944916</x:v>
      </x:c>
      <x:c r="I1284" s="9" t="n">
        <x:f>'Physical_Arcs'!R24</x:f>
        <x:v>9.333333333333334</x:v>
      </x:c>
      <x:c r="J1284" s="9" t="n">
        <x:f>I1284*'Parameters'!$C$18</x:f>
        <x:v>1.866666666666667</x:v>
      </x:c>
      <x:c r="K1284" s="9" t="n">
        <x:f>J1284*'Parameters'!$C$19</x:f>
        <x:v>2.3333333333333335</x:v>
      </x:c>
      <x:c r="L1284" s="9" t="n">
        <x:f>I1284*(1-0.40)-J1284</x:f>
        <x:v>3.7333333333333334</x:v>
      </x:c>
      <x:c r="M1284" s="9" t="n">
        <x:f>'Physical_Arcs'!S24</x:f>
        <x:v>9.333333333333334</x:v>
      </x:c>
      <x:c r="N1284" s="9" t="n">
        <x:f>M1284*'Parameters'!$C$18</x:f>
        <x:v>1.866666666666667</x:v>
      </x:c>
      <x:c r="O1284" s="9" t="n">
        <x:f>N1284*'Parameters'!$C$19</x:f>
        <x:v>2.3333333333333335</x:v>
      </x:c>
      <x:c r="P1284" s="9" t="n">
        <x:f>M1284*(1-0.40)-N1284</x:f>
        <x:v>3.7333333333333334</x:v>
      </x:c>
      <x:c r="Q1284" s="9" t="n">
        <x:f>'Physical_Arcs'!T24</x:f>
        <x:v>4.666666666666667</x:v>
      </x:c>
      <x:c r="R1284" s="9" t="n">
        <x:f>Q1284*'Parameters'!$C$18</x:f>
        <x:v>0.9333333333333335</x:v>
      </x:c>
      <x:c r="S1284" s="9" t="n">
        <x:f>R1284*'Parameters'!$C$19</x:f>
        <x:v>1.1666666666666667</x:v>
      </x:c>
      <x:c r="T1284" s="9" t="n">
        <x:f>Q1284*(1-0.40)-R1284</x:f>
        <x:v>1.8666666666666667</x:v>
      </x:c>
    </x:row>
    <x:row r="1285" ht="21" customHeight="1">
      <x:c r="A1285" s="3" t="n">
        <x:v>21</x:v>
      </x:c>
      <x:c r="B1285" s="3" t="str">
        <x:v>03:30</x:v>
      </x:c>
      <x:c r="C1285" s="3" t="n">
        <x:v>4</x:v>
      </x:c>
      <x:c r="D1285" s="3" t="n">
        <x:v>24</x:v>
      </x:c>
      <x:c r="E1285" s="3" t="n">
        <x:v>4</x:v>
      </x:c>
      <x:c r="F1285" s="3" t="n">
        <x:v>10</x:v>
      </x:c>
      <x:c r="G1285" s="9" t="n">
        <x:v>0.08</x:v>
      </x:c>
      <x:c r="H1285" s="9" t="n">
        <x:v>0.875461</x:v>
      </x:c>
      <x:c r="I1285" s="9" t="n">
        <x:f>'Physical_Arcs'!R25</x:f>
        <x:v>7.194444444444445</x:v>
      </x:c>
      <x:c r="J1285" s="9" t="n">
        <x:f>I1285*'Parameters'!$C$18</x:f>
        <x:v>1.438888888888889</x:v>
      </x:c>
      <x:c r="K1285" s="9" t="n">
        <x:f>J1285*'Parameters'!$C$19</x:f>
        <x:v>1.7986111111111114</x:v>
      </x:c>
      <x:c r="L1285" s="9" t="n">
        <x:f>I1285*(1-0.40)-J1285</x:f>
        <x:v>2.8777777777777773</x:v>
      </x:c>
      <x:c r="M1285" s="9" t="n">
        <x:f>'Physical_Arcs'!S25</x:f>
        <x:v>7.194444444444445</x:v>
      </x:c>
      <x:c r="N1285" s="9" t="n">
        <x:f>M1285*'Parameters'!$C$18</x:f>
        <x:v>1.438888888888889</x:v>
      </x:c>
      <x:c r="O1285" s="9" t="n">
        <x:f>N1285*'Parameters'!$C$19</x:f>
        <x:v>1.7986111111111114</x:v>
      </x:c>
      <x:c r="P1285" s="9" t="n">
        <x:f>M1285*(1-0.40)-N1285</x:f>
        <x:v>2.8777777777777773</x:v>
      </x:c>
      <x:c r="Q1285" s="9" t="n">
        <x:f>'Physical_Arcs'!T25</x:f>
        <x:v>3.611111111111111</x:v>
      </x:c>
      <x:c r="R1285" s="9" t="n">
        <x:f>Q1285*'Parameters'!$C$18</x:f>
        <x:v>0.7222222222222223</x:v>
      </x:c>
      <x:c r="S1285" s="9" t="n">
        <x:f>R1285*'Parameters'!$C$19</x:f>
        <x:v>0.9027777777777779</x:v>
      </x:c>
      <x:c r="T1285" s="9" t="n">
        <x:f>Q1285*(1-0.40)-R1285</x:f>
        <x:v>1.4444444444444442</x:v>
      </x:c>
    </x:row>
    <x:row r="1286" ht="21" customHeight="1">
      <x:c r="A1286" s="3" t="n">
        <x:v>21</x:v>
      </x:c>
      <x:c r="B1286" s="3" t="str">
        <x:v>03:30</x:v>
      </x:c>
      <x:c r="C1286" s="3" t="n">
        <x:v>4</x:v>
      </x:c>
      <x:c r="D1286" s="3" t="n">
        <x:v>25</x:v>
      </x:c>
      <x:c r="E1286" s="3" t="n">
        <x:v>4</x:v>
      </x:c>
      <x:c r="F1286" s="3" t="n">
        <x:v>8</x:v>
      </x:c>
      <x:c r="G1286" s="9" t="n">
        <x:v>0.08</x:v>
      </x:c>
      <x:c r="H1286" s="9" t="n">
        <x:v>0.993326</x:v>
      </x:c>
      <x:c r="I1286" s="9" t="n">
        <x:f>'Physical_Arcs'!R26</x:f>
        <x:v>5.277777777777778</x:v>
      </x:c>
      <x:c r="J1286" s="9" t="n">
        <x:f>I1286*'Parameters'!$C$18</x:f>
        <x:v>1.0555555555555556</x:v>
      </x:c>
      <x:c r="K1286" s="9" t="n">
        <x:f>J1286*'Parameters'!$C$19</x:f>
        <x:v>1.3194444444444444</x:v>
      </x:c>
      <x:c r="L1286" s="9" t="n">
        <x:f>I1286*(1-0.40)-J1286</x:f>
        <x:v>2.1111111111111107</x:v>
      </x:c>
      <x:c r="M1286" s="9" t="n">
        <x:f>'Physical_Arcs'!S26</x:f>
        <x:v>5.277777777777778</x:v>
      </x:c>
      <x:c r="N1286" s="9" t="n">
        <x:f>M1286*'Parameters'!$C$18</x:f>
        <x:v>1.0555555555555556</x:v>
      </x:c>
      <x:c r="O1286" s="9" t="n">
        <x:f>N1286*'Parameters'!$C$19</x:f>
        <x:v>1.3194444444444444</x:v>
      </x:c>
      <x:c r="P1286" s="9" t="n">
        <x:f>M1286*(1-0.40)-N1286</x:f>
        <x:v>2.1111111111111107</x:v>
      </x:c>
      <x:c r="Q1286" s="9" t="n">
        <x:f>'Physical_Arcs'!T26</x:f>
        <x:v>2.638888888888889</x:v>
      </x:c>
      <x:c r="R1286" s="9" t="n">
        <x:f>Q1286*'Parameters'!$C$18</x:f>
        <x:v>0.5277777777777778</x:v>
      </x:c>
      <x:c r="S1286" s="9" t="n">
        <x:f>R1286*'Parameters'!$C$19</x:f>
        <x:v>0.6597222222222222</x:v>
      </x:c>
      <x:c r="T1286" s="9" t="n">
        <x:f>Q1286*(1-0.40)-R1286</x:f>
        <x:v>1.0555555555555554</x:v>
      </x:c>
    </x:row>
    <x:row r="1287" ht="21" customHeight="1">
      <x:c r="A1287" s="3" t="n">
        <x:v>21</x:v>
      </x:c>
      <x:c r="B1287" s="3" t="str">
        <x:v>03:30</x:v>
      </x:c>
      <x:c r="C1287" s="3" t="n">
        <x:v>4</x:v>
      </x:c>
      <x:c r="D1287" s="3" t="n">
        <x:v>26</x:v>
      </x:c>
      <x:c r="E1287" s="3" t="n">
        <x:v>4</x:v>
      </x:c>
      <x:c r="F1287" s="3" t="n">
        <x:v>7</x:v>
      </x:c>
      <x:c r="G1287" s="9" t="n">
        <x:v>0.08</x:v>
      </x:c>
      <x:c r="H1287" s="9" t="n">
        <x:v>1.099203</x:v>
      </x:c>
      <x:c r="I1287" s="9" t="n">
        <x:f>'Physical_Arcs'!R27</x:f>
        <x:v>6.527777777777778</x:v>
      </x:c>
      <x:c r="J1287" s="9" t="n">
        <x:f>I1287*'Parameters'!$C$18</x:f>
        <x:v>1.3055555555555556</x:v>
      </x:c>
      <x:c r="K1287" s="9" t="n">
        <x:f>J1287*'Parameters'!$C$19</x:f>
        <x:v>1.6319444444444444</x:v>
      </x:c>
      <x:c r="L1287" s="9" t="n">
        <x:f>I1287*(1-0.40)-J1287</x:f>
        <x:v>2.6111111111111107</x:v>
      </x:c>
      <x:c r="M1287" s="9" t="n">
        <x:f>'Physical_Arcs'!S27</x:f>
        <x:v>6.527777777777778</x:v>
      </x:c>
      <x:c r="N1287" s="9" t="n">
        <x:f>M1287*'Parameters'!$C$18</x:f>
        <x:v>1.3055555555555556</x:v>
      </x:c>
      <x:c r="O1287" s="9" t="n">
        <x:f>N1287*'Parameters'!$C$19</x:f>
        <x:v>1.6319444444444444</x:v>
      </x:c>
      <x:c r="P1287" s="9" t="n">
        <x:f>M1287*(1-0.40)-N1287</x:f>
        <x:v>2.6111111111111107</x:v>
      </x:c>
      <x:c r="Q1287" s="9" t="n">
        <x:f>'Physical_Arcs'!T27</x:f>
        <x:v>3.2777777777777777</x:v>
      </x:c>
      <x:c r="R1287" s="9" t="n">
        <x:f>Q1287*'Parameters'!$C$18</x:f>
        <x:v>0.6555555555555556</x:v>
      </x:c>
      <x:c r="S1287" s="9" t="n">
        <x:f>R1287*'Parameters'!$C$19</x:f>
        <x:v>0.8194444444444444</x:v>
      </x:c>
      <x:c r="T1287" s="9" t="n">
        <x:f>Q1287*(1-0.40)-R1287</x:f>
        <x:v>1.311111111111111</x:v>
      </x:c>
    </x:row>
    <x:row r="1288" ht="21" customHeight="1">
      <x:c r="A1288" s="3" t="n">
        <x:v>21</x:v>
      </x:c>
      <x:c r="B1288" s="3" t="str">
        <x:v>03:30</x:v>
      </x:c>
      <x:c r="C1288" s="3" t="n">
        <x:v>4</x:v>
      </x:c>
      <x:c r="D1288" s="3" t="n">
        <x:v>27</x:v>
      </x:c>
      <x:c r="E1288" s="3" t="n">
        <x:v>4</x:v>
      </x:c>
      <x:c r="F1288" s="3" t="n">
        <x:v>2</x:v>
      </x:c>
      <x:c r="G1288" s="9" t="n">
        <x:v>0.08</x:v>
      </x:c>
      <x:c r="H1288" s="9" t="n">
        <x:v>0.861111</x:v>
      </x:c>
      <x:c r="I1288" s="9" t="n">
        <x:f>'Physical_Arcs'!R28</x:f>
        <x:v>4.944444444444445</x:v>
      </x:c>
      <x:c r="J1288" s="9" t="n">
        <x:f>I1288*'Parameters'!$C$18</x:f>
        <x:v>0.9888888888888889</x:v>
      </x:c>
      <x:c r="K1288" s="9" t="n">
        <x:f>J1288*'Parameters'!$C$19</x:f>
        <x:v>1.2361111111111112</x:v>
      </x:c>
      <x:c r="L1288" s="9" t="n">
        <x:f>I1288*(1-0.40)-J1288</x:f>
        <x:v>1.9777777777777779</x:v>
      </x:c>
      <x:c r="M1288" s="9" t="n">
        <x:f>'Physical_Arcs'!S28</x:f>
        <x:v>4.944444444444445</x:v>
      </x:c>
      <x:c r="N1288" s="9" t="n">
        <x:f>M1288*'Parameters'!$C$18</x:f>
        <x:v>0.9888888888888889</x:v>
      </x:c>
      <x:c r="O1288" s="9" t="n">
        <x:f>N1288*'Parameters'!$C$19</x:f>
        <x:v>1.2361111111111112</x:v>
      </x:c>
      <x:c r="P1288" s="9" t="n">
        <x:f>M1288*(1-0.40)-N1288</x:f>
        <x:v>1.9777777777777779</x:v>
      </x:c>
      <x:c r="Q1288" s="9" t="n">
        <x:f>'Physical_Arcs'!T28</x:f>
        <x:v>2.4722222222222223</x:v>
      </x:c>
      <x:c r="R1288" s="9" t="n">
        <x:f>Q1288*'Parameters'!$C$18</x:f>
        <x:v>0.49444444444444446</x:v>
      </x:c>
      <x:c r="S1288" s="9" t="n">
        <x:f>R1288*'Parameters'!$C$19</x:f>
        <x:v>0.6180555555555556</x:v>
      </x:c>
      <x:c r="T1288" s="9" t="n">
        <x:f>Q1288*(1-0.40)-R1288</x:f>
        <x:v>0.9888888888888889</x:v>
      </x:c>
    </x:row>
    <x:row r="1289" ht="21" customHeight="1">
      <x:c r="A1289" s="3" t="n">
        <x:v>21</x:v>
      </x:c>
      <x:c r="B1289" s="3" t="str">
        <x:v>03:30</x:v>
      </x:c>
      <x:c r="C1289" s="3" t="n">
        <x:v>4</x:v>
      </x:c>
      <x:c r="D1289" s="3" t="n">
        <x:v>28</x:v>
      </x:c>
      <x:c r="E1289" s="3" t="n">
        <x:v>4</x:v>
      </x:c>
      <x:c r="F1289" s="3" t="n">
        <x:v>6</x:v>
      </x:c>
      <x:c r="G1289" s="9" t="n">
        <x:v>0.08</x:v>
      </x:c>
      <x:c r="H1289" s="9" t="n">
        <x:v>1.137214</x:v>
      </x:c>
      <x:c r="I1289" s="9" t="n">
        <x:f>'Physical_Arcs'!R29</x:f>
        <x:v>3.388888888888889</x:v>
      </x:c>
      <x:c r="J1289" s="9" t="n">
        <x:f>I1289*'Parameters'!$C$18</x:f>
        <x:v>0.6777777777777778</x:v>
      </x:c>
      <x:c r="K1289" s="9" t="n">
        <x:f>J1289*'Parameters'!$C$19</x:f>
        <x:v>0.8472222222222223</x:v>
      </x:c>
      <x:c r="L1289" s="9" t="n">
        <x:f>I1289*(1-0.40)-J1289</x:f>
        <x:v>1.3555555555555554</x:v>
      </x:c>
      <x:c r="M1289" s="9" t="n">
        <x:f>'Physical_Arcs'!S29</x:f>
        <x:v>3.388888888888889</x:v>
      </x:c>
      <x:c r="N1289" s="9" t="n">
        <x:f>M1289*'Parameters'!$C$18</x:f>
        <x:v>0.6777777777777778</x:v>
      </x:c>
      <x:c r="O1289" s="9" t="n">
        <x:f>N1289*'Parameters'!$C$19</x:f>
        <x:v>0.8472222222222223</x:v>
      </x:c>
      <x:c r="P1289" s="9" t="n">
        <x:f>M1289*(1-0.40)-N1289</x:f>
        <x:v>1.3555555555555554</x:v>
      </x:c>
      <x:c r="Q1289" s="9" t="n">
        <x:f>'Physical_Arcs'!T29</x:f>
        <x:v>1.6944444444444444</x:v>
      </x:c>
      <x:c r="R1289" s="9" t="n">
        <x:f>Q1289*'Parameters'!$C$18</x:f>
        <x:v>0.3388888888888889</x:v>
      </x:c>
      <x:c r="S1289" s="9" t="n">
        <x:f>R1289*'Parameters'!$C$19</x:f>
        <x:v>0.42361111111111116</x:v>
      </x:c>
      <x:c r="T1289" s="9" t="n">
        <x:f>Q1289*(1-0.40)-R1289</x:f>
        <x:v>0.6777777777777777</x:v>
      </x:c>
    </x:row>
    <x:row r="1290" ht="21" customHeight="1">
      <x:c r="A1290" s="3" t="n">
        <x:v>21</x:v>
      </x:c>
      <x:c r="B1290" s="3" t="str">
        <x:v>03:30</x:v>
      </x:c>
      <x:c r="C1290" s="3" t="n">
        <x:v>4</x:v>
      </x:c>
      <x:c r="D1290" s="3" t="n">
        <x:v>29</x:v>
      </x:c>
      <x:c r="E1290" s="3" t="n">
        <x:v>5</x:v>
      </x:c>
      <x:c r="F1290" s="3" t="n">
        <x:v>6</x:v>
      </x:c>
      <x:c r="G1290" s="9" t="n">
        <x:v>0.08</x:v>
      </x:c>
      <x:c r="H1290" s="9" t="n">
        <x:v>0.949994</x:v>
      </x:c>
      <x:c r="I1290" s="9" t="n">
        <x:f>'Physical_Arcs'!R30</x:f>
        <x:v>17.02777777777778</x:v>
      </x:c>
      <x:c r="J1290" s="9" t="n">
        <x:f>I1290*'Parameters'!$C$18</x:f>
        <x:v>3.405555555555556</x:v>
      </x:c>
      <x:c r="K1290" s="9" t="n">
        <x:f>J1290*'Parameters'!$C$19</x:f>
        <x:v>4.256944444444445</x:v>
      </x:c>
      <x:c r="L1290" s="9" t="n">
        <x:f>I1290*(1-0.40)-J1290</x:f>
        <x:v>6.811111111111111</x:v>
      </x:c>
      <x:c r="M1290" s="9" t="n">
        <x:f>'Physical_Arcs'!S30</x:f>
        <x:v>17.02777777777778</x:v>
      </x:c>
      <x:c r="N1290" s="9" t="n">
        <x:f>M1290*'Parameters'!$C$18</x:f>
        <x:v>3.405555555555556</x:v>
      </x:c>
      <x:c r="O1290" s="9" t="n">
        <x:f>N1290*'Parameters'!$C$19</x:f>
        <x:v>4.256944444444445</x:v>
      </x:c>
      <x:c r="P1290" s="9" t="n">
        <x:f>M1290*(1-0.40)-N1290</x:f>
        <x:v>6.811111111111111</x:v>
      </x:c>
      <x:c r="Q1290" s="9" t="n">
        <x:f>'Physical_Arcs'!T30</x:f>
        <x:v>17.02777777777778</x:v>
      </x:c>
      <x:c r="R1290" s="9" t="n">
        <x:f>Q1290*'Parameters'!$C$18</x:f>
        <x:v>3.405555555555556</x:v>
      </x:c>
      <x:c r="S1290" s="9" t="n">
        <x:f>R1290*'Parameters'!$C$19</x:f>
        <x:v>4.256944444444445</x:v>
      </x:c>
      <x:c r="T1290" s="9" t="n">
        <x:f>Q1290*(1-0.40)-R1290</x:f>
        <x:v>6.811111111111111</x:v>
      </x:c>
    </x:row>
    <x:row r="1291" ht="21" customHeight="1">
      <x:c r="A1291" s="3" t="n">
        <x:v>21</x:v>
      </x:c>
      <x:c r="B1291" s="3" t="str">
        <x:v>03:30</x:v>
      </x:c>
      <x:c r="C1291" s="3" t="n">
        <x:v>4</x:v>
      </x:c>
      <x:c r="D1291" s="3" t="n">
        <x:v>30</x:v>
      </x:c>
      <x:c r="E1291" s="3" t="n">
        <x:v>5</x:v>
      </x:c>
      <x:c r="F1291" s="3" t="n">
        <x:v>2</x:v>
      </x:c>
      <x:c r="G1291" s="9" t="n">
        <x:v>0.08</x:v>
      </x:c>
      <x:c r="H1291" s="9" t="n">
        <x:v>0.882396</x:v>
      </x:c>
      <x:c r="I1291" s="9" t="n">
        <x:f>'Physical_Arcs'!R31</x:f>
        <x:v>2.9444444444444446</x:v>
      </x:c>
      <x:c r="J1291" s="9" t="n">
        <x:f>I1291*'Parameters'!$C$18</x:f>
        <x:v>0.5888888888888889</x:v>
      </x:c>
      <x:c r="K1291" s="9" t="n">
        <x:f>J1291*'Parameters'!$C$19</x:f>
        <x:v>0.7361111111111112</x:v>
      </x:c>
      <x:c r="L1291" s="9" t="n">
        <x:f>I1291*(1-0.40)-J1291</x:f>
        <x:v>1.177777777777778</x:v>
      </x:c>
      <x:c r="M1291" s="9" t="n">
        <x:f>'Physical_Arcs'!S31</x:f>
        <x:v>2.9444444444444446</x:v>
      </x:c>
      <x:c r="N1291" s="9" t="n">
        <x:f>M1291*'Parameters'!$C$18</x:f>
        <x:v>0.5888888888888889</x:v>
      </x:c>
      <x:c r="O1291" s="9" t="n">
        <x:f>N1291*'Parameters'!$C$19</x:f>
        <x:v>0.7361111111111112</x:v>
      </x:c>
      <x:c r="P1291" s="9" t="n">
        <x:f>M1291*(1-0.40)-N1291</x:f>
        <x:v>1.177777777777778</x:v>
      </x:c>
      <x:c r="Q1291" s="9" t="n">
        <x:f>'Physical_Arcs'!T31</x:f>
        <x:v>1.4722222222222223</x:v>
      </x:c>
      <x:c r="R1291" s="9" t="n">
        <x:f>Q1291*'Parameters'!$C$18</x:f>
        <x:v>0.29444444444444445</x:v>
      </x:c>
      <x:c r="S1291" s="9" t="n">
        <x:f>R1291*'Parameters'!$C$19</x:f>
        <x:v>0.3680555555555556</x:v>
      </x:c>
      <x:c r="T1291" s="9" t="n">
        <x:f>Q1291*(1-0.40)-R1291</x:f>
        <x:v>0.588888888888889</x:v>
      </x:c>
    </x:row>
    <x:row r="1292" ht="21" customHeight="1">
      <x:c r="A1292" s="3" t="n">
        <x:v>21</x:v>
      </x:c>
      <x:c r="B1292" s="3" t="str">
        <x:v>03:30</x:v>
      </x:c>
      <x:c r="C1292" s="3" t="n">
        <x:v>4</x:v>
      </x:c>
      <x:c r="D1292" s="3" t="n">
        <x:v>31</x:v>
      </x:c>
      <x:c r="E1292" s="3" t="n">
        <x:v>5</x:v>
      </x:c>
      <x:c r="F1292" s="3" t="n">
        <x:v>8</x:v>
      </x:c>
      <x:c r="G1292" s="9" t="n">
        <x:v>0.08</x:v>
      </x:c>
      <x:c r="H1292" s="9" t="n">
        <x:v>0.986718</x:v>
      </x:c>
      <x:c r="I1292" s="9" t="n">
        <x:f>'Physical_Arcs'!R32</x:f>
        <x:v>9.333333333333334</x:v>
      </x:c>
      <x:c r="J1292" s="9" t="n">
        <x:f>I1292*'Parameters'!$C$18</x:f>
        <x:v>1.866666666666667</x:v>
      </x:c>
      <x:c r="K1292" s="9" t="n">
        <x:f>J1292*'Parameters'!$C$19</x:f>
        <x:v>2.3333333333333335</x:v>
      </x:c>
      <x:c r="L1292" s="9" t="n">
        <x:f>I1292*(1-0.40)-J1292</x:f>
        <x:v>3.7333333333333334</x:v>
      </x:c>
      <x:c r="M1292" s="9" t="n">
        <x:f>'Physical_Arcs'!S32</x:f>
        <x:v>9.333333333333334</x:v>
      </x:c>
      <x:c r="N1292" s="9" t="n">
        <x:f>M1292*'Parameters'!$C$18</x:f>
        <x:v>1.866666666666667</x:v>
      </x:c>
      <x:c r="O1292" s="9" t="n">
        <x:f>N1292*'Parameters'!$C$19</x:f>
        <x:v>2.3333333333333335</x:v>
      </x:c>
      <x:c r="P1292" s="9" t="n">
        <x:f>M1292*(1-0.40)-N1292</x:f>
        <x:v>3.7333333333333334</x:v>
      </x:c>
      <x:c r="Q1292" s="9" t="n">
        <x:f>'Physical_Arcs'!T32</x:f>
        <x:v>4.666666666666667</x:v>
      </x:c>
      <x:c r="R1292" s="9" t="n">
        <x:f>Q1292*'Parameters'!$C$18</x:f>
        <x:v>0.9333333333333335</x:v>
      </x:c>
      <x:c r="S1292" s="9" t="n">
        <x:f>R1292*'Parameters'!$C$19</x:f>
        <x:v>1.1666666666666667</x:v>
      </x:c>
      <x:c r="T1292" s="9" t="n">
        <x:f>Q1292*(1-0.40)-R1292</x:f>
        <x:v>1.8666666666666667</x:v>
      </x:c>
    </x:row>
    <x:row r="1293" ht="21" customHeight="1">
      <x:c r="A1293" s="3" t="n">
        <x:v>21</x:v>
      </x:c>
      <x:c r="B1293" s="3" t="str">
        <x:v>03:30</x:v>
      </x:c>
      <x:c r="C1293" s="3" t="n">
        <x:v>4</x:v>
      </x:c>
      <x:c r="D1293" s="3" t="n">
        <x:v>32</x:v>
      </x:c>
      <x:c r="E1293" s="3" t="n">
        <x:v>5</x:v>
      </x:c>
      <x:c r="F1293" s="3" t="n">
        <x:v>3</x:v>
      </x:c>
      <x:c r="G1293" s="9" t="n">
        <x:v>0.08</x:v>
      </x:c>
      <x:c r="H1293" s="9" t="n">
        <x:v>1.089544</x:v>
      </x:c>
      <x:c r="I1293" s="9" t="n">
        <x:f>'Physical_Arcs'!R33</x:f>
        <x:v>11.13888888888889</x:v>
      </x:c>
      <x:c r="J1293" s="9" t="n">
        <x:f>I1293*'Parameters'!$C$18</x:f>
        <x:v>2.227777777777778</x:v>
      </x:c>
      <x:c r="K1293" s="9" t="n">
        <x:f>J1293*'Parameters'!$C$19</x:f>
        <x:v>2.7847222222222223</x:v>
      </x:c>
      <x:c r="L1293" s="9" t="n">
        <x:f>I1293*(1-0.40)-J1293</x:f>
        <x:v>4.455555555555556</x:v>
      </x:c>
      <x:c r="M1293" s="9" t="n">
        <x:f>'Physical_Arcs'!S33</x:f>
        <x:v>11.13888888888889</x:v>
      </x:c>
      <x:c r="N1293" s="9" t="n">
        <x:f>M1293*'Parameters'!$C$18</x:f>
        <x:v>2.227777777777778</x:v>
      </x:c>
      <x:c r="O1293" s="9" t="n">
        <x:f>N1293*'Parameters'!$C$19</x:f>
        <x:v>2.7847222222222223</x:v>
      </x:c>
      <x:c r="P1293" s="9" t="n">
        <x:f>M1293*(1-0.40)-N1293</x:f>
        <x:v>4.455555555555556</x:v>
      </x:c>
      <x:c r="Q1293" s="9" t="n">
        <x:f>'Physical_Arcs'!T33</x:f>
        <x:v>5.583333333333333</x:v>
      </x:c>
      <x:c r="R1293" s="9" t="n">
        <x:f>Q1293*'Parameters'!$C$18</x:f>
        <x:v>1.1166666666666667</x:v>
      </x:c>
      <x:c r="S1293" s="9" t="n">
        <x:f>R1293*'Parameters'!$C$19</x:f>
        <x:v>1.3958333333333335</x:v>
      </x:c>
      <x:c r="T1293" s="9" t="n">
        <x:f>Q1293*(1-0.40)-R1293</x:f>
        <x:v>2.233333333333333</x:v>
      </x:c>
    </x:row>
    <x:row r="1294" ht="21" customHeight="1">
      <x:c r="A1294" s="3" t="n">
        <x:v>21</x:v>
      </x:c>
      <x:c r="B1294" s="3" t="str">
        <x:v>03:30</x:v>
      </x:c>
      <x:c r="C1294" s="3" t="n">
        <x:v>4</x:v>
      </x:c>
      <x:c r="D1294" s="3" t="n">
        <x:v>33</x:v>
      </x:c>
      <x:c r="E1294" s="3" t="n">
        <x:v>5</x:v>
      </x:c>
      <x:c r="F1294" s="3" t="n">
        <x:v>10</x:v>
      </x:c>
      <x:c r="G1294" s="9" t="n">
        <x:v>0.08</x:v>
      </x:c>
      <x:c r="H1294" s="9" t="n">
        <x:v>1.103596</x:v>
      </x:c>
      <x:c r="I1294" s="9" t="n">
        <x:f>'Physical_Arcs'!R34</x:f>
        <x:v>4.611111111111111</x:v>
      </x:c>
      <x:c r="J1294" s="9" t="n">
        <x:f>I1294*'Parameters'!$C$18</x:f>
        <x:v>0.9222222222222222</x:v>
      </x:c>
      <x:c r="K1294" s="9" t="n">
        <x:f>J1294*'Parameters'!$C$19</x:f>
        <x:v>1.1527777777777777</x:v>
      </x:c>
      <x:c r="L1294" s="9" t="n">
        <x:f>I1294*(1-0.40)-J1294</x:f>
        <x:v>1.844444444444444</x:v>
      </x:c>
      <x:c r="M1294" s="9" t="n">
        <x:f>'Physical_Arcs'!S34</x:f>
        <x:v>4.611111111111111</x:v>
      </x:c>
      <x:c r="N1294" s="9" t="n">
        <x:f>M1294*'Parameters'!$C$18</x:f>
        <x:v>0.9222222222222222</x:v>
      </x:c>
      <x:c r="O1294" s="9" t="n">
        <x:f>N1294*'Parameters'!$C$19</x:f>
        <x:v>1.1527777777777777</x:v>
      </x:c>
      <x:c r="P1294" s="9" t="n">
        <x:f>M1294*(1-0.40)-N1294</x:f>
        <x:v>1.844444444444444</x:v>
      </x:c>
      <x:c r="Q1294" s="9" t="n">
        <x:f>'Physical_Arcs'!T34</x:f>
        <x:v>2.3055555555555554</x:v>
      </x:c>
      <x:c r="R1294" s="9" t="n">
        <x:f>Q1294*'Parameters'!$C$18</x:f>
        <x:v>0.4611111111111111</x:v>
      </x:c>
      <x:c r="S1294" s="9" t="n">
        <x:f>R1294*'Parameters'!$C$19</x:f>
        <x:v>0.5763888888888888</x:v>
      </x:c>
      <x:c r="T1294" s="9" t="n">
        <x:f>Q1294*(1-0.40)-R1294</x:f>
        <x:v>0.922222222222222</x:v>
      </x:c>
    </x:row>
    <x:row r="1295" ht="21" customHeight="1">
      <x:c r="A1295" s="3" t="n">
        <x:v>21</x:v>
      </x:c>
      <x:c r="B1295" s="3" t="str">
        <x:v>03:30</x:v>
      </x:c>
      <x:c r="C1295" s="3" t="n">
        <x:v>4</x:v>
      </x:c>
      <x:c r="D1295" s="3" t="n">
        <x:v>34</x:v>
      </x:c>
      <x:c r="E1295" s="3" t="n">
        <x:v>6</x:v>
      </x:c>
      <x:c r="F1295" s="3" t="n">
        <x:v>7</x:v>
      </x:c>
      <x:c r="G1295" s="9" t="n">
        <x:v>0.08</x:v>
      </x:c>
      <x:c r="H1295" s="9" t="n">
        <x:v>0.973887</x:v>
      </x:c>
      <x:c r="I1295" s="9" t="n">
        <x:f>'Physical_Arcs'!R35</x:f>
        <x:v>17.02777777777778</x:v>
      </x:c>
      <x:c r="J1295" s="9" t="n">
        <x:f>I1295*'Parameters'!$C$18</x:f>
        <x:v>3.405555555555556</x:v>
      </x:c>
      <x:c r="K1295" s="9" t="n">
        <x:f>J1295*'Parameters'!$C$19</x:f>
        <x:v>4.256944444444445</x:v>
      </x:c>
      <x:c r="L1295" s="9" t="n">
        <x:f>I1295*(1-0.40)-J1295</x:f>
        <x:v>6.811111111111111</x:v>
      </x:c>
      <x:c r="M1295" s="9" t="n">
        <x:f>'Physical_Arcs'!S35</x:f>
        <x:v>17.02777777777778</x:v>
      </x:c>
      <x:c r="N1295" s="9" t="n">
        <x:f>M1295*'Parameters'!$C$18</x:f>
        <x:v>3.405555555555556</x:v>
      </x:c>
      <x:c r="O1295" s="9" t="n">
        <x:f>N1295*'Parameters'!$C$19</x:f>
        <x:v>4.256944444444445</x:v>
      </x:c>
      <x:c r="P1295" s="9" t="n">
        <x:f>M1295*(1-0.40)-N1295</x:f>
        <x:v>6.811111111111111</x:v>
      </x:c>
      <x:c r="Q1295" s="9" t="n">
        <x:f>'Physical_Arcs'!T35</x:f>
        <x:v>17.02777777777778</x:v>
      </x:c>
      <x:c r="R1295" s="9" t="n">
        <x:f>Q1295*'Parameters'!$C$18</x:f>
        <x:v>3.405555555555556</x:v>
      </x:c>
      <x:c r="S1295" s="9" t="n">
        <x:f>R1295*'Parameters'!$C$19</x:f>
        <x:v>4.256944444444445</x:v>
      </x:c>
      <x:c r="T1295" s="9" t="n">
        <x:f>Q1295*(1-0.40)-R1295</x:f>
        <x:v>6.811111111111111</x:v>
      </x:c>
    </x:row>
    <x:row r="1296" ht="21" customHeight="1">
      <x:c r="A1296" s="3" t="n">
        <x:v>21</x:v>
      </x:c>
      <x:c r="B1296" s="3" t="str">
        <x:v>03:30</x:v>
      </x:c>
      <x:c r="C1296" s="3" t="n">
        <x:v>4</x:v>
      </x:c>
      <x:c r="D1296" s="3" t="n">
        <x:v>35</x:v>
      </x:c>
      <x:c r="E1296" s="3" t="n">
        <x:v>6</x:v>
      </x:c>
      <x:c r="F1296" s="3" t="n">
        <x:v>10</x:v>
      </x:c>
      <x:c r="G1296" s="9" t="n">
        <x:v>0.08</x:v>
      </x:c>
      <x:c r="H1296" s="9" t="n">
        <x:v>1.009062</x:v>
      </x:c>
      <x:c r="I1296" s="9" t="n">
        <x:f>'Physical_Arcs'!R36</x:f>
        <x:v>4.055555555555555</x:v>
      </x:c>
      <x:c r="J1296" s="9" t="n">
        <x:f>I1296*'Parameters'!$C$18</x:f>
        <x:v>0.8111111111111111</x:v>
      </x:c>
      <x:c r="K1296" s="9" t="n">
        <x:f>J1296*'Parameters'!$C$19</x:f>
        <x:v>1.0138888888888888</x:v>
      </x:c>
      <x:c r="L1296" s="9" t="n">
        <x:f>I1296*(1-0.40)-J1296</x:f>
        <x:v>1.622222222222222</x:v>
      </x:c>
      <x:c r="M1296" s="9" t="n">
        <x:f>'Physical_Arcs'!S36</x:f>
        <x:v>4.055555555555555</x:v>
      </x:c>
      <x:c r="N1296" s="9" t="n">
        <x:f>M1296*'Parameters'!$C$18</x:f>
        <x:v>0.8111111111111111</x:v>
      </x:c>
      <x:c r="O1296" s="9" t="n">
        <x:f>N1296*'Parameters'!$C$19</x:f>
        <x:v>1.0138888888888888</x:v>
      </x:c>
      <x:c r="P1296" s="9" t="n">
        <x:f>M1296*(1-0.40)-N1296</x:f>
        <x:v>1.622222222222222</x:v>
      </x:c>
      <x:c r="Q1296" s="9" t="n">
        <x:f>'Physical_Arcs'!T36</x:f>
        <x:v>2.0277777777777777</x:v>
      </x:c>
      <x:c r="R1296" s="9" t="n">
        <x:f>Q1296*'Parameters'!$C$18</x:f>
        <x:v>0.40555555555555556</x:v>
      </x:c>
      <x:c r="S1296" s="9" t="n">
        <x:f>R1296*'Parameters'!$C$19</x:f>
        <x:v>0.5069444444444444</x:v>
      </x:c>
      <x:c r="T1296" s="9" t="n">
        <x:f>Q1296*(1-0.40)-R1296</x:f>
        <x:v>0.811111111111111</x:v>
      </x:c>
    </x:row>
    <x:row r="1297" ht="21" customHeight="1">
      <x:c r="A1297" s="3" t="n">
        <x:v>21</x:v>
      </x:c>
      <x:c r="B1297" s="3" t="str">
        <x:v>03:30</x:v>
      </x:c>
      <x:c r="C1297" s="3" t="n">
        <x:v>4</x:v>
      </x:c>
      <x:c r="D1297" s="3" t="n">
        <x:v>36</x:v>
      </x:c>
      <x:c r="E1297" s="3" t="n">
        <x:v>6</x:v>
      </x:c>
      <x:c r="F1297" s="3" t="n">
        <x:v>8</x:v>
      </x:c>
      <x:c r="G1297" s="9" t="n">
        <x:v>0.08</x:v>
      </x:c>
      <x:c r="H1297" s="9" t="n">
        <x:v>1.132129</x:v>
      </x:c>
      <x:c r="I1297" s="9" t="n">
        <x:f>'Physical_Arcs'!R37</x:f>
        <x:v>6.972222222222222</x:v>
      </x:c>
      <x:c r="J1297" s="9" t="n">
        <x:f>I1297*'Parameters'!$C$18</x:f>
        <x:v>1.3944444444444446</x:v>
      </x:c>
      <x:c r="K1297" s="9" t="n">
        <x:f>J1297*'Parameters'!$C$19</x:f>
        <x:v>1.7430555555555558</x:v>
      </x:c>
      <x:c r="L1297" s="9" t="n">
        <x:f>I1297*(1-0.40)-J1297</x:f>
        <x:v>2.7888888888888888</x:v>
      </x:c>
      <x:c r="M1297" s="9" t="n">
        <x:f>'Physical_Arcs'!S37</x:f>
        <x:v>6.972222222222222</x:v>
      </x:c>
      <x:c r="N1297" s="9" t="n">
        <x:f>M1297*'Parameters'!$C$18</x:f>
        <x:v>1.3944444444444446</x:v>
      </x:c>
      <x:c r="O1297" s="9" t="n">
        <x:f>N1297*'Parameters'!$C$19</x:f>
        <x:v>1.7430555555555558</x:v>
      </x:c>
      <x:c r="P1297" s="9" t="n">
        <x:f>M1297*(1-0.40)-N1297</x:f>
        <x:v>2.7888888888888888</x:v>
      </x:c>
      <x:c r="Q1297" s="9" t="n">
        <x:f>'Physical_Arcs'!T37</x:f>
        <x:v>3.5</x:v>
      </x:c>
      <x:c r="R1297" s="9" t="n">
        <x:f>Q1297*'Parameters'!$C$18</x:f>
        <x:v>0.7000000000000001</x:v>
      </x:c>
      <x:c r="S1297" s="9" t="n">
        <x:f>R1297*'Parameters'!$C$19</x:f>
        <x:v>0.8750000000000001</x:v>
      </x:c>
      <x:c r="T1297" s="9" t="n">
        <x:f>Q1297*(1-0.40)-R1297</x:f>
        <x:v>1.4</x:v>
      </x:c>
    </x:row>
    <x:row r="1298" ht="21" customHeight="1">
      <x:c r="A1298" s="3" t="n">
        <x:v>21</x:v>
      </x:c>
      <x:c r="B1298" s="3" t="str">
        <x:v>03:30</x:v>
      </x:c>
      <x:c r="C1298" s="3" t="n">
        <x:v>4</x:v>
      </x:c>
      <x:c r="D1298" s="3" t="n">
        <x:v>37</x:v>
      </x:c>
      <x:c r="E1298" s="3" t="n">
        <x:v>6</x:v>
      </x:c>
      <x:c r="F1298" s="3" t="n">
        <x:v>1</x:v>
      </x:c>
      <x:c r="G1298" s="9" t="n">
        <x:v>0.08</x:v>
      </x:c>
      <x:c r="H1298" s="9" t="n">
        <x:v>1.020746</x:v>
      </x:c>
      <x:c r="I1298" s="9" t="n">
        <x:f>'Physical_Arcs'!R38</x:f>
        <x:v>6.305555555555555</x:v>
      </x:c>
      <x:c r="J1298" s="9" t="n">
        <x:f>I1298*'Parameters'!$C$18</x:f>
        <x:v>1.261111111111111</x:v>
      </x:c>
      <x:c r="K1298" s="9" t="n">
        <x:f>J1298*'Parameters'!$C$19</x:f>
        <x:v>1.5763888888888888</x:v>
      </x:c>
      <x:c r="L1298" s="9" t="n">
        <x:f>I1298*(1-0.40)-J1298</x:f>
        <x:v>2.522222222222222</x:v>
      </x:c>
      <x:c r="M1298" s="9" t="n">
        <x:f>'Physical_Arcs'!S38</x:f>
        <x:v>6.305555555555555</x:v>
      </x:c>
      <x:c r="N1298" s="9" t="n">
        <x:f>M1298*'Parameters'!$C$18</x:f>
        <x:v>1.261111111111111</x:v>
      </x:c>
      <x:c r="O1298" s="9" t="n">
        <x:f>N1298*'Parameters'!$C$19</x:f>
        <x:v>1.5763888888888888</x:v>
      </x:c>
      <x:c r="P1298" s="9" t="n">
        <x:f>M1298*(1-0.40)-N1298</x:f>
        <x:v>2.522222222222222</x:v>
      </x:c>
      <x:c r="Q1298" s="9" t="n">
        <x:f>'Physical_Arcs'!T38</x:f>
        <x:v>3.1666666666666665</x:v>
      </x:c>
      <x:c r="R1298" s="9" t="n">
        <x:f>Q1298*'Parameters'!$C$18</x:f>
        <x:v>0.6333333333333333</x:v>
      </x:c>
      <x:c r="S1298" s="9" t="n">
        <x:f>R1298*'Parameters'!$C$19</x:f>
        <x:v>0.7916666666666666</x:v>
      </x:c>
      <x:c r="T1298" s="9" t="n">
        <x:f>Q1298*(1-0.40)-R1298</x:f>
        <x:v>1.2666666666666666</x:v>
      </x:c>
    </x:row>
    <x:row r="1299" ht="21" customHeight="1">
      <x:c r="A1299" s="3" t="n">
        <x:v>21</x:v>
      </x:c>
      <x:c r="B1299" s="3" t="str">
        <x:v>03:30</x:v>
      </x:c>
      <x:c r="C1299" s="3" t="n">
        <x:v>4</x:v>
      </x:c>
      <x:c r="D1299" s="3" t="n">
        <x:v>38</x:v>
      </x:c>
      <x:c r="E1299" s="3" t="n">
        <x:v>6</x:v>
      </x:c>
      <x:c r="F1299" s="3" t="n">
        <x:v>3</x:v>
      </x:c>
      <x:c r="G1299" s="9" t="n">
        <x:v>0.08</x:v>
      </x:c>
      <x:c r="H1299" s="9" t="n">
        <x:v>1.149081</x:v>
      </x:c>
      <x:c r="I1299" s="9" t="n">
        <x:f>'Physical_Arcs'!R39</x:f>
        <x:v>1.9166666666666667</x:v>
      </x:c>
      <x:c r="J1299" s="9" t="n">
        <x:f>I1299*'Parameters'!$C$18</x:f>
        <x:v>0.38333333333333336</x:v>
      </x:c>
      <x:c r="K1299" s="9" t="n">
        <x:f>J1299*'Parameters'!$C$19</x:f>
        <x:v>0.4791666666666667</x:v>
      </x:c>
      <x:c r="L1299" s="9" t="n">
        <x:f>I1299*(1-0.40)-J1299</x:f>
        <x:v>0.7666666666666666</x:v>
      </x:c>
      <x:c r="M1299" s="9" t="n">
        <x:f>'Physical_Arcs'!S39</x:f>
        <x:v>1.9166666666666667</x:v>
      </x:c>
      <x:c r="N1299" s="9" t="n">
        <x:f>M1299*'Parameters'!$C$18</x:f>
        <x:v>0.38333333333333336</x:v>
      </x:c>
      <x:c r="O1299" s="9" t="n">
        <x:f>N1299*'Parameters'!$C$19</x:f>
        <x:v>0.4791666666666667</x:v>
      </x:c>
      <x:c r="P1299" s="9" t="n">
        <x:f>M1299*(1-0.40)-N1299</x:f>
        <x:v>0.7666666666666666</x:v>
      </x:c>
      <x:c r="Q1299" s="9" t="n">
        <x:f>'Physical_Arcs'!T39</x:f>
        <x:v>0.9722222222222222</x:v>
      </x:c>
      <x:c r="R1299" s="9" t="n">
        <x:f>Q1299*'Parameters'!$C$18</x:f>
        <x:v>0.19444444444444445</x:v>
      </x:c>
      <x:c r="S1299" s="9" t="n">
        <x:f>R1299*'Parameters'!$C$19</x:f>
        <x:v>0.24305555555555555</x:v>
      </x:c>
      <x:c r="T1299" s="9" t="n">
        <x:f>Q1299*(1-0.40)-R1299</x:f>
        <x:v>0.38888888888888884</x:v>
      </x:c>
    </x:row>
    <x:row r="1300" ht="21" customHeight="1">
      <x:c r="A1300" s="3" t="n">
        <x:v>21</x:v>
      </x:c>
      <x:c r="B1300" s="3" t="str">
        <x:v>03:30</x:v>
      </x:c>
      <x:c r="C1300" s="3" t="n">
        <x:v>4</x:v>
      </x:c>
      <x:c r="D1300" s="3" t="n">
        <x:v>39</x:v>
      </x:c>
      <x:c r="E1300" s="3" t="n">
        <x:v>7</x:v>
      </x:c>
      <x:c r="F1300" s="3" t="n">
        <x:v>8</x:v>
      </x:c>
      <x:c r="G1300" s="9" t="n">
        <x:v>0.08</x:v>
      </x:c>
      <x:c r="H1300" s="9" t="n">
        <x:v>1.003268</x:v>
      </x:c>
      <x:c r="I1300" s="9" t="n">
        <x:f>'Physical_Arcs'!R40</x:f>
        <x:v>17.02777777777778</x:v>
      </x:c>
      <x:c r="J1300" s="9" t="n">
        <x:f>I1300*'Parameters'!$C$18</x:f>
        <x:v>3.405555555555556</x:v>
      </x:c>
      <x:c r="K1300" s="9" t="n">
        <x:f>J1300*'Parameters'!$C$19</x:f>
        <x:v>4.256944444444445</x:v>
      </x:c>
      <x:c r="L1300" s="9" t="n">
        <x:f>I1300*(1-0.40)-J1300</x:f>
        <x:v>6.811111111111111</x:v>
      </x:c>
      <x:c r="M1300" s="9" t="n">
        <x:f>'Physical_Arcs'!S40</x:f>
        <x:v>17.02777777777778</x:v>
      </x:c>
      <x:c r="N1300" s="9" t="n">
        <x:f>M1300*'Parameters'!$C$18</x:f>
        <x:v>3.405555555555556</x:v>
      </x:c>
      <x:c r="O1300" s="9" t="n">
        <x:f>N1300*'Parameters'!$C$19</x:f>
        <x:v>4.256944444444445</x:v>
      </x:c>
      <x:c r="P1300" s="9" t="n">
        <x:f>M1300*(1-0.40)-N1300</x:f>
        <x:v>6.811111111111111</x:v>
      </x:c>
      <x:c r="Q1300" s="9" t="n">
        <x:f>'Physical_Arcs'!T40</x:f>
        <x:v>17.02777777777778</x:v>
      </x:c>
      <x:c r="R1300" s="9" t="n">
        <x:f>Q1300*'Parameters'!$C$18</x:f>
        <x:v>3.405555555555556</x:v>
      </x:c>
      <x:c r="S1300" s="9" t="n">
        <x:f>R1300*'Parameters'!$C$19</x:f>
        <x:v>4.256944444444445</x:v>
      </x:c>
      <x:c r="T1300" s="9" t="n">
        <x:f>Q1300*(1-0.40)-R1300</x:f>
        <x:v>6.811111111111111</x:v>
      </x:c>
    </x:row>
    <x:row r="1301" ht="21" customHeight="1">
      <x:c r="A1301" s="3" t="n">
        <x:v>21</x:v>
      </x:c>
      <x:c r="B1301" s="3" t="str">
        <x:v>03:30</x:v>
      </x:c>
      <x:c r="C1301" s="3" t="n">
        <x:v>4</x:v>
      </x:c>
      <x:c r="D1301" s="3" t="n">
        <x:v>40</x:v>
      </x:c>
      <x:c r="E1301" s="3" t="n">
        <x:v>7</x:v>
      </x:c>
      <x:c r="F1301" s="3" t="n">
        <x:v>1</x:v>
      </x:c>
      <x:c r="G1301" s="9" t="n">
        <x:v>0.08</x:v>
      </x:c>
      <x:c r="H1301" s="9" t="n">
        <x:v>1.057592</x:v>
      </x:c>
      <x:c r="I1301" s="9" t="n">
        <x:f>'Physical_Arcs'!R41</x:f>
        <x:v>7.972222222222222</x:v>
      </x:c>
      <x:c r="J1301" s="9" t="n">
        <x:f>I1301*'Parameters'!$C$18</x:f>
        <x:v>1.5944444444444446</x:v>
      </x:c>
      <x:c r="K1301" s="9" t="n">
        <x:f>J1301*'Parameters'!$C$19</x:f>
        <x:v>1.9930555555555558</x:v>
      </x:c>
      <x:c r="L1301" s="9" t="n">
        <x:f>I1301*(1-0.40)-J1301</x:f>
        <x:v>3.1888888888888887</x:v>
      </x:c>
      <x:c r="M1301" s="9" t="n">
        <x:f>'Physical_Arcs'!S41</x:f>
        <x:v>7.972222222222222</x:v>
      </x:c>
      <x:c r="N1301" s="9" t="n">
        <x:f>M1301*'Parameters'!$C$18</x:f>
        <x:v>1.5944444444444446</x:v>
      </x:c>
      <x:c r="O1301" s="9" t="n">
        <x:f>N1301*'Parameters'!$C$19</x:f>
        <x:v>1.9930555555555558</x:v>
      </x:c>
      <x:c r="P1301" s="9" t="n">
        <x:f>M1301*(1-0.40)-N1301</x:f>
        <x:v>3.1888888888888887</x:v>
      </x:c>
      <x:c r="Q1301" s="9" t="n">
        <x:f>'Physical_Arcs'!T41</x:f>
        <x:v>4</x:v>
      </x:c>
      <x:c r="R1301" s="9" t="n">
        <x:f>Q1301*'Parameters'!$C$18</x:f>
        <x:v>0.8</x:v>
      </x:c>
      <x:c r="S1301" s="9" t="n">
        <x:f>R1301*'Parameters'!$C$19</x:f>
        <x:v>1</x:v>
      </x:c>
      <x:c r="T1301" s="9" t="n">
        <x:f>Q1301*(1-0.40)-R1301</x:f>
        <x:v>1.5999999999999999</x:v>
      </x:c>
    </x:row>
    <x:row r="1302" ht="21" customHeight="1">
      <x:c r="A1302" s="3" t="n">
        <x:v>21</x:v>
      </x:c>
      <x:c r="B1302" s="3" t="str">
        <x:v>03:30</x:v>
      </x:c>
      <x:c r="C1302" s="3" t="n">
        <x:v>4</x:v>
      </x:c>
      <x:c r="D1302" s="3" t="n">
        <x:v>41</x:v>
      </x:c>
      <x:c r="E1302" s="3" t="n">
        <x:v>7</x:v>
      </x:c>
      <x:c r="F1302" s="3" t="n">
        <x:v>9</x:v>
      </x:c>
      <x:c r="G1302" s="9" t="n">
        <x:v>0.08</x:v>
      </x:c>
      <x:c r="H1302" s="9" t="n">
        <x:v>1.14801</x:v>
      </x:c>
      <x:c r="I1302" s="9" t="n">
        <x:f>'Physical_Arcs'!R42</x:f>
        <x:v>8.88888888888889</x:v>
      </x:c>
      <x:c r="J1302" s="9" t="n">
        <x:f>I1302*'Parameters'!$C$18</x:f>
        <x:v>1.777777777777778</x:v>
      </x:c>
      <x:c r="K1302" s="9" t="n">
        <x:f>J1302*'Parameters'!$C$19</x:f>
        <x:v>2.2222222222222223</x:v>
      </x:c>
      <x:c r="L1302" s="9" t="n">
        <x:f>I1302*(1-0.40)-J1302</x:f>
        <x:v>3.5555555555555554</x:v>
      </x:c>
      <x:c r="M1302" s="9" t="n">
        <x:f>'Physical_Arcs'!S42</x:f>
        <x:v>8.88888888888889</x:v>
      </x:c>
      <x:c r="N1302" s="9" t="n">
        <x:f>M1302*'Parameters'!$C$18</x:f>
        <x:v>1.777777777777778</x:v>
      </x:c>
      <x:c r="O1302" s="9" t="n">
        <x:f>N1302*'Parameters'!$C$19</x:f>
        <x:v>2.2222222222222223</x:v>
      </x:c>
      <x:c r="P1302" s="9" t="n">
        <x:f>M1302*(1-0.40)-N1302</x:f>
        <x:v>3.5555555555555554</x:v>
      </x:c>
      <x:c r="Q1302" s="9" t="n">
        <x:f>'Physical_Arcs'!T42</x:f>
        <x:v>4.444444444444445</x:v>
      </x:c>
      <x:c r="R1302" s="9" t="n">
        <x:f>Q1302*'Parameters'!$C$18</x:f>
        <x:v>0.888888888888889</x:v>
      </x:c>
      <x:c r="S1302" s="9" t="n">
        <x:f>R1302*'Parameters'!$C$19</x:f>
        <x:v>1.1111111111111112</x:v>
      </x:c>
      <x:c r="T1302" s="9" t="n">
        <x:f>Q1302*(1-0.40)-R1302</x:f>
        <x:v>1.7777777777777777</x:v>
      </x:c>
    </x:row>
    <x:row r="1303" ht="21" customHeight="1">
      <x:c r="A1303" s="3" t="n">
        <x:v>21</x:v>
      </x:c>
      <x:c r="B1303" s="3" t="str">
        <x:v>03:30</x:v>
      </x:c>
      <x:c r="C1303" s="3" t="n">
        <x:v>4</x:v>
      </x:c>
      <x:c r="D1303" s="3" t="n">
        <x:v>42</x:v>
      </x:c>
      <x:c r="E1303" s="3" t="n">
        <x:v>7</x:v>
      </x:c>
      <x:c r="F1303" s="3" t="n">
        <x:v>2</x:v>
      </x:c>
      <x:c r="G1303" s="9" t="n">
        <x:v>0.08</x:v>
      </x:c>
      <x:c r="H1303" s="9" t="n">
        <x:v>0.989237</x:v>
      </x:c>
      <x:c r="I1303" s="9" t="n">
        <x:f>'Physical_Arcs'!R43</x:f>
        <x:v>9</x:v>
      </x:c>
      <x:c r="J1303" s="9" t="n">
        <x:f>I1303*'Parameters'!$C$18</x:f>
        <x:v>1.8</x:v>
      </x:c>
      <x:c r="K1303" s="9" t="n">
        <x:f>J1303*'Parameters'!$C$19</x:f>
        <x:v>2.25</x:v>
      </x:c>
      <x:c r="L1303" s="9" t="n">
        <x:f>I1303*(1-0.40)-J1303</x:f>
        <x:v>3.5999999999999996</x:v>
      </x:c>
      <x:c r="M1303" s="9" t="n">
        <x:f>'Physical_Arcs'!S43</x:f>
        <x:v>9</x:v>
      </x:c>
      <x:c r="N1303" s="9" t="n">
        <x:f>M1303*'Parameters'!$C$18</x:f>
        <x:v>1.8</x:v>
      </x:c>
      <x:c r="O1303" s="9" t="n">
        <x:f>N1303*'Parameters'!$C$19</x:f>
        <x:v>2.25</x:v>
      </x:c>
      <x:c r="P1303" s="9" t="n">
        <x:f>M1303*(1-0.40)-N1303</x:f>
        <x:v>3.5999999999999996</x:v>
      </x:c>
      <x:c r="Q1303" s="9" t="n">
        <x:f>'Physical_Arcs'!T43</x:f>
        <x:v>4.5</x:v>
      </x:c>
      <x:c r="R1303" s="9" t="n">
        <x:f>Q1303*'Parameters'!$C$18</x:f>
        <x:v>0.9</x:v>
      </x:c>
      <x:c r="S1303" s="9" t="n">
        <x:f>R1303*'Parameters'!$C$19</x:f>
        <x:v>1.125</x:v>
      </x:c>
      <x:c r="T1303" s="9" t="n">
        <x:f>Q1303*(1-0.40)-R1303</x:f>
        <x:v>1.7999999999999998</x:v>
      </x:c>
    </x:row>
    <x:row r="1304" ht="21" customHeight="1">
      <x:c r="A1304" s="3" t="n">
        <x:v>21</x:v>
      </x:c>
      <x:c r="B1304" s="3" t="str">
        <x:v>03:30</x:v>
      </x:c>
      <x:c r="C1304" s="3" t="n">
        <x:v>4</x:v>
      </x:c>
      <x:c r="D1304" s="3" t="n">
        <x:v>43</x:v>
      </x:c>
      <x:c r="E1304" s="3" t="n">
        <x:v>7</x:v>
      </x:c>
      <x:c r="F1304" s="3" t="n">
        <x:v>3</x:v>
      </x:c>
      <x:c r="G1304" s="9" t="n">
        <x:v>0.08</x:v>
      </x:c>
      <x:c r="H1304" s="9" t="n">
        <x:v>1.050432</x:v>
      </x:c>
      <x:c r="I1304" s="9" t="n">
        <x:f>'Physical_Arcs'!R44</x:f>
        <x:v>7.638888888888889</x:v>
      </x:c>
      <x:c r="J1304" s="9" t="n">
        <x:f>I1304*'Parameters'!$C$18</x:f>
        <x:v>1.527777777777778</x:v>
      </x:c>
      <x:c r="K1304" s="9" t="n">
        <x:f>J1304*'Parameters'!$C$19</x:f>
        <x:v>1.9097222222222223</x:v>
      </x:c>
      <x:c r="L1304" s="9" t="n">
        <x:f>I1304*(1-0.40)-J1304</x:f>
        <x:v>3.0555555555555554</x:v>
      </x:c>
      <x:c r="M1304" s="9" t="n">
        <x:f>'Physical_Arcs'!S44</x:f>
        <x:v>7.638888888888889</x:v>
      </x:c>
      <x:c r="N1304" s="9" t="n">
        <x:f>M1304*'Parameters'!$C$18</x:f>
        <x:v>1.527777777777778</x:v>
      </x:c>
      <x:c r="O1304" s="9" t="n">
        <x:f>N1304*'Parameters'!$C$19</x:f>
        <x:v>1.9097222222222223</x:v>
      </x:c>
      <x:c r="P1304" s="9" t="n">
        <x:f>M1304*(1-0.40)-N1304</x:f>
        <x:v>3.0555555555555554</x:v>
      </x:c>
      <x:c r="Q1304" s="9" t="n">
        <x:f>'Physical_Arcs'!T44</x:f>
        <x:v>3.8333333333333335</x:v>
      </x:c>
      <x:c r="R1304" s="9" t="n">
        <x:f>Q1304*'Parameters'!$C$18</x:f>
        <x:v>0.7666666666666667</x:v>
      </x:c>
      <x:c r="S1304" s="9" t="n">
        <x:f>R1304*'Parameters'!$C$19</x:f>
        <x:v>0.9583333333333334</x:v>
      </x:c>
      <x:c r="T1304" s="9" t="n">
        <x:f>Q1304*(1-0.40)-R1304</x:f>
        <x:v>1.5333333333333332</x:v>
      </x:c>
    </x:row>
    <x:row r="1305" ht="21" customHeight="1">
      <x:c r="A1305" s="3" t="n">
        <x:v>21</x:v>
      </x:c>
      <x:c r="B1305" s="3" t="str">
        <x:v>03:30</x:v>
      </x:c>
      <x:c r="C1305" s="3" t="n">
        <x:v>4</x:v>
      </x:c>
      <x:c r="D1305" s="3" t="n">
        <x:v>44</x:v>
      </x:c>
      <x:c r="E1305" s="3" t="n">
        <x:v>8</x:v>
      </x:c>
      <x:c r="F1305" s="3" t="n">
        <x:v>9</x:v>
      </x:c>
      <x:c r="G1305" s="9" t="n">
        <x:v>0.08</x:v>
      </x:c>
      <x:c r="H1305" s="9" t="n">
        <x:v>0.868101</x:v>
      </x:c>
      <x:c r="I1305" s="9" t="n">
        <x:f>'Physical_Arcs'!R45</x:f>
        <x:v>17.02777777777778</x:v>
      </x:c>
      <x:c r="J1305" s="9" t="n">
        <x:f>I1305*'Parameters'!$C$18</x:f>
        <x:v>3.405555555555556</x:v>
      </x:c>
      <x:c r="K1305" s="9" t="n">
        <x:f>J1305*'Parameters'!$C$19</x:f>
        <x:v>4.256944444444445</x:v>
      </x:c>
      <x:c r="L1305" s="9" t="n">
        <x:f>I1305*(1-0.40)-J1305</x:f>
        <x:v>6.811111111111111</x:v>
      </x:c>
      <x:c r="M1305" s="9" t="n">
        <x:f>'Physical_Arcs'!S45</x:f>
        <x:v>17.02777777777778</x:v>
      </x:c>
      <x:c r="N1305" s="9" t="n">
        <x:f>M1305*'Parameters'!$C$18</x:f>
        <x:v>3.405555555555556</x:v>
      </x:c>
      <x:c r="O1305" s="9" t="n">
        <x:f>N1305*'Parameters'!$C$19</x:f>
        <x:v>4.256944444444445</x:v>
      </x:c>
      <x:c r="P1305" s="9" t="n">
        <x:f>M1305*(1-0.40)-N1305</x:f>
        <x:v>6.811111111111111</x:v>
      </x:c>
      <x:c r="Q1305" s="9" t="n">
        <x:f>'Physical_Arcs'!T45</x:f>
        <x:v>17.02777777777778</x:v>
      </x:c>
      <x:c r="R1305" s="9" t="n">
        <x:f>Q1305*'Parameters'!$C$18</x:f>
        <x:v>3.405555555555556</x:v>
      </x:c>
      <x:c r="S1305" s="9" t="n">
        <x:f>R1305*'Parameters'!$C$19</x:f>
        <x:v>4.256944444444445</x:v>
      </x:c>
      <x:c r="T1305" s="9" t="n">
        <x:f>Q1305*(1-0.40)-R1305</x:f>
        <x:v>6.811111111111111</x:v>
      </x:c>
    </x:row>
    <x:row r="1306" ht="21" customHeight="1">
      <x:c r="A1306" s="3" t="n">
        <x:v>21</x:v>
      </x:c>
      <x:c r="B1306" s="3" t="str">
        <x:v>03:30</x:v>
      </x:c>
      <x:c r="C1306" s="3" t="n">
        <x:v>4</x:v>
      </x:c>
      <x:c r="D1306" s="3" t="n">
        <x:v>45</x:v>
      </x:c>
      <x:c r="E1306" s="3" t="n">
        <x:v>8</x:v>
      </x:c>
      <x:c r="F1306" s="3" t="n">
        <x:v>3</x:v>
      </x:c>
      <x:c r="G1306" s="9" t="n">
        <x:v>0.08</x:v>
      </x:c>
      <x:c r="H1306" s="9" t="n">
        <x:v>0.944958</x:v>
      </x:c>
      <x:c r="I1306" s="9" t="n">
        <x:f>'Physical_Arcs'!R46</x:f>
        <x:v>5.388888888888889</x:v>
      </x:c>
      <x:c r="J1306" s="9" t="n">
        <x:f>I1306*'Parameters'!$C$18</x:f>
        <x:v>1.077777777777778</x:v>
      </x:c>
      <x:c r="K1306" s="9" t="n">
        <x:f>J1306*'Parameters'!$C$19</x:f>
        <x:v>1.3472222222222223</x:v>
      </x:c>
      <x:c r="L1306" s="9" t="n">
        <x:f>I1306*(1-0.40)-J1306</x:f>
        <x:v>2.1555555555555554</x:v>
      </x:c>
      <x:c r="M1306" s="9" t="n">
        <x:f>'Physical_Arcs'!S46</x:f>
        <x:v>5.388888888888889</x:v>
      </x:c>
      <x:c r="N1306" s="9" t="n">
        <x:f>M1306*'Parameters'!$C$18</x:f>
        <x:v>1.077777777777778</x:v>
      </x:c>
      <x:c r="O1306" s="9" t="n">
        <x:f>N1306*'Parameters'!$C$19</x:f>
        <x:v>1.3472222222222223</x:v>
      </x:c>
      <x:c r="P1306" s="9" t="n">
        <x:f>M1306*(1-0.40)-N1306</x:f>
        <x:v>2.1555555555555554</x:v>
      </x:c>
      <x:c r="Q1306" s="9" t="n">
        <x:f>'Physical_Arcs'!T46</x:f>
        <x:v>2.6944444444444446</x:v>
      </x:c>
      <x:c r="R1306" s="9" t="n">
        <x:f>Q1306*'Parameters'!$C$18</x:f>
        <x:v>0.538888888888889</x:v>
      </x:c>
      <x:c r="S1306" s="9" t="n">
        <x:f>R1306*'Parameters'!$C$19</x:f>
        <x:v>0.6736111111111112</x:v>
      </x:c>
      <x:c r="T1306" s="9" t="n">
        <x:f>Q1306*(1-0.40)-R1306</x:f>
        <x:v>1.0777777777777777</x:v>
      </x:c>
    </x:row>
    <x:row r="1307" ht="21" customHeight="1">
      <x:c r="A1307" s="3" t="n">
        <x:v>21</x:v>
      </x:c>
      <x:c r="B1307" s="3" t="str">
        <x:v>03:30</x:v>
      </x:c>
      <x:c r="C1307" s="3" t="n">
        <x:v>4</x:v>
      </x:c>
      <x:c r="D1307" s="3" t="n">
        <x:v>46</x:v>
      </x:c>
      <x:c r="E1307" s="3" t="n">
        <x:v>8</x:v>
      </x:c>
      <x:c r="F1307" s="3" t="n">
        <x:v>7</x:v>
      </x:c>
      <x:c r="G1307" s="9" t="n">
        <x:v>0.08</x:v>
      </x:c>
      <x:c r="H1307" s="9" t="n">
        <x:v>0.866232</x:v>
      </x:c>
      <x:c r="I1307" s="9" t="n">
        <x:f>'Physical_Arcs'!R47</x:f>
        <x:v>5.388888888888889</x:v>
      </x:c>
      <x:c r="J1307" s="9" t="n">
        <x:f>I1307*'Parameters'!$C$18</x:f>
        <x:v>1.077777777777778</x:v>
      </x:c>
      <x:c r="K1307" s="9" t="n">
        <x:f>J1307*'Parameters'!$C$19</x:f>
        <x:v>1.3472222222222223</x:v>
      </x:c>
      <x:c r="L1307" s="9" t="n">
        <x:f>I1307*(1-0.40)-J1307</x:f>
        <x:v>2.1555555555555554</x:v>
      </x:c>
      <x:c r="M1307" s="9" t="n">
        <x:f>'Physical_Arcs'!S47</x:f>
        <x:v>5.388888888888889</x:v>
      </x:c>
      <x:c r="N1307" s="9" t="n">
        <x:f>M1307*'Parameters'!$C$18</x:f>
        <x:v>1.077777777777778</x:v>
      </x:c>
      <x:c r="O1307" s="9" t="n">
        <x:f>N1307*'Parameters'!$C$19</x:f>
        <x:v>1.3472222222222223</x:v>
      </x:c>
      <x:c r="P1307" s="9" t="n">
        <x:f>M1307*(1-0.40)-N1307</x:f>
        <x:v>2.1555555555555554</x:v>
      </x:c>
      <x:c r="Q1307" s="9" t="n">
        <x:f>'Physical_Arcs'!T47</x:f>
        <x:v>2.6944444444444446</x:v>
      </x:c>
      <x:c r="R1307" s="9" t="n">
        <x:f>Q1307*'Parameters'!$C$18</x:f>
        <x:v>0.538888888888889</x:v>
      </x:c>
      <x:c r="S1307" s="9" t="n">
        <x:f>R1307*'Parameters'!$C$19</x:f>
        <x:v>0.6736111111111112</x:v>
      </x:c>
      <x:c r="T1307" s="9" t="n">
        <x:f>Q1307*(1-0.40)-R1307</x:f>
        <x:v>1.0777777777777777</x:v>
      </x:c>
    </x:row>
    <x:row r="1308" ht="21" customHeight="1">
      <x:c r="A1308" s="3" t="n">
        <x:v>21</x:v>
      </x:c>
      <x:c r="B1308" s="3" t="str">
        <x:v>03:30</x:v>
      </x:c>
      <x:c r="C1308" s="3" t="n">
        <x:v>4</x:v>
      </x:c>
      <x:c r="D1308" s="3" t="n">
        <x:v>47</x:v>
      </x:c>
      <x:c r="E1308" s="3" t="n">
        <x:v>8</x:v>
      </x:c>
      <x:c r="F1308" s="3" t="n">
        <x:v>2</x:v>
      </x:c>
      <x:c r="G1308" s="9" t="n">
        <x:v>0.08</x:v>
      </x:c>
      <x:c r="H1308" s="9" t="n">
        <x:v>1.135644</x:v>
      </x:c>
      <x:c r="I1308" s="9" t="n">
        <x:f>'Physical_Arcs'!R48</x:f>
        <x:v>8.083333333333334</x:v>
      </x:c>
      <x:c r="J1308" s="9" t="n">
        <x:f>I1308*'Parameters'!$C$18</x:f>
        <x:v>1.616666666666667</x:v>
      </x:c>
      <x:c r="K1308" s="9" t="n">
        <x:f>J1308*'Parameters'!$C$19</x:f>
        <x:v>2.0208333333333335</x:v>
      </x:c>
      <x:c r="L1308" s="9" t="n">
        <x:f>I1308*(1-0.40)-J1308</x:f>
        <x:v>3.2333333333333334</x:v>
      </x:c>
      <x:c r="M1308" s="9" t="n">
        <x:f>'Physical_Arcs'!S48</x:f>
        <x:v>8.083333333333334</x:v>
      </x:c>
      <x:c r="N1308" s="9" t="n">
        <x:f>M1308*'Parameters'!$C$18</x:f>
        <x:v>1.616666666666667</x:v>
      </x:c>
      <x:c r="O1308" s="9" t="n">
        <x:f>N1308*'Parameters'!$C$19</x:f>
        <x:v>2.0208333333333335</x:v>
      </x:c>
      <x:c r="P1308" s="9" t="n">
        <x:f>M1308*(1-0.40)-N1308</x:f>
        <x:v>3.2333333333333334</x:v>
      </x:c>
      <x:c r="Q1308" s="9" t="n">
        <x:f>'Physical_Arcs'!T48</x:f>
        <x:v>4.055555555555555</x:v>
      </x:c>
      <x:c r="R1308" s="9" t="n">
        <x:f>Q1308*'Parameters'!$C$18</x:f>
        <x:v>0.8111111111111111</x:v>
      </x:c>
      <x:c r="S1308" s="9" t="n">
        <x:f>R1308*'Parameters'!$C$19</x:f>
        <x:v>1.0138888888888888</x:v>
      </x:c>
      <x:c r="T1308" s="9" t="n">
        <x:f>Q1308*(1-0.40)-R1308</x:f>
        <x:v>1.622222222222222</x:v>
      </x:c>
    </x:row>
    <x:row r="1309" ht="21" customHeight="1">
      <x:c r="A1309" s="3" t="n">
        <x:v>21</x:v>
      </x:c>
      <x:c r="B1309" s="3" t="str">
        <x:v>03:30</x:v>
      </x:c>
      <x:c r="C1309" s="3" t="n">
        <x:v>4</x:v>
      </x:c>
      <x:c r="D1309" s="3" t="n">
        <x:v>48</x:v>
      </x:c>
      <x:c r="E1309" s="3" t="n">
        <x:v>8</x:v>
      </x:c>
      <x:c r="F1309" s="3" t="n">
        <x:v>6</x:v>
      </x:c>
      <x:c r="G1309" s="9" t="n">
        <x:v>0.08</x:v>
      </x:c>
      <x:c r="H1309" s="9" t="n">
        <x:v>0.850778</x:v>
      </x:c>
      <x:c r="I1309" s="9" t="n">
        <x:f>'Physical_Arcs'!R49</x:f>
        <x:v>10.555555555555555</x:v>
      </x:c>
      <x:c r="J1309" s="9" t="n">
        <x:f>I1309*'Parameters'!$C$18</x:f>
        <x:v>2.111111111111111</x:v>
      </x:c>
      <x:c r="K1309" s="9" t="n">
        <x:f>J1309*'Parameters'!$C$19</x:f>
        <x:v>2.638888888888889</x:v>
      </x:c>
      <x:c r="L1309" s="9" t="n">
        <x:f>I1309*(1-0.40)-J1309</x:f>
        <x:v>4.222222222222221</x:v>
      </x:c>
      <x:c r="M1309" s="9" t="n">
        <x:f>'Physical_Arcs'!S49</x:f>
        <x:v>10.555555555555555</x:v>
      </x:c>
      <x:c r="N1309" s="9" t="n">
        <x:f>M1309*'Parameters'!$C$18</x:f>
        <x:v>2.111111111111111</x:v>
      </x:c>
      <x:c r="O1309" s="9" t="n">
        <x:f>N1309*'Parameters'!$C$19</x:f>
        <x:v>2.638888888888889</x:v>
      </x:c>
      <x:c r="P1309" s="9" t="n">
        <x:f>M1309*(1-0.40)-N1309</x:f>
        <x:v>4.222222222222221</x:v>
      </x:c>
      <x:c r="Q1309" s="9" t="n">
        <x:f>'Physical_Arcs'!T49</x:f>
        <x:v>5.277777777777778</x:v>
      </x:c>
      <x:c r="R1309" s="9" t="n">
        <x:f>Q1309*'Parameters'!$C$18</x:f>
        <x:v>1.0555555555555556</x:v>
      </x:c>
      <x:c r="S1309" s="9" t="n">
        <x:f>R1309*'Parameters'!$C$19</x:f>
        <x:v>1.3194444444444444</x:v>
      </x:c>
      <x:c r="T1309" s="9" t="n">
        <x:f>Q1309*(1-0.40)-R1309</x:f>
        <x:v>2.1111111111111107</x:v>
      </x:c>
    </x:row>
    <x:row r="1310" ht="21" customHeight="1">
      <x:c r="A1310" s="3" t="n">
        <x:v>21</x:v>
      </x:c>
      <x:c r="B1310" s="3" t="str">
        <x:v>03:30</x:v>
      </x:c>
      <x:c r="C1310" s="3" t="n">
        <x:v>4</x:v>
      </x:c>
      <x:c r="D1310" s="3" t="n">
        <x:v>49</x:v>
      </x:c>
      <x:c r="E1310" s="3" t="n">
        <x:v>8</x:v>
      </x:c>
      <x:c r="F1310" s="3" t="n">
        <x:v>4</x:v>
      </x:c>
      <x:c r="G1310" s="9" t="n">
        <x:v>0.08</x:v>
      </x:c>
      <x:c r="H1310" s="9" t="n">
        <x:v>0.904949</x:v>
      </x:c>
      <x:c r="I1310" s="9" t="n">
        <x:f>'Physical_Arcs'!R50</x:f>
        <x:v>1.5833333333333333</x:v>
      </x:c>
      <x:c r="J1310" s="9" t="n">
        <x:f>I1310*'Parameters'!$C$18</x:f>
        <x:v>0.31666666666666665</x:v>
      </x:c>
      <x:c r="K1310" s="9" t="n">
        <x:f>J1310*'Parameters'!$C$19</x:f>
        <x:v>0.3958333333333333</x:v>
      </x:c>
      <x:c r="L1310" s="9" t="n">
        <x:f>I1310*(1-0.40)-J1310</x:f>
        <x:v>0.6333333333333333</x:v>
      </x:c>
      <x:c r="M1310" s="9" t="n">
        <x:f>'Physical_Arcs'!S50</x:f>
        <x:v>1.5833333333333333</x:v>
      </x:c>
      <x:c r="N1310" s="9" t="n">
        <x:f>M1310*'Parameters'!$C$18</x:f>
        <x:v>0.31666666666666665</x:v>
      </x:c>
      <x:c r="O1310" s="9" t="n">
        <x:f>N1310*'Parameters'!$C$19</x:f>
        <x:v>0.3958333333333333</x:v>
      </x:c>
      <x:c r="P1310" s="9" t="n">
        <x:f>M1310*(1-0.40)-N1310</x:f>
        <x:v>0.6333333333333333</x:v>
      </x:c>
      <x:c r="Q1310" s="9" t="n">
        <x:f>'Physical_Arcs'!T50</x:f>
        <x:v>0.8055555555555556</x:v>
      </x:c>
      <x:c r="R1310" s="9" t="n">
        <x:f>Q1310*'Parameters'!$C$18</x:f>
        <x:v>0.16111111111111112</x:v>
      </x:c>
      <x:c r="S1310" s="9" t="n">
        <x:f>R1310*'Parameters'!$C$19</x:f>
        <x:v>0.2013888888888889</x:v>
      </x:c>
      <x:c r="T1310" s="9" t="n">
        <x:f>Q1310*(1-0.40)-R1310</x:f>
        <x:v>0.3222222222222222</x:v>
      </x:c>
    </x:row>
    <x:row r="1311" ht="21" customHeight="1">
      <x:c r="A1311" s="3" t="n">
        <x:v>21</x:v>
      </x:c>
      <x:c r="B1311" s="3" t="str">
        <x:v>03:30</x:v>
      </x:c>
      <x:c r="C1311" s="3" t="n">
        <x:v>4</x:v>
      </x:c>
      <x:c r="D1311" s="3" t="n">
        <x:v>50</x:v>
      </x:c>
      <x:c r="E1311" s="3" t="n">
        <x:v>8</x:v>
      </x:c>
      <x:c r="F1311" s="3" t="n">
        <x:v>5</x:v>
      </x:c>
      <x:c r="G1311" s="9" t="n">
        <x:v>0.08</x:v>
      </x:c>
      <x:c r="H1311" s="9" t="n">
        <x:v>0.990416</x:v>
      </x:c>
      <x:c r="I1311" s="9" t="n">
        <x:f>'Physical_Arcs'!R51</x:f>
        <x:v>10.777777777777779</x:v>
      </x:c>
      <x:c r="J1311" s="9" t="n">
        <x:f>I1311*'Parameters'!$C$18</x:f>
        <x:v>2.155555555555556</x:v>
      </x:c>
      <x:c r="K1311" s="9" t="n">
        <x:f>J1311*'Parameters'!$C$19</x:f>
        <x:v>2.6944444444444446</x:v>
      </x:c>
      <x:c r="L1311" s="9" t="n">
        <x:f>I1311*(1-0.40)-J1311</x:f>
        <x:v>4.311111111111111</x:v>
      </x:c>
      <x:c r="M1311" s="9" t="n">
        <x:f>'Physical_Arcs'!S51</x:f>
        <x:v>10.777777777777779</x:v>
      </x:c>
      <x:c r="N1311" s="9" t="n">
        <x:f>M1311*'Parameters'!$C$18</x:f>
        <x:v>2.155555555555556</x:v>
      </x:c>
      <x:c r="O1311" s="9" t="n">
        <x:f>N1311*'Parameters'!$C$19</x:f>
        <x:v>2.6944444444444446</x:v>
      </x:c>
      <x:c r="P1311" s="9" t="n">
        <x:f>M1311*(1-0.40)-N1311</x:f>
        <x:v>4.311111111111111</x:v>
      </x:c>
      <x:c r="Q1311" s="9" t="n">
        <x:f>'Physical_Arcs'!T51</x:f>
        <x:v>5.388888888888889</x:v>
      </x:c>
      <x:c r="R1311" s="9" t="n">
        <x:f>Q1311*'Parameters'!$C$18</x:f>
        <x:v>1.077777777777778</x:v>
      </x:c>
      <x:c r="S1311" s="9" t="n">
        <x:f>R1311*'Parameters'!$C$19</x:f>
        <x:v>1.3472222222222223</x:v>
      </x:c>
      <x:c r="T1311" s="9" t="n">
        <x:f>Q1311*(1-0.40)-R1311</x:f>
        <x:v>2.1555555555555554</x:v>
      </x:c>
    </x:row>
    <x:row r="1312" ht="21" customHeight="1">
      <x:c r="A1312" s="3" t="n">
        <x:v>21</x:v>
      </x:c>
      <x:c r="B1312" s="3" t="str">
        <x:v>03:30</x:v>
      </x:c>
      <x:c r="C1312" s="3" t="n">
        <x:v>4</x:v>
      </x:c>
      <x:c r="D1312" s="3" t="n">
        <x:v>51</x:v>
      </x:c>
      <x:c r="E1312" s="3" t="n">
        <x:v>8</x:v>
      </x:c>
      <x:c r="F1312" s="3" t="n">
        <x:v>1</x:v>
      </x:c>
      <x:c r="G1312" s="9" t="n">
        <x:v>0.08</x:v>
      </x:c>
      <x:c r="H1312" s="9" t="n">
        <x:v>1.039066</x:v>
      </x:c>
      <x:c r="I1312" s="9" t="n">
        <x:f>'Physical_Arcs'!R52</x:f>
        <x:v>8.88888888888889</x:v>
      </x:c>
      <x:c r="J1312" s="9" t="n">
        <x:f>I1312*'Parameters'!$C$18</x:f>
        <x:v>1.777777777777778</x:v>
      </x:c>
      <x:c r="K1312" s="9" t="n">
        <x:f>J1312*'Parameters'!$C$19</x:f>
        <x:v>2.2222222222222223</x:v>
      </x:c>
      <x:c r="L1312" s="9" t="n">
        <x:f>I1312*(1-0.40)-J1312</x:f>
        <x:v>3.5555555555555554</x:v>
      </x:c>
      <x:c r="M1312" s="9" t="n">
        <x:f>'Physical_Arcs'!S52</x:f>
        <x:v>8.88888888888889</x:v>
      </x:c>
      <x:c r="N1312" s="9" t="n">
        <x:f>M1312*'Parameters'!$C$18</x:f>
        <x:v>1.777777777777778</x:v>
      </x:c>
      <x:c r="O1312" s="9" t="n">
        <x:f>N1312*'Parameters'!$C$19</x:f>
        <x:v>2.2222222222222223</x:v>
      </x:c>
      <x:c r="P1312" s="9" t="n">
        <x:f>M1312*(1-0.40)-N1312</x:f>
        <x:v>3.5555555555555554</x:v>
      </x:c>
      <x:c r="Q1312" s="9" t="n">
        <x:f>'Physical_Arcs'!T52</x:f>
        <x:v>4.444444444444445</x:v>
      </x:c>
      <x:c r="R1312" s="9" t="n">
        <x:f>Q1312*'Parameters'!$C$18</x:f>
        <x:v>0.888888888888889</x:v>
      </x:c>
      <x:c r="S1312" s="9" t="n">
        <x:f>R1312*'Parameters'!$C$19</x:f>
        <x:v>1.1111111111111112</x:v>
      </x:c>
      <x:c r="T1312" s="9" t="n">
        <x:f>Q1312*(1-0.40)-R1312</x:f>
        <x:v>1.7777777777777777</x:v>
      </x:c>
    </x:row>
    <x:row r="1313" ht="21" customHeight="1">
      <x:c r="A1313" s="3" t="n">
        <x:v>21</x:v>
      </x:c>
      <x:c r="B1313" s="3" t="str">
        <x:v>03:30</x:v>
      </x:c>
      <x:c r="C1313" s="3" t="n">
        <x:v>4</x:v>
      </x:c>
      <x:c r="D1313" s="3" t="n">
        <x:v>52</x:v>
      </x:c>
      <x:c r="E1313" s="3" t="n">
        <x:v>9</x:v>
      </x:c>
      <x:c r="F1313" s="3" t="n">
        <x:v>10</x:v>
      </x:c>
      <x:c r="G1313" s="9" t="n">
        <x:v>0.08</x:v>
      </x:c>
      <x:c r="H1313" s="9" t="n">
        <x:v>0.954096</x:v>
      </x:c>
      <x:c r="I1313" s="9" t="n">
        <x:f>'Physical_Arcs'!R53</x:f>
        <x:v>17.02777777777778</x:v>
      </x:c>
      <x:c r="J1313" s="9" t="n">
        <x:f>I1313*'Parameters'!$C$18</x:f>
        <x:v>3.405555555555556</x:v>
      </x:c>
      <x:c r="K1313" s="9" t="n">
        <x:f>J1313*'Parameters'!$C$19</x:f>
        <x:v>4.256944444444445</x:v>
      </x:c>
      <x:c r="L1313" s="9" t="n">
        <x:f>I1313*(1-0.40)-J1313</x:f>
        <x:v>6.811111111111111</x:v>
      </x:c>
      <x:c r="M1313" s="9" t="n">
        <x:f>'Physical_Arcs'!S53</x:f>
        <x:v>17.02777777777778</x:v>
      </x:c>
      <x:c r="N1313" s="9" t="n">
        <x:f>M1313*'Parameters'!$C$18</x:f>
        <x:v>3.405555555555556</x:v>
      </x:c>
      <x:c r="O1313" s="9" t="n">
        <x:f>N1313*'Parameters'!$C$19</x:f>
        <x:v>4.256944444444445</x:v>
      </x:c>
      <x:c r="P1313" s="9" t="n">
        <x:f>M1313*(1-0.40)-N1313</x:f>
        <x:v>6.811111111111111</x:v>
      </x:c>
      <x:c r="Q1313" s="9" t="n">
        <x:f>'Physical_Arcs'!T53</x:f>
        <x:v>17.02777777777778</x:v>
      </x:c>
      <x:c r="R1313" s="9" t="n">
        <x:f>Q1313*'Parameters'!$C$18</x:f>
        <x:v>3.405555555555556</x:v>
      </x:c>
      <x:c r="S1313" s="9" t="n">
        <x:f>R1313*'Parameters'!$C$19</x:f>
        <x:v>4.256944444444445</x:v>
      </x:c>
      <x:c r="T1313" s="9" t="n">
        <x:f>Q1313*(1-0.40)-R1313</x:f>
        <x:v>6.811111111111111</x:v>
      </x:c>
    </x:row>
    <x:row r="1314" ht="21" customHeight="1">
      <x:c r="A1314" s="3" t="n">
        <x:v>21</x:v>
      </x:c>
      <x:c r="B1314" s="3" t="str">
        <x:v>03:30</x:v>
      </x:c>
      <x:c r="C1314" s="3" t="n">
        <x:v>4</x:v>
      </x:c>
      <x:c r="D1314" s="3" t="n">
        <x:v>53</x:v>
      </x:c>
      <x:c r="E1314" s="3" t="n">
        <x:v>9</x:v>
      </x:c>
      <x:c r="F1314" s="3" t="n">
        <x:v>6</x:v>
      </x:c>
      <x:c r="G1314" s="9" t="n">
        <x:v>0.08</x:v>
      </x:c>
      <x:c r="H1314" s="9" t="n">
        <x:v>1.125574</x:v>
      </x:c>
      <x:c r="I1314" s="9" t="n">
        <x:f>'Physical_Arcs'!R54</x:f>
        <x:v>9.666666666666666</x:v>
      </x:c>
      <x:c r="J1314" s="9" t="n">
        <x:f>I1314*'Parameters'!$C$18</x:f>
        <x:v>1.9333333333333333</x:v>
      </x:c>
      <x:c r="K1314" s="9" t="n">
        <x:f>J1314*'Parameters'!$C$19</x:f>
        <x:v>2.4166666666666665</x:v>
      </x:c>
      <x:c r="L1314" s="9" t="n">
        <x:f>I1314*(1-0.40)-J1314</x:f>
        <x:v>3.8666666666666663</x:v>
      </x:c>
      <x:c r="M1314" s="9" t="n">
        <x:f>'Physical_Arcs'!S54</x:f>
        <x:v>9.666666666666666</x:v>
      </x:c>
      <x:c r="N1314" s="9" t="n">
        <x:f>M1314*'Parameters'!$C$18</x:f>
        <x:v>1.9333333333333333</x:v>
      </x:c>
      <x:c r="O1314" s="9" t="n">
        <x:f>N1314*'Parameters'!$C$19</x:f>
        <x:v>2.4166666666666665</x:v>
      </x:c>
      <x:c r="P1314" s="9" t="n">
        <x:f>M1314*(1-0.40)-N1314</x:f>
        <x:v>3.8666666666666663</x:v>
      </x:c>
      <x:c r="Q1314" s="9" t="n">
        <x:f>'Physical_Arcs'!T54</x:f>
        <x:v>4.833333333333333</x:v>
      </x:c>
      <x:c r="R1314" s="9" t="n">
        <x:f>Q1314*'Parameters'!$C$18</x:f>
        <x:v>0.9666666666666667</x:v>
      </x:c>
      <x:c r="S1314" s="9" t="n">
        <x:f>R1314*'Parameters'!$C$19</x:f>
        <x:v>1.2083333333333333</x:v>
      </x:c>
      <x:c r="T1314" s="9" t="n">
        <x:f>Q1314*(1-0.40)-R1314</x:f>
        <x:v>1.9333333333333331</x:v>
      </x:c>
    </x:row>
    <x:row r="1315" ht="21" customHeight="1">
      <x:c r="A1315" s="3" t="n">
        <x:v>21</x:v>
      </x:c>
      <x:c r="B1315" s="3" t="str">
        <x:v>03:30</x:v>
      </x:c>
      <x:c r="C1315" s="3" t="n">
        <x:v>4</x:v>
      </x:c>
      <x:c r="D1315" s="3" t="n">
        <x:v>54</x:v>
      </x:c>
      <x:c r="E1315" s="3" t="n">
        <x:v>9</x:v>
      </x:c>
      <x:c r="F1315" s="3" t="n">
        <x:v>2</x:v>
      </x:c>
      <x:c r="G1315" s="9" t="n">
        <x:v>0.08</x:v>
      </x:c>
      <x:c r="H1315" s="9" t="n">
        <x:v>0.854534</x:v>
      </x:c>
      <x:c r="I1315" s="9" t="n">
        <x:f>'Physical_Arcs'!R55</x:f>
        <x:v>9.88888888888889</x:v>
      </x:c>
      <x:c r="J1315" s="9" t="n">
        <x:f>I1315*'Parameters'!$C$18</x:f>
        <x:v>1.9777777777777779</x:v>
      </x:c>
      <x:c r="K1315" s="9" t="n">
        <x:f>J1315*'Parameters'!$C$19</x:f>
        <x:v>2.4722222222222223</x:v>
      </x:c>
      <x:c r="L1315" s="9" t="n">
        <x:f>I1315*(1-0.40)-J1315</x:f>
        <x:v>3.9555555555555557</x:v>
      </x:c>
      <x:c r="M1315" s="9" t="n">
        <x:f>'Physical_Arcs'!S55</x:f>
        <x:v>9.88888888888889</x:v>
      </x:c>
      <x:c r="N1315" s="9" t="n">
        <x:f>M1315*'Parameters'!$C$18</x:f>
        <x:v>1.9777777777777779</x:v>
      </x:c>
      <x:c r="O1315" s="9" t="n">
        <x:f>N1315*'Parameters'!$C$19</x:f>
        <x:v>2.4722222222222223</x:v>
      </x:c>
      <x:c r="P1315" s="9" t="n">
        <x:f>M1315*(1-0.40)-N1315</x:f>
        <x:v>3.9555555555555557</x:v>
      </x:c>
      <x:c r="Q1315" s="9" t="n">
        <x:f>'Physical_Arcs'!T55</x:f>
        <x:v>4.944444444444445</x:v>
      </x:c>
      <x:c r="R1315" s="9" t="n">
        <x:f>Q1315*'Parameters'!$C$18</x:f>
        <x:v>0.9888888888888889</x:v>
      </x:c>
      <x:c r="S1315" s="9" t="n">
        <x:f>R1315*'Parameters'!$C$19</x:f>
        <x:v>1.2361111111111112</x:v>
      </x:c>
      <x:c r="T1315" s="9" t="n">
        <x:f>Q1315*(1-0.40)-R1315</x:f>
        <x:v>1.9777777777777779</x:v>
      </x:c>
    </x:row>
    <x:row r="1316" ht="21" customHeight="1">
      <x:c r="A1316" s="3" t="n">
        <x:v>21</x:v>
      </x:c>
      <x:c r="B1316" s="3" t="str">
        <x:v>03:30</x:v>
      </x:c>
      <x:c r="C1316" s="3" t="n">
        <x:v>4</x:v>
      </x:c>
      <x:c r="D1316" s="3" t="n">
        <x:v>55</x:v>
      </x:c>
      <x:c r="E1316" s="3" t="n">
        <x:v>9</x:v>
      </x:c>
      <x:c r="F1316" s="3" t="n">
        <x:v>7</x:v>
      </x:c>
      <x:c r="G1316" s="9" t="n">
        <x:v>0.08</x:v>
      </x:c>
      <x:c r="H1316" s="9" t="n">
        <x:v>0.900033</x:v>
      </x:c>
      <x:c r="I1316" s="9" t="n">
        <x:f>'Physical_Arcs'!R56</x:f>
        <x:v>4.166666666666667</x:v>
      </x:c>
      <x:c r="J1316" s="9" t="n">
        <x:f>I1316*'Parameters'!$C$18</x:f>
        <x:v>0.8333333333333335</x:v>
      </x:c>
      <x:c r="K1316" s="9" t="n">
        <x:f>J1316*'Parameters'!$C$19</x:f>
        <x:v>1.041666666666667</x:v>
      </x:c>
      <x:c r="L1316" s="9" t="n">
        <x:f>I1316*(1-0.40)-J1316</x:f>
        <x:v>1.6666666666666665</x:v>
      </x:c>
      <x:c r="M1316" s="9" t="n">
        <x:f>'Physical_Arcs'!S56</x:f>
        <x:v>4.166666666666667</x:v>
      </x:c>
      <x:c r="N1316" s="9" t="n">
        <x:f>M1316*'Parameters'!$C$18</x:f>
        <x:v>0.8333333333333335</x:v>
      </x:c>
      <x:c r="O1316" s="9" t="n">
        <x:f>N1316*'Parameters'!$C$19</x:f>
        <x:v>1.041666666666667</x:v>
      </x:c>
      <x:c r="P1316" s="9" t="n">
        <x:f>M1316*(1-0.40)-N1316</x:f>
        <x:v>1.6666666666666665</x:v>
      </x:c>
      <x:c r="Q1316" s="9" t="n">
        <x:f>'Physical_Arcs'!T56</x:f>
        <x:v>2.0833333333333335</x:v>
      </x:c>
      <x:c r="R1316" s="9" t="n">
        <x:f>Q1316*'Parameters'!$C$18</x:f>
        <x:v>0.41666666666666674</x:v>
      </x:c>
      <x:c r="S1316" s="9" t="n">
        <x:f>R1316*'Parameters'!$C$19</x:f>
        <x:v>0.5208333333333335</x:v>
      </x:c>
      <x:c r="T1316" s="9" t="n">
        <x:f>Q1316*(1-0.40)-R1316</x:f>
        <x:v>0.8333333333333333</x:v>
      </x:c>
    </x:row>
    <x:row r="1317" ht="21" customHeight="1">
      <x:c r="A1317" s="3" t="n">
        <x:v>21</x:v>
      </x:c>
      <x:c r="B1317" s="3" t="str">
        <x:v>03:30</x:v>
      </x:c>
      <x:c r="C1317" s="3" t="n">
        <x:v>4</x:v>
      </x:c>
      <x:c r="D1317" s="3" t="n">
        <x:v>56</x:v>
      </x:c>
      <x:c r="E1317" s="3" t="n">
        <x:v>9</x:v>
      </x:c>
      <x:c r="F1317" s="3" t="n">
        <x:v>3</x:v>
      </x:c>
      <x:c r="G1317" s="9" t="n">
        <x:v>0.08</x:v>
      </x:c>
      <x:c r="H1317" s="9" t="n">
        <x:v>0.893428</x:v>
      </x:c>
      <x:c r="I1317" s="9" t="n">
        <x:f>'Physical_Arcs'!R57</x:f>
        <x:v>3.7222222222222223</x:v>
      </x:c>
      <x:c r="J1317" s="9" t="n">
        <x:f>I1317*'Parameters'!$C$18</x:f>
        <x:v>0.7444444444444445</x:v>
      </x:c>
      <x:c r="K1317" s="9" t="n">
        <x:f>J1317*'Parameters'!$C$19</x:f>
        <x:v>0.9305555555555556</x:v>
      </x:c>
      <x:c r="L1317" s="9" t="n">
        <x:f>I1317*(1-0.40)-J1317</x:f>
        <x:v>1.488888888888889</x:v>
      </x:c>
      <x:c r="M1317" s="9" t="n">
        <x:f>'Physical_Arcs'!S57</x:f>
        <x:v>3.7222222222222223</x:v>
      </x:c>
      <x:c r="N1317" s="9" t="n">
        <x:f>M1317*'Parameters'!$C$18</x:f>
        <x:v>0.7444444444444445</x:v>
      </x:c>
      <x:c r="O1317" s="9" t="n">
        <x:f>N1317*'Parameters'!$C$19</x:f>
        <x:v>0.9305555555555556</x:v>
      </x:c>
      <x:c r="P1317" s="9" t="n">
        <x:f>M1317*(1-0.40)-N1317</x:f>
        <x:v>1.488888888888889</x:v>
      </x:c>
      <x:c r="Q1317" s="9" t="n">
        <x:f>'Physical_Arcs'!T57</x:f>
        <x:v>1.8611111111111112</x:v>
      </x:c>
      <x:c r="R1317" s="9" t="n">
        <x:f>Q1317*'Parameters'!$C$18</x:f>
        <x:v>0.37222222222222223</x:v>
      </x:c>
      <x:c r="S1317" s="9" t="n">
        <x:f>R1317*'Parameters'!$C$19</x:f>
        <x:v>0.4652777777777778</x:v>
      </x:c>
      <x:c r="T1317" s="9" t="n">
        <x:f>Q1317*(1-0.40)-R1317</x:f>
        <x:v>0.7444444444444445</x:v>
      </x:c>
    </x:row>
    <x:row r="1318" ht="21" customHeight="1">
      <x:c r="A1318" s="3" t="n">
        <x:v>21</x:v>
      </x:c>
      <x:c r="B1318" s="3" t="str">
        <x:v>03:30</x:v>
      </x:c>
      <x:c r="C1318" s="3" t="n">
        <x:v>4</x:v>
      </x:c>
      <x:c r="D1318" s="3" t="n">
        <x:v>57</x:v>
      </x:c>
      <x:c r="E1318" s="3" t="n">
        <x:v>10</x:v>
      </x:c>
      <x:c r="F1318" s="3" t="n">
        <x:v>1</x:v>
      </x:c>
      <x:c r="G1318" s="9" t="n">
        <x:v>0.08</x:v>
      </x:c>
      <x:c r="H1318" s="9" t="n">
        <x:v>1.027979</x:v>
      </x:c>
      <x:c r="I1318" s="9" t="n">
        <x:f>'Physical_Arcs'!R58</x:f>
        <x:v>17.02777777777778</x:v>
      </x:c>
      <x:c r="J1318" s="9" t="n">
        <x:f>I1318*'Parameters'!$C$18</x:f>
        <x:v>3.405555555555556</x:v>
      </x:c>
      <x:c r="K1318" s="9" t="n">
        <x:f>J1318*'Parameters'!$C$19</x:f>
        <x:v>4.256944444444445</x:v>
      </x:c>
      <x:c r="L1318" s="9" t="n">
        <x:f>I1318*(1-0.40)-J1318</x:f>
        <x:v>6.811111111111111</x:v>
      </x:c>
      <x:c r="M1318" s="9" t="n">
        <x:f>'Physical_Arcs'!S58</x:f>
        <x:v>17.02777777777778</x:v>
      </x:c>
      <x:c r="N1318" s="9" t="n">
        <x:f>M1318*'Parameters'!$C$18</x:f>
        <x:v>3.405555555555556</x:v>
      </x:c>
      <x:c r="O1318" s="9" t="n">
        <x:f>N1318*'Parameters'!$C$19</x:f>
        <x:v>4.256944444444445</x:v>
      </x:c>
      <x:c r="P1318" s="9" t="n">
        <x:f>M1318*(1-0.40)-N1318</x:f>
        <x:v>6.811111111111111</x:v>
      </x:c>
      <x:c r="Q1318" s="9" t="n">
        <x:f>'Physical_Arcs'!T58</x:f>
        <x:v>17.02777777777778</x:v>
      </x:c>
      <x:c r="R1318" s="9" t="n">
        <x:f>Q1318*'Parameters'!$C$18</x:f>
        <x:v>3.405555555555556</x:v>
      </x:c>
      <x:c r="S1318" s="9" t="n">
        <x:f>R1318*'Parameters'!$C$19</x:f>
        <x:v>4.256944444444445</x:v>
      </x:c>
      <x:c r="T1318" s="9" t="n">
        <x:f>Q1318*(1-0.40)-R1318</x:f>
        <x:v>6.811111111111111</x:v>
      </x:c>
    </x:row>
    <x:row r="1319" ht="21" customHeight="1">
      <x:c r="A1319" s="3" t="n">
        <x:v>21</x:v>
      </x:c>
      <x:c r="B1319" s="3" t="str">
        <x:v>03:30</x:v>
      </x:c>
      <x:c r="C1319" s="3" t="n">
        <x:v>4</x:v>
      </x:c>
      <x:c r="D1319" s="3" t="n">
        <x:v>58</x:v>
      </x:c>
      <x:c r="E1319" s="3" t="n">
        <x:v>10</x:v>
      </x:c>
      <x:c r="F1319" s="3" t="n">
        <x:v>6</x:v>
      </x:c>
      <x:c r="G1319" s="9" t="n">
        <x:v>0.08</x:v>
      </x:c>
      <x:c r="H1319" s="9" t="n">
        <x:v>0.952676</x:v>
      </x:c>
      <x:c r="I1319" s="9" t="n">
        <x:f>'Physical_Arcs'!R59</x:f>
        <x:v>6.305555555555555</x:v>
      </x:c>
      <x:c r="J1319" s="9" t="n">
        <x:f>I1319*'Parameters'!$C$18</x:f>
        <x:v>1.261111111111111</x:v>
      </x:c>
      <x:c r="K1319" s="9" t="n">
        <x:f>J1319*'Parameters'!$C$19</x:f>
        <x:v>1.5763888888888888</x:v>
      </x:c>
      <x:c r="L1319" s="9" t="n">
        <x:f>I1319*(1-0.40)-J1319</x:f>
        <x:v>2.522222222222222</x:v>
      </x:c>
      <x:c r="M1319" s="9" t="n">
        <x:f>'Physical_Arcs'!S59</x:f>
        <x:v>6.305555555555555</x:v>
      </x:c>
      <x:c r="N1319" s="9" t="n">
        <x:f>M1319*'Parameters'!$C$18</x:f>
        <x:v>1.261111111111111</x:v>
      </x:c>
      <x:c r="O1319" s="9" t="n">
        <x:f>N1319*'Parameters'!$C$19</x:f>
        <x:v>1.5763888888888888</x:v>
      </x:c>
      <x:c r="P1319" s="9" t="n">
        <x:f>M1319*(1-0.40)-N1319</x:f>
        <x:v>2.522222222222222</x:v>
      </x:c>
      <x:c r="Q1319" s="9" t="n">
        <x:f>'Physical_Arcs'!T59</x:f>
        <x:v>3.1666666666666665</x:v>
      </x:c>
      <x:c r="R1319" s="9" t="n">
        <x:f>Q1319*'Parameters'!$C$18</x:f>
        <x:v>0.6333333333333333</x:v>
      </x:c>
      <x:c r="S1319" s="9" t="n">
        <x:f>R1319*'Parameters'!$C$19</x:f>
        <x:v>0.7916666666666666</x:v>
      </x:c>
      <x:c r="T1319" s="9" t="n">
        <x:f>Q1319*(1-0.40)-R1319</x:f>
        <x:v>1.2666666666666666</x:v>
      </x:c>
    </x:row>
    <x:row r="1320" ht="21" customHeight="1">
      <x:c r="A1320" s="3" t="n">
        <x:v>21</x:v>
      </x:c>
      <x:c r="B1320" s="3" t="str">
        <x:v>03:30</x:v>
      </x:c>
      <x:c r="C1320" s="3" t="n">
        <x:v>4</x:v>
      </x:c>
      <x:c r="D1320" s="3" t="n">
        <x:v>59</x:v>
      </x:c>
      <x:c r="E1320" s="3" t="n">
        <x:v>10</x:v>
      </x:c>
      <x:c r="F1320" s="3" t="n">
        <x:v>4</x:v>
      </x:c>
      <x:c r="G1320" s="9" t="n">
        <x:v>0.08</x:v>
      </x:c>
      <x:c r="H1320" s="9" t="n">
        <x:v>1.114542</x:v>
      </x:c>
      <x:c r="I1320" s="9" t="n">
        <x:f>'Physical_Arcs'!R60</x:f>
        <x:v>1.5833333333333333</x:v>
      </x:c>
      <x:c r="J1320" s="9" t="n">
        <x:f>I1320*'Parameters'!$C$18</x:f>
        <x:v>0.31666666666666665</x:v>
      </x:c>
      <x:c r="K1320" s="9" t="n">
        <x:f>J1320*'Parameters'!$C$19</x:f>
        <x:v>0.3958333333333333</x:v>
      </x:c>
      <x:c r="L1320" s="9" t="n">
        <x:f>I1320*(1-0.40)-J1320</x:f>
        <x:v>0.6333333333333333</x:v>
      </x:c>
      <x:c r="M1320" s="9" t="n">
        <x:f>'Physical_Arcs'!S60</x:f>
        <x:v>1.5833333333333333</x:v>
      </x:c>
      <x:c r="N1320" s="9" t="n">
        <x:f>M1320*'Parameters'!$C$18</x:f>
        <x:v>0.31666666666666665</x:v>
      </x:c>
      <x:c r="O1320" s="9" t="n">
        <x:f>N1320*'Parameters'!$C$19</x:f>
        <x:v>0.3958333333333333</x:v>
      </x:c>
      <x:c r="P1320" s="9" t="n">
        <x:f>M1320*(1-0.40)-N1320</x:f>
        <x:v>0.6333333333333333</x:v>
      </x:c>
      <x:c r="Q1320" s="9" t="n">
        <x:f>'Physical_Arcs'!T60</x:f>
        <x:v>0.8055555555555556</x:v>
      </x:c>
      <x:c r="R1320" s="9" t="n">
        <x:f>Q1320*'Parameters'!$C$18</x:f>
        <x:v>0.16111111111111112</x:v>
      </x:c>
      <x:c r="S1320" s="9" t="n">
        <x:f>R1320*'Parameters'!$C$19</x:f>
        <x:v>0.2013888888888889</x:v>
      </x:c>
      <x:c r="T1320" s="9" t="n">
        <x:f>Q1320*(1-0.40)-R1320</x:f>
        <x:v>0.3222222222222222</x:v>
      </x:c>
    </x:row>
    <x:row r="1321" ht="21" customHeight="1">
      <x:c r="A1321" s="3" t="n">
        <x:v>21</x:v>
      </x:c>
      <x:c r="B1321" s="3" t="str">
        <x:v>03:30</x:v>
      </x:c>
      <x:c r="C1321" s="3" t="n">
        <x:v>4</x:v>
      </x:c>
      <x:c r="D1321" s="3" t="n">
        <x:v>60</x:v>
      </x:c>
      <x:c r="E1321" s="3" t="n">
        <x:v>10</x:v>
      </x:c>
      <x:c r="F1321" s="3" t="n">
        <x:v>9</x:v>
      </x:c>
      <x:c r="G1321" s="9" t="n">
        <x:v>0.08</x:v>
      </x:c>
      <x:c r="H1321" s="9" t="n">
        <x:v>1.092245</x:v>
      </x:c>
      <x:c r="I1321" s="9" t="n">
        <x:f>'Physical_Arcs'!R61</x:f>
        <x:v>10.333333333333334</x:v>
      </x:c>
      <x:c r="J1321" s="9" t="n">
        <x:f>I1321*'Parameters'!$C$18</x:f>
        <x:v>2.066666666666667</x:v>
      </x:c>
      <x:c r="K1321" s="9" t="n">
        <x:f>J1321*'Parameters'!$C$19</x:f>
        <x:v>2.5833333333333335</x:v>
      </x:c>
      <x:c r="L1321" s="9" t="n">
        <x:f>I1321*(1-0.40)-J1321</x:f>
        <x:v>4.133333333333333</x:v>
      </x:c>
      <x:c r="M1321" s="9" t="n">
        <x:f>'Physical_Arcs'!S61</x:f>
        <x:v>10.333333333333334</x:v>
      </x:c>
      <x:c r="N1321" s="9" t="n">
        <x:f>M1321*'Parameters'!$C$18</x:f>
        <x:v>2.066666666666667</x:v>
      </x:c>
      <x:c r="O1321" s="9" t="n">
        <x:f>N1321*'Parameters'!$C$19</x:f>
        <x:v>2.5833333333333335</x:v>
      </x:c>
      <x:c r="P1321" s="9" t="n">
        <x:f>M1321*(1-0.40)-N1321</x:f>
        <x:v>4.133333333333333</x:v>
      </x:c>
      <x:c r="Q1321" s="9" t="n">
        <x:f>'Physical_Arcs'!T61</x:f>
        <x:v>5.166666666666667</x:v>
      </x:c>
      <x:c r="R1321" s="9" t="n">
        <x:f>Q1321*'Parameters'!$C$18</x:f>
        <x:v>1.0333333333333334</x:v>
      </x:c>
      <x:c r="S1321" s="9" t="n">
        <x:f>R1321*'Parameters'!$C$19</x:f>
        <x:v>1.2916666666666667</x:v>
      </x:c>
      <x:c r="T1321" s="9" t="n">
        <x:f>Q1321*(1-0.40)-R1321</x:f>
        <x:v>2.0666666666666664</x:v>
      </x:c>
    </x:row>
    <x:row r="1322" ht="21" customHeight="1">
      <x:c r="A1322" s="3" t="n">
        <x:v>22</x:v>
      </x:c>
      <x:c r="B1322" s="3" t="str">
        <x:v>03:40</x:v>
      </x:c>
      <x:c r="C1322" s="3" t="n">
        <x:v>4</x:v>
      </x:c>
      <x:c r="D1322" s="3" t="n">
        <x:v>1</x:v>
      </x:c>
      <x:c r="E1322" s="3" t="n">
        <x:v>1</x:v>
      </x:c>
      <x:c r="F1322" s="3" t="n">
        <x:v>2</x:v>
      </x:c>
      <x:c r="G1322" s="9" t="n">
        <x:v>0.08</x:v>
      </x:c>
      <x:c r="H1322" s="9" t="n">
        <x:v>0.914787</x:v>
      </x:c>
      <x:c r="I1322" s="9" t="n">
        <x:f>'Physical_Arcs'!R2</x:f>
        <x:v>17.02777777777778</x:v>
      </x:c>
      <x:c r="J1322" s="9" t="n">
        <x:f>I1322*'Parameters'!$C$18</x:f>
        <x:v>3.405555555555556</x:v>
      </x:c>
      <x:c r="K1322" s="9" t="n">
        <x:f>J1322*'Parameters'!$C$19</x:f>
        <x:v>4.256944444444445</x:v>
      </x:c>
      <x:c r="L1322" s="9" t="n">
        <x:f>I1322*(1-0.40)-J1322</x:f>
        <x:v>6.811111111111111</x:v>
      </x:c>
      <x:c r="M1322" s="9" t="n">
        <x:f>'Physical_Arcs'!S2</x:f>
        <x:v>17.02777777777778</x:v>
      </x:c>
      <x:c r="N1322" s="9" t="n">
        <x:f>M1322*'Parameters'!$C$18</x:f>
        <x:v>3.405555555555556</x:v>
      </x:c>
      <x:c r="O1322" s="9" t="n">
        <x:f>N1322*'Parameters'!$C$19</x:f>
        <x:v>4.256944444444445</x:v>
      </x:c>
      <x:c r="P1322" s="9" t="n">
        <x:f>M1322*(1-0.40)-N1322</x:f>
        <x:v>6.811111111111111</x:v>
      </x:c>
      <x:c r="Q1322" s="9" t="n">
        <x:f>'Physical_Arcs'!T2</x:f>
        <x:v>17.02777777777778</x:v>
      </x:c>
      <x:c r="R1322" s="9" t="n">
        <x:f>Q1322*'Parameters'!$C$18</x:f>
        <x:v>3.405555555555556</x:v>
      </x:c>
      <x:c r="S1322" s="9" t="n">
        <x:f>R1322*'Parameters'!$C$19</x:f>
        <x:v>4.256944444444445</x:v>
      </x:c>
      <x:c r="T1322" s="9" t="n">
        <x:f>Q1322*(1-0.40)-R1322</x:f>
        <x:v>6.811111111111111</x:v>
      </x:c>
    </x:row>
    <x:row r="1323" ht="21" customHeight="1">
      <x:c r="A1323" s="3" t="n">
        <x:v>22</x:v>
      </x:c>
      <x:c r="B1323" s="3" t="str">
        <x:v>03:40</x:v>
      </x:c>
      <x:c r="C1323" s="3" t="n">
        <x:v>4</x:v>
      </x:c>
      <x:c r="D1323" s="3" t="n">
        <x:v>2</x:v>
      </x:c>
      <x:c r="E1323" s="3" t="n">
        <x:v>1</x:v>
      </x:c>
      <x:c r="F1323" s="3" t="n">
        <x:v>10</x:v>
      </x:c>
      <x:c r="G1323" s="9" t="n">
        <x:v>0.08</x:v>
      </x:c>
      <x:c r="H1323" s="9" t="n">
        <x:v>1.003995</x:v>
      </x:c>
      <x:c r="I1323" s="9" t="n">
        <x:f>'Physical_Arcs'!R3</x:f>
        <x:v>3.2777777777777777</x:v>
      </x:c>
      <x:c r="J1323" s="9" t="n">
        <x:f>I1323*'Parameters'!$C$18</x:f>
        <x:v>0.6555555555555556</x:v>
      </x:c>
      <x:c r="K1323" s="9" t="n">
        <x:f>J1323*'Parameters'!$C$19</x:f>
        <x:v>0.8194444444444444</x:v>
      </x:c>
      <x:c r="L1323" s="9" t="n">
        <x:f>I1323*(1-0.40)-J1323</x:f>
        <x:v>1.311111111111111</x:v>
      </x:c>
      <x:c r="M1323" s="9" t="n">
        <x:f>'Physical_Arcs'!S3</x:f>
        <x:v>3.2777777777777777</x:v>
      </x:c>
      <x:c r="N1323" s="9" t="n">
        <x:f>M1323*'Parameters'!$C$18</x:f>
        <x:v>0.6555555555555556</x:v>
      </x:c>
      <x:c r="O1323" s="9" t="n">
        <x:f>N1323*'Parameters'!$C$19</x:f>
        <x:v>0.8194444444444444</x:v>
      </x:c>
      <x:c r="P1323" s="9" t="n">
        <x:f>M1323*(1-0.40)-N1323</x:f>
        <x:v>1.311111111111111</x:v>
      </x:c>
      <x:c r="Q1323" s="9" t="n">
        <x:f>'Physical_Arcs'!T3</x:f>
        <x:v>1.6388888888888888</x:v>
      </x:c>
      <x:c r="R1323" s="9" t="n">
        <x:f>Q1323*'Parameters'!$C$18</x:f>
        <x:v>0.3277777777777778</x:v>
      </x:c>
      <x:c r="S1323" s="9" t="n">
        <x:f>R1323*'Parameters'!$C$19</x:f>
        <x:v>0.4097222222222222</x:v>
      </x:c>
      <x:c r="T1323" s="9" t="n">
        <x:f>Q1323*(1-0.40)-R1323</x:f>
        <x:v>0.6555555555555554</x:v>
      </x:c>
    </x:row>
    <x:row r="1324" ht="21" customHeight="1">
      <x:c r="A1324" s="3" t="n">
        <x:v>22</x:v>
      </x:c>
      <x:c r="B1324" s="3" t="str">
        <x:v>03:40</x:v>
      </x:c>
      <x:c r="C1324" s="3" t="n">
        <x:v>4</x:v>
      </x:c>
      <x:c r="D1324" s="3" t="n">
        <x:v>3</x:v>
      </x:c>
      <x:c r="E1324" s="3" t="n">
        <x:v>1</x:v>
      </x:c>
      <x:c r="F1324" s="3" t="n">
        <x:v>8</x:v>
      </x:c>
      <x:c r="G1324" s="9" t="n">
        <x:v>0.08</x:v>
      </x:c>
      <x:c r="H1324" s="9" t="n">
        <x:v>0.923863</x:v>
      </x:c>
      <x:c r="I1324" s="9" t="n">
        <x:f>'Physical_Arcs'!R4</x:f>
        <x:v>6.083333333333333</x:v>
      </x:c>
      <x:c r="J1324" s="9" t="n">
        <x:f>I1324*'Parameters'!$C$18</x:f>
        <x:v>1.2166666666666668</x:v>
      </x:c>
      <x:c r="K1324" s="9" t="n">
        <x:f>J1324*'Parameters'!$C$19</x:f>
        <x:v>1.5208333333333335</x:v>
      </x:c>
      <x:c r="L1324" s="9" t="n">
        <x:f>I1324*(1-0.40)-J1324</x:f>
        <x:v>2.4333333333333327</x:v>
      </x:c>
      <x:c r="M1324" s="9" t="n">
        <x:f>'Physical_Arcs'!S4</x:f>
        <x:v>6.083333333333333</x:v>
      </x:c>
      <x:c r="N1324" s="9" t="n">
        <x:f>M1324*'Parameters'!$C$18</x:f>
        <x:v>1.2166666666666668</x:v>
      </x:c>
      <x:c r="O1324" s="9" t="n">
        <x:f>N1324*'Parameters'!$C$19</x:f>
        <x:v>1.5208333333333335</x:v>
      </x:c>
      <x:c r="P1324" s="9" t="n">
        <x:f>M1324*(1-0.40)-N1324</x:f>
        <x:v>2.4333333333333327</x:v>
      </x:c>
      <x:c r="Q1324" s="9" t="n">
        <x:f>'Physical_Arcs'!T4</x:f>
        <x:v>3.0555555555555554</x:v>
      </x:c>
      <x:c r="R1324" s="9" t="n">
        <x:f>Q1324*'Parameters'!$C$18</x:f>
        <x:v>0.6111111111111112</x:v>
      </x:c>
      <x:c r="S1324" s="9" t="n">
        <x:f>R1324*'Parameters'!$C$19</x:f>
        <x:v>0.763888888888889</x:v>
      </x:c>
      <x:c r="T1324" s="9" t="n">
        <x:f>Q1324*(1-0.40)-R1324</x:f>
        <x:v>1.2222222222222219</x:v>
      </x:c>
    </x:row>
    <x:row r="1325" ht="21" customHeight="1">
      <x:c r="A1325" s="3" t="n">
        <x:v>22</x:v>
      </x:c>
      <x:c r="B1325" s="3" t="str">
        <x:v>03:40</x:v>
      </x:c>
      <x:c r="C1325" s="3" t="n">
        <x:v>4</x:v>
      </x:c>
      <x:c r="D1325" s="3" t="n">
        <x:v>4</x:v>
      </x:c>
      <x:c r="E1325" s="3" t="n">
        <x:v>1</x:v>
      </x:c>
      <x:c r="F1325" s="3" t="n">
        <x:v>7</x:v>
      </x:c>
      <x:c r="G1325" s="9" t="n">
        <x:v>0.08</x:v>
      </x:c>
      <x:c r="H1325" s="9" t="n">
        <x:v>1.111072</x:v>
      </x:c>
      <x:c r="I1325" s="9" t="n">
        <x:f>'Physical_Arcs'!R5</x:f>
        <x:v>9</x:v>
      </x:c>
      <x:c r="J1325" s="9" t="n">
        <x:f>I1325*'Parameters'!$C$18</x:f>
        <x:v>1.8</x:v>
      </x:c>
      <x:c r="K1325" s="9" t="n">
        <x:f>J1325*'Parameters'!$C$19</x:f>
        <x:v>2.25</x:v>
      </x:c>
      <x:c r="L1325" s="9" t="n">
        <x:f>I1325*(1-0.40)-J1325</x:f>
        <x:v>3.5999999999999996</x:v>
      </x:c>
      <x:c r="M1325" s="9" t="n">
        <x:f>'Physical_Arcs'!S5</x:f>
        <x:v>9</x:v>
      </x:c>
      <x:c r="N1325" s="9" t="n">
        <x:f>M1325*'Parameters'!$C$18</x:f>
        <x:v>1.8</x:v>
      </x:c>
      <x:c r="O1325" s="9" t="n">
        <x:f>N1325*'Parameters'!$C$19</x:f>
        <x:v>2.25</x:v>
      </x:c>
      <x:c r="P1325" s="9" t="n">
        <x:f>M1325*(1-0.40)-N1325</x:f>
        <x:v>3.5999999999999996</x:v>
      </x:c>
      <x:c r="Q1325" s="9" t="n">
        <x:f>'Physical_Arcs'!T5</x:f>
        <x:v>4.5</x:v>
      </x:c>
      <x:c r="R1325" s="9" t="n">
        <x:f>Q1325*'Parameters'!$C$18</x:f>
        <x:v>0.9</x:v>
      </x:c>
      <x:c r="S1325" s="9" t="n">
        <x:f>R1325*'Parameters'!$C$19</x:f>
        <x:v>1.125</x:v>
      </x:c>
      <x:c r="T1325" s="9" t="n">
        <x:f>Q1325*(1-0.40)-R1325</x:f>
        <x:v>1.7999999999999998</x:v>
      </x:c>
    </x:row>
    <x:row r="1326" ht="21" customHeight="1">
      <x:c r="A1326" s="3" t="n">
        <x:v>22</x:v>
      </x:c>
      <x:c r="B1326" s="3" t="str">
        <x:v>03:40</x:v>
      </x:c>
      <x:c r="C1326" s="3" t="n">
        <x:v>4</x:v>
      </x:c>
      <x:c r="D1326" s="3" t="n">
        <x:v>5</x:v>
      </x:c>
      <x:c r="E1326" s="3" t="n">
        <x:v>1</x:v>
      </x:c>
      <x:c r="F1326" s="3" t="n">
        <x:v>4</x:v>
      </x:c>
      <x:c r="G1326" s="9" t="n">
        <x:v>0.08</x:v>
      </x:c>
      <x:c r="H1326" s="9" t="n">
        <x:v>1.001665</x:v>
      </x:c>
      <x:c r="I1326" s="9" t="n">
        <x:f>'Physical_Arcs'!R6</x:f>
        <x:v>4.166666666666667</x:v>
      </x:c>
      <x:c r="J1326" s="9" t="n">
        <x:f>I1326*'Parameters'!$C$18</x:f>
        <x:v>0.8333333333333335</x:v>
      </x:c>
      <x:c r="K1326" s="9" t="n">
        <x:f>J1326*'Parameters'!$C$19</x:f>
        <x:v>1.041666666666667</x:v>
      </x:c>
      <x:c r="L1326" s="9" t="n">
        <x:f>I1326*(1-0.40)-J1326</x:f>
        <x:v>1.6666666666666665</x:v>
      </x:c>
      <x:c r="M1326" s="9" t="n">
        <x:f>'Physical_Arcs'!S6</x:f>
        <x:v>4.166666666666667</x:v>
      </x:c>
      <x:c r="N1326" s="9" t="n">
        <x:f>M1326*'Parameters'!$C$18</x:f>
        <x:v>0.8333333333333335</x:v>
      </x:c>
      <x:c r="O1326" s="9" t="n">
        <x:f>N1326*'Parameters'!$C$19</x:f>
        <x:v>1.041666666666667</x:v>
      </x:c>
      <x:c r="P1326" s="9" t="n">
        <x:f>M1326*(1-0.40)-N1326</x:f>
        <x:v>1.6666666666666665</x:v>
      </x:c>
      <x:c r="Q1326" s="9" t="n">
        <x:f>'Physical_Arcs'!T6</x:f>
        <x:v>2.0833333333333335</x:v>
      </x:c>
      <x:c r="R1326" s="9" t="n">
        <x:f>Q1326*'Parameters'!$C$18</x:f>
        <x:v>0.41666666666666674</x:v>
      </x:c>
      <x:c r="S1326" s="9" t="n">
        <x:f>R1326*'Parameters'!$C$19</x:f>
        <x:v>0.5208333333333335</x:v>
      </x:c>
      <x:c r="T1326" s="9" t="n">
        <x:f>Q1326*(1-0.40)-R1326</x:f>
        <x:v>0.8333333333333333</x:v>
      </x:c>
    </x:row>
    <x:row r="1327" ht="21" customHeight="1">
      <x:c r="A1327" s="3" t="n">
        <x:v>22</x:v>
      </x:c>
      <x:c r="B1327" s="3" t="str">
        <x:v>03:40</x:v>
      </x:c>
      <x:c r="C1327" s="3" t="n">
        <x:v>4</x:v>
      </x:c>
      <x:c r="D1327" s="3" t="n">
        <x:v>6</x:v>
      </x:c>
      <x:c r="E1327" s="3" t="n">
        <x:v>1</x:v>
      </x:c>
      <x:c r="F1327" s="3" t="n">
        <x:v>9</x:v>
      </x:c>
      <x:c r="G1327" s="9" t="n">
        <x:v>0.08</x:v>
      </x:c>
      <x:c r="H1327" s="9" t="n">
        <x:v>0.942884</x:v>
      </x:c>
      <x:c r="I1327" s="9" t="n">
        <x:f>'Physical_Arcs'!R7</x:f>
        <x:v>11.027777777777779</x:v>
      </x:c>
      <x:c r="J1327" s="9" t="n">
        <x:f>I1327*'Parameters'!$C$18</x:f>
        <x:v>2.2055555555555557</x:v>
      </x:c>
      <x:c r="K1327" s="9" t="n">
        <x:f>J1327*'Parameters'!$C$19</x:f>
        <x:v>2.7569444444444446</x:v>
      </x:c>
      <x:c r="L1327" s="9" t="n">
        <x:f>I1327*(1-0.40)-J1327</x:f>
        <x:v>4.411111111111111</x:v>
      </x:c>
      <x:c r="M1327" s="9" t="n">
        <x:f>'Physical_Arcs'!S7</x:f>
        <x:v>11.027777777777779</x:v>
      </x:c>
      <x:c r="N1327" s="9" t="n">
        <x:f>M1327*'Parameters'!$C$18</x:f>
        <x:v>2.2055555555555557</x:v>
      </x:c>
      <x:c r="O1327" s="9" t="n">
        <x:f>N1327*'Parameters'!$C$19</x:f>
        <x:v>2.7569444444444446</x:v>
      </x:c>
      <x:c r="P1327" s="9" t="n">
        <x:f>M1327*(1-0.40)-N1327</x:f>
        <x:v>4.411111111111111</x:v>
      </x:c>
      <x:c r="Q1327" s="9" t="n">
        <x:f>'Physical_Arcs'!T7</x:f>
        <x:v>5.527777777777778</x:v>
      </x:c>
      <x:c r="R1327" s="9" t="n">
        <x:f>Q1327*'Parameters'!$C$18</x:f>
        <x:v>1.1055555555555556</x:v>
      </x:c>
      <x:c r="S1327" s="9" t="n">
        <x:f>R1327*'Parameters'!$C$19</x:f>
        <x:v>1.3819444444444446</x:v>
      </x:c>
      <x:c r="T1327" s="9" t="n">
        <x:f>Q1327*(1-0.40)-R1327</x:f>
        <x:v>2.211111111111111</x:v>
      </x:c>
    </x:row>
    <x:row r="1328" ht="21" customHeight="1">
      <x:c r="A1328" s="3" t="n">
        <x:v>22</x:v>
      </x:c>
      <x:c r="B1328" s="3" t="str">
        <x:v>03:40</x:v>
      </x:c>
      <x:c r="C1328" s="3" t="n">
        <x:v>4</x:v>
      </x:c>
      <x:c r="D1328" s="3" t="n">
        <x:v>7</x:v>
      </x:c>
      <x:c r="E1328" s="3" t="n">
        <x:v>1</x:v>
      </x:c>
      <x:c r="F1328" s="3" t="n">
        <x:v>5</x:v>
      </x:c>
      <x:c r="G1328" s="9" t="n">
        <x:v>0.08</x:v>
      </x:c>
      <x:c r="H1328" s="9" t="n">
        <x:v>1.038222</x:v>
      </x:c>
      <x:c r="I1328" s="9" t="n">
        <x:f>'Physical_Arcs'!R8</x:f>
        <x:v>7.972222222222222</x:v>
      </x:c>
      <x:c r="J1328" s="9" t="n">
        <x:f>I1328*'Parameters'!$C$18</x:f>
        <x:v>1.5944444444444446</x:v>
      </x:c>
      <x:c r="K1328" s="9" t="n">
        <x:f>J1328*'Parameters'!$C$19</x:f>
        <x:v>1.9930555555555558</x:v>
      </x:c>
      <x:c r="L1328" s="9" t="n">
        <x:f>I1328*(1-0.40)-J1328</x:f>
        <x:v>3.1888888888888887</x:v>
      </x:c>
      <x:c r="M1328" s="9" t="n">
        <x:f>'Physical_Arcs'!S8</x:f>
        <x:v>7.972222222222222</x:v>
      </x:c>
      <x:c r="N1328" s="9" t="n">
        <x:f>M1328*'Parameters'!$C$18</x:f>
        <x:v>1.5944444444444446</x:v>
      </x:c>
      <x:c r="O1328" s="9" t="n">
        <x:f>N1328*'Parameters'!$C$19</x:f>
        <x:v>1.9930555555555558</x:v>
      </x:c>
      <x:c r="P1328" s="9" t="n">
        <x:f>M1328*(1-0.40)-N1328</x:f>
        <x:v>3.1888888888888887</x:v>
      </x:c>
      <x:c r="Q1328" s="9" t="n">
        <x:f>'Physical_Arcs'!T8</x:f>
        <x:v>4</x:v>
      </x:c>
      <x:c r="R1328" s="9" t="n">
        <x:f>Q1328*'Parameters'!$C$18</x:f>
        <x:v>0.8</x:v>
      </x:c>
      <x:c r="S1328" s="9" t="n">
        <x:f>R1328*'Parameters'!$C$19</x:f>
        <x:v>1</x:v>
      </x:c>
      <x:c r="T1328" s="9" t="n">
        <x:f>Q1328*(1-0.40)-R1328</x:f>
        <x:v>1.5999999999999999</x:v>
      </x:c>
    </x:row>
    <x:row r="1329" ht="21" customHeight="1">
      <x:c r="A1329" s="3" t="n">
        <x:v>22</x:v>
      </x:c>
      <x:c r="B1329" s="3" t="str">
        <x:v>03:40</x:v>
      </x:c>
      <x:c r="C1329" s="3" t="n">
        <x:v>4</x:v>
      </x:c>
      <x:c r="D1329" s="3" t="n">
        <x:v>8</x:v>
      </x:c>
      <x:c r="E1329" s="3" t="n">
        <x:v>1</x:v>
      </x:c>
      <x:c r="F1329" s="3" t="n">
        <x:v>3</x:v>
      </x:c>
      <x:c r="G1329" s="9" t="n">
        <x:v>0.08</x:v>
      </x:c>
      <x:c r="H1329" s="9" t="n">
        <x:v>1.122297</x:v>
      </x:c>
      <x:c r="I1329" s="9" t="n">
        <x:f>'Physical_Arcs'!R9</x:f>
        <x:v>4.166666666666667</x:v>
      </x:c>
      <x:c r="J1329" s="9" t="n">
        <x:f>I1329*'Parameters'!$C$18</x:f>
        <x:v>0.8333333333333335</x:v>
      </x:c>
      <x:c r="K1329" s="9" t="n">
        <x:f>J1329*'Parameters'!$C$19</x:f>
        <x:v>1.041666666666667</x:v>
      </x:c>
      <x:c r="L1329" s="9" t="n">
        <x:f>I1329*(1-0.40)-J1329</x:f>
        <x:v>1.6666666666666665</x:v>
      </x:c>
      <x:c r="M1329" s="9" t="n">
        <x:f>'Physical_Arcs'!S9</x:f>
        <x:v>4.166666666666667</x:v>
      </x:c>
      <x:c r="N1329" s="9" t="n">
        <x:f>M1329*'Parameters'!$C$18</x:f>
        <x:v>0.8333333333333335</x:v>
      </x:c>
      <x:c r="O1329" s="9" t="n">
        <x:f>N1329*'Parameters'!$C$19</x:f>
        <x:v>1.041666666666667</x:v>
      </x:c>
      <x:c r="P1329" s="9" t="n">
        <x:f>M1329*(1-0.40)-N1329</x:f>
        <x:v>1.6666666666666665</x:v>
      </x:c>
      <x:c r="Q1329" s="9" t="n">
        <x:f>'Physical_Arcs'!T9</x:f>
        <x:v>2.0833333333333335</x:v>
      </x:c>
      <x:c r="R1329" s="9" t="n">
        <x:f>Q1329*'Parameters'!$C$18</x:f>
        <x:v>0.41666666666666674</x:v>
      </x:c>
      <x:c r="S1329" s="9" t="n">
        <x:f>R1329*'Parameters'!$C$19</x:f>
        <x:v>0.5208333333333335</x:v>
      </x:c>
      <x:c r="T1329" s="9" t="n">
        <x:f>Q1329*(1-0.40)-R1329</x:f>
        <x:v>0.8333333333333333</x:v>
      </x:c>
    </x:row>
    <x:row r="1330" ht="21" customHeight="1">
      <x:c r="A1330" s="3" t="n">
        <x:v>22</x:v>
      </x:c>
      <x:c r="B1330" s="3" t="str">
        <x:v>03:40</x:v>
      </x:c>
      <x:c r="C1330" s="3" t="n">
        <x:v>4</x:v>
      </x:c>
      <x:c r="D1330" s="3" t="n">
        <x:v>9</x:v>
      </x:c>
      <x:c r="E1330" s="3" t="n">
        <x:v>1</x:v>
      </x:c>
      <x:c r="F1330" s="3" t="n">
        <x:v>6</x:v>
      </x:c>
      <x:c r="G1330" s="9" t="n">
        <x:v>0.08</x:v>
      </x:c>
      <x:c r="H1330" s="9" t="n">
        <x:v>1.132682</x:v>
      </x:c>
      <x:c r="I1330" s="9" t="n">
        <x:f>'Physical_Arcs'!R10</x:f>
        <x:v>2.138888888888889</x:v>
      </x:c>
      <x:c r="J1330" s="9" t="n">
        <x:f>I1330*'Parameters'!$C$18</x:f>
        <x:v>0.4277777777777778</x:v>
      </x:c>
      <x:c r="K1330" s="9" t="n">
        <x:f>J1330*'Parameters'!$C$19</x:f>
        <x:v>0.5347222222222223</x:v>
      </x:c>
      <x:c r="L1330" s="9" t="n">
        <x:f>I1330*(1-0.40)-J1330</x:f>
        <x:v>0.8555555555555554</x:v>
      </x:c>
      <x:c r="M1330" s="9" t="n">
        <x:f>'Physical_Arcs'!S10</x:f>
        <x:v>2.138888888888889</x:v>
      </x:c>
      <x:c r="N1330" s="9" t="n">
        <x:f>M1330*'Parameters'!$C$18</x:f>
        <x:v>0.4277777777777778</x:v>
      </x:c>
      <x:c r="O1330" s="9" t="n">
        <x:f>N1330*'Parameters'!$C$19</x:f>
        <x:v>0.5347222222222223</x:v>
      </x:c>
      <x:c r="P1330" s="9" t="n">
        <x:f>M1330*(1-0.40)-N1330</x:f>
        <x:v>0.8555555555555554</x:v>
      </x:c>
      <x:c r="Q1330" s="9" t="n">
        <x:f>'Physical_Arcs'!T10</x:f>
        <x:v>1.0833333333333333</x:v>
      </x:c>
      <x:c r="R1330" s="9" t="n">
        <x:f>Q1330*'Parameters'!$C$18</x:f>
        <x:v>0.21666666666666667</x:v>
      </x:c>
      <x:c r="S1330" s="9" t="n">
        <x:f>R1330*'Parameters'!$C$19</x:f>
        <x:v>0.27083333333333337</x:v>
      </x:c>
      <x:c r="T1330" s="9" t="n">
        <x:f>Q1330*(1-0.40)-R1330</x:f>
        <x:v>0.43333333333333324</x:v>
      </x:c>
    </x:row>
    <x:row r="1331" ht="21" customHeight="1">
      <x:c r="A1331" s="3" t="n">
        <x:v>22</x:v>
      </x:c>
      <x:c r="B1331" s="3" t="str">
        <x:v>03:40</x:v>
      </x:c>
      <x:c r="C1331" s="3" t="n">
        <x:v>4</x:v>
      </x:c>
      <x:c r="D1331" s="3" t="n">
        <x:v>10</x:v>
      </x:c>
      <x:c r="E1331" s="3" t="n">
        <x:v>2</x:v>
      </x:c>
      <x:c r="F1331" s="3" t="n">
        <x:v>3</x:v>
      </x:c>
      <x:c r="G1331" s="9" t="n">
        <x:v>0.08</x:v>
      </x:c>
      <x:c r="H1331" s="9" t="n">
        <x:v>0.871154</x:v>
      </x:c>
      <x:c r="I1331" s="9" t="n">
        <x:f>'Physical_Arcs'!R11</x:f>
        <x:v>17.02777777777778</x:v>
      </x:c>
      <x:c r="J1331" s="9" t="n">
        <x:f>I1331*'Parameters'!$C$18</x:f>
        <x:v>3.405555555555556</x:v>
      </x:c>
      <x:c r="K1331" s="9" t="n">
        <x:f>J1331*'Parameters'!$C$19</x:f>
        <x:v>4.256944444444445</x:v>
      </x:c>
      <x:c r="L1331" s="9" t="n">
        <x:f>I1331*(1-0.40)-J1331</x:f>
        <x:v>6.811111111111111</x:v>
      </x:c>
      <x:c r="M1331" s="9" t="n">
        <x:f>'Physical_Arcs'!S11</x:f>
        <x:v>17.02777777777778</x:v>
      </x:c>
      <x:c r="N1331" s="9" t="n">
        <x:f>M1331*'Parameters'!$C$18</x:f>
        <x:v>3.405555555555556</x:v>
      </x:c>
      <x:c r="O1331" s="9" t="n">
        <x:f>N1331*'Parameters'!$C$19</x:f>
        <x:v>4.256944444444445</x:v>
      </x:c>
      <x:c r="P1331" s="9" t="n">
        <x:f>M1331*(1-0.40)-N1331</x:f>
        <x:v>6.811111111111111</x:v>
      </x:c>
      <x:c r="Q1331" s="9" t="n">
        <x:f>'Physical_Arcs'!T11</x:f>
        <x:v>17.02777777777778</x:v>
      </x:c>
      <x:c r="R1331" s="9" t="n">
        <x:f>Q1331*'Parameters'!$C$18</x:f>
        <x:v>3.405555555555556</x:v>
      </x:c>
      <x:c r="S1331" s="9" t="n">
        <x:f>R1331*'Parameters'!$C$19</x:f>
        <x:v>4.256944444444445</x:v>
      </x:c>
      <x:c r="T1331" s="9" t="n">
        <x:f>Q1331*(1-0.40)-R1331</x:f>
        <x:v>6.811111111111111</x:v>
      </x:c>
    </x:row>
    <x:row r="1332" ht="21" customHeight="1">
      <x:c r="A1332" s="3" t="n">
        <x:v>22</x:v>
      </x:c>
      <x:c r="B1332" s="3" t="str">
        <x:v>03:40</x:v>
      </x:c>
      <x:c r="C1332" s="3" t="n">
        <x:v>4</x:v>
      </x:c>
      <x:c r="D1332" s="3" t="n">
        <x:v>11</x:v>
      </x:c>
      <x:c r="E1332" s="3" t="n">
        <x:v>2</x:v>
      </x:c>
      <x:c r="F1332" s="3" t="n">
        <x:v>4</x:v>
      </x:c>
      <x:c r="G1332" s="9" t="n">
        <x:v>0.08</x:v>
      </x:c>
      <x:c r="H1332" s="9" t="n">
        <x:v>1.147412</x:v>
      </x:c>
      <x:c r="I1332" s="9" t="n">
        <x:f>'Physical_Arcs'!R12</x:f>
        <x:v>7.972222222222222</x:v>
      </x:c>
      <x:c r="J1332" s="9" t="n">
        <x:f>I1332*'Parameters'!$C$18</x:f>
        <x:v>1.5944444444444446</x:v>
      </x:c>
      <x:c r="K1332" s="9" t="n">
        <x:f>J1332*'Parameters'!$C$19</x:f>
        <x:v>1.9930555555555558</x:v>
      </x:c>
      <x:c r="L1332" s="9" t="n">
        <x:f>I1332*(1-0.40)-J1332</x:f>
        <x:v>3.1888888888888887</x:v>
      </x:c>
      <x:c r="M1332" s="9" t="n">
        <x:f>'Physical_Arcs'!S12</x:f>
        <x:v>7.972222222222222</x:v>
      </x:c>
      <x:c r="N1332" s="9" t="n">
        <x:f>M1332*'Parameters'!$C$18</x:f>
        <x:v>1.5944444444444446</x:v>
      </x:c>
      <x:c r="O1332" s="9" t="n">
        <x:f>N1332*'Parameters'!$C$19</x:f>
        <x:v>1.9930555555555558</x:v>
      </x:c>
      <x:c r="P1332" s="9" t="n">
        <x:f>M1332*(1-0.40)-N1332</x:f>
        <x:v>3.1888888888888887</x:v>
      </x:c>
      <x:c r="Q1332" s="9" t="n">
        <x:f>'Physical_Arcs'!T12</x:f>
        <x:v>4</x:v>
      </x:c>
      <x:c r="R1332" s="9" t="n">
        <x:f>Q1332*'Parameters'!$C$18</x:f>
        <x:v>0.8</x:v>
      </x:c>
      <x:c r="S1332" s="9" t="n">
        <x:f>R1332*'Parameters'!$C$19</x:f>
        <x:v>1</x:v>
      </x:c>
      <x:c r="T1332" s="9" t="n">
        <x:f>Q1332*(1-0.40)-R1332</x:f>
        <x:v>1.5999999999999999</x:v>
      </x:c>
    </x:row>
    <x:row r="1333" ht="21" customHeight="1">
      <x:c r="A1333" s="3" t="n">
        <x:v>22</x:v>
      </x:c>
      <x:c r="B1333" s="3" t="str">
        <x:v>03:40</x:v>
      </x:c>
      <x:c r="C1333" s="3" t="n">
        <x:v>4</x:v>
      </x:c>
      <x:c r="D1333" s="3" t="n">
        <x:v>12</x:v>
      </x:c>
      <x:c r="E1333" s="3" t="n">
        <x:v>2</x:v>
      </x:c>
      <x:c r="F1333" s="3" t="n">
        <x:v>7</x:v>
      </x:c>
      <x:c r="G1333" s="9" t="n">
        <x:v>0.08</x:v>
      </x:c>
      <x:c r="H1333" s="9" t="n">
        <x:v>0.96729</x:v>
      </x:c>
      <x:c r="I1333" s="9" t="n">
        <x:f>'Physical_Arcs'!R13</x:f>
        <x:v>4.611111111111111</x:v>
      </x:c>
      <x:c r="J1333" s="9" t="n">
        <x:f>I1333*'Parameters'!$C$18</x:f>
        <x:v>0.9222222222222222</x:v>
      </x:c>
      <x:c r="K1333" s="9" t="n">
        <x:f>J1333*'Parameters'!$C$19</x:f>
        <x:v>1.1527777777777777</x:v>
      </x:c>
      <x:c r="L1333" s="9" t="n">
        <x:f>I1333*(1-0.40)-J1333</x:f>
        <x:v>1.844444444444444</x:v>
      </x:c>
      <x:c r="M1333" s="9" t="n">
        <x:f>'Physical_Arcs'!S13</x:f>
        <x:v>4.611111111111111</x:v>
      </x:c>
      <x:c r="N1333" s="9" t="n">
        <x:f>M1333*'Parameters'!$C$18</x:f>
        <x:v>0.9222222222222222</x:v>
      </x:c>
      <x:c r="O1333" s="9" t="n">
        <x:f>N1333*'Parameters'!$C$19</x:f>
        <x:v>1.1527777777777777</x:v>
      </x:c>
      <x:c r="P1333" s="9" t="n">
        <x:f>M1333*(1-0.40)-N1333</x:f>
        <x:v>1.844444444444444</x:v>
      </x:c>
      <x:c r="Q1333" s="9" t="n">
        <x:f>'Physical_Arcs'!T13</x:f>
        <x:v>2.3055555555555554</x:v>
      </x:c>
      <x:c r="R1333" s="9" t="n">
        <x:f>Q1333*'Parameters'!$C$18</x:f>
        <x:v>0.4611111111111111</x:v>
      </x:c>
      <x:c r="S1333" s="9" t="n">
        <x:f>R1333*'Parameters'!$C$19</x:f>
        <x:v>0.5763888888888888</x:v>
      </x:c>
      <x:c r="T1333" s="9" t="n">
        <x:f>Q1333*(1-0.40)-R1333</x:f>
        <x:v>0.922222222222222</x:v>
      </x:c>
    </x:row>
    <x:row r="1334" ht="21" customHeight="1">
      <x:c r="A1334" s="3" t="n">
        <x:v>22</x:v>
      </x:c>
      <x:c r="B1334" s="3" t="str">
        <x:v>03:40</x:v>
      </x:c>
      <x:c r="C1334" s="3" t="n">
        <x:v>4</x:v>
      </x:c>
      <x:c r="D1334" s="3" t="n">
        <x:v>13</x:v>
      </x:c>
      <x:c r="E1334" s="3" t="n">
        <x:v>2</x:v>
      </x:c>
      <x:c r="F1334" s="3" t="n">
        <x:v>9</x:v>
      </x:c>
      <x:c r="G1334" s="9" t="n">
        <x:v>0.08</x:v>
      </x:c>
      <x:c r="H1334" s="9" t="n">
        <x:v>1.117625</x:v>
      </x:c>
      <x:c r="I1334" s="9" t="n">
        <x:f>'Physical_Arcs'!R14</x:f>
        <x:v>8.666666666666666</x:v>
      </x:c>
      <x:c r="J1334" s="9" t="n">
        <x:f>I1334*'Parameters'!$C$18</x:f>
        <x:v>1.7333333333333334</x:v>
      </x:c>
      <x:c r="K1334" s="9" t="n">
        <x:f>J1334*'Parameters'!$C$19</x:f>
        <x:v>2.166666666666667</x:v>
      </x:c>
      <x:c r="L1334" s="9" t="n">
        <x:f>I1334*(1-0.40)-J1334</x:f>
        <x:v>3.466666666666666</x:v>
      </x:c>
      <x:c r="M1334" s="9" t="n">
        <x:f>'Physical_Arcs'!S14</x:f>
        <x:v>8.666666666666666</x:v>
      </x:c>
      <x:c r="N1334" s="9" t="n">
        <x:f>M1334*'Parameters'!$C$18</x:f>
        <x:v>1.7333333333333334</x:v>
      </x:c>
      <x:c r="O1334" s="9" t="n">
        <x:f>N1334*'Parameters'!$C$19</x:f>
        <x:v>2.166666666666667</x:v>
      </x:c>
      <x:c r="P1334" s="9" t="n">
        <x:f>M1334*(1-0.40)-N1334</x:f>
        <x:v>3.466666666666666</x:v>
      </x:c>
      <x:c r="Q1334" s="9" t="n">
        <x:f>'Physical_Arcs'!T14</x:f>
        <x:v>4.333333333333333</x:v>
      </x:c>
      <x:c r="R1334" s="9" t="n">
        <x:f>Q1334*'Parameters'!$C$18</x:f>
        <x:v>0.8666666666666667</x:v>
      </x:c>
      <x:c r="S1334" s="9" t="n">
        <x:f>R1334*'Parameters'!$C$19</x:f>
        <x:v>1.0833333333333335</x:v>
      </x:c>
      <x:c r="T1334" s="9" t="n">
        <x:f>Q1334*(1-0.40)-R1334</x:f>
        <x:v>1.733333333333333</x:v>
      </x:c>
    </x:row>
    <x:row r="1335" ht="21" customHeight="1">
      <x:c r="A1335" s="3" t="n">
        <x:v>22</x:v>
      </x:c>
      <x:c r="B1335" s="3" t="str">
        <x:v>03:40</x:v>
      </x:c>
      <x:c r="C1335" s="3" t="n">
        <x:v>4</x:v>
      </x:c>
      <x:c r="D1335" s="3" t="n">
        <x:v>14</x:v>
      </x:c>
      <x:c r="E1335" s="3" t="n">
        <x:v>2</x:v>
      </x:c>
      <x:c r="F1335" s="3" t="n">
        <x:v>8</x:v>
      </x:c>
      <x:c r="G1335" s="9" t="n">
        <x:v>0.08</x:v>
      </x:c>
      <x:c r="H1335" s="9" t="n">
        <x:v>1.144902</x:v>
      </x:c>
      <x:c r="I1335" s="9" t="n">
        <x:f>'Physical_Arcs'!R15</x:f>
        <x:v>7.75</x:v>
      </x:c>
      <x:c r="J1335" s="9" t="n">
        <x:f>I1335*'Parameters'!$C$18</x:f>
        <x:v>1.55</x:v>
      </x:c>
      <x:c r="K1335" s="9" t="n">
        <x:f>J1335*'Parameters'!$C$19</x:f>
        <x:v>1.9375</x:v>
      </x:c>
      <x:c r="L1335" s="9" t="n">
        <x:f>I1335*(1-0.40)-J1335</x:f>
        <x:v>3.0999999999999996</x:v>
      </x:c>
      <x:c r="M1335" s="9" t="n">
        <x:f>'Physical_Arcs'!S15</x:f>
        <x:v>7.75</x:v>
      </x:c>
      <x:c r="N1335" s="9" t="n">
        <x:f>M1335*'Parameters'!$C$18</x:f>
        <x:v>1.55</x:v>
      </x:c>
      <x:c r="O1335" s="9" t="n">
        <x:f>N1335*'Parameters'!$C$19</x:f>
        <x:v>1.9375</x:v>
      </x:c>
      <x:c r="P1335" s="9" t="n">
        <x:f>M1335*(1-0.40)-N1335</x:f>
        <x:v>3.0999999999999996</x:v>
      </x:c>
      <x:c r="Q1335" s="9" t="n">
        <x:f>'Physical_Arcs'!T15</x:f>
        <x:v>3.888888888888889</x:v>
      </x:c>
      <x:c r="R1335" s="9" t="n">
        <x:f>Q1335*'Parameters'!$C$18</x:f>
        <x:v>0.7777777777777778</x:v>
      </x:c>
      <x:c r="S1335" s="9" t="n">
        <x:f>R1335*'Parameters'!$C$19</x:f>
        <x:v>0.9722222222222222</x:v>
      </x:c>
      <x:c r="T1335" s="9" t="n">
        <x:f>Q1335*(1-0.40)-R1335</x:f>
        <x:v>1.5555555555555554</x:v>
      </x:c>
    </x:row>
    <x:row r="1336" ht="21" customHeight="1">
      <x:c r="A1336" s="3" t="n">
        <x:v>22</x:v>
      </x:c>
      <x:c r="B1336" s="3" t="str">
        <x:v>03:40</x:v>
      </x:c>
      <x:c r="C1336" s="3" t="n">
        <x:v>4</x:v>
      </x:c>
      <x:c r="D1336" s="3" t="n">
        <x:v>15</x:v>
      </x:c>
      <x:c r="E1336" s="3" t="n">
        <x:v>2</x:v>
      </x:c>
      <x:c r="F1336" s="3" t="n">
        <x:v>10</x:v>
      </x:c>
      <x:c r="G1336" s="9" t="n">
        <x:v>0.08</x:v>
      </x:c>
      <x:c r="H1336" s="9" t="n">
        <x:v>1.146684</x:v>
      </x:c>
      <x:c r="I1336" s="9" t="n">
        <x:f>'Physical_Arcs'!R16</x:f>
        <x:v>7.416666666666667</x:v>
      </x:c>
      <x:c r="J1336" s="9" t="n">
        <x:f>I1336*'Parameters'!$C$18</x:f>
        <x:v>1.4833333333333334</x:v>
      </x:c>
      <x:c r="K1336" s="9" t="n">
        <x:f>J1336*'Parameters'!$C$19</x:f>
        <x:v>1.8541666666666667</x:v>
      </x:c>
      <x:c r="L1336" s="9" t="n">
        <x:f>I1336*(1-0.40)-J1336</x:f>
        <x:v>2.966666666666667</x:v>
      </x:c>
      <x:c r="M1336" s="9" t="n">
        <x:f>'Physical_Arcs'!S16</x:f>
        <x:v>7.416666666666667</x:v>
      </x:c>
      <x:c r="N1336" s="9" t="n">
        <x:f>M1336*'Parameters'!$C$18</x:f>
        <x:v>1.4833333333333334</x:v>
      </x:c>
      <x:c r="O1336" s="9" t="n">
        <x:f>N1336*'Parameters'!$C$19</x:f>
        <x:v>1.8541666666666667</x:v>
      </x:c>
      <x:c r="P1336" s="9" t="n">
        <x:f>M1336*(1-0.40)-N1336</x:f>
        <x:v>2.966666666666667</x:v>
      </x:c>
      <x:c r="Q1336" s="9" t="n">
        <x:f>'Physical_Arcs'!T16</x:f>
        <x:v>3.7222222222222223</x:v>
      </x:c>
      <x:c r="R1336" s="9" t="n">
        <x:f>Q1336*'Parameters'!$C$18</x:f>
        <x:v>0.7444444444444445</x:v>
      </x:c>
      <x:c r="S1336" s="9" t="n">
        <x:f>R1336*'Parameters'!$C$19</x:f>
        <x:v>0.9305555555555556</x:v>
      </x:c>
      <x:c r="T1336" s="9" t="n">
        <x:f>Q1336*(1-0.40)-R1336</x:f>
        <x:v>1.488888888888889</x:v>
      </x:c>
    </x:row>
    <x:row r="1337" ht="21" customHeight="1">
      <x:c r="A1337" s="3" t="n">
        <x:v>22</x:v>
      </x:c>
      <x:c r="B1337" s="3" t="str">
        <x:v>03:40</x:v>
      </x:c>
      <x:c r="C1337" s="3" t="n">
        <x:v>4</x:v>
      </x:c>
      <x:c r="D1337" s="3" t="n">
        <x:v>16</x:v>
      </x:c>
      <x:c r="E1337" s="3" t="n">
        <x:v>3</x:v>
      </x:c>
      <x:c r="F1337" s="3" t="n">
        <x:v>4</x:v>
      </x:c>
      <x:c r="G1337" s="9" t="n">
        <x:v>0.08</x:v>
      </x:c>
      <x:c r="H1337" s="9" t="n">
        <x:v>1.017658</x:v>
      </x:c>
      <x:c r="I1337" s="9" t="n">
        <x:f>'Physical_Arcs'!R17</x:f>
        <x:v>17.02777777777778</x:v>
      </x:c>
      <x:c r="J1337" s="9" t="n">
        <x:f>I1337*'Parameters'!$C$18</x:f>
        <x:v>3.405555555555556</x:v>
      </x:c>
      <x:c r="K1337" s="9" t="n">
        <x:f>J1337*'Parameters'!$C$19</x:f>
        <x:v>4.256944444444445</x:v>
      </x:c>
      <x:c r="L1337" s="9" t="n">
        <x:f>I1337*(1-0.40)-J1337</x:f>
        <x:v>6.811111111111111</x:v>
      </x:c>
      <x:c r="M1337" s="9" t="n">
        <x:f>'Physical_Arcs'!S17</x:f>
        <x:v>17.02777777777778</x:v>
      </x:c>
      <x:c r="N1337" s="9" t="n">
        <x:f>M1337*'Parameters'!$C$18</x:f>
        <x:v>3.405555555555556</x:v>
      </x:c>
      <x:c r="O1337" s="9" t="n">
        <x:f>N1337*'Parameters'!$C$19</x:f>
        <x:v>4.256944444444445</x:v>
      </x:c>
      <x:c r="P1337" s="9" t="n">
        <x:f>M1337*(1-0.40)-N1337</x:f>
        <x:v>6.811111111111111</x:v>
      </x:c>
      <x:c r="Q1337" s="9" t="n">
        <x:f>'Physical_Arcs'!T17</x:f>
        <x:v>17.02777777777778</x:v>
      </x:c>
      <x:c r="R1337" s="9" t="n">
        <x:f>Q1337*'Parameters'!$C$18</x:f>
        <x:v>3.405555555555556</x:v>
      </x:c>
      <x:c r="S1337" s="9" t="n">
        <x:f>R1337*'Parameters'!$C$19</x:f>
        <x:v>4.256944444444445</x:v>
      </x:c>
      <x:c r="T1337" s="9" t="n">
        <x:f>Q1337*(1-0.40)-R1337</x:f>
        <x:v>6.811111111111111</x:v>
      </x:c>
    </x:row>
    <x:row r="1338" ht="21" customHeight="1">
      <x:c r="A1338" s="3" t="n">
        <x:v>22</x:v>
      </x:c>
      <x:c r="B1338" s="3" t="str">
        <x:v>03:40</x:v>
      </x:c>
      <x:c r="C1338" s="3" t="n">
        <x:v>4</x:v>
      </x:c>
      <x:c r="D1338" s="3" t="n">
        <x:v>17</x:v>
      </x:c>
      <x:c r="E1338" s="3" t="n">
        <x:v>3</x:v>
      </x:c>
      <x:c r="F1338" s="3" t="n">
        <x:v>2</x:v>
      </x:c>
      <x:c r="G1338" s="9" t="n">
        <x:v>0.08</x:v>
      </x:c>
      <x:c r="H1338" s="9" t="n">
        <x:v>0.875995</x:v>
      </x:c>
      <x:c r="I1338" s="9" t="n">
        <x:f>'Physical_Arcs'!R18</x:f>
        <x:v>10.666666666666666</x:v>
      </x:c>
      <x:c r="J1338" s="9" t="n">
        <x:f>I1338*'Parameters'!$C$18</x:f>
        <x:v>2.1333333333333333</x:v>
      </x:c>
      <x:c r="K1338" s="9" t="n">
        <x:f>J1338*'Parameters'!$C$19</x:f>
        <x:v>2.6666666666666665</x:v>
      </x:c>
      <x:c r="L1338" s="9" t="n">
        <x:f>I1338*(1-0.40)-J1338</x:f>
        <x:v>4.266666666666666</x:v>
      </x:c>
      <x:c r="M1338" s="9" t="n">
        <x:f>'Physical_Arcs'!S18</x:f>
        <x:v>10.666666666666666</x:v>
      </x:c>
      <x:c r="N1338" s="9" t="n">
        <x:f>M1338*'Parameters'!$C$18</x:f>
        <x:v>2.1333333333333333</x:v>
      </x:c>
      <x:c r="O1338" s="9" t="n">
        <x:f>N1338*'Parameters'!$C$19</x:f>
        <x:v>2.6666666666666665</x:v>
      </x:c>
      <x:c r="P1338" s="9" t="n">
        <x:f>M1338*(1-0.40)-N1338</x:f>
        <x:v>4.266666666666666</x:v>
      </x:c>
      <x:c r="Q1338" s="9" t="n">
        <x:f>'Physical_Arcs'!T18</x:f>
        <x:v>5.333333333333333</x:v>
      </x:c>
      <x:c r="R1338" s="9" t="n">
        <x:f>Q1338*'Parameters'!$C$18</x:f>
        <x:v>1.0666666666666667</x:v>
      </x:c>
      <x:c r="S1338" s="9" t="n">
        <x:f>R1338*'Parameters'!$C$19</x:f>
        <x:v>1.3333333333333333</x:v>
      </x:c>
      <x:c r="T1338" s="9" t="n">
        <x:f>Q1338*(1-0.40)-R1338</x:f>
        <x:v>2.133333333333333</x:v>
      </x:c>
    </x:row>
    <x:row r="1339" ht="21" customHeight="1">
      <x:c r="A1339" s="3" t="n">
        <x:v>22</x:v>
      </x:c>
      <x:c r="B1339" s="3" t="str">
        <x:v>03:40</x:v>
      </x:c>
      <x:c r="C1339" s="3" t="n">
        <x:v>4</x:v>
      </x:c>
      <x:c r="D1339" s="3" t="n">
        <x:v>18</x:v>
      </x:c>
      <x:c r="E1339" s="3" t="n">
        <x:v>3</x:v>
      </x:c>
      <x:c r="F1339" s="3" t="n">
        <x:v>1</x:v>
      </x:c>
      <x:c r="G1339" s="9" t="n">
        <x:v>0.08</x:v>
      </x:c>
      <x:c r="H1339" s="9" t="n">
        <x:v>1.015397</x:v>
      </x:c>
      <x:c r="I1339" s="9" t="n">
        <x:f>'Physical_Arcs'!R19</x:f>
        <x:v>5.166666666666667</x:v>
      </x:c>
      <x:c r="J1339" s="9" t="n">
        <x:f>I1339*'Parameters'!$C$18</x:f>
        <x:v>1.0333333333333334</x:v>
      </x:c>
      <x:c r="K1339" s="9" t="n">
        <x:f>J1339*'Parameters'!$C$19</x:f>
        <x:v>1.2916666666666667</x:v>
      </x:c>
      <x:c r="L1339" s="9" t="n">
        <x:f>I1339*(1-0.40)-J1339</x:f>
        <x:v>2.0666666666666664</x:v>
      </x:c>
      <x:c r="M1339" s="9" t="n">
        <x:f>'Physical_Arcs'!S19</x:f>
        <x:v>5.166666666666667</x:v>
      </x:c>
      <x:c r="N1339" s="9" t="n">
        <x:f>M1339*'Parameters'!$C$18</x:f>
        <x:v>1.0333333333333334</x:v>
      </x:c>
      <x:c r="O1339" s="9" t="n">
        <x:f>N1339*'Parameters'!$C$19</x:f>
        <x:v>1.2916666666666667</x:v>
      </x:c>
      <x:c r="P1339" s="9" t="n">
        <x:f>M1339*(1-0.40)-N1339</x:f>
        <x:v>2.0666666666666664</x:v>
      </x:c>
      <x:c r="Q1339" s="9" t="n">
        <x:f>'Physical_Arcs'!T19</x:f>
        <x:v>2.5833333333333335</x:v>
      </x:c>
      <x:c r="R1339" s="9" t="n">
        <x:f>Q1339*'Parameters'!$C$18</x:f>
        <x:v>0.5166666666666667</x:v>
      </x:c>
      <x:c r="S1339" s="9" t="n">
        <x:f>R1339*'Parameters'!$C$19</x:f>
        <x:v>0.6458333333333334</x:v>
      </x:c>
      <x:c r="T1339" s="9" t="n">
        <x:f>Q1339*(1-0.40)-R1339</x:f>
        <x:v>1.0333333333333332</x:v>
      </x:c>
    </x:row>
    <x:row r="1340" ht="21" customHeight="1">
      <x:c r="A1340" s="3" t="n">
        <x:v>22</x:v>
      </x:c>
      <x:c r="B1340" s="3" t="str">
        <x:v>03:40</x:v>
      </x:c>
      <x:c r="C1340" s="3" t="n">
        <x:v>4</x:v>
      </x:c>
      <x:c r="D1340" s="3" t="n">
        <x:v>19</x:v>
      </x:c>
      <x:c r="E1340" s="3" t="n">
        <x:v>3</x:v>
      </x:c>
      <x:c r="F1340" s="3" t="n">
        <x:v>7</x:v>
      </x:c>
      <x:c r="G1340" s="9" t="n">
        <x:v>0.08</x:v>
      </x:c>
      <x:c r="H1340" s="9" t="n">
        <x:v>0.996008</x:v>
      </x:c>
      <x:c r="I1340" s="9" t="n">
        <x:f>'Physical_Arcs'!R20</x:f>
        <x:v>5.75</x:v>
      </x:c>
      <x:c r="J1340" s="9" t="n">
        <x:f>I1340*'Parameters'!$C$18</x:f>
        <x:v>1.1500000000000001</x:v>
      </x:c>
      <x:c r="K1340" s="9" t="n">
        <x:f>J1340*'Parameters'!$C$19</x:f>
        <x:v>1.4375000000000002</x:v>
      </x:c>
      <x:c r="L1340" s="9" t="n">
        <x:f>I1340*(1-0.40)-J1340</x:f>
        <x:v>2.3</x:v>
      </x:c>
      <x:c r="M1340" s="9" t="n">
        <x:f>'Physical_Arcs'!S20</x:f>
        <x:v>5.75</x:v>
      </x:c>
      <x:c r="N1340" s="9" t="n">
        <x:f>M1340*'Parameters'!$C$18</x:f>
        <x:v>1.1500000000000001</x:v>
      </x:c>
      <x:c r="O1340" s="9" t="n">
        <x:f>N1340*'Parameters'!$C$19</x:f>
        <x:v>1.4375000000000002</x:v>
      </x:c>
      <x:c r="P1340" s="9" t="n">
        <x:f>M1340*(1-0.40)-N1340</x:f>
        <x:v>2.3</x:v>
      </x:c>
      <x:c r="Q1340" s="9" t="n">
        <x:f>'Physical_Arcs'!T20</x:f>
        <x:v>2.888888888888889</x:v>
      </x:c>
      <x:c r="R1340" s="9" t="n">
        <x:f>Q1340*'Parameters'!$C$18</x:f>
        <x:v>0.5777777777777778</x:v>
      </x:c>
      <x:c r="S1340" s="9" t="n">
        <x:f>R1340*'Parameters'!$C$19</x:f>
        <x:v>0.7222222222222223</x:v>
      </x:c>
      <x:c r="T1340" s="9" t="n">
        <x:f>Q1340*(1-0.40)-R1340</x:f>
        <x:v>1.1555555555555554</x:v>
      </x:c>
    </x:row>
    <x:row r="1341" ht="21" customHeight="1">
      <x:c r="A1341" s="3" t="n">
        <x:v>22</x:v>
      </x:c>
      <x:c r="B1341" s="3" t="str">
        <x:v>03:40</x:v>
      </x:c>
      <x:c r="C1341" s="3" t="n">
        <x:v>4</x:v>
      </x:c>
      <x:c r="D1341" s="3" t="n">
        <x:v>20</x:v>
      </x:c>
      <x:c r="E1341" s="3" t="n">
        <x:v>3</x:v>
      </x:c>
      <x:c r="F1341" s="3" t="n">
        <x:v>10</x:v>
      </x:c>
      <x:c r="G1341" s="9" t="n">
        <x:v>0.08</x:v>
      </x:c>
      <x:c r="H1341" s="9" t="n">
        <x:v>1.118855</x:v>
      </x:c>
      <x:c r="I1341" s="9" t="n">
        <x:f>'Physical_Arcs'!R21</x:f>
        <x:v>5.166666666666667</x:v>
      </x:c>
      <x:c r="J1341" s="9" t="n">
        <x:f>I1341*'Parameters'!$C$18</x:f>
        <x:v>1.0333333333333334</x:v>
      </x:c>
      <x:c r="K1341" s="9" t="n">
        <x:f>J1341*'Parameters'!$C$19</x:f>
        <x:v>1.2916666666666667</x:v>
      </x:c>
      <x:c r="L1341" s="9" t="n">
        <x:f>I1341*(1-0.40)-J1341</x:f>
        <x:v>2.0666666666666664</x:v>
      </x:c>
      <x:c r="M1341" s="9" t="n">
        <x:f>'Physical_Arcs'!S21</x:f>
        <x:v>5.166666666666667</x:v>
      </x:c>
      <x:c r="N1341" s="9" t="n">
        <x:f>M1341*'Parameters'!$C$18</x:f>
        <x:v>1.0333333333333334</x:v>
      </x:c>
      <x:c r="O1341" s="9" t="n">
        <x:f>N1341*'Parameters'!$C$19</x:f>
        <x:v>1.2916666666666667</x:v>
      </x:c>
      <x:c r="P1341" s="9" t="n">
        <x:f>M1341*(1-0.40)-N1341</x:f>
        <x:v>2.0666666666666664</x:v>
      </x:c>
      <x:c r="Q1341" s="9" t="n">
        <x:f>'Physical_Arcs'!T21</x:f>
        <x:v>2.5833333333333335</x:v>
      </x:c>
      <x:c r="R1341" s="9" t="n">
        <x:f>Q1341*'Parameters'!$C$18</x:f>
        <x:v>0.5166666666666667</x:v>
      </x:c>
      <x:c r="S1341" s="9" t="n">
        <x:f>R1341*'Parameters'!$C$19</x:f>
        <x:v>0.6458333333333334</x:v>
      </x:c>
      <x:c r="T1341" s="9" t="n">
        <x:f>Q1341*(1-0.40)-R1341</x:f>
        <x:v>1.0333333333333332</x:v>
      </x:c>
    </x:row>
    <x:row r="1342" ht="21" customHeight="1">
      <x:c r="A1342" s="3" t="n">
        <x:v>22</x:v>
      </x:c>
      <x:c r="B1342" s="3" t="str">
        <x:v>03:40</x:v>
      </x:c>
      <x:c r="C1342" s="3" t="n">
        <x:v>4</x:v>
      </x:c>
      <x:c r="D1342" s="3" t="n">
        <x:v>21</x:v>
      </x:c>
      <x:c r="E1342" s="3" t="n">
        <x:v>3</x:v>
      </x:c>
      <x:c r="F1342" s="3" t="n">
        <x:v>9</x:v>
      </x:c>
      <x:c r="G1342" s="9" t="n">
        <x:v>0.08</x:v>
      </x:c>
      <x:c r="H1342" s="9" t="n">
        <x:v>0.947299</x:v>
      </x:c>
      <x:c r="I1342" s="9" t="n">
        <x:f>'Physical_Arcs'!R22</x:f>
        <x:v>9.333333333333334</x:v>
      </x:c>
      <x:c r="J1342" s="9" t="n">
        <x:f>I1342*'Parameters'!$C$18</x:f>
        <x:v>1.866666666666667</x:v>
      </x:c>
      <x:c r="K1342" s="9" t="n">
        <x:f>J1342*'Parameters'!$C$19</x:f>
        <x:v>2.3333333333333335</x:v>
      </x:c>
      <x:c r="L1342" s="9" t="n">
        <x:f>I1342*(1-0.40)-J1342</x:f>
        <x:v>3.7333333333333334</x:v>
      </x:c>
      <x:c r="M1342" s="9" t="n">
        <x:f>'Physical_Arcs'!S22</x:f>
        <x:v>9.333333333333334</x:v>
      </x:c>
      <x:c r="N1342" s="9" t="n">
        <x:f>M1342*'Parameters'!$C$18</x:f>
        <x:v>1.866666666666667</x:v>
      </x:c>
      <x:c r="O1342" s="9" t="n">
        <x:f>N1342*'Parameters'!$C$19</x:f>
        <x:v>2.3333333333333335</x:v>
      </x:c>
      <x:c r="P1342" s="9" t="n">
        <x:f>M1342*(1-0.40)-N1342</x:f>
        <x:v>3.7333333333333334</x:v>
      </x:c>
      <x:c r="Q1342" s="9" t="n">
        <x:f>'Physical_Arcs'!T22</x:f>
        <x:v>4.666666666666667</x:v>
      </x:c>
      <x:c r="R1342" s="9" t="n">
        <x:f>Q1342*'Parameters'!$C$18</x:f>
        <x:v>0.9333333333333335</x:v>
      </x:c>
      <x:c r="S1342" s="9" t="n">
        <x:f>R1342*'Parameters'!$C$19</x:f>
        <x:v>1.1666666666666667</x:v>
      </x:c>
      <x:c r="T1342" s="9" t="n">
        <x:f>Q1342*(1-0.40)-R1342</x:f>
        <x:v>1.8666666666666667</x:v>
      </x:c>
    </x:row>
    <x:row r="1343" ht="21" customHeight="1">
      <x:c r="A1343" s="3" t="n">
        <x:v>22</x:v>
      </x:c>
      <x:c r="B1343" s="3" t="str">
        <x:v>03:40</x:v>
      </x:c>
      <x:c r="C1343" s="3" t="n">
        <x:v>4</x:v>
      </x:c>
      <x:c r="D1343" s="3" t="n">
        <x:v>22</x:v>
      </x:c>
      <x:c r="E1343" s="3" t="n">
        <x:v>4</x:v>
      </x:c>
      <x:c r="F1343" s="3" t="n">
        <x:v>5</x:v>
      </x:c>
      <x:c r="G1343" s="9" t="n">
        <x:v>0.08</x:v>
      </x:c>
      <x:c r="H1343" s="9" t="n">
        <x:v>0.958485</x:v>
      </x:c>
      <x:c r="I1343" s="9" t="n">
        <x:f>'Physical_Arcs'!R23</x:f>
        <x:v>17.02777777777778</x:v>
      </x:c>
      <x:c r="J1343" s="9" t="n">
        <x:f>I1343*'Parameters'!$C$18</x:f>
        <x:v>3.405555555555556</x:v>
      </x:c>
      <x:c r="K1343" s="9" t="n">
        <x:f>J1343*'Parameters'!$C$19</x:f>
        <x:v>4.256944444444445</x:v>
      </x:c>
      <x:c r="L1343" s="9" t="n">
        <x:f>I1343*(1-0.40)-J1343</x:f>
        <x:v>6.811111111111111</x:v>
      </x:c>
      <x:c r="M1343" s="9" t="n">
        <x:f>'Physical_Arcs'!S23</x:f>
        <x:v>17.02777777777778</x:v>
      </x:c>
      <x:c r="N1343" s="9" t="n">
        <x:f>M1343*'Parameters'!$C$18</x:f>
        <x:v>3.405555555555556</x:v>
      </x:c>
      <x:c r="O1343" s="9" t="n">
        <x:f>N1343*'Parameters'!$C$19</x:f>
        <x:v>4.256944444444445</x:v>
      </x:c>
      <x:c r="P1343" s="9" t="n">
        <x:f>M1343*(1-0.40)-N1343</x:f>
        <x:v>6.811111111111111</x:v>
      </x:c>
      <x:c r="Q1343" s="9" t="n">
        <x:f>'Physical_Arcs'!T23</x:f>
        <x:v>17.02777777777778</x:v>
      </x:c>
      <x:c r="R1343" s="9" t="n">
        <x:f>Q1343*'Parameters'!$C$18</x:f>
        <x:v>3.405555555555556</x:v>
      </x:c>
      <x:c r="S1343" s="9" t="n">
        <x:f>R1343*'Parameters'!$C$19</x:f>
        <x:v>4.256944444444445</x:v>
      </x:c>
      <x:c r="T1343" s="9" t="n">
        <x:f>Q1343*(1-0.40)-R1343</x:f>
        <x:v>6.811111111111111</x:v>
      </x:c>
    </x:row>
    <x:row r="1344" ht="21" customHeight="1">
      <x:c r="A1344" s="3" t="n">
        <x:v>22</x:v>
      </x:c>
      <x:c r="B1344" s="3" t="str">
        <x:v>03:40</x:v>
      </x:c>
      <x:c r="C1344" s="3" t="n">
        <x:v>4</x:v>
      </x:c>
      <x:c r="D1344" s="3" t="n">
        <x:v>23</x:v>
      </x:c>
      <x:c r="E1344" s="3" t="n">
        <x:v>4</x:v>
      </x:c>
      <x:c r="F1344" s="3" t="n">
        <x:v>3</x:v>
      </x:c>
      <x:c r="G1344" s="9" t="n">
        <x:v>0.08</x:v>
      </x:c>
      <x:c r="H1344" s="9" t="n">
        <x:v>0.944916</x:v>
      </x:c>
      <x:c r="I1344" s="9" t="n">
        <x:f>'Physical_Arcs'!R24</x:f>
        <x:v>9.333333333333334</x:v>
      </x:c>
      <x:c r="J1344" s="9" t="n">
        <x:f>I1344*'Parameters'!$C$18</x:f>
        <x:v>1.866666666666667</x:v>
      </x:c>
      <x:c r="K1344" s="9" t="n">
        <x:f>J1344*'Parameters'!$C$19</x:f>
        <x:v>2.3333333333333335</x:v>
      </x:c>
      <x:c r="L1344" s="9" t="n">
        <x:f>I1344*(1-0.40)-J1344</x:f>
        <x:v>3.7333333333333334</x:v>
      </x:c>
      <x:c r="M1344" s="9" t="n">
        <x:f>'Physical_Arcs'!S24</x:f>
        <x:v>9.333333333333334</x:v>
      </x:c>
      <x:c r="N1344" s="9" t="n">
        <x:f>M1344*'Parameters'!$C$18</x:f>
        <x:v>1.866666666666667</x:v>
      </x:c>
      <x:c r="O1344" s="9" t="n">
        <x:f>N1344*'Parameters'!$C$19</x:f>
        <x:v>2.3333333333333335</x:v>
      </x:c>
      <x:c r="P1344" s="9" t="n">
        <x:f>M1344*(1-0.40)-N1344</x:f>
        <x:v>3.7333333333333334</x:v>
      </x:c>
      <x:c r="Q1344" s="9" t="n">
        <x:f>'Physical_Arcs'!T24</x:f>
        <x:v>4.666666666666667</x:v>
      </x:c>
      <x:c r="R1344" s="9" t="n">
        <x:f>Q1344*'Parameters'!$C$18</x:f>
        <x:v>0.9333333333333335</x:v>
      </x:c>
      <x:c r="S1344" s="9" t="n">
        <x:f>R1344*'Parameters'!$C$19</x:f>
        <x:v>1.1666666666666667</x:v>
      </x:c>
      <x:c r="T1344" s="9" t="n">
        <x:f>Q1344*(1-0.40)-R1344</x:f>
        <x:v>1.8666666666666667</x:v>
      </x:c>
    </x:row>
    <x:row r="1345" ht="21" customHeight="1">
      <x:c r="A1345" s="3" t="n">
        <x:v>22</x:v>
      </x:c>
      <x:c r="B1345" s="3" t="str">
        <x:v>03:40</x:v>
      </x:c>
      <x:c r="C1345" s="3" t="n">
        <x:v>4</x:v>
      </x:c>
      <x:c r="D1345" s="3" t="n">
        <x:v>24</x:v>
      </x:c>
      <x:c r="E1345" s="3" t="n">
        <x:v>4</x:v>
      </x:c>
      <x:c r="F1345" s="3" t="n">
        <x:v>10</x:v>
      </x:c>
      <x:c r="G1345" s="9" t="n">
        <x:v>0.08</x:v>
      </x:c>
      <x:c r="H1345" s="9" t="n">
        <x:v>0.875461</x:v>
      </x:c>
      <x:c r="I1345" s="9" t="n">
        <x:f>'Physical_Arcs'!R25</x:f>
        <x:v>7.194444444444445</x:v>
      </x:c>
      <x:c r="J1345" s="9" t="n">
        <x:f>I1345*'Parameters'!$C$18</x:f>
        <x:v>1.438888888888889</x:v>
      </x:c>
      <x:c r="K1345" s="9" t="n">
        <x:f>J1345*'Parameters'!$C$19</x:f>
        <x:v>1.7986111111111114</x:v>
      </x:c>
      <x:c r="L1345" s="9" t="n">
        <x:f>I1345*(1-0.40)-J1345</x:f>
        <x:v>2.8777777777777773</x:v>
      </x:c>
      <x:c r="M1345" s="9" t="n">
        <x:f>'Physical_Arcs'!S25</x:f>
        <x:v>7.194444444444445</x:v>
      </x:c>
      <x:c r="N1345" s="9" t="n">
        <x:f>M1345*'Parameters'!$C$18</x:f>
        <x:v>1.438888888888889</x:v>
      </x:c>
      <x:c r="O1345" s="9" t="n">
        <x:f>N1345*'Parameters'!$C$19</x:f>
        <x:v>1.7986111111111114</x:v>
      </x:c>
      <x:c r="P1345" s="9" t="n">
        <x:f>M1345*(1-0.40)-N1345</x:f>
        <x:v>2.8777777777777773</x:v>
      </x:c>
      <x:c r="Q1345" s="9" t="n">
        <x:f>'Physical_Arcs'!T25</x:f>
        <x:v>3.611111111111111</x:v>
      </x:c>
      <x:c r="R1345" s="9" t="n">
        <x:f>Q1345*'Parameters'!$C$18</x:f>
        <x:v>0.7222222222222223</x:v>
      </x:c>
      <x:c r="S1345" s="9" t="n">
        <x:f>R1345*'Parameters'!$C$19</x:f>
        <x:v>0.9027777777777779</x:v>
      </x:c>
      <x:c r="T1345" s="9" t="n">
        <x:f>Q1345*(1-0.40)-R1345</x:f>
        <x:v>1.4444444444444442</x:v>
      </x:c>
    </x:row>
    <x:row r="1346" ht="21" customHeight="1">
      <x:c r="A1346" s="3" t="n">
        <x:v>22</x:v>
      </x:c>
      <x:c r="B1346" s="3" t="str">
        <x:v>03:40</x:v>
      </x:c>
      <x:c r="C1346" s="3" t="n">
        <x:v>4</x:v>
      </x:c>
      <x:c r="D1346" s="3" t="n">
        <x:v>25</x:v>
      </x:c>
      <x:c r="E1346" s="3" t="n">
        <x:v>4</x:v>
      </x:c>
      <x:c r="F1346" s="3" t="n">
        <x:v>8</x:v>
      </x:c>
      <x:c r="G1346" s="9" t="n">
        <x:v>0.08</x:v>
      </x:c>
      <x:c r="H1346" s="9" t="n">
        <x:v>0.993326</x:v>
      </x:c>
      <x:c r="I1346" s="9" t="n">
        <x:f>'Physical_Arcs'!R26</x:f>
        <x:v>5.277777777777778</x:v>
      </x:c>
      <x:c r="J1346" s="9" t="n">
        <x:f>I1346*'Parameters'!$C$18</x:f>
        <x:v>1.0555555555555556</x:v>
      </x:c>
      <x:c r="K1346" s="9" t="n">
        <x:f>J1346*'Parameters'!$C$19</x:f>
        <x:v>1.3194444444444444</x:v>
      </x:c>
      <x:c r="L1346" s="9" t="n">
        <x:f>I1346*(1-0.40)-J1346</x:f>
        <x:v>2.1111111111111107</x:v>
      </x:c>
      <x:c r="M1346" s="9" t="n">
        <x:f>'Physical_Arcs'!S26</x:f>
        <x:v>5.277777777777778</x:v>
      </x:c>
      <x:c r="N1346" s="9" t="n">
        <x:f>M1346*'Parameters'!$C$18</x:f>
        <x:v>1.0555555555555556</x:v>
      </x:c>
      <x:c r="O1346" s="9" t="n">
        <x:f>N1346*'Parameters'!$C$19</x:f>
        <x:v>1.3194444444444444</x:v>
      </x:c>
      <x:c r="P1346" s="9" t="n">
        <x:f>M1346*(1-0.40)-N1346</x:f>
        <x:v>2.1111111111111107</x:v>
      </x:c>
      <x:c r="Q1346" s="9" t="n">
        <x:f>'Physical_Arcs'!T26</x:f>
        <x:v>2.638888888888889</x:v>
      </x:c>
      <x:c r="R1346" s="9" t="n">
        <x:f>Q1346*'Parameters'!$C$18</x:f>
        <x:v>0.5277777777777778</x:v>
      </x:c>
      <x:c r="S1346" s="9" t="n">
        <x:f>R1346*'Parameters'!$C$19</x:f>
        <x:v>0.6597222222222222</x:v>
      </x:c>
      <x:c r="T1346" s="9" t="n">
        <x:f>Q1346*(1-0.40)-R1346</x:f>
        <x:v>1.0555555555555554</x:v>
      </x:c>
    </x:row>
    <x:row r="1347" ht="21" customHeight="1">
      <x:c r="A1347" s="3" t="n">
        <x:v>22</x:v>
      </x:c>
      <x:c r="B1347" s="3" t="str">
        <x:v>03:40</x:v>
      </x:c>
      <x:c r="C1347" s="3" t="n">
        <x:v>4</x:v>
      </x:c>
      <x:c r="D1347" s="3" t="n">
        <x:v>26</x:v>
      </x:c>
      <x:c r="E1347" s="3" t="n">
        <x:v>4</x:v>
      </x:c>
      <x:c r="F1347" s="3" t="n">
        <x:v>7</x:v>
      </x:c>
      <x:c r="G1347" s="9" t="n">
        <x:v>0.08</x:v>
      </x:c>
      <x:c r="H1347" s="9" t="n">
        <x:v>1.099203</x:v>
      </x:c>
      <x:c r="I1347" s="9" t="n">
        <x:f>'Physical_Arcs'!R27</x:f>
        <x:v>6.527777777777778</x:v>
      </x:c>
      <x:c r="J1347" s="9" t="n">
        <x:f>I1347*'Parameters'!$C$18</x:f>
        <x:v>1.3055555555555556</x:v>
      </x:c>
      <x:c r="K1347" s="9" t="n">
        <x:f>J1347*'Parameters'!$C$19</x:f>
        <x:v>1.6319444444444444</x:v>
      </x:c>
      <x:c r="L1347" s="9" t="n">
        <x:f>I1347*(1-0.40)-J1347</x:f>
        <x:v>2.6111111111111107</x:v>
      </x:c>
      <x:c r="M1347" s="9" t="n">
        <x:f>'Physical_Arcs'!S27</x:f>
        <x:v>6.527777777777778</x:v>
      </x:c>
      <x:c r="N1347" s="9" t="n">
        <x:f>M1347*'Parameters'!$C$18</x:f>
        <x:v>1.3055555555555556</x:v>
      </x:c>
      <x:c r="O1347" s="9" t="n">
        <x:f>N1347*'Parameters'!$C$19</x:f>
        <x:v>1.6319444444444444</x:v>
      </x:c>
      <x:c r="P1347" s="9" t="n">
        <x:f>M1347*(1-0.40)-N1347</x:f>
        <x:v>2.6111111111111107</x:v>
      </x:c>
      <x:c r="Q1347" s="9" t="n">
        <x:f>'Physical_Arcs'!T27</x:f>
        <x:v>3.2777777777777777</x:v>
      </x:c>
      <x:c r="R1347" s="9" t="n">
        <x:f>Q1347*'Parameters'!$C$18</x:f>
        <x:v>0.6555555555555556</x:v>
      </x:c>
      <x:c r="S1347" s="9" t="n">
        <x:f>R1347*'Parameters'!$C$19</x:f>
        <x:v>0.8194444444444444</x:v>
      </x:c>
      <x:c r="T1347" s="9" t="n">
        <x:f>Q1347*(1-0.40)-R1347</x:f>
        <x:v>1.311111111111111</x:v>
      </x:c>
    </x:row>
    <x:row r="1348" ht="21" customHeight="1">
      <x:c r="A1348" s="3" t="n">
        <x:v>22</x:v>
      </x:c>
      <x:c r="B1348" s="3" t="str">
        <x:v>03:40</x:v>
      </x:c>
      <x:c r="C1348" s="3" t="n">
        <x:v>4</x:v>
      </x:c>
      <x:c r="D1348" s="3" t="n">
        <x:v>27</x:v>
      </x:c>
      <x:c r="E1348" s="3" t="n">
        <x:v>4</x:v>
      </x:c>
      <x:c r="F1348" s="3" t="n">
        <x:v>2</x:v>
      </x:c>
      <x:c r="G1348" s="9" t="n">
        <x:v>0.08</x:v>
      </x:c>
      <x:c r="H1348" s="9" t="n">
        <x:v>0.861111</x:v>
      </x:c>
      <x:c r="I1348" s="9" t="n">
        <x:f>'Physical_Arcs'!R28</x:f>
        <x:v>4.944444444444445</x:v>
      </x:c>
      <x:c r="J1348" s="9" t="n">
        <x:f>I1348*'Parameters'!$C$18</x:f>
        <x:v>0.9888888888888889</x:v>
      </x:c>
      <x:c r="K1348" s="9" t="n">
        <x:f>J1348*'Parameters'!$C$19</x:f>
        <x:v>1.2361111111111112</x:v>
      </x:c>
      <x:c r="L1348" s="9" t="n">
        <x:f>I1348*(1-0.40)-J1348</x:f>
        <x:v>1.9777777777777779</x:v>
      </x:c>
      <x:c r="M1348" s="9" t="n">
        <x:f>'Physical_Arcs'!S28</x:f>
        <x:v>4.944444444444445</x:v>
      </x:c>
      <x:c r="N1348" s="9" t="n">
        <x:f>M1348*'Parameters'!$C$18</x:f>
        <x:v>0.9888888888888889</x:v>
      </x:c>
      <x:c r="O1348" s="9" t="n">
        <x:f>N1348*'Parameters'!$C$19</x:f>
        <x:v>1.2361111111111112</x:v>
      </x:c>
      <x:c r="P1348" s="9" t="n">
        <x:f>M1348*(1-0.40)-N1348</x:f>
        <x:v>1.9777777777777779</x:v>
      </x:c>
      <x:c r="Q1348" s="9" t="n">
        <x:f>'Physical_Arcs'!T28</x:f>
        <x:v>2.4722222222222223</x:v>
      </x:c>
      <x:c r="R1348" s="9" t="n">
        <x:f>Q1348*'Parameters'!$C$18</x:f>
        <x:v>0.49444444444444446</x:v>
      </x:c>
      <x:c r="S1348" s="9" t="n">
        <x:f>R1348*'Parameters'!$C$19</x:f>
        <x:v>0.6180555555555556</x:v>
      </x:c>
      <x:c r="T1348" s="9" t="n">
        <x:f>Q1348*(1-0.40)-R1348</x:f>
        <x:v>0.9888888888888889</x:v>
      </x:c>
    </x:row>
    <x:row r="1349" ht="21" customHeight="1">
      <x:c r="A1349" s="3" t="n">
        <x:v>22</x:v>
      </x:c>
      <x:c r="B1349" s="3" t="str">
        <x:v>03:40</x:v>
      </x:c>
      <x:c r="C1349" s="3" t="n">
        <x:v>4</x:v>
      </x:c>
      <x:c r="D1349" s="3" t="n">
        <x:v>28</x:v>
      </x:c>
      <x:c r="E1349" s="3" t="n">
        <x:v>4</x:v>
      </x:c>
      <x:c r="F1349" s="3" t="n">
        <x:v>6</x:v>
      </x:c>
      <x:c r="G1349" s="9" t="n">
        <x:v>0.08</x:v>
      </x:c>
      <x:c r="H1349" s="9" t="n">
        <x:v>1.137214</x:v>
      </x:c>
      <x:c r="I1349" s="9" t="n">
        <x:f>'Physical_Arcs'!R29</x:f>
        <x:v>3.388888888888889</x:v>
      </x:c>
      <x:c r="J1349" s="9" t="n">
        <x:f>I1349*'Parameters'!$C$18</x:f>
        <x:v>0.6777777777777778</x:v>
      </x:c>
      <x:c r="K1349" s="9" t="n">
        <x:f>J1349*'Parameters'!$C$19</x:f>
        <x:v>0.8472222222222223</x:v>
      </x:c>
      <x:c r="L1349" s="9" t="n">
        <x:f>I1349*(1-0.40)-J1349</x:f>
        <x:v>1.3555555555555554</x:v>
      </x:c>
      <x:c r="M1349" s="9" t="n">
        <x:f>'Physical_Arcs'!S29</x:f>
        <x:v>3.388888888888889</x:v>
      </x:c>
      <x:c r="N1349" s="9" t="n">
        <x:f>M1349*'Parameters'!$C$18</x:f>
        <x:v>0.6777777777777778</x:v>
      </x:c>
      <x:c r="O1349" s="9" t="n">
        <x:f>N1349*'Parameters'!$C$19</x:f>
        <x:v>0.8472222222222223</x:v>
      </x:c>
      <x:c r="P1349" s="9" t="n">
        <x:f>M1349*(1-0.40)-N1349</x:f>
        <x:v>1.3555555555555554</x:v>
      </x:c>
      <x:c r="Q1349" s="9" t="n">
        <x:f>'Physical_Arcs'!T29</x:f>
        <x:v>1.6944444444444444</x:v>
      </x:c>
      <x:c r="R1349" s="9" t="n">
        <x:f>Q1349*'Parameters'!$C$18</x:f>
        <x:v>0.3388888888888889</x:v>
      </x:c>
      <x:c r="S1349" s="9" t="n">
        <x:f>R1349*'Parameters'!$C$19</x:f>
        <x:v>0.42361111111111116</x:v>
      </x:c>
      <x:c r="T1349" s="9" t="n">
        <x:f>Q1349*(1-0.40)-R1349</x:f>
        <x:v>0.6777777777777777</x:v>
      </x:c>
    </x:row>
    <x:row r="1350" ht="21" customHeight="1">
      <x:c r="A1350" s="3" t="n">
        <x:v>22</x:v>
      </x:c>
      <x:c r="B1350" s="3" t="str">
        <x:v>03:40</x:v>
      </x:c>
      <x:c r="C1350" s="3" t="n">
        <x:v>4</x:v>
      </x:c>
      <x:c r="D1350" s="3" t="n">
        <x:v>29</x:v>
      </x:c>
      <x:c r="E1350" s="3" t="n">
        <x:v>5</x:v>
      </x:c>
      <x:c r="F1350" s="3" t="n">
        <x:v>6</x:v>
      </x:c>
      <x:c r="G1350" s="9" t="n">
        <x:v>0.08</x:v>
      </x:c>
      <x:c r="H1350" s="9" t="n">
        <x:v>0.949994</x:v>
      </x:c>
      <x:c r="I1350" s="9" t="n">
        <x:f>'Physical_Arcs'!R30</x:f>
        <x:v>17.02777777777778</x:v>
      </x:c>
      <x:c r="J1350" s="9" t="n">
        <x:f>I1350*'Parameters'!$C$18</x:f>
        <x:v>3.405555555555556</x:v>
      </x:c>
      <x:c r="K1350" s="9" t="n">
        <x:f>J1350*'Parameters'!$C$19</x:f>
        <x:v>4.256944444444445</x:v>
      </x:c>
      <x:c r="L1350" s="9" t="n">
        <x:f>I1350*(1-0.40)-J1350</x:f>
        <x:v>6.811111111111111</x:v>
      </x:c>
      <x:c r="M1350" s="9" t="n">
        <x:f>'Physical_Arcs'!S30</x:f>
        <x:v>17.02777777777778</x:v>
      </x:c>
      <x:c r="N1350" s="9" t="n">
        <x:f>M1350*'Parameters'!$C$18</x:f>
        <x:v>3.405555555555556</x:v>
      </x:c>
      <x:c r="O1350" s="9" t="n">
        <x:f>N1350*'Parameters'!$C$19</x:f>
        <x:v>4.256944444444445</x:v>
      </x:c>
      <x:c r="P1350" s="9" t="n">
        <x:f>M1350*(1-0.40)-N1350</x:f>
        <x:v>6.811111111111111</x:v>
      </x:c>
      <x:c r="Q1350" s="9" t="n">
        <x:f>'Physical_Arcs'!T30</x:f>
        <x:v>17.02777777777778</x:v>
      </x:c>
      <x:c r="R1350" s="9" t="n">
        <x:f>Q1350*'Parameters'!$C$18</x:f>
        <x:v>3.405555555555556</x:v>
      </x:c>
      <x:c r="S1350" s="9" t="n">
        <x:f>R1350*'Parameters'!$C$19</x:f>
        <x:v>4.256944444444445</x:v>
      </x:c>
      <x:c r="T1350" s="9" t="n">
        <x:f>Q1350*(1-0.40)-R1350</x:f>
        <x:v>6.811111111111111</x:v>
      </x:c>
    </x:row>
    <x:row r="1351" ht="21" customHeight="1">
      <x:c r="A1351" s="3" t="n">
        <x:v>22</x:v>
      </x:c>
      <x:c r="B1351" s="3" t="str">
        <x:v>03:40</x:v>
      </x:c>
      <x:c r="C1351" s="3" t="n">
        <x:v>4</x:v>
      </x:c>
      <x:c r="D1351" s="3" t="n">
        <x:v>30</x:v>
      </x:c>
      <x:c r="E1351" s="3" t="n">
        <x:v>5</x:v>
      </x:c>
      <x:c r="F1351" s="3" t="n">
        <x:v>2</x:v>
      </x:c>
      <x:c r="G1351" s="9" t="n">
        <x:v>0.08</x:v>
      </x:c>
      <x:c r="H1351" s="9" t="n">
        <x:v>0.882396</x:v>
      </x:c>
      <x:c r="I1351" s="9" t="n">
        <x:f>'Physical_Arcs'!R31</x:f>
        <x:v>2.9444444444444446</x:v>
      </x:c>
      <x:c r="J1351" s="9" t="n">
        <x:f>I1351*'Parameters'!$C$18</x:f>
        <x:v>0.5888888888888889</x:v>
      </x:c>
      <x:c r="K1351" s="9" t="n">
        <x:f>J1351*'Parameters'!$C$19</x:f>
        <x:v>0.7361111111111112</x:v>
      </x:c>
      <x:c r="L1351" s="9" t="n">
        <x:f>I1351*(1-0.40)-J1351</x:f>
        <x:v>1.177777777777778</x:v>
      </x:c>
      <x:c r="M1351" s="9" t="n">
        <x:f>'Physical_Arcs'!S31</x:f>
        <x:v>2.9444444444444446</x:v>
      </x:c>
      <x:c r="N1351" s="9" t="n">
        <x:f>M1351*'Parameters'!$C$18</x:f>
        <x:v>0.5888888888888889</x:v>
      </x:c>
      <x:c r="O1351" s="9" t="n">
        <x:f>N1351*'Parameters'!$C$19</x:f>
        <x:v>0.7361111111111112</x:v>
      </x:c>
      <x:c r="P1351" s="9" t="n">
        <x:f>M1351*(1-0.40)-N1351</x:f>
        <x:v>1.177777777777778</x:v>
      </x:c>
      <x:c r="Q1351" s="9" t="n">
        <x:f>'Physical_Arcs'!T31</x:f>
        <x:v>1.4722222222222223</x:v>
      </x:c>
      <x:c r="R1351" s="9" t="n">
        <x:f>Q1351*'Parameters'!$C$18</x:f>
        <x:v>0.29444444444444445</x:v>
      </x:c>
      <x:c r="S1351" s="9" t="n">
        <x:f>R1351*'Parameters'!$C$19</x:f>
        <x:v>0.3680555555555556</x:v>
      </x:c>
      <x:c r="T1351" s="9" t="n">
        <x:f>Q1351*(1-0.40)-R1351</x:f>
        <x:v>0.588888888888889</x:v>
      </x:c>
    </x:row>
    <x:row r="1352" ht="21" customHeight="1">
      <x:c r="A1352" s="3" t="n">
        <x:v>22</x:v>
      </x:c>
      <x:c r="B1352" s="3" t="str">
        <x:v>03:40</x:v>
      </x:c>
      <x:c r="C1352" s="3" t="n">
        <x:v>4</x:v>
      </x:c>
      <x:c r="D1352" s="3" t="n">
        <x:v>31</x:v>
      </x:c>
      <x:c r="E1352" s="3" t="n">
        <x:v>5</x:v>
      </x:c>
      <x:c r="F1352" s="3" t="n">
        <x:v>8</x:v>
      </x:c>
      <x:c r="G1352" s="9" t="n">
        <x:v>0.08</x:v>
      </x:c>
      <x:c r="H1352" s="9" t="n">
        <x:v>0.986718</x:v>
      </x:c>
      <x:c r="I1352" s="9" t="n">
        <x:f>'Physical_Arcs'!R32</x:f>
        <x:v>9.333333333333334</x:v>
      </x:c>
      <x:c r="J1352" s="9" t="n">
        <x:f>I1352*'Parameters'!$C$18</x:f>
        <x:v>1.866666666666667</x:v>
      </x:c>
      <x:c r="K1352" s="9" t="n">
        <x:f>J1352*'Parameters'!$C$19</x:f>
        <x:v>2.3333333333333335</x:v>
      </x:c>
      <x:c r="L1352" s="9" t="n">
        <x:f>I1352*(1-0.40)-J1352</x:f>
        <x:v>3.7333333333333334</x:v>
      </x:c>
      <x:c r="M1352" s="9" t="n">
        <x:f>'Physical_Arcs'!S32</x:f>
        <x:v>9.333333333333334</x:v>
      </x:c>
      <x:c r="N1352" s="9" t="n">
        <x:f>M1352*'Parameters'!$C$18</x:f>
        <x:v>1.866666666666667</x:v>
      </x:c>
      <x:c r="O1352" s="9" t="n">
        <x:f>N1352*'Parameters'!$C$19</x:f>
        <x:v>2.3333333333333335</x:v>
      </x:c>
      <x:c r="P1352" s="9" t="n">
        <x:f>M1352*(1-0.40)-N1352</x:f>
        <x:v>3.7333333333333334</x:v>
      </x:c>
      <x:c r="Q1352" s="9" t="n">
        <x:f>'Physical_Arcs'!T32</x:f>
        <x:v>4.666666666666667</x:v>
      </x:c>
      <x:c r="R1352" s="9" t="n">
        <x:f>Q1352*'Parameters'!$C$18</x:f>
        <x:v>0.9333333333333335</x:v>
      </x:c>
      <x:c r="S1352" s="9" t="n">
        <x:f>R1352*'Parameters'!$C$19</x:f>
        <x:v>1.1666666666666667</x:v>
      </x:c>
      <x:c r="T1352" s="9" t="n">
        <x:f>Q1352*(1-0.40)-R1352</x:f>
        <x:v>1.8666666666666667</x:v>
      </x:c>
    </x:row>
    <x:row r="1353" ht="21" customHeight="1">
      <x:c r="A1353" s="3" t="n">
        <x:v>22</x:v>
      </x:c>
      <x:c r="B1353" s="3" t="str">
        <x:v>03:40</x:v>
      </x:c>
      <x:c r="C1353" s="3" t="n">
        <x:v>4</x:v>
      </x:c>
      <x:c r="D1353" s="3" t="n">
        <x:v>32</x:v>
      </x:c>
      <x:c r="E1353" s="3" t="n">
        <x:v>5</x:v>
      </x:c>
      <x:c r="F1353" s="3" t="n">
        <x:v>3</x:v>
      </x:c>
      <x:c r="G1353" s="9" t="n">
        <x:v>0.08</x:v>
      </x:c>
      <x:c r="H1353" s="9" t="n">
        <x:v>1.089544</x:v>
      </x:c>
      <x:c r="I1353" s="9" t="n">
        <x:f>'Physical_Arcs'!R33</x:f>
        <x:v>11.13888888888889</x:v>
      </x:c>
      <x:c r="J1353" s="9" t="n">
        <x:f>I1353*'Parameters'!$C$18</x:f>
        <x:v>2.227777777777778</x:v>
      </x:c>
      <x:c r="K1353" s="9" t="n">
        <x:f>J1353*'Parameters'!$C$19</x:f>
        <x:v>2.7847222222222223</x:v>
      </x:c>
      <x:c r="L1353" s="9" t="n">
        <x:f>I1353*(1-0.40)-J1353</x:f>
        <x:v>4.455555555555556</x:v>
      </x:c>
      <x:c r="M1353" s="9" t="n">
        <x:f>'Physical_Arcs'!S33</x:f>
        <x:v>11.13888888888889</x:v>
      </x:c>
      <x:c r="N1353" s="9" t="n">
        <x:f>M1353*'Parameters'!$C$18</x:f>
        <x:v>2.227777777777778</x:v>
      </x:c>
      <x:c r="O1353" s="9" t="n">
        <x:f>N1353*'Parameters'!$C$19</x:f>
        <x:v>2.7847222222222223</x:v>
      </x:c>
      <x:c r="P1353" s="9" t="n">
        <x:f>M1353*(1-0.40)-N1353</x:f>
        <x:v>4.455555555555556</x:v>
      </x:c>
      <x:c r="Q1353" s="9" t="n">
        <x:f>'Physical_Arcs'!T33</x:f>
        <x:v>5.583333333333333</x:v>
      </x:c>
      <x:c r="R1353" s="9" t="n">
        <x:f>Q1353*'Parameters'!$C$18</x:f>
        <x:v>1.1166666666666667</x:v>
      </x:c>
      <x:c r="S1353" s="9" t="n">
        <x:f>R1353*'Parameters'!$C$19</x:f>
        <x:v>1.3958333333333335</x:v>
      </x:c>
      <x:c r="T1353" s="9" t="n">
        <x:f>Q1353*(1-0.40)-R1353</x:f>
        <x:v>2.233333333333333</x:v>
      </x:c>
    </x:row>
    <x:row r="1354" ht="21" customHeight="1">
      <x:c r="A1354" s="3" t="n">
        <x:v>22</x:v>
      </x:c>
      <x:c r="B1354" s="3" t="str">
        <x:v>03:40</x:v>
      </x:c>
      <x:c r="C1354" s="3" t="n">
        <x:v>4</x:v>
      </x:c>
      <x:c r="D1354" s="3" t="n">
        <x:v>33</x:v>
      </x:c>
      <x:c r="E1354" s="3" t="n">
        <x:v>5</x:v>
      </x:c>
      <x:c r="F1354" s="3" t="n">
        <x:v>10</x:v>
      </x:c>
      <x:c r="G1354" s="9" t="n">
        <x:v>0.08</x:v>
      </x:c>
      <x:c r="H1354" s="9" t="n">
        <x:v>1.103596</x:v>
      </x:c>
      <x:c r="I1354" s="9" t="n">
        <x:f>'Physical_Arcs'!R34</x:f>
        <x:v>4.611111111111111</x:v>
      </x:c>
      <x:c r="J1354" s="9" t="n">
        <x:f>I1354*'Parameters'!$C$18</x:f>
        <x:v>0.9222222222222222</x:v>
      </x:c>
      <x:c r="K1354" s="9" t="n">
        <x:f>J1354*'Parameters'!$C$19</x:f>
        <x:v>1.1527777777777777</x:v>
      </x:c>
      <x:c r="L1354" s="9" t="n">
        <x:f>I1354*(1-0.40)-J1354</x:f>
        <x:v>1.844444444444444</x:v>
      </x:c>
      <x:c r="M1354" s="9" t="n">
        <x:f>'Physical_Arcs'!S34</x:f>
        <x:v>4.611111111111111</x:v>
      </x:c>
      <x:c r="N1354" s="9" t="n">
        <x:f>M1354*'Parameters'!$C$18</x:f>
        <x:v>0.9222222222222222</x:v>
      </x:c>
      <x:c r="O1354" s="9" t="n">
        <x:f>N1354*'Parameters'!$C$19</x:f>
        <x:v>1.1527777777777777</x:v>
      </x:c>
      <x:c r="P1354" s="9" t="n">
        <x:f>M1354*(1-0.40)-N1354</x:f>
        <x:v>1.844444444444444</x:v>
      </x:c>
      <x:c r="Q1354" s="9" t="n">
        <x:f>'Physical_Arcs'!T34</x:f>
        <x:v>2.3055555555555554</x:v>
      </x:c>
      <x:c r="R1354" s="9" t="n">
        <x:f>Q1354*'Parameters'!$C$18</x:f>
        <x:v>0.4611111111111111</x:v>
      </x:c>
      <x:c r="S1354" s="9" t="n">
        <x:f>R1354*'Parameters'!$C$19</x:f>
        <x:v>0.5763888888888888</x:v>
      </x:c>
      <x:c r="T1354" s="9" t="n">
        <x:f>Q1354*(1-0.40)-R1354</x:f>
        <x:v>0.922222222222222</x:v>
      </x:c>
    </x:row>
    <x:row r="1355" ht="21" customHeight="1">
      <x:c r="A1355" s="3" t="n">
        <x:v>22</x:v>
      </x:c>
      <x:c r="B1355" s="3" t="str">
        <x:v>03:40</x:v>
      </x:c>
      <x:c r="C1355" s="3" t="n">
        <x:v>4</x:v>
      </x:c>
      <x:c r="D1355" s="3" t="n">
        <x:v>34</x:v>
      </x:c>
      <x:c r="E1355" s="3" t="n">
        <x:v>6</x:v>
      </x:c>
      <x:c r="F1355" s="3" t="n">
        <x:v>7</x:v>
      </x:c>
      <x:c r="G1355" s="9" t="n">
        <x:v>0.08</x:v>
      </x:c>
      <x:c r="H1355" s="9" t="n">
        <x:v>0.973887</x:v>
      </x:c>
      <x:c r="I1355" s="9" t="n">
        <x:f>'Physical_Arcs'!R35</x:f>
        <x:v>17.02777777777778</x:v>
      </x:c>
      <x:c r="J1355" s="9" t="n">
        <x:f>I1355*'Parameters'!$C$18</x:f>
        <x:v>3.405555555555556</x:v>
      </x:c>
      <x:c r="K1355" s="9" t="n">
        <x:f>J1355*'Parameters'!$C$19</x:f>
        <x:v>4.256944444444445</x:v>
      </x:c>
      <x:c r="L1355" s="9" t="n">
        <x:f>I1355*(1-0.40)-J1355</x:f>
        <x:v>6.811111111111111</x:v>
      </x:c>
      <x:c r="M1355" s="9" t="n">
        <x:f>'Physical_Arcs'!S35</x:f>
        <x:v>17.02777777777778</x:v>
      </x:c>
      <x:c r="N1355" s="9" t="n">
        <x:f>M1355*'Parameters'!$C$18</x:f>
        <x:v>3.405555555555556</x:v>
      </x:c>
      <x:c r="O1355" s="9" t="n">
        <x:f>N1355*'Parameters'!$C$19</x:f>
        <x:v>4.256944444444445</x:v>
      </x:c>
      <x:c r="P1355" s="9" t="n">
        <x:f>M1355*(1-0.40)-N1355</x:f>
        <x:v>6.811111111111111</x:v>
      </x:c>
      <x:c r="Q1355" s="9" t="n">
        <x:f>'Physical_Arcs'!T35</x:f>
        <x:v>17.02777777777778</x:v>
      </x:c>
      <x:c r="R1355" s="9" t="n">
        <x:f>Q1355*'Parameters'!$C$18</x:f>
        <x:v>3.405555555555556</x:v>
      </x:c>
      <x:c r="S1355" s="9" t="n">
        <x:f>R1355*'Parameters'!$C$19</x:f>
        <x:v>4.256944444444445</x:v>
      </x:c>
      <x:c r="T1355" s="9" t="n">
        <x:f>Q1355*(1-0.40)-R1355</x:f>
        <x:v>6.811111111111111</x:v>
      </x:c>
    </x:row>
    <x:row r="1356" ht="21" customHeight="1">
      <x:c r="A1356" s="3" t="n">
        <x:v>22</x:v>
      </x:c>
      <x:c r="B1356" s="3" t="str">
        <x:v>03:40</x:v>
      </x:c>
      <x:c r="C1356" s="3" t="n">
        <x:v>4</x:v>
      </x:c>
      <x:c r="D1356" s="3" t="n">
        <x:v>35</x:v>
      </x:c>
      <x:c r="E1356" s="3" t="n">
        <x:v>6</x:v>
      </x:c>
      <x:c r="F1356" s="3" t="n">
        <x:v>10</x:v>
      </x:c>
      <x:c r="G1356" s="9" t="n">
        <x:v>0.08</x:v>
      </x:c>
      <x:c r="H1356" s="9" t="n">
        <x:v>1.009062</x:v>
      </x:c>
      <x:c r="I1356" s="9" t="n">
        <x:f>'Physical_Arcs'!R36</x:f>
        <x:v>4.055555555555555</x:v>
      </x:c>
      <x:c r="J1356" s="9" t="n">
        <x:f>I1356*'Parameters'!$C$18</x:f>
        <x:v>0.8111111111111111</x:v>
      </x:c>
      <x:c r="K1356" s="9" t="n">
        <x:f>J1356*'Parameters'!$C$19</x:f>
        <x:v>1.0138888888888888</x:v>
      </x:c>
      <x:c r="L1356" s="9" t="n">
        <x:f>I1356*(1-0.40)-J1356</x:f>
        <x:v>1.622222222222222</x:v>
      </x:c>
      <x:c r="M1356" s="9" t="n">
        <x:f>'Physical_Arcs'!S36</x:f>
        <x:v>4.055555555555555</x:v>
      </x:c>
      <x:c r="N1356" s="9" t="n">
        <x:f>M1356*'Parameters'!$C$18</x:f>
        <x:v>0.8111111111111111</x:v>
      </x:c>
      <x:c r="O1356" s="9" t="n">
        <x:f>N1356*'Parameters'!$C$19</x:f>
        <x:v>1.0138888888888888</x:v>
      </x:c>
      <x:c r="P1356" s="9" t="n">
        <x:f>M1356*(1-0.40)-N1356</x:f>
        <x:v>1.622222222222222</x:v>
      </x:c>
      <x:c r="Q1356" s="9" t="n">
        <x:f>'Physical_Arcs'!T36</x:f>
        <x:v>2.0277777777777777</x:v>
      </x:c>
      <x:c r="R1356" s="9" t="n">
        <x:f>Q1356*'Parameters'!$C$18</x:f>
        <x:v>0.40555555555555556</x:v>
      </x:c>
      <x:c r="S1356" s="9" t="n">
        <x:f>R1356*'Parameters'!$C$19</x:f>
        <x:v>0.5069444444444444</x:v>
      </x:c>
      <x:c r="T1356" s="9" t="n">
        <x:f>Q1356*(1-0.40)-R1356</x:f>
        <x:v>0.811111111111111</x:v>
      </x:c>
    </x:row>
    <x:row r="1357" ht="21" customHeight="1">
      <x:c r="A1357" s="3" t="n">
        <x:v>22</x:v>
      </x:c>
      <x:c r="B1357" s="3" t="str">
        <x:v>03:40</x:v>
      </x:c>
      <x:c r="C1357" s="3" t="n">
        <x:v>4</x:v>
      </x:c>
      <x:c r="D1357" s="3" t="n">
        <x:v>36</x:v>
      </x:c>
      <x:c r="E1357" s="3" t="n">
        <x:v>6</x:v>
      </x:c>
      <x:c r="F1357" s="3" t="n">
        <x:v>8</x:v>
      </x:c>
      <x:c r="G1357" s="9" t="n">
        <x:v>0.08</x:v>
      </x:c>
      <x:c r="H1357" s="9" t="n">
        <x:v>1.132129</x:v>
      </x:c>
      <x:c r="I1357" s="9" t="n">
        <x:f>'Physical_Arcs'!R37</x:f>
        <x:v>6.972222222222222</x:v>
      </x:c>
      <x:c r="J1357" s="9" t="n">
        <x:f>I1357*'Parameters'!$C$18</x:f>
        <x:v>1.3944444444444446</x:v>
      </x:c>
      <x:c r="K1357" s="9" t="n">
        <x:f>J1357*'Parameters'!$C$19</x:f>
        <x:v>1.7430555555555558</x:v>
      </x:c>
      <x:c r="L1357" s="9" t="n">
        <x:f>I1357*(1-0.40)-J1357</x:f>
        <x:v>2.7888888888888888</x:v>
      </x:c>
      <x:c r="M1357" s="9" t="n">
        <x:f>'Physical_Arcs'!S37</x:f>
        <x:v>6.972222222222222</x:v>
      </x:c>
      <x:c r="N1357" s="9" t="n">
        <x:f>M1357*'Parameters'!$C$18</x:f>
        <x:v>1.3944444444444446</x:v>
      </x:c>
      <x:c r="O1357" s="9" t="n">
        <x:f>N1357*'Parameters'!$C$19</x:f>
        <x:v>1.7430555555555558</x:v>
      </x:c>
      <x:c r="P1357" s="9" t="n">
        <x:f>M1357*(1-0.40)-N1357</x:f>
        <x:v>2.7888888888888888</x:v>
      </x:c>
      <x:c r="Q1357" s="9" t="n">
        <x:f>'Physical_Arcs'!T37</x:f>
        <x:v>3.5</x:v>
      </x:c>
      <x:c r="R1357" s="9" t="n">
        <x:f>Q1357*'Parameters'!$C$18</x:f>
        <x:v>0.7000000000000001</x:v>
      </x:c>
      <x:c r="S1357" s="9" t="n">
        <x:f>R1357*'Parameters'!$C$19</x:f>
        <x:v>0.8750000000000001</x:v>
      </x:c>
      <x:c r="T1357" s="9" t="n">
        <x:f>Q1357*(1-0.40)-R1357</x:f>
        <x:v>1.4</x:v>
      </x:c>
    </x:row>
    <x:row r="1358" ht="21" customHeight="1">
      <x:c r="A1358" s="3" t="n">
        <x:v>22</x:v>
      </x:c>
      <x:c r="B1358" s="3" t="str">
        <x:v>03:40</x:v>
      </x:c>
      <x:c r="C1358" s="3" t="n">
        <x:v>4</x:v>
      </x:c>
      <x:c r="D1358" s="3" t="n">
        <x:v>37</x:v>
      </x:c>
      <x:c r="E1358" s="3" t="n">
        <x:v>6</x:v>
      </x:c>
      <x:c r="F1358" s="3" t="n">
        <x:v>1</x:v>
      </x:c>
      <x:c r="G1358" s="9" t="n">
        <x:v>0.08</x:v>
      </x:c>
      <x:c r="H1358" s="9" t="n">
        <x:v>1.020746</x:v>
      </x:c>
      <x:c r="I1358" s="9" t="n">
        <x:f>'Physical_Arcs'!R38</x:f>
        <x:v>6.305555555555555</x:v>
      </x:c>
      <x:c r="J1358" s="9" t="n">
        <x:f>I1358*'Parameters'!$C$18</x:f>
        <x:v>1.261111111111111</x:v>
      </x:c>
      <x:c r="K1358" s="9" t="n">
        <x:f>J1358*'Parameters'!$C$19</x:f>
        <x:v>1.5763888888888888</x:v>
      </x:c>
      <x:c r="L1358" s="9" t="n">
        <x:f>I1358*(1-0.40)-J1358</x:f>
        <x:v>2.522222222222222</x:v>
      </x:c>
      <x:c r="M1358" s="9" t="n">
        <x:f>'Physical_Arcs'!S38</x:f>
        <x:v>6.305555555555555</x:v>
      </x:c>
      <x:c r="N1358" s="9" t="n">
        <x:f>M1358*'Parameters'!$C$18</x:f>
        <x:v>1.261111111111111</x:v>
      </x:c>
      <x:c r="O1358" s="9" t="n">
        <x:f>N1358*'Parameters'!$C$19</x:f>
        <x:v>1.5763888888888888</x:v>
      </x:c>
      <x:c r="P1358" s="9" t="n">
        <x:f>M1358*(1-0.40)-N1358</x:f>
        <x:v>2.522222222222222</x:v>
      </x:c>
      <x:c r="Q1358" s="9" t="n">
        <x:f>'Physical_Arcs'!T38</x:f>
        <x:v>3.1666666666666665</x:v>
      </x:c>
      <x:c r="R1358" s="9" t="n">
        <x:f>Q1358*'Parameters'!$C$18</x:f>
        <x:v>0.6333333333333333</x:v>
      </x:c>
      <x:c r="S1358" s="9" t="n">
        <x:f>R1358*'Parameters'!$C$19</x:f>
        <x:v>0.7916666666666666</x:v>
      </x:c>
      <x:c r="T1358" s="9" t="n">
        <x:f>Q1358*(1-0.40)-R1358</x:f>
        <x:v>1.2666666666666666</x:v>
      </x:c>
    </x:row>
    <x:row r="1359" ht="21" customHeight="1">
      <x:c r="A1359" s="3" t="n">
        <x:v>22</x:v>
      </x:c>
      <x:c r="B1359" s="3" t="str">
        <x:v>03:40</x:v>
      </x:c>
      <x:c r="C1359" s="3" t="n">
        <x:v>4</x:v>
      </x:c>
      <x:c r="D1359" s="3" t="n">
        <x:v>38</x:v>
      </x:c>
      <x:c r="E1359" s="3" t="n">
        <x:v>6</x:v>
      </x:c>
      <x:c r="F1359" s="3" t="n">
        <x:v>3</x:v>
      </x:c>
      <x:c r="G1359" s="9" t="n">
        <x:v>0.08</x:v>
      </x:c>
      <x:c r="H1359" s="9" t="n">
        <x:v>1.149081</x:v>
      </x:c>
      <x:c r="I1359" s="9" t="n">
        <x:f>'Physical_Arcs'!R39</x:f>
        <x:v>1.9166666666666667</x:v>
      </x:c>
      <x:c r="J1359" s="9" t="n">
        <x:f>I1359*'Parameters'!$C$18</x:f>
        <x:v>0.38333333333333336</x:v>
      </x:c>
      <x:c r="K1359" s="9" t="n">
        <x:f>J1359*'Parameters'!$C$19</x:f>
        <x:v>0.4791666666666667</x:v>
      </x:c>
      <x:c r="L1359" s="9" t="n">
        <x:f>I1359*(1-0.40)-J1359</x:f>
        <x:v>0.7666666666666666</x:v>
      </x:c>
      <x:c r="M1359" s="9" t="n">
        <x:f>'Physical_Arcs'!S39</x:f>
        <x:v>1.9166666666666667</x:v>
      </x:c>
      <x:c r="N1359" s="9" t="n">
        <x:f>M1359*'Parameters'!$C$18</x:f>
        <x:v>0.38333333333333336</x:v>
      </x:c>
      <x:c r="O1359" s="9" t="n">
        <x:f>N1359*'Parameters'!$C$19</x:f>
        <x:v>0.4791666666666667</x:v>
      </x:c>
      <x:c r="P1359" s="9" t="n">
        <x:f>M1359*(1-0.40)-N1359</x:f>
        <x:v>0.7666666666666666</x:v>
      </x:c>
      <x:c r="Q1359" s="9" t="n">
        <x:f>'Physical_Arcs'!T39</x:f>
        <x:v>0.9722222222222222</x:v>
      </x:c>
      <x:c r="R1359" s="9" t="n">
        <x:f>Q1359*'Parameters'!$C$18</x:f>
        <x:v>0.19444444444444445</x:v>
      </x:c>
      <x:c r="S1359" s="9" t="n">
        <x:f>R1359*'Parameters'!$C$19</x:f>
        <x:v>0.24305555555555555</x:v>
      </x:c>
      <x:c r="T1359" s="9" t="n">
        <x:f>Q1359*(1-0.40)-R1359</x:f>
        <x:v>0.38888888888888884</x:v>
      </x:c>
    </x:row>
    <x:row r="1360" ht="21" customHeight="1">
      <x:c r="A1360" s="3" t="n">
        <x:v>22</x:v>
      </x:c>
      <x:c r="B1360" s="3" t="str">
        <x:v>03:40</x:v>
      </x:c>
      <x:c r="C1360" s="3" t="n">
        <x:v>4</x:v>
      </x:c>
      <x:c r="D1360" s="3" t="n">
        <x:v>39</x:v>
      </x:c>
      <x:c r="E1360" s="3" t="n">
        <x:v>7</x:v>
      </x:c>
      <x:c r="F1360" s="3" t="n">
        <x:v>8</x:v>
      </x:c>
      <x:c r="G1360" s="9" t="n">
        <x:v>0.08</x:v>
      </x:c>
      <x:c r="H1360" s="9" t="n">
        <x:v>1.003268</x:v>
      </x:c>
      <x:c r="I1360" s="9" t="n">
        <x:f>'Physical_Arcs'!R40</x:f>
        <x:v>17.02777777777778</x:v>
      </x:c>
      <x:c r="J1360" s="9" t="n">
        <x:f>I1360*'Parameters'!$C$18</x:f>
        <x:v>3.405555555555556</x:v>
      </x:c>
      <x:c r="K1360" s="9" t="n">
        <x:f>J1360*'Parameters'!$C$19</x:f>
        <x:v>4.256944444444445</x:v>
      </x:c>
      <x:c r="L1360" s="9" t="n">
        <x:f>I1360*(1-0.40)-J1360</x:f>
        <x:v>6.811111111111111</x:v>
      </x:c>
      <x:c r="M1360" s="9" t="n">
        <x:f>'Physical_Arcs'!S40</x:f>
        <x:v>17.02777777777778</x:v>
      </x:c>
      <x:c r="N1360" s="9" t="n">
        <x:f>M1360*'Parameters'!$C$18</x:f>
        <x:v>3.405555555555556</x:v>
      </x:c>
      <x:c r="O1360" s="9" t="n">
        <x:f>N1360*'Parameters'!$C$19</x:f>
        <x:v>4.256944444444445</x:v>
      </x:c>
      <x:c r="P1360" s="9" t="n">
        <x:f>M1360*(1-0.40)-N1360</x:f>
        <x:v>6.811111111111111</x:v>
      </x:c>
      <x:c r="Q1360" s="9" t="n">
        <x:f>'Physical_Arcs'!T40</x:f>
        <x:v>17.02777777777778</x:v>
      </x:c>
      <x:c r="R1360" s="9" t="n">
        <x:f>Q1360*'Parameters'!$C$18</x:f>
        <x:v>3.405555555555556</x:v>
      </x:c>
      <x:c r="S1360" s="9" t="n">
        <x:f>R1360*'Parameters'!$C$19</x:f>
        <x:v>4.256944444444445</x:v>
      </x:c>
      <x:c r="T1360" s="9" t="n">
        <x:f>Q1360*(1-0.40)-R1360</x:f>
        <x:v>6.811111111111111</x:v>
      </x:c>
    </x:row>
    <x:row r="1361" ht="21" customHeight="1">
      <x:c r="A1361" s="3" t="n">
        <x:v>22</x:v>
      </x:c>
      <x:c r="B1361" s="3" t="str">
        <x:v>03:40</x:v>
      </x:c>
      <x:c r="C1361" s="3" t="n">
        <x:v>4</x:v>
      </x:c>
      <x:c r="D1361" s="3" t="n">
        <x:v>40</x:v>
      </x:c>
      <x:c r="E1361" s="3" t="n">
        <x:v>7</x:v>
      </x:c>
      <x:c r="F1361" s="3" t="n">
        <x:v>1</x:v>
      </x:c>
      <x:c r="G1361" s="9" t="n">
        <x:v>0.08</x:v>
      </x:c>
      <x:c r="H1361" s="9" t="n">
        <x:v>1.057592</x:v>
      </x:c>
      <x:c r="I1361" s="9" t="n">
        <x:f>'Physical_Arcs'!R41</x:f>
        <x:v>7.972222222222222</x:v>
      </x:c>
      <x:c r="J1361" s="9" t="n">
        <x:f>I1361*'Parameters'!$C$18</x:f>
        <x:v>1.5944444444444446</x:v>
      </x:c>
      <x:c r="K1361" s="9" t="n">
        <x:f>J1361*'Parameters'!$C$19</x:f>
        <x:v>1.9930555555555558</x:v>
      </x:c>
      <x:c r="L1361" s="9" t="n">
        <x:f>I1361*(1-0.40)-J1361</x:f>
        <x:v>3.1888888888888887</x:v>
      </x:c>
      <x:c r="M1361" s="9" t="n">
        <x:f>'Physical_Arcs'!S41</x:f>
        <x:v>7.972222222222222</x:v>
      </x:c>
      <x:c r="N1361" s="9" t="n">
        <x:f>M1361*'Parameters'!$C$18</x:f>
        <x:v>1.5944444444444446</x:v>
      </x:c>
      <x:c r="O1361" s="9" t="n">
        <x:f>N1361*'Parameters'!$C$19</x:f>
        <x:v>1.9930555555555558</x:v>
      </x:c>
      <x:c r="P1361" s="9" t="n">
        <x:f>M1361*(1-0.40)-N1361</x:f>
        <x:v>3.1888888888888887</x:v>
      </x:c>
      <x:c r="Q1361" s="9" t="n">
        <x:f>'Physical_Arcs'!T41</x:f>
        <x:v>4</x:v>
      </x:c>
      <x:c r="R1361" s="9" t="n">
        <x:f>Q1361*'Parameters'!$C$18</x:f>
        <x:v>0.8</x:v>
      </x:c>
      <x:c r="S1361" s="9" t="n">
        <x:f>R1361*'Parameters'!$C$19</x:f>
        <x:v>1</x:v>
      </x:c>
      <x:c r="T1361" s="9" t="n">
        <x:f>Q1361*(1-0.40)-R1361</x:f>
        <x:v>1.5999999999999999</x:v>
      </x:c>
    </x:row>
    <x:row r="1362" ht="21" customHeight="1">
      <x:c r="A1362" s="3" t="n">
        <x:v>22</x:v>
      </x:c>
      <x:c r="B1362" s="3" t="str">
        <x:v>03:40</x:v>
      </x:c>
      <x:c r="C1362" s="3" t="n">
        <x:v>4</x:v>
      </x:c>
      <x:c r="D1362" s="3" t="n">
        <x:v>41</x:v>
      </x:c>
      <x:c r="E1362" s="3" t="n">
        <x:v>7</x:v>
      </x:c>
      <x:c r="F1362" s="3" t="n">
        <x:v>9</x:v>
      </x:c>
      <x:c r="G1362" s="9" t="n">
        <x:v>0.08</x:v>
      </x:c>
      <x:c r="H1362" s="9" t="n">
        <x:v>1.14801</x:v>
      </x:c>
      <x:c r="I1362" s="9" t="n">
        <x:f>'Physical_Arcs'!R42</x:f>
        <x:v>8.88888888888889</x:v>
      </x:c>
      <x:c r="J1362" s="9" t="n">
        <x:f>I1362*'Parameters'!$C$18</x:f>
        <x:v>1.777777777777778</x:v>
      </x:c>
      <x:c r="K1362" s="9" t="n">
        <x:f>J1362*'Parameters'!$C$19</x:f>
        <x:v>2.2222222222222223</x:v>
      </x:c>
      <x:c r="L1362" s="9" t="n">
        <x:f>I1362*(1-0.40)-J1362</x:f>
        <x:v>3.5555555555555554</x:v>
      </x:c>
      <x:c r="M1362" s="9" t="n">
        <x:f>'Physical_Arcs'!S42</x:f>
        <x:v>8.88888888888889</x:v>
      </x:c>
      <x:c r="N1362" s="9" t="n">
        <x:f>M1362*'Parameters'!$C$18</x:f>
        <x:v>1.777777777777778</x:v>
      </x:c>
      <x:c r="O1362" s="9" t="n">
        <x:f>N1362*'Parameters'!$C$19</x:f>
        <x:v>2.2222222222222223</x:v>
      </x:c>
      <x:c r="P1362" s="9" t="n">
        <x:f>M1362*(1-0.40)-N1362</x:f>
        <x:v>3.5555555555555554</x:v>
      </x:c>
      <x:c r="Q1362" s="9" t="n">
        <x:f>'Physical_Arcs'!T42</x:f>
        <x:v>4.444444444444445</x:v>
      </x:c>
      <x:c r="R1362" s="9" t="n">
        <x:f>Q1362*'Parameters'!$C$18</x:f>
        <x:v>0.888888888888889</x:v>
      </x:c>
      <x:c r="S1362" s="9" t="n">
        <x:f>R1362*'Parameters'!$C$19</x:f>
        <x:v>1.1111111111111112</x:v>
      </x:c>
      <x:c r="T1362" s="9" t="n">
        <x:f>Q1362*(1-0.40)-R1362</x:f>
        <x:v>1.7777777777777777</x:v>
      </x:c>
    </x:row>
    <x:row r="1363" ht="21" customHeight="1">
      <x:c r="A1363" s="3" t="n">
        <x:v>22</x:v>
      </x:c>
      <x:c r="B1363" s="3" t="str">
        <x:v>03:40</x:v>
      </x:c>
      <x:c r="C1363" s="3" t="n">
        <x:v>4</x:v>
      </x:c>
      <x:c r="D1363" s="3" t="n">
        <x:v>42</x:v>
      </x:c>
      <x:c r="E1363" s="3" t="n">
        <x:v>7</x:v>
      </x:c>
      <x:c r="F1363" s="3" t="n">
        <x:v>2</x:v>
      </x:c>
      <x:c r="G1363" s="9" t="n">
        <x:v>0.08</x:v>
      </x:c>
      <x:c r="H1363" s="9" t="n">
        <x:v>0.989237</x:v>
      </x:c>
      <x:c r="I1363" s="9" t="n">
        <x:f>'Physical_Arcs'!R43</x:f>
        <x:v>9</x:v>
      </x:c>
      <x:c r="J1363" s="9" t="n">
        <x:f>I1363*'Parameters'!$C$18</x:f>
        <x:v>1.8</x:v>
      </x:c>
      <x:c r="K1363" s="9" t="n">
        <x:f>J1363*'Parameters'!$C$19</x:f>
        <x:v>2.25</x:v>
      </x:c>
      <x:c r="L1363" s="9" t="n">
        <x:f>I1363*(1-0.40)-J1363</x:f>
        <x:v>3.5999999999999996</x:v>
      </x:c>
      <x:c r="M1363" s="9" t="n">
        <x:f>'Physical_Arcs'!S43</x:f>
        <x:v>9</x:v>
      </x:c>
      <x:c r="N1363" s="9" t="n">
        <x:f>M1363*'Parameters'!$C$18</x:f>
        <x:v>1.8</x:v>
      </x:c>
      <x:c r="O1363" s="9" t="n">
        <x:f>N1363*'Parameters'!$C$19</x:f>
        <x:v>2.25</x:v>
      </x:c>
      <x:c r="P1363" s="9" t="n">
        <x:f>M1363*(1-0.40)-N1363</x:f>
        <x:v>3.5999999999999996</x:v>
      </x:c>
      <x:c r="Q1363" s="9" t="n">
        <x:f>'Physical_Arcs'!T43</x:f>
        <x:v>4.5</x:v>
      </x:c>
      <x:c r="R1363" s="9" t="n">
        <x:f>Q1363*'Parameters'!$C$18</x:f>
        <x:v>0.9</x:v>
      </x:c>
      <x:c r="S1363" s="9" t="n">
        <x:f>R1363*'Parameters'!$C$19</x:f>
        <x:v>1.125</x:v>
      </x:c>
      <x:c r="T1363" s="9" t="n">
        <x:f>Q1363*(1-0.40)-R1363</x:f>
        <x:v>1.7999999999999998</x:v>
      </x:c>
    </x:row>
    <x:row r="1364" ht="21" customHeight="1">
      <x:c r="A1364" s="3" t="n">
        <x:v>22</x:v>
      </x:c>
      <x:c r="B1364" s="3" t="str">
        <x:v>03:40</x:v>
      </x:c>
      <x:c r="C1364" s="3" t="n">
        <x:v>4</x:v>
      </x:c>
      <x:c r="D1364" s="3" t="n">
        <x:v>43</x:v>
      </x:c>
      <x:c r="E1364" s="3" t="n">
        <x:v>7</x:v>
      </x:c>
      <x:c r="F1364" s="3" t="n">
        <x:v>3</x:v>
      </x:c>
      <x:c r="G1364" s="9" t="n">
        <x:v>0.08</x:v>
      </x:c>
      <x:c r="H1364" s="9" t="n">
        <x:v>1.050432</x:v>
      </x:c>
      <x:c r="I1364" s="9" t="n">
        <x:f>'Physical_Arcs'!R44</x:f>
        <x:v>7.638888888888889</x:v>
      </x:c>
      <x:c r="J1364" s="9" t="n">
        <x:f>I1364*'Parameters'!$C$18</x:f>
        <x:v>1.527777777777778</x:v>
      </x:c>
      <x:c r="K1364" s="9" t="n">
        <x:f>J1364*'Parameters'!$C$19</x:f>
        <x:v>1.9097222222222223</x:v>
      </x:c>
      <x:c r="L1364" s="9" t="n">
        <x:f>I1364*(1-0.40)-J1364</x:f>
        <x:v>3.0555555555555554</x:v>
      </x:c>
      <x:c r="M1364" s="9" t="n">
        <x:f>'Physical_Arcs'!S44</x:f>
        <x:v>7.638888888888889</x:v>
      </x:c>
      <x:c r="N1364" s="9" t="n">
        <x:f>M1364*'Parameters'!$C$18</x:f>
        <x:v>1.527777777777778</x:v>
      </x:c>
      <x:c r="O1364" s="9" t="n">
        <x:f>N1364*'Parameters'!$C$19</x:f>
        <x:v>1.9097222222222223</x:v>
      </x:c>
      <x:c r="P1364" s="9" t="n">
        <x:f>M1364*(1-0.40)-N1364</x:f>
        <x:v>3.0555555555555554</x:v>
      </x:c>
      <x:c r="Q1364" s="9" t="n">
        <x:f>'Physical_Arcs'!T44</x:f>
        <x:v>3.8333333333333335</x:v>
      </x:c>
      <x:c r="R1364" s="9" t="n">
        <x:f>Q1364*'Parameters'!$C$18</x:f>
        <x:v>0.7666666666666667</x:v>
      </x:c>
      <x:c r="S1364" s="9" t="n">
        <x:f>R1364*'Parameters'!$C$19</x:f>
        <x:v>0.9583333333333334</x:v>
      </x:c>
      <x:c r="T1364" s="9" t="n">
        <x:f>Q1364*(1-0.40)-R1364</x:f>
        <x:v>1.5333333333333332</x:v>
      </x:c>
    </x:row>
    <x:row r="1365" ht="21" customHeight="1">
      <x:c r="A1365" s="3" t="n">
        <x:v>22</x:v>
      </x:c>
      <x:c r="B1365" s="3" t="str">
        <x:v>03:40</x:v>
      </x:c>
      <x:c r="C1365" s="3" t="n">
        <x:v>4</x:v>
      </x:c>
      <x:c r="D1365" s="3" t="n">
        <x:v>44</x:v>
      </x:c>
      <x:c r="E1365" s="3" t="n">
        <x:v>8</x:v>
      </x:c>
      <x:c r="F1365" s="3" t="n">
        <x:v>9</x:v>
      </x:c>
      <x:c r="G1365" s="9" t="n">
        <x:v>0.08</x:v>
      </x:c>
      <x:c r="H1365" s="9" t="n">
        <x:v>0.868101</x:v>
      </x:c>
      <x:c r="I1365" s="9" t="n">
        <x:f>'Physical_Arcs'!R45</x:f>
        <x:v>17.02777777777778</x:v>
      </x:c>
      <x:c r="J1365" s="9" t="n">
        <x:f>I1365*'Parameters'!$C$18</x:f>
        <x:v>3.405555555555556</x:v>
      </x:c>
      <x:c r="K1365" s="9" t="n">
        <x:f>J1365*'Parameters'!$C$19</x:f>
        <x:v>4.256944444444445</x:v>
      </x:c>
      <x:c r="L1365" s="9" t="n">
        <x:f>I1365*(1-0.40)-J1365</x:f>
        <x:v>6.811111111111111</x:v>
      </x:c>
      <x:c r="M1365" s="9" t="n">
        <x:f>'Physical_Arcs'!S45</x:f>
        <x:v>17.02777777777778</x:v>
      </x:c>
      <x:c r="N1365" s="9" t="n">
        <x:f>M1365*'Parameters'!$C$18</x:f>
        <x:v>3.405555555555556</x:v>
      </x:c>
      <x:c r="O1365" s="9" t="n">
        <x:f>N1365*'Parameters'!$C$19</x:f>
        <x:v>4.256944444444445</x:v>
      </x:c>
      <x:c r="P1365" s="9" t="n">
        <x:f>M1365*(1-0.40)-N1365</x:f>
        <x:v>6.811111111111111</x:v>
      </x:c>
      <x:c r="Q1365" s="9" t="n">
        <x:f>'Physical_Arcs'!T45</x:f>
        <x:v>17.02777777777778</x:v>
      </x:c>
      <x:c r="R1365" s="9" t="n">
        <x:f>Q1365*'Parameters'!$C$18</x:f>
        <x:v>3.405555555555556</x:v>
      </x:c>
      <x:c r="S1365" s="9" t="n">
        <x:f>R1365*'Parameters'!$C$19</x:f>
        <x:v>4.256944444444445</x:v>
      </x:c>
      <x:c r="T1365" s="9" t="n">
        <x:f>Q1365*(1-0.40)-R1365</x:f>
        <x:v>6.811111111111111</x:v>
      </x:c>
    </x:row>
    <x:row r="1366" ht="21" customHeight="1">
      <x:c r="A1366" s="3" t="n">
        <x:v>22</x:v>
      </x:c>
      <x:c r="B1366" s="3" t="str">
        <x:v>03:40</x:v>
      </x:c>
      <x:c r="C1366" s="3" t="n">
        <x:v>4</x:v>
      </x:c>
      <x:c r="D1366" s="3" t="n">
        <x:v>45</x:v>
      </x:c>
      <x:c r="E1366" s="3" t="n">
        <x:v>8</x:v>
      </x:c>
      <x:c r="F1366" s="3" t="n">
        <x:v>3</x:v>
      </x:c>
      <x:c r="G1366" s="9" t="n">
        <x:v>0.08</x:v>
      </x:c>
      <x:c r="H1366" s="9" t="n">
        <x:v>0.944958</x:v>
      </x:c>
      <x:c r="I1366" s="9" t="n">
        <x:f>'Physical_Arcs'!R46</x:f>
        <x:v>5.388888888888889</x:v>
      </x:c>
      <x:c r="J1366" s="9" t="n">
        <x:f>I1366*'Parameters'!$C$18</x:f>
        <x:v>1.077777777777778</x:v>
      </x:c>
      <x:c r="K1366" s="9" t="n">
        <x:f>J1366*'Parameters'!$C$19</x:f>
        <x:v>1.3472222222222223</x:v>
      </x:c>
      <x:c r="L1366" s="9" t="n">
        <x:f>I1366*(1-0.40)-J1366</x:f>
        <x:v>2.1555555555555554</x:v>
      </x:c>
      <x:c r="M1366" s="9" t="n">
        <x:f>'Physical_Arcs'!S46</x:f>
        <x:v>5.388888888888889</x:v>
      </x:c>
      <x:c r="N1366" s="9" t="n">
        <x:f>M1366*'Parameters'!$C$18</x:f>
        <x:v>1.077777777777778</x:v>
      </x:c>
      <x:c r="O1366" s="9" t="n">
        <x:f>N1366*'Parameters'!$C$19</x:f>
        <x:v>1.3472222222222223</x:v>
      </x:c>
      <x:c r="P1366" s="9" t="n">
        <x:f>M1366*(1-0.40)-N1366</x:f>
        <x:v>2.1555555555555554</x:v>
      </x:c>
      <x:c r="Q1366" s="9" t="n">
        <x:f>'Physical_Arcs'!T46</x:f>
        <x:v>2.6944444444444446</x:v>
      </x:c>
      <x:c r="R1366" s="9" t="n">
        <x:f>Q1366*'Parameters'!$C$18</x:f>
        <x:v>0.538888888888889</x:v>
      </x:c>
      <x:c r="S1366" s="9" t="n">
        <x:f>R1366*'Parameters'!$C$19</x:f>
        <x:v>0.6736111111111112</x:v>
      </x:c>
      <x:c r="T1366" s="9" t="n">
        <x:f>Q1366*(1-0.40)-R1366</x:f>
        <x:v>1.0777777777777777</x:v>
      </x:c>
    </x:row>
    <x:row r="1367" ht="21" customHeight="1">
      <x:c r="A1367" s="3" t="n">
        <x:v>22</x:v>
      </x:c>
      <x:c r="B1367" s="3" t="str">
        <x:v>03:40</x:v>
      </x:c>
      <x:c r="C1367" s="3" t="n">
        <x:v>4</x:v>
      </x:c>
      <x:c r="D1367" s="3" t="n">
        <x:v>46</x:v>
      </x:c>
      <x:c r="E1367" s="3" t="n">
        <x:v>8</x:v>
      </x:c>
      <x:c r="F1367" s="3" t="n">
        <x:v>7</x:v>
      </x:c>
      <x:c r="G1367" s="9" t="n">
        <x:v>0.08</x:v>
      </x:c>
      <x:c r="H1367" s="9" t="n">
        <x:v>0.866232</x:v>
      </x:c>
      <x:c r="I1367" s="9" t="n">
        <x:f>'Physical_Arcs'!R47</x:f>
        <x:v>5.388888888888889</x:v>
      </x:c>
      <x:c r="J1367" s="9" t="n">
        <x:f>I1367*'Parameters'!$C$18</x:f>
        <x:v>1.077777777777778</x:v>
      </x:c>
      <x:c r="K1367" s="9" t="n">
        <x:f>J1367*'Parameters'!$C$19</x:f>
        <x:v>1.3472222222222223</x:v>
      </x:c>
      <x:c r="L1367" s="9" t="n">
        <x:f>I1367*(1-0.40)-J1367</x:f>
        <x:v>2.1555555555555554</x:v>
      </x:c>
      <x:c r="M1367" s="9" t="n">
        <x:f>'Physical_Arcs'!S47</x:f>
        <x:v>5.388888888888889</x:v>
      </x:c>
      <x:c r="N1367" s="9" t="n">
        <x:f>M1367*'Parameters'!$C$18</x:f>
        <x:v>1.077777777777778</x:v>
      </x:c>
      <x:c r="O1367" s="9" t="n">
        <x:f>N1367*'Parameters'!$C$19</x:f>
        <x:v>1.3472222222222223</x:v>
      </x:c>
      <x:c r="P1367" s="9" t="n">
        <x:f>M1367*(1-0.40)-N1367</x:f>
        <x:v>2.1555555555555554</x:v>
      </x:c>
      <x:c r="Q1367" s="9" t="n">
        <x:f>'Physical_Arcs'!T47</x:f>
        <x:v>2.6944444444444446</x:v>
      </x:c>
      <x:c r="R1367" s="9" t="n">
        <x:f>Q1367*'Parameters'!$C$18</x:f>
        <x:v>0.538888888888889</x:v>
      </x:c>
      <x:c r="S1367" s="9" t="n">
        <x:f>R1367*'Parameters'!$C$19</x:f>
        <x:v>0.6736111111111112</x:v>
      </x:c>
      <x:c r="T1367" s="9" t="n">
        <x:f>Q1367*(1-0.40)-R1367</x:f>
        <x:v>1.0777777777777777</x:v>
      </x:c>
    </x:row>
    <x:row r="1368" ht="21" customHeight="1">
      <x:c r="A1368" s="3" t="n">
        <x:v>22</x:v>
      </x:c>
      <x:c r="B1368" s="3" t="str">
        <x:v>03:40</x:v>
      </x:c>
      <x:c r="C1368" s="3" t="n">
        <x:v>4</x:v>
      </x:c>
      <x:c r="D1368" s="3" t="n">
        <x:v>47</x:v>
      </x:c>
      <x:c r="E1368" s="3" t="n">
        <x:v>8</x:v>
      </x:c>
      <x:c r="F1368" s="3" t="n">
        <x:v>2</x:v>
      </x:c>
      <x:c r="G1368" s="9" t="n">
        <x:v>0.08</x:v>
      </x:c>
      <x:c r="H1368" s="9" t="n">
        <x:v>1.135644</x:v>
      </x:c>
      <x:c r="I1368" s="9" t="n">
        <x:f>'Physical_Arcs'!R48</x:f>
        <x:v>8.083333333333334</x:v>
      </x:c>
      <x:c r="J1368" s="9" t="n">
        <x:f>I1368*'Parameters'!$C$18</x:f>
        <x:v>1.616666666666667</x:v>
      </x:c>
      <x:c r="K1368" s="9" t="n">
        <x:f>J1368*'Parameters'!$C$19</x:f>
        <x:v>2.0208333333333335</x:v>
      </x:c>
      <x:c r="L1368" s="9" t="n">
        <x:f>I1368*(1-0.40)-J1368</x:f>
        <x:v>3.2333333333333334</x:v>
      </x:c>
      <x:c r="M1368" s="9" t="n">
        <x:f>'Physical_Arcs'!S48</x:f>
        <x:v>8.083333333333334</x:v>
      </x:c>
      <x:c r="N1368" s="9" t="n">
        <x:f>M1368*'Parameters'!$C$18</x:f>
        <x:v>1.616666666666667</x:v>
      </x:c>
      <x:c r="O1368" s="9" t="n">
        <x:f>N1368*'Parameters'!$C$19</x:f>
        <x:v>2.0208333333333335</x:v>
      </x:c>
      <x:c r="P1368" s="9" t="n">
        <x:f>M1368*(1-0.40)-N1368</x:f>
        <x:v>3.2333333333333334</x:v>
      </x:c>
      <x:c r="Q1368" s="9" t="n">
        <x:f>'Physical_Arcs'!T48</x:f>
        <x:v>4.055555555555555</x:v>
      </x:c>
      <x:c r="R1368" s="9" t="n">
        <x:f>Q1368*'Parameters'!$C$18</x:f>
        <x:v>0.8111111111111111</x:v>
      </x:c>
      <x:c r="S1368" s="9" t="n">
        <x:f>R1368*'Parameters'!$C$19</x:f>
        <x:v>1.0138888888888888</x:v>
      </x:c>
      <x:c r="T1368" s="9" t="n">
        <x:f>Q1368*(1-0.40)-R1368</x:f>
        <x:v>1.622222222222222</x:v>
      </x:c>
    </x:row>
    <x:row r="1369" ht="21" customHeight="1">
      <x:c r="A1369" s="3" t="n">
        <x:v>22</x:v>
      </x:c>
      <x:c r="B1369" s="3" t="str">
        <x:v>03:40</x:v>
      </x:c>
      <x:c r="C1369" s="3" t="n">
        <x:v>4</x:v>
      </x:c>
      <x:c r="D1369" s="3" t="n">
        <x:v>48</x:v>
      </x:c>
      <x:c r="E1369" s="3" t="n">
        <x:v>8</x:v>
      </x:c>
      <x:c r="F1369" s="3" t="n">
        <x:v>6</x:v>
      </x:c>
      <x:c r="G1369" s="9" t="n">
        <x:v>0.08</x:v>
      </x:c>
      <x:c r="H1369" s="9" t="n">
        <x:v>0.850778</x:v>
      </x:c>
      <x:c r="I1369" s="9" t="n">
        <x:f>'Physical_Arcs'!R49</x:f>
        <x:v>10.555555555555555</x:v>
      </x:c>
      <x:c r="J1369" s="9" t="n">
        <x:f>I1369*'Parameters'!$C$18</x:f>
        <x:v>2.111111111111111</x:v>
      </x:c>
      <x:c r="K1369" s="9" t="n">
        <x:f>J1369*'Parameters'!$C$19</x:f>
        <x:v>2.638888888888889</x:v>
      </x:c>
      <x:c r="L1369" s="9" t="n">
        <x:f>I1369*(1-0.40)-J1369</x:f>
        <x:v>4.222222222222221</x:v>
      </x:c>
      <x:c r="M1369" s="9" t="n">
        <x:f>'Physical_Arcs'!S49</x:f>
        <x:v>10.555555555555555</x:v>
      </x:c>
      <x:c r="N1369" s="9" t="n">
        <x:f>M1369*'Parameters'!$C$18</x:f>
        <x:v>2.111111111111111</x:v>
      </x:c>
      <x:c r="O1369" s="9" t="n">
        <x:f>N1369*'Parameters'!$C$19</x:f>
        <x:v>2.638888888888889</x:v>
      </x:c>
      <x:c r="P1369" s="9" t="n">
        <x:f>M1369*(1-0.40)-N1369</x:f>
        <x:v>4.222222222222221</x:v>
      </x:c>
      <x:c r="Q1369" s="9" t="n">
        <x:f>'Physical_Arcs'!T49</x:f>
        <x:v>5.277777777777778</x:v>
      </x:c>
      <x:c r="R1369" s="9" t="n">
        <x:f>Q1369*'Parameters'!$C$18</x:f>
        <x:v>1.0555555555555556</x:v>
      </x:c>
      <x:c r="S1369" s="9" t="n">
        <x:f>R1369*'Parameters'!$C$19</x:f>
        <x:v>1.3194444444444444</x:v>
      </x:c>
      <x:c r="T1369" s="9" t="n">
        <x:f>Q1369*(1-0.40)-R1369</x:f>
        <x:v>2.1111111111111107</x:v>
      </x:c>
    </x:row>
    <x:row r="1370" ht="21" customHeight="1">
      <x:c r="A1370" s="3" t="n">
        <x:v>22</x:v>
      </x:c>
      <x:c r="B1370" s="3" t="str">
        <x:v>03:40</x:v>
      </x:c>
      <x:c r="C1370" s="3" t="n">
        <x:v>4</x:v>
      </x:c>
      <x:c r="D1370" s="3" t="n">
        <x:v>49</x:v>
      </x:c>
      <x:c r="E1370" s="3" t="n">
        <x:v>8</x:v>
      </x:c>
      <x:c r="F1370" s="3" t="n">
        <x:v>4</x:v>
      </x:c>
      <x:c r="G1370" s="9" t="n">
        <x:v>0.08</x:v>
      </x:c>
      <x:c r="H1370" s="9" t="n">
        <x:v>0.904949</x:v>
      </x:c>
      <x:c r="I1370" s="9" t="n">
        <x:f>'Physical_Arcs'!R50</x:f>
        <x:v>1.5833333333333333</x:v>
      </x:c>
      <x:c r="J1370" s="9" t="n">
        <x:f>I1370*'Parameters'!$C$18</x:f>
        <x:v>0.31666666666666665</x:v>
      </x:c>
      <x:c r="K1370" s="9" t="n">
        <x:f>J1370*'Parameters'!$C$19</x:f>
        <x:v>0.3958333333333333</x:v>
      </x:c>
      <x:c r="L1370" s="9" t="n">
        <x:f>I1370*(1-0.40)-J1370</x:f>
        <x:v>0.6333333333333333</x:v>
      </x:c>
      <x:c r="M1370" s="9" t="n">
        <x:f>'Physical_Arcs'!S50</x:f>
        <x:v>1.5833333333333333</x:v>
      </x:c>
      <x:c r="N1370" s="9" t="n">
        <x:f>M1370*'Parameters'!$C$18</x:f>
        <x:v>0.31666666666666665</x:v>
      </x:c>
      <x:c r="O1370" s="9" t="n">
        <x:f>N1370*'Parameters'!$C$19</x:f>
        <x:v>0.3958333333333333</x:v>
      </x:c>
      <x:c r="P1370" s="9" t="n">
        <x:f>M1370*(1-0.40)-N1370</x:f>
        <x:v>0.6333333333333333</x:v>
      </x:c>
      <x:c r="Q1370" s="9" t="n">
        <x:f>'Physical_Arcs'!T50</x:f>
        <x:v>0.8055555555555556</x:v>
      </x:c>
      <x:c r="R1370" s="9" t="n">
        <x:f>Q1370*'Parameters'!$C$18</x:f>
        <x:v>0.16111111111111112</x:v>
      </x:c>
      <x:c r="S1370" s="9" t="n">
        <x:f>R1370*'Parameters'!$C$19</x:f>
        <x:v>0.2013888888888889</x:v>
      </x:c>
      <x:c r="T1370" s="9" t="n">
        <x:f>Q1370*(1-0.40)-R1370</x:f>
        <x:v>0.3222222222222222</x:v>
      </x:c>
    </x:row>
    <x:row r="1371" ht="21" customHeight="1">
      <x:c r="A1371" s="3" t="n">
        <x:v>22</x:v>
      </x:c>
      <x:c r="B1371" s="3" t="str">
        <x:v>03:40</x:v>
      </x:c>
      <x:c r="C1371" s="3" t="n">
        <x:v>4</x:v>
      </x:c>
      <x:c r="D1371" s="3" t="n">
        <x:v>50</x:v>
      </x:c>
      <x:c r="E1371" s="3" t="n">
        <x:v>8</x:v>
      </x:c>
      <x:c r="F1371" s="3" t="n">
        <x:v>5</x:v>
      </x:c>
      <x:c r="G1371" s="9" t="n">
        <x:v>0.08</x:v>
      </x:c>
      <x:c r="H1371" s="9" t="n">
        <x:v>0.990416</x:v>
      </x:c>
      <x:c r="I1371" s="9" t="n">
        <x:f>'Physical_Arcs'!R51</x:f>
        <x:v>10.777777777777779</x:v>
      </x:c>
      <x:c r="J1371" s="9" t="n">
        <x:f>I1371*'Parameters'!$C$18</x:f>
        <x:v>2.155555555555556</x:v>
      </x:c>
      <x:c r="K1371" s="9" t="n">
        <x:f>J1371*'Parameters'!$C$19</x:f>
        <x:v>2.6944444444444446</x:v>
      </x:c>
      <x:c r="L1371" s="9" t="n">
        <x:f>I1371*(1-0.40)-J1371</x:f>
        <x:v>4.311111111111111</x:v>
      </x:c>
      <x:c r="M1371" s="9" t="n">
        <x:f>'Physical_Arcs'!S51</x:f>
        <x:v>10.777777777777779</x:v>
      </x:c>
      <x:c r="N1371" s="9" t="n">
        <x:f>M1371*'Parameters'!$C$18</x:f>
        <x:v>2.155555555555556</x:v>
      </x:c>
      <x:c r="O1371" s="9" t="n">
        <x:f>N1371*'Parameters'!$C$19</x:f>
        <x:v>2.6944444444444446</x:v>
      </x:c>
      <x:c r="P1371" s="9" t="n">
        <x:f>M1371*(1-0.40)-N1371</x:f>
        <x:v>4.311111111111111</x:v>
      </x:c>
      <x:c r="Q1371" s="9" t="n">
        <x:f>'Physical_Arcs'!T51</x:f>
        <x:v>5.388888888888889</x:v>
      </x:c>
      <x:c r="R1371" s="9" t="n">
        <x:f>Q1371*'Parameters'!$C$18</x:f>
        <x:v>1.077777777777778</x:v>
      </x:c>
      <x:c r="S1371" s="9" t="n">
        <x:f>R1371*'Parameters'!$C$19</x:f>
        <x:v>1.3472222222222223</x:v>
      </x:c>
      <x:c r="T1371" s="9" t="n">
        <x:f>Q1371*(1-0.40)-R1371</x:f>
        <x:v>2.1555555555555554</x:v>
      </x:c>
    </x:row>
    <x:row r="1372" ht="21" customHeight="1">
      <x:c r="A1372" s="3" t="n">
        <x:v>22</x:v>
      </x:c>
      <x:c r="B1372" s="3" t="str">
        <x:v>03:40</x:v>
      </x:c>
      <x:c r="C1372" s="3" t="n">
        <x:v>4</x:v>
      </x:c>
      <x:c r="D1372" s="3" t="n">
        <x:v>51</x:v>
      </x:c>
      <x:c r="E1372" s="3" t="n">
        <x:v>8</x:v>
      </x:c>
      <x:c r="F1372" s="3" t="n">
        <x:v>1</x:v>
      </x:c>
      <x:c r="G1372" s="9" t="n">
        <x:v>0.08</x:v>
      </x:c>
      <x:c r="H1372" s="9" t="n">
        <x:v>1.039066</x:v>
      </x:c>
      <x:c r="I1372" s="9" t="n">
        <x:f>'Physical_Arcs'!R52</x:f>
        <x:v>8.88888888888889</x:v>
      </x:c>
      <x:c r="J1372" s="9" t="n">
        <x:f>I1372*'Parameters'!$C$18</x:f>
        <x:v>1.777777777777778</x:v>
      </x:c>
      <x:c r="K1372" s="9" t="n">
        <x:f>J1372*'Parameters'!$C$19</x:f>
        <x:v>2.2222222222222223</x:v>
      </x:c>
      <x:c r="L1372" s="9" t="n">
        <x:f>I1372*(1-0.40)-J1372</x:f>
        <x:v>3.5555555555555554</x:v>
      </x:c>
      <x:c r="M1372" s="9" t="n">
        <x:f>'Physical_Arcs'!S52</x:f>
        <x:v>8.88888888888889</x:v>
      </x:c>
      <x:c r="N1372" s="9" t="n">
        <x:f>M1372*'Parameters'!$C$18</x:f>
        <x:v>1.777777777777778</x:v>
      </x:c>
      <x:c r="O1372" s="9" t="n">
        <x:f>N1372*'Parameters'!$C$19</x:f>
        <x:v>2.2222222222222223</x:v>
      </x:c>
      <x:c r="P1372" s="9" t="n">
        <x:f>M1372*(1-0.40)-N1372</x:f>
        <x:v>3.5555555555555554</x:v>
      </x:c>
      <x:c r="Q1372" s="9" t="n">
        <x:f>'Physical_Arcs'!T52</x:f>
        <x:v>4.444444444444445</x:v>
      </x:c>
      <x:c r="R1372" s="9" t="n">
        <x:f>Q1372*'Parameters'!$C$18</x:f>
        <x:v>0.888888888888889</x:v>
      </x:c>
      <x:c r="S1372" s="9" t="n">
        <x:f>R1372*'Parameters'!$C$19</x:f>
        <x:v>1.1111111111111112</x:v>
      </x:c>
      <x:c r="T1372" s="9" t="n">
        <x:f>Q1372*(1-0.40)-R1372</x:f>
        <x:v>1.7777777777777777</x:v>
      </x:c>
    </x:row>
    <x:row r="1373" ht="21" customHeight="1">
      <x:c r="A1373" s="3" t="n">
        <x:v>22</x:v>
      </x:c>
      <x:c r="B1373" s="3" t="str">
        <x:v>03:40</x:v>
      </x:c>
      <x:c r="C1373" s="3" t="n">
        <x:v>4</x:v>
      </x:c>
      <x:c r="D1373" s="3" t="n">
        <x:v>52</x:v>
      </x:c>
      <x:c r="E1373" s="3" t="n">
        <x:v>9</x:v>
      </x:c>
      <x:c r="F1373" s="3" t="n">
        <x:v>10</x:v>
      </x:c>
      <x:c r="G1373" s="9" t="n">
        <x:v>0.08</x:v>
      </x:c>
      <x:c r="H1373" s="9" t="n">
        <x:v>0.954096</x:v>
      </x:c>
      <x:c r="I1373" s="9" t="n">
        <x:f>'Physical_Arcs'!R53</x:f>
        <x:v>17.02777777777778</x:v>
      </x:c>
      <x:c r="J1373" s="9" t="n">
        <x:f>I1373*'Parameters'!$C$18</x:f>
        <x:v>3.405555555555556</x:v>
      </x:c>
      <x:c r="K1373" s="9" t="n">
        <x:f>J1373*'Parameters'!$C$19</x:f>
        <x:v>4.256944444444445</x:v>
      </x:c>
      <x:c r="L1373" s="9" t="n">
        <x:f>I1373*(1-0.40)-J1373</x:f>
        <x:v>6.811111111111111</x:v>
      </x:c>
      <x:c r="M1373" s="9" t="n">
        <x:f>'Physical_Arcs'!S53</x:f>
        <x:v>17.02777777777778</x:v>
      </x:c>
      <x:c r="N1373" s="9" t="n">
        <x:f>M1373*'Parameters'!$C$18</x:f>
        <x:v>3.405555555555556</x:v>
      </x:c>
      <x:c r="O1373" s="9" t="n">
        <x:f>N1373*'Parameters'!$C$19</x:f>
        <x:v>4.256944444444445</x:v>
      </x:c>
      <x:c r="P1373" s="9" t="n">
        <x:f>M1373*(1-0.40)-N1373</x:f>
        <x:v>6.811111111111111</x:v>
      </x:c>
      <x:c r="Q1373" s="9" t="n">
        <x:f>'Physical_Arcs'!T53</x:f>
        <x:v>17.02777777777778</x:v>
      </x:c>
      <x:c r="R1373" s="9" t="n">
        <x:f>Q1373*'Parameters'!$C$18</x:f>
        <x:v>3.405555555555556</x:v>
      </x:c>
      <x:c r="S1373" s="9" t="n">
        <x:f>R1373*'Parameters'!$C$19</x:f>
        <x:v>4.256944444444445</x:v>
      </x:c>
      <x:c r="T1373" s="9" t="n">
        <x:f>Q1373*(1-0.40)-R1373</x:f>
        <x:v>6.811111111111111</x:v>
      </x:c>
    </x:row>
    <x:row r="1374" ht="21" customHeight="1">
      <x:c r="A1374" s="3" t="n">
        <x:v>22</x:v>
      </x:c>
      <x:c r="B1374" s="3" t="str">
        <x:v>03:40</x:v>
      </x:c>
      <x:c r="C1374" s="3" t="n">
        <x:v>4</x:v>
      </x:c>
      <x:c r="D1374" s="3" t="n">
        <x:v>53</x:v>
      </x:c>
      <x:c r="E1374" s="3" t="n">
        <x:v>9</x:v>
      </x:c>
      <x:c r="F1374" s="3" t="n">
        <x:v>6</x:v>
      </x:c>
      <x:c r="G1374" s="9" t="n">
        <x:v>0.08</x:v>
      </x:c>
      <x:c r="H1374" s="9" t="n">
        <x:v>1.125574</x:v>
      </x:c>
      <x:c r="I1374" s="9" t="n">
        <x:f>'Physical_Arcs'!R54</x:f>
        <x:v>9.666666666666666</x:v>
      </x:c>
      <x:c r="J1374" s="9" t="n">
        <x:f>I1374*'Parameters'!$C$18</x:f>
        <x:v>1.9333333333333333</x:v>
      </x:c>
      <x:c r="K1374" s="9" t="n">
        <x:f>J1374*'Parameters'!$C$19</x:f>
        <x:v>2.4166666666666665</x:v>
      </x:c>
      <x:c r="L1374" s="9" t="n">
        <x:f>I1374*(1-0.40)-J1374</x:f>
        <x:v>3.8666666666666663</x:v>
      </x:c>
      <x:c r="M1374" s="9" t="n">
        <x:f>'Physical_Arcs'!S54</x:f>
        <x:v>9.666666666666666</x:v>
      </x:c>
      <x:c r="N1374" s="9" t="n">
        <x:f>M1374*'Parameters'!$C$18</x:f>
        <x:v>1.9333333333333333</x:v>
      </x:c>
      <x:c r="O1374" s="9" t="n">
        <x:f>N1374*'Parameters'!$C$19</x:f>
        <x:v>2.4166666666666665</x:v>
      </x:c>
      <x:c r="P1374" s="9" t="n">
        <x:f>M1374*(1-0.40)-N1374</x:f>
        <x:v>3.8666666666666663</x:v>
      </x:c>
      <x:c r="Q1374" s="9" t="n">
        <x:f>'Physical_Arcs'!T54</x:f>
        <x:v>4.833333333333333</x:v>
      </x:c>
      <x:c r="R1374" s="9" t="n">
        <x:f>Q1374*'Parameters'!$C$18</x:f>
        <x:v>0.9666666666666667</x:v>
      </x:c>
      <x:c r="S1374" s="9" t="n">
        <x:f>R1374*'Parameters'!$C$19</x:f>
        <x:v>1.2083333333333333</x:v>
      </x:c>
      <x:c r="T1374" s="9" t="n">
        <x:f>Q1374*(1-0.40)-R1374</x:f>
        <x:v>1.9333333333333331</x:v>
      </x:c>
    </x:row>
    <x:row r="1375" ht="21" customHeight="1">
      <x:c r="A1375" s="3" t="n">
        <x:v>22</x:v>
      </x:c>
      <x:c r="B1375" s="3" t="str">
        <x:v>03:40</x:v>
      </x:c>
      <x:c r="C1375" s="3" t="n">
        <x:v>4</x:v>
      </x:c>
      <x:c r="D1375" s="3" t="n">
        <x:v>54</x:v>
      </x:c>
      <x:c r="E1375" s="3" t="n">
        <x:v>9</x:v>
      </x:c>
      <x:c r="F1375" s="3" t="n">
        <x:v>2</x:v>
      </x:c>
      <x:c r="G1375" s="9" t="n">
        <x:v>0.08</x:v>
      </x:c>
      <x:c r="H1375" s="9" t="n">
        <x:v>0.854534</x:v>
      </x:c>
      <x:c r="I1375" s="9" t="n">
        <x:f>'Physical_Arcs'!R55</x:f>
        <x:v>9.88888888888889</x:v>
      </x:c>
      <x:c r="J1375" s="9" t="n">
        <x:f>I1375*'Parameters'!$C$18</x:f>
        <x:v>1.9777777777777779</x:v>
      </x:c>
      <x:c r="K1375" s="9" t="n">
        <x:f>J1375*'Parameters'!$C$19</x:f>
        <x:v>2.4722222222222223</x:v>
      </x:c>
      <x:c r="L1375" s="9" t="n">
        <x:f>I1375*(1-0.40)-J1375</x:f>
        <x:v>3.9555555555555557</x:v>
      </x:c>
      <x:c r="M1375" s="9" t="n">
        <x:f>'Physical_Arcs'!S55</x:f>
        <x:v>9.88888888888889</x:v>
      </x:c>
      <x:c r="N1375" s="9" t="n">
        <x:f>M1375*'Parameters'!$C$18</x:f>
        <x:v>1.9777777777777779</x:v>
      </x:c>
      <x:c r="O1375" s="9" t="n">
        <x:f>N1375*'Parameters'!$C$19</x:f>
        <x:v>2.4722222222222223</x:v>
      </x:c>
      <x:c r="P1375" s="9" t="n">
        <x:f>M1375*(1-0.40)-N1375</x:f>
        <x:v>3.9555555555555557</x:v>
      </x:c>
      <x:c r="Q1375" s="9" t="n">
        <x:f>'Physical_Arcs'!T55</x:f>
        <x:v>4.944444444444445</x:v>
      </x:c>
      <x:c r="R1375" s="9" t="n">
        <x:f>Q1375*'Parameters'!$C$18</x:f>
        <x:v>0.9888888888888889</x:v>
      </x:c>
      <x:c r="S1375" s="9" t="n">
        <x:f>R1375*'Parameters'!$C$19</x:f>
        <x:v>1.2361111111111112</x:v>
      </x:c>
      <x:c r="T1375" s="9" t="n">
        <x:f>Q1375*(1-0.40)-R1375</x:f>
        <x:v>1.9777777777777779</x:v>
      </x:c>
    </x:row>
    <x:row r="1376" ht="21" customHeight="1">
      <x:c r="A1376" s="3" t="n">
        <x:v>22</x:v>
      </x:c>
      <x:c r="B1376" s="3" t="str">
        <x:v>03:40</x:v>
      </x:c>
      <x:c r="C1376" s="3" t="n">
        <x:v>4</x:v>
      </x:c>
      <x:c r="D1376" s="3" t="n">
        <x:v>55</x:v>
      </x:c>
      <x:c r="E1376" s="3" t="n">
        <x:v>9</x:v>
      </x:c>
      <x:c r="F1376" s="3" t="n">
        <x:v>7</x:v>
      </x:c>
      <x:c r="G1376" s="9" t="n">
        <x:v>0.08</x:v>
      </x:c>
      <x:c r="H1376" s="9" t="n">
        <x:v>0.900033</x:v>
      </x:c>
      <x:c r="I1376" s="9" t="n">
        <x:f>'Physical_Arcs'!R56</x:f>
        <x:v>4.166666666666667</x:v>
      </x:c>
      <x:c r="J1376" s="9" t="n">
        <x:f>I1376*'Parameters'!$C$18</x:f>
        <x:v>0.8333333333333335</x:v>
      </x:c>
      <x:c r="K1376" s="9" t="n">
        <x:f>J1376*'Parameters'!$C$19</x:f>
        <x:v>1.041666666666667</x:v>
      </x:c>
      <x:c r="L1376" s="9" t="n">
        <x:f>I1376*(1-0.40)-J1376</x:f>
        <x:v>1.6666666666666665</x:v>
      </x:c>
      <x:c r="M1376" s="9" t="n">
        <x:f>'Physical_Arcs'!S56</x:f>
        <x:v>4.166666666666667</x:v>
      </x:c>
      <x:c r="N1376" s="9" t="n">
        <x:f>M1376*'Parameters'!$C$18</x:f>
        <x:v>0.8333333333333335</x:v>
      </x:c>
      <x:c r="O1376" s="9" t="n">
        <x:f>N1376*'Parameters'!$C$19</x:f>
        <x:v>1.041666666666667</x:v>
      </x:c>
      <x:c r="P1376" s="9" t="n">
        <x:f>M1376*(1-0.40)-N1376</x:f>
        <x:v>1.6666666666666665</x:v>
      </x:c>
      <x:c r="Q1376" s="9" t="n">
        <x:f>'Physical_Arcs'!T56</x:f>
        <x:v>2.0833333333333335</x:v>
      </x:c>
      <x:c r="R1376" s="9" t="n">
        <x:f>Q1376*'Parameters'!$C$18</x:f>
        <x:v>0.41666666666666674</x:v>
      </x:c>
      <x:c r="S1376" s="9" t="n">
        <x:f>R1376*'Parameters'!$C$19</x:f>
        <x:v>0.5208333333333335</x:v>
      </x:c>
      <x:c r="T1376" s="9" t="n">
        <x:f>Q1376*(1-0.40)-R1376</x:f>
        <x:v>0.8333333333333333</x:v>
      </x:c>
    </x:row>
    <x:row r="1377" ht="21" customHeight="1">
      <x:c r="A1377" s="3" t="n">
        <x:v>22</x:v>
      </x:c>
      <x:c r="B1377" s="3" t="str">
        <x:v>03:40</x:v>
      </x:c>
      <x:c r="C1377" s="3" t="n">
        <x:v>4</x:v>
      </x:c>
      <x:c r="D1377" s="3" t="n">
        <x:v>56</x:v>
      </x:c>
      <x:c r="E1377" s="3" t="n">
        <x:v>9</x:v>
      </x:c>
      <x:c r="F1377" s="3" t="n">
        <x:v>3</x:v>
      </x:c>
      <x:c r="G1377" s="9" t="n">
        <x:v>0.08</x:v>
      </x:c>
      <x:c r="H1377" s="9" t="n">
        <x:v>0.893428</x:v>
      </x:c>
      <x:c r="I1377" s="9" t="n">
        <x:f>'Physical_Arcs'!R57</x:f>
        <x:v>3.7222222222222223</x:v>
      </x:c>
      <x:c r="J1377" s="9" t="n">
        <x:f>I1377*'Parameters'!$C$18</x:f>
        <x:v>0.7444444444444445</x:v>
      </x:c>
      <x:c r="K1377" s="9" t="n">
        <x:f>J1377*'Parameters'!$C$19</x:f>
        <x:v>0.9305555555555556</x:v>
      </x:c>
      <x:c r="L1377" s="9" t="n">
        <x:f>I1377*(1-0.40)-J1377</x:f>
        <x:v>1.488888888888889</x:v>
      </x:c>
      <x:c r="M1377" s="9" t="n">
        <x:f>'Physical_Arcs'!S57</x:f>
        <x:v>3.7222222222222223</x:v>
      </x:c>
      <x:c r="N1377" s="9" t="n">
        <x:f>M1377*'Parameters'!$C$18</x:f>
        <x:v>0.7444444444444445</x:v>
      </x:c>
      <x:c r="O1377" s="9" t="n">
        <x:f>N1377*'Parameters'!$C$19</x:f>
        <x:v>0.9305555555555556</x:v>
      </x:c>
      <x:c r="P1377" s="9" t="n">
        <x:f>M1377*(1-0.40)-N1377</x:f>
        <x:v>1.488888888888889</x:v>
      </x:c>
      <x:c r="Q1377" s="9" t="n">
        <x:f>'Physical_Arcs'!T57</x:f>
        <x:v>1.8611111111111112</x:v>
      </x:c>
      <x:c r="R1377" s="9" t="n">
        <x:f>Q1377*'Parameters'!$C$18</x:f>
        <x:v>0.37222222222222223</x:v>
      </x:c>
      <x:c r="S1377" s="9" t="n">
        <x:f>R1377*'Parameters'!$C$19</x:f>
        <x:v>0.4652777777777778</x:v>
      </x:c>
      <x:c r="T1377" s="9" t="n">
        <x:f>Q1377*(1-0.40)-R1377</x:f>
        <x:v>0.7444444444444445</x:v>
      </x:c>
    </x:row>
    <x:row r="1378" ht="21" customHeight="1">
      <x:c r="A1378" s="3" t="n">
        <x:v>22</x:v>
      </x:c>
      <x:c r="B1378" s="3" t="str">
        <x:v>03:40</x:v>
      </x:c>
      <x:c r="C1378" s="3" t="n">
        <x:v>4</x:v>
      </x:c>
      <x:c r="D1378" s="3" t="n">
        <x:v>57</x:v>
      </x:c>
      <x:c r="E1378" s="3" t="n">
        <x:v>10</x:v>
      </x:c>
      <x:c r="F1378" s="3" t="n">
        <x:v>1</x:v>
      </x:c>
      <x:c r="G1378" s="9" t="n">
        <x:v>0.08</x:v>
      </x:c>
      <x:c r="H1378" s="9" t="n">
        <x:v>1.027979</x:v>
      </x:c>
      <x:c r="I1378" s="9" t="n">
        <x:f>'Physical_Arcs'!R58</x:f>
        <x:v>17.02777777777778</x:v>
      </x:c>
      <x:c r="J1378" s="9" t="n">
        <x:f>I1378*'Parameters'!$C$18</x:f>
        <x:v>3.405555555555556</x:v>
      </x:c>
      <x:c r="K1378" s="9" t="n">
        <x:f>J1378*'Parameters'!$C$19</x:f>
        <x:v>4.256944444444445</x:v>
      </x:c>
      <x:c r="L1378" s="9" t="n">
        <x:f>I1378*(1-0.40)-J1378</x:f>
        <x:v>6.811111111111111</x:v>
      </x:c>
      <x:c r="M1378" s="9" t="n">
        <x:f>'Physical_Arcs'!S58</x:f>
        <x:v>17.02777777777778</x:v>
      </x:c>
      <x:c r="N1378" s="9" t="n">
        <x:f>M1378*'Parameters'!$C$18</x:f>
        <x:v>3.405555555555556</x:v>
      </x:c>
      <x:c r="O1378" s="9" t="n">
        <x:f>N1378*'Parameters'!$C$19</x:f>
        <x:v>4.256944444444445</x:v>
      </x:c>
      <x:c r="P1378" s="9" t="n">
        <x:f>M1378*(1-0.40)-N1378</x:f>
        <x:v>6.811111111111111</x:v>
      </x:c>
      <x:c r="Q1378" s="9" t="n">
        <x:f>'Physical_Arcs'!T58</x:f>
        <x:v>17.02777777777778</x:v>
      </x:c>
      <x:c r="R1378" s="9" t="n">
        <x:f>Q1378*'Parameters'!$C$18</x:f>
        <x:v>3.405555555555556</x:v>
      </x:c>
      <x:c r="S1378" s="9" t="n">
        <x:f>R1378*'Parameters'!$C$19</x:f>
        <x:v>4.256944444444445</x:v>
      </x:c>
      <x:c r="T1378" s="9" t="n">
        <x:f>Q1378*(1-0.40)-R1378</x:f>
        <x:v>6.811111111111111</x:v>
      </x:c>
    </x:row>
    <x:row r="1379" ht="21" customHeight="1">
      <x:c r="A1379" s="3" t="n">
        <x:v>22</x:v>
      </x:c>
      <x:c r="B1379" s="3" t="str">
        <x:v>03:40</x:v>
      </x:c>
      <x:c r="C1379" s="3" t="n">
        <x:v>4</x:v>
      </x:c>
      <x:c r="D1379" s="3" t="n">
        <x:v>58</x:v>
      </x:c>
      <x:c r="E1379" s="3" t="n">
        <x:v>10</x:v>
      </x:c>
      <x:c r="F1379" s="3" t="n">
        <x:v>6</x:v>
      </x:c>
      <x:c r="G1379" s="9" t="n">
        <x:v>0.08</x:v>
      </x:c>
      <x:c r="H1379" s="9" t="n">
        <x:v>0.952676</x:v>
      </x:c>
      <x:c r="I1379" s="9" t="n">
        <x:f>'Physical_Arcs'!R59</x:f>
        <x:v>6.305555555555555</x:v>
      </x:c>
      <x:c r="J1379" s="9" t="n">
        <x:f>I1379*'Parameters'!$C$18</x:f>
        <x:v>1.261111111111111</x:v>
      </x:c>
      <x:c r="K1379" s="9" t="n">
        <x:f>J1379*'Parameters'!$C$19</x:f>
        <x:v>1.5763888888888888</x:v>
      </x:c>
      <x:c r="L1379" s="9" t="n">
        <x:f>I1379*(1-0.40)-J1379</x:f>
        <x:v>2.522222222222222</x:v>
      </x:c>
      <x:c r="M1379" s="9" t="n">
        <x:f>'Physical_Arcs'!S59</x:f>
        <x:v>6.305555555555555</x:v>
      </x:c>
      <x:c r="N1379" s="9" t="n">
        <x:f>M1379*'Parameters'!$C$18</x:f>
        <x:v>1.261111111111111</x:v>
      </x:c>
      <x:c r="O1379" s="9" t="n">
        <x:f>N1379*'Parameters'!$C$19</x:f>
        <x:v>1.5763888888888888</x:v>
      </x:c>
      <x:c r="P1379" s="9" t="n">
        <x:f>M1379*(1-0.40)-N1379</x:f>
        <x:v>2.522222222222222</x:v>
      </x:c>
      <x:c r="Q1379" s="9" t="n">
        <x:f>'Physical_Arcs'!T59</x:f>
        <x:v>3.1666666666666665</x:v>
      </x:c>
      <x:c r="R1379" s="9" t="n">
        <x:f>Q1379*'Parameters'!$C$18</x:f>
        <x:v>0.6333333333333333</x:v>
      </x:c>
      <x:c r="S1379" s="9" t="n">
        <x:f>R1379*'Parameters'!$C$19</x:f>
        <x:v>0.7916666666666666</x:v>
      </x:c>
      <x:c r="T1379" s="9" t="n">
        <x:f>Q1379*(1-0.40)-R1379</x:f>
        <x:v>1.2666666666666666</x:v>
      </x:c>
    </x:row>
    <x:row r="1380" ht="21" customHeight="1">
      <x:c r="A1380" s="3" t="n">
        <x:v>22</x:v>
      </x:c>
      <x:c r="B1380" s="3" t="str">
        <x:v>03:40</x:v>
      </x:c>
      <x:c r="C1380" s="3" t="n">
        <x:v>4</x:v>
      </x:c>
      <x:c r="D1380" s="3" t="n">
        <x:v>59</x:v>
      </x:c>
      <x:c r="E1380" s="3" t="n">
        <x:v>10</x:v>
      </x:c>
      <x:c r="F1380" s="3" t="n">
        <x:v>4</x:v>
      </x:c>
      <x:c r="G1380" s="9" t="n">
        <x:v>0.08</x:v>
      </x:c>
      <x:c r="H1380" s="9" t="n">
        <x:v>1.114542</x:v>
      </x:c>
      <x:c r="I1380" s="9" t="n">
        <x:f>'Physical_Arcs'!R60</x:f>
        <x:v>1.5833333333333333</x:v>
      </x:c>
      <x:c r="J1380" s="9" t="n">
        <x:f>I1380*'Parameters'!$C$18</x:f>
        <x:v>0.31666666666666665</x:v>
      </x:c>
      <x:c r="K1380" s="9" t="n">
        <x:f>J1380*'Parameters'!$C$19</x:f>
        <x:v>0.3958333333333333</x:v>
      </x:c>
      <x:c r="L1380" s="9" t="n">
        <x:f>I1380*(1-0.40)-J1380</x:f>
        <x:v>0.6333333333333333</x:v>
      </x:c>
      <x:c r="M1380" s="9" t="n">
        <x:f>'Physical_Arcs'!S60</x:f>
        <x:v>1.5833333333333333</x:v>
      </x:c>
      <x:c r="N1380" s="9" t="n">
        <x:f>M1380*'Parameters'!$C$18</x:f>
        <x:v>0.31666666666666665</x:v>
      </x:c>
      <x:c r="O1380" s="9" t="n">
        <x:f>N1380*'Parameters'!$C$19</x:f>
        <x:v>0.3958333333333333</x:v>
      </x:c>
      <x:c r="P1380" s="9" t="n">
        <x:f>M1380*(1-0.40)-N1380</x:f>
        <x:v>0.6333333333333333</x:v>
      </x:c>
      <x:c r="Q1380" s="9" t="n">
        <x:f>'Physical_Arcs'!T60</x:f>
        <x:v>0.8055555555555556</x:v>
      </x:c>
      <x:c r="R1380" s="9" t="n">
        <x:f>Q1380*'Parameters'!$C$18</x:f>
        <x:v>0.16111111111111112</x:v>
      </x:c>
      <x:c r="S1380" s="9" t="n">
        <x:f>R1380*'Parameters'!$C$19</x:f>
        <x:v>0.2013888888888889</x:v>
      </x:c>
      <x:c r="T1380" s="9" t="n">
        <x:f>Q1380*(1-0.40)-R1380</x:f>
        <x:v>0.3222222222222222</x:v>
      </x:c>
    </x:row>
    <x:row r="1381" ht="21" customHeight="1">
      <x:c r="A1381" s="3" t="n">
        <x:v>22</x:v>
      </x:c>
      <x:c r="B1381" s="3" t="str">
        <x:v>03:40</x:v>
      </x:c>
      <x:c r="C1381" s="3" t="n">
        <x:v>4</x:v>
      </x:c>
      <x:c r="D1381" s="3" t="n">
        <x:v>60</x:v>
      </x:c>
      <x:c r="E1381" s="3" t="n">
        <x:v>10</x:v>
      </x:c>
      <x:c r="F1381" s="3" t="n">
        <x:v>9</x:v>
      </x:c>
      <x:c r="G1381" s="9" t="n">
        <x:v>0.08</x:v>
      </x:c>
      <x:c r="H1381" s="9" t="n">
        <x:v>1.092245</x:v>
      </x:c>
      <x:c r="I1381" s="9" t="n">
        <x:f>'Physical_Arcs'!R61</x:f>
        <x:v>10.333333333333334</x:v>
      </x:c>
      <x:c r="J1381" s="9" t="n">
        <x:f>I1381*'Parameters'!$C$18</x:f>
        <x:v>2.066666666666667</x:v>
      </x:c>
      <x:c r="K1381" s="9" t="n">
        <x:f>J1381*'Parameters'!$C$19</x:f>
        <x:v>2.5833333333333335</x:v>
      </x:c>
      <x:c r="L1381" s="9" t="n">
        <x:f>I1381*(1-0.40)-J1381</x:f>
        <x:v>4.133333333333333</x:v>
      </x:c>
      <x:c r="M1381" s="9" t="n">
        <x:f>'Physical_Arcs'!S61</x:f>
        <x:v>10.333333333333334</x:v>
      </x:c>
      <x:c r="N1381" s="9" t="n">
        <x:f>M1381*'Parameters'!$C$18</x:f>
        <x:v>2.066666666666667</x:v>
      </x:c>
      <x:c r="O1381" s="9" t="n">
        <x:f>N1381*'Parameters'!$C$19</x:f>
        <x:v>2.5833333333333335</x:v>
      </x:c>
      <x:c r="P1381" s="9" t="n">
        <x:f>M1381*(1-0.40)-N1381</x:f>
        <x:v>4.133333333333333</x:v>
      </x:c>
      <x:c r="Q1381" s="9" t="n">
        <x:f>'Physical_Arcs'!T61</x:f>
        <x:v>5.166666666666667</x:v>
      </x:c>
      <x:c r="R1381" s="9" t="n">
        <x:f>Q1381*'Parameters'!$C$18</x:f>
        <x:v>1.0333333333333334</x:v>
      </x:c>
      <x:c r="S1381" s="9" t="n">
        <x:f>R1381*'Parameters'!$C$19</x:f>
        <x:v>1.2916666666666667</x:v>
      </x:c>
      <x:c r="T1381" s="9" t="n">
        <x:f>Q1381*(1-0.40)-R1381</x:f>
        <x:v>2.0666666666666664</x:v>
      </x:c>
    </x:row>
    <x:row r="1382" ht="21" customHeight="1">
      <x:c r="A1382" s="3" t="n">
        <x:v>23</x:v>
      </x:c>
      <x:c r="B1382" s="3" t="str">
        <x:v>03:50</x:v>
      </x:c>
      <x:c r="C1382" s="3" t="n">
        <x:v>4</x:v>
      </x:c>
      <x:c r="D1382" s="3" t="n">
        <x:v>1</x:v>
      </x:c>
      <x:c r="E1382" s="3" t="n">
        <x:v>1</x:v>
      </x:c>
      <x:c r="F1382" s="3" t="n">
        <x:v>2</x:v>
      </x:c>
      <x:c r="G1382" s="9" t="n">
        <x:v>0.08</x:v>
      </x:c>
      <x:c r="H1382" s="9" t="n">
        <x:v>0.914787</x:v>
      </x:c>
      <x:c r="I1382" s="9" t="n">
        <x:f>'Physical_Arcs'!R2</x:f>
        <x:v>17.02777777777778</x:v>
      </x:c>
      <x:c r="J1382" s="9" t="n">
        <x:f>I1382*'Parameters'!$C$18</x:f>
        <x:v>3.405555555555556</x:v>
      </x:c>
      <x:c r="K1382" s="9" t="n">
        <x:f>J1382*'Parameters'!$C$19</x:f>
        <x:v>4.256944444444445</x:v>
      </x:c>
      <x:c r="L1382" s="9" t="n">
        <x:f>I1382*(1-0.40)-J1382</x:f>
        <x:v>6.811111111111111</x:v>
      </x:c>
      <x:c r="M1382" s="9" t="n">
        <x:f>'Physical_Arcs'!S2</x:f>
        <x:v>17.02777777777778</x:v>
      </x:c>
      <x:c r="N1382" s="9" t="n">
        <x:f>M1382*'Parameters'!$C$18</x:f>
        <x:v>3.405555555555556</x:v>
      </x:c>
      <x:c r="O1382" s="9" t="n">
        <x:f>N1382*'Parameters'!$C$19</x:f>
        <x:v>4.256944444444445</x:v>
      </x:c>
      <x:c r="P1382" s="9" t="n">
        <x:f>M1382*(1-0.40)-N1382</x:f>
        <x:v>6.811111111111111</x:v>
      </x:c>
      <x:c r="Q1382" s="9" t="n">
        <x:f>'Physical_Arcs'!T2</x:f>
        <x:v>17.02777777777778</x:v>
      </x:c>
      <x:c r="R1382" s="9" t="n">
        <x:f>Q1382*'Parameters'!$C$18</x:f>
        <x:v>3.405555555555556</x:v>
      </x:c>
      <x:c r="S1382" s="9" t="n">
        <x:f>R1382*'Parameters'!$C$19</x:f>
        <x:v>4.256944444444445</x:v>
      </x:c>
      <x:c r="T1382" s="9" t="n">
        <x:f>Q1382*(1-0.40)-R1382</x:f>
        <x:v>6.811111111111111</x:v>
      </x:c>
    </x:row>
    <x:row r="1383" ht="21" customHeight="1">
      <x:c r="A1383" s="3" t="n">
        <x:v>23</x:v>
      </x:c>
      <x:c r="B1383" s="3" t="str">
        <x:v>03:50</x:v>
      </x:c>
      <x:c r="C1383" s="3" t="n">
        <x:v>4</x:v>
      </x:c>
      <x:c r="D1383" s="3" t="n">
        <x:v>2</x:v>
      </x:c>
      <x:c r="E1383" s="3" t="n">
        <x:v>1</x:v>
      </x:c>
      <x:c r="F1383" s="3" t="n">
        <x:v>10</x:v>
      </x:c>
      <x:c r="G1383" s="9" t="n">
        <x:v>0.08</x:v>
      </x:c>
      <x:c r="H1383" s="9" t="n">
        <x:v>1.003995</x:v>
      </x:c>
      <x:c r="I1383" s="9" t="n">
        <x:f>'Physical_Arcs'!R3</x:f>
        <x:v>3.2777777777777777</x:v>
      </x:c>
      <x:c r="J1383" s="9" t="n">
        <x:f>I1383*'Parameters'!$C$18</x:f>
        <x:v>0.6555555555555556</x:v>
      </x:c>
      <x:c r="K1383" s="9" t="n">
        <x:f>J1383*'Parameters'!$C$19</x:f>
        <x:v>0.8194444444444444</x:v>
      </x:c>
      <x:c r="L1383" s="9" t="n">
        <x:f>I1383*(1-0.40)-J1383</x:f>
        <x:v>1.311111111111111</x:v>
      </x:c>
      <x:c r="M1383" s="9" t="n">
        <x:f>'Physical_Arcs'!S3</x:f>
        <x:v>3.2777777777777777</x:v>
      </x:c>
      <x:c r="N1383" s="9" t="n">
        <x:f>M1383*'Parameters'!$C$18</x:f>
        <x:v>0.6555555555555556</x:v>
      </x:c>
      <x:c r="O1383" s="9" t="n">
        <x:f>N1383*'Parameters'!$C$19</x:f>
        <x:v>0.8194444444444444</x:v>
      </x:c>
      <x:c r="P1383" s="9" t="n">
        <x:f>M1383*(1-0.40)-N1383</x:f>
        <x:v>1.311111111111111</x:v>
      </x:c>
      <x:c r="Q1383" s="9" t="n">
        <x:f>'Physical_Arcs'!T3</x:f>
        <x:v>1.6388888888888888</x:v>
      </x:c>
      <x:c r="R1383" s="9" t="n">
        <x:f>Q1383*'Parameters'!$C$18</x:f>
        <x:v>0.3277777777777778</x:v>
      </x:c>
      <x:c r="S1383" s="9" t="n">
        <x:f>R1383*'Parameters'!$C$19</x:f>
        <x:v>0.4097222222222222</x:v>
      </x:c>
      <x:c r="T1383" s="9" t="n">
        <x:f>Q1383*(1-0.40)-R1383</x:f>
        <x:v>0.6555555555555554</x:v>
      </x:c>
    </x:row>
    <x:row r="1384" ht="21" customHeight="1">
      <x:c r="A1384" s="3" t="n">
        <x:v>23</x:v>
      </x:c>
      <x:c r="B1384" s="3" t="str">
        <x:v>03:50</x:v>
      </x:c>
      <x:c r="C1384" s="3" t="n">
        <x:v>4</x:v>
      </x:c>
      <x:c r="D1384" s="3" t="n">
        <x:v>3</x:v>
      </x:c>
      <x:c r="E1384" s="3" t="n">
        <x:v>1</x:v>
      </x:c>
      <x:c r="F1384" s="3" t="n">
        <x:v>8</x:v>
      </x:c>
      <x:c r="G1384" s="9" t="n">
        <x:v>0.08</x:v>
      </x:c>
      <x:c r="H1384" s="9" t="n">
        <x:v>0.923863</x:v>
      </x:c>
      <x:c r="I1384" s="9" t="n">
        <x:f>'Physical_Arcs'!R4</x:f>
        <x:v>6.083333333333333</x:v>
      </x:c>
      <x:c r="J1384" s="9" t="n">
        <x:f>I1384*'Parameters'!$C$18</x:f>
        <x:v>1.2166666666666668</x:v>
      </x:c>
      <x:c r="K1384" s="9" t="n">
        <x:f>J1384*'Parameters'!$C$19</x:f>
        <x:v>1.5208333333333335</x:v>
      </x:c>
      <x:c r="L1384" s="9" t="n">
        <x:f>I1384*(1-0.40)-J1384</x:f>
        <x:v>2.4333333333333327</x:v>
      </x:c>
      <x:c r="M1384" s="9" t="n">
        <x:f>'Physical_Arcs'!S4</x:f>
        <x:v>6.083333333333333</x:v>
      </x:c>
      <x:c r="N1384" s="9" t="n">
        <x:f>M1384*'Parameters'!$C$18</x:f>
        <x:v>1.2166666666666668</x:v>
      </x:c>
      <x:c r="O1384" s="9" t="n">
        <x:f>N1384*'Parameters'!$C$19</x:f>
        <x:v>1.5208333333333335</x:v>
      </x:c>
      <x:c r="P1384" s="9" t="n">
        <x:f>M1384*(1-0.40)-N1384</x:f>
        <x:v>2.4333333333333327</x:v>
      </x:c>
      <x:c r="Q1384" s="9" t="n">
        <x:f>'Physical_Arcs'!T4</x:f>
        <x:v>3.0555555555555554</x:v>
      </x:c>
      <x:c r="R1384" s="9" t="n">
        <x:f>Q1384*'Parameters'!$C$18</x:f>
        <x:v>0.6111111111111112</x:v>
      </x:c>
      <x:c r="S1384" s="9" t="n">
        <x:f>R1384*'Parameters'!$C$19</x:f>
        <x:v>0.763888888888889</x:v>
      </x:c>
      <x:c r="T1384" s="9" t="n">
        <x:f>Q1384*(1-0.40)-R1384</x:f>
        <x:v>1.2222222222222219</x:v>
      </x:c>
    </x:row>
    <x:row r="1385" ht="21" customHeight="1">
      <x:c r="A1385" s="3" t="n">
        <x:v>23</x:v>
      </x:c>
      <x:c r="B1385" s="3" t="str">
        <x:v>03:50</x:v>
      </x:c>
      <x:c r="C1385" s="3" t="n">
        <x:v>4</x:v>
      </x:c>
      <x:c r="D1385" s="3" t="n">
        <x:v>4</x:v>
      </x:c>
      <x:c r="E1385" s="3" t="n">
        <x:v>1</x:v>
      </x:c>
      <x:c r="F1385" s="3" t="n">
        <x:v>7</x:v>
      </x:c>
      <x:c r="G1385" s="9" t="n">
        <x:v>0.08</x:v>
      </x:c>
      <x:c r="H1385" s="9" t="n">
        <x:v>1.111072</x:v>
      </x:c>
      <x:c r="I1385" s="9" t="n">
        <x:f>'Physical_Arcs'!R5</x:f>
        <x:v>9</x:v>
      </x:c>
      <x:c r="J1385" s="9" t="n">
        <x:f>I1385*'Parameters'!$C$18</x:f>
        <x:v>1.8</x:v>
      </x:c>
      <x:c r="K1385" s="9" t="n">
        <x:f>J1385*'Parameters'!$C$19</x:f>
        <x:v>2.25</x:v>
      </x:c>
      <x:c r="L1385" s="9" t="n">
        <x:f>I1385*(1-0.40)-J1385</x:f>
        <x:v>3.5999999999999996</x:v>
      </x:c>
      <x:c r="M1385" s="9" t="n">
        <x:f>'Physical_Arcs'!S5</x:f>
        <x:v>9</x:v>
      </x:c>
      <x:c r="N1385" s="9" t="n">
        <x:f>M1385*'Parameters'!$C$18</x:f>
        <x:v>1.8</x:v>
      </x:c>
      <x:c r="O1385" s="9" t="n">
        <x:f>N1385*'Parameters'!$C$19</x:f>
        <x:v>2.25</x:v>
      </x:c>
      <x:c r="P1385" s="9" t="n">
        <x:f>M1385*(1-0.40)-N1385</x:f>
        <x:v>3.5999999999999996</x:v>
      </x:c>
      <x:c r="Q1385" s="9" t="n">
        <x:f>'Physical_Arcs'!T5</x:f>
        <x:v>4.5</x:v>
      </x:c>
      <x:c r="R1385" s="9" t="n">
        <x:f>Q1385*'Parameters'!$C$18</x:f>
        <x:v>0.9</x:v>
      </x:c>
      <x:c r="S1385" s="9" t="n">
        <x:f>R1385*'Parameters'!$C$19</x:f>
        <x:v>1.125</x:v>
      </x:c>
      <x:c r="T1385" s="9" t="n">
        <x:f>Q1385*(1-0.40)-R1385</x:f>
        <x:v>1.7999999999999998</x:v>
      </x:c>
    </x:row>
    <x:row r="1386" ht="21" customHeight="1">
      <x:c r="A1386" s="3" t="n">
        <x:v>23</x:v>
      </x:c>
      <x:c r="B1386" s="3" t="str">
        <x:v>03:50</x:v>
      </x:c>
      <x:c r="C1386" s="3" t="n">
        <x:v>4</x:v>
      </x:c>
      <x:c r="D1386" s="3" t="n">
        <x:v>5</x:v>
      </x:c>
      <x:c r="E1386" s="3" t="n">
        <x:v>1</x:v>
      </x:c>
      <x:c r="F1386" s="3" t="n">
        <x:v>4</x:v>
      </x:c>
      <x:c r="G1386" s="9" t="n">
        <x:v>0.08</x:v>
      </x:c>
      <x:c r="H1386" s="9" t="n">
        <x:v>1.001665</x:v>
      </x:c>
      <x:c r="I1386" s="9" t="n">
        <x:f>'Physical_Arcs'!R6</x:f>
        <x:v>4.166666666666667</x:v>
      </x:c>
      <x:c r="J1386" s="9" t="n">
        <x:f>I1386*'Parameters'!$C$18</x:f>
        <x:v>0.8333333333333335</x:v>
      </x:c>
      <x:c r="K1386" s="9" t="n">
        <x:f>J1386*'Parameters'!$C$19</x:f>
        <x:v>1.041666666666667</x:v>
      </x:c>
      <x:c r="L1386" s="9" t="n">
        <x:f>I1386*(1-0.40)-J1386</x:f>
        <x:v>1.6666666666666665</x:v>
      </x:c>
      <x:c r="M1386" s="9" t="n">
        <x:f>'Physical_Arcs'!S6</x:f>
        <x:v>4.166666666666667</x:v>
      </x:c>
      <x:c r="N1386" s="9" t="n">
        <x:f>M1386*'Parameters'!$C$18</x:f>
        <x:v>0.8333333333333335</x:v>
      </x:c>
      <x:c r="O1386" s="9" t="n">
        <x:f>N1386*'Parameters'!$C$19</x:f>
        <x:v>1.041666666666667</x:v>
      </x:c>
      <x:c r="P1386" s="9" t="n">
        <x:f>M1386*(1-0.40)-N1386</x:f>
        <x:v>1.6666666666666665</x:v>
      </x:c>
      <x:c r="Q1386" s="9" t="n">
        <x:f>'Physical_Arcs'!T6</x:f>
        <x:v>2.0833333333333335</x:v>
      </x:c>
      <x:c r="R1386" s="9" t="n">
        <x:f>Q1386*'Parameters'!$C$18</x:f>
        <x:v>0.41666666666666674</x:v>
      </x:c>
      <x:c r="S1386" s="9" t="n">
        <x:f>R1386*'Parameters'!$C$19</x:f>
        <x:v>0.5208333333333335</x:v>
      </x:c>
      <x:c r="T1386" s="9" t="n">
        <x:f>Q1386*(1-0.40)-R1386</x:f>
        <x:v>0.8333333333333333</x:v>
      </x:c>
    </x:row>
    <x:row r="1387" ht="21" customHeight="1">
      <x:c r="A1387" s="3" t="n">
        <x:v>23</x:v>
      </x:c>
      <x:c r="B1387" s="3" t="str">
        <x:v>03:50</x:v>
      </x:c>
      <x:c r="C1387" s="3" t="n">
        <x:v>4</x:v>
      </x:c>
      <x:c r="D1387" s="3" t="n">
        <x:v>6</x:v>
      </x:c>
      <x:c r="E1387" s="3" t="n">
        <x:v>1</x:v>
      </x:c>
      <x:c r="F1387" s="3" t="n">
        <x:v>9</x:v>
      </x:c>
      <x:c r="G1387" s="9" t="n">
        <x:v>0.08</x:v>
      </x:c>
      <x:c r="H1387" s="9" t="n">
        <x:v>0.942884</x:v>
      </x:c>
      <x:c r="I1387" s="9" t="n">
        <x:f>'Physical_Arcs'!R7</x:f>
        <x:v>11.027777777777779</x:v>
      </x:c>
      <x:c r="J1387" s="9" t="n">
        <x:f>I1387*'Parameters'!$C$18</x:f>
        <x:v>2.2055555555555557</x:v>
      </x:c>
      <x:c r="K1387" s="9" t="n">
        <x:f>J1387*'Parameters'!$C$19</x:f>
        <x:v>2.7569444444444446</x:v>
      </x:c>
      <x:c r="L1387" s="9" t="n">
        <x:f>I1387*(1-0.40)-J1387</x:f>
        <x:v>4.411111111111111</x:v>
      </x:c>
      <x:c r="M1387" s="9" t="n">
        <x:f>'Physical_Arcs'!S7</x:f>
        <x:v>11.027777777777779</x:v>
      </x:c>
      <x:c r="N1387" s="9" t="n">
        <x:f>M1387*'Parameters'!$C$18</x:f>
        <x:v>2.2055555555555557</x:v>
      </x:c>
      <x:c r="O1387" s="9" t="n">
        <x:f>N1387*'Parameters'!$C$19</x:f>
        <x:v>2.7569444444444446</x:v>
      </x:c>
      <x:c r="P1387" s="9" t="n">
        <x:f>M1387*(1-0.40)-N1387</x:f>
        <x:v>4.411111111111111</x:v>
      </x:c>
      <x:c r="Q1387" s="9" t="n">
        <x:f>'Physical_Arcs'!T7</x:f>
        <x:v>5.527777777777778</x:v>
      </x:c>
      <x:c r="R1387" s="9" t="n">
        <x:f>Q1387*'Parameters'!$C$18</x:f>
        <x:v>1.1055555555555556</x:v>
      </x:c>
      <x:c r="S1387" s="9" t="n">
        <x:f>R1387*'Parameters'!$C$19</x:f>
        <x:v>1.3819444444444446</x:v>
      </x:c>
      <x:c r="T1387" s="9" t="n">
        <x:f>Q1387*(1-0.40)-R1387</x:f>
        <x:v>2.211111111111111</x:v>
      </x:c>
    </x:row>
    <x:row r="1388" ht="21" customHeight="1">
      <x:c r="A1388" s="3" t="n">
        <x:v>23</x:v>
      </x:c>
      <x:c r="B1388" s="3" t="str">
        <x:v>03:50</x:v>
      </x:c>
      <x:c r="C1388" s="3" t="n">
        <x:v>4</x:v>
      </x:c>
      <x:c r="D1388" s="3" t="n">
        <x:v>7</x:v>
      </x:c>
      <x:c r="E1388" s="3" t="n">
        <x:v>1</x:v>
      </x:c>
      <x:c r="F1388" s="3" t="n">
        <x:v>5</x:v>
      </x:c>
      <x:c r="G1388" s="9" t="n">
        <x:v>0.08</x:v>
      </x:c>
      <x:c r="H1388" s="9" t="n">
        <x:v>1.038222</x:v>
      </x:c>
      <x:c r="I1388" s="9" t="n">
        <x:f>'Physical_Arcs'!R8</x:f>
        <x:v>7.972222222222222</x:v>
      </x:c>
      <x:c r="J1388" s="9" t="n">
        <x:f>I1388*'Parameters'!$C$18</x:f>
        <x:v>1.5944444444444446</x:v>
      </x:c>
      <x:c r="K1388" s="9" t="n">
        <x:f>J1388*'Parameters'!$C$19</x:f>
        <x:v>1.9930555555555558</x:v>
      </x:c>
      <x:c r="L1388" s="9" t="n">
        <x:f>I1388*(1-0.40)-J1388</x:f>
        <x:v>3.1888888888888887</x:v>
      </x:c>
      <x:c r="M1388" s="9" t="n">
        <x:f>'Physical_Arcs'!S8</x:f>
        <x:v>7.972222222222222</x:v>
      </x:c>
      <x:c r="N1388" s="9" t="n">
        <x:f>M1388*'Parameters'!$C$18</x:f>
        <x:v>1.5944444444444446</x:v>
      </x:c>
      <x:c r="O1388" s="9" t="n">
        <x:f>N1388*'Parameters'!$C$19</x:f>
        <x:v>1.9930555555555558</x:v>
      </x:c>
      <x:c r="P1388" s="9" t="n">
        <x:f>M1388*(1-0.40)-N1388</x:f>
        <x:v>3.1888888888888887</x:v>
      </x:c>
      <x:c r="Q1388" s="9" t="n">
        <x:f>'Physical_Arcs'!T8</x:f>
        <x:v>4</x:v>
      </x:c>
      <x:c r="R1388" s="9" t="n">
        <x:f>Q1388*'Parameters'!$C$18</x:f>
        <x:v>0.8</x:v>
      </x:c>
      <x:c r="S1388" s="9" t="n">
        <x:f>R1388*'Parameters'!$C$19</x:f>
        <x:v>1</x:v>
      </x:c>
      <x:c r="T1388" s="9" t="n">
        <x:f>Q1388*(1-0.40)-R1388</x:f>
        <x:v>1.5999999999999999</x:v>
      </x:c>
    </x:row>
    <x:row r="1389" ht="21" customHeight="1">
      <x:c r="A1389" s="3" t="n">
        <x:v>23</x:v>
      </x:c>
      <x:c r="B1389" s="3" t="str">
        <x:v>03:50</x:v>
      </x:c>
      <x:c r="C1389" s="3" t="n">
        <x:v>4</x:v>
      </x:c>
      <x:c r="D1389" s="3" t="n">
        <x:v>8</x:v>
      </x:c>
      <x:c r="E1389" s="3" t="n">
        <x:v>1</x:v>
      </x:c>
      <x:c r="F1389" s="3" t="n">
        <x:v>3</x:v>
      </x:c>
      <x:c r="G1389" s="9" t="n">
        <x:v>0.08</x:v>
      </x:c>
      <x:c r="H1389" s="9" t="n">
        <x:v>1.122297</x:v>
      </x:c>
      <x:c r="I1389" s="9" t="n">
        <x:f>'Physical_Arcs'!R9</x:f>
        <x:v>4.166666666666667</x:v>
      </x:c>
      <x:c r="J1389" s="9" t="n">
        <x:f>I1389*'Parameters'!$C$18</x:f>
        <x:v>0.8333333333333335</x:v>
      </x:c>
      <x:c r="K1389" s="9" t="n">
        <x:f>J1389*'Parameters'!$C$19</x:f>
        <x:v>1.041666666666667</x:v>
      </x:c>
      <x:c r="L1389" s="9" t="n">
        <x:f>I1389*(1-0.40)-J1389</x:f>
        <x:v>1.6666666666666665</x:v>
      </x:c>
      <x:c r="M1389" s="9" t="n">
        <x:f>'Physical_Arcs'!S9</x:f>
        <x:v>4.166666666666667</x:v>
      </x:c>
      <x:c r="N1389" s="9" t="n">
        <x:f>M1389*'Parameters'!$C$18</x:f>
        <x:v>0.8333333333333335</x:v>
      </x:c>
      <x:c r="O1389" s="9" t="n">
        <x:f>N1389*'Parameters'!$C$19</x:f>
        <x:v>1.041666666666667</x:v>
      </x:c>
      <x:c r="P1389" s="9" t="n">
        <x:f>M1389*(1-0.40)-N1389</x:f>
        <x:v>1.6666666666666665</x:v>
      </x:c>
      <x:c r="Q1389" s="9" t="n">
        <x:f>'Physical_Arcs'!T9</x:f>
        <x:v>2.0833333333333335</x:v>
      </x:c>
      <x:c r="R1389" s="9" t="n">
        <x:f>Q1389*'Parameters'!$C$18</x:f>
        <x:v>0.41666666666666674</x:v>
      </x:c>
      <x:c r="S1389" s="9" t="n">
        <x:f>R1389*'Parameters'!$C$19</x:f>
        <x:v>0.5208333333333335</x:v>
      </x:c>
      <x:c r="T1389" s="9" t="n">
        <x:f>Q1389*(1-0.40)-R1389</x:f>
        <x:v>0.8333333333333333</x:v>
      </x:c>
    </x:row>
    <x:row r="1390" ht="21" customHeight="1">
      <x:c r="A1390" s="3" t="n">
        <x:v>23</x:v>
      </x:c>
      <x:c r="B1390" s="3" t="str">
        <x:v>03:50</x:v>
      </x:c>
      <x:c r="C1390" s="3" t="n">
        <x:v>4</x:v>
      </x:c>
      <x:c r="D1390" s="3" t="n">
        <x:v>9</x:v>
      </x:c>
      <x:c r="E1390" s="3" t="n">
        <x:v>1</x:v>
      </x:c>
      <x:c r="F1390" s="3" t="n">
        <x:v>6</x:v>
      </x:c>
      <x:c r="G1390" s="9" t="n">
        <x:v>0.08</x:v>
      </x:c>
      <x:c r="H1390" s="9" t="n">
        <x:v>1.132682</x:v>
      </x:c>
      <x:c r="I1390" s="9" t="n">
        <x:f>'Physical_Arcs'!R10</x:f>
        <x:v>2.138888888888889</x:v>
      </x:c>
      <x:c r="J1390" s="9" t="n">
        <x:f>I1390*'Parameters'!$C$18</x:f>
        <x:v>0.4277777777777778</x:v>
      </x:c>
      <x:c r="K1390" s="9" t="n">
        <x:f>J1390*'Parameters'!$C$19</x:f>
        <x:v>0.5347222222222223</x:v>
      </x:c>
      <x:c r="L1390" s="9" t="n">
        <x:f>I1390*(1-0.40)-J1390</x:f>
        <x:v>0.8555555555555554</x:v>
      </x:c>
      <x:c r="M1390" s="9" t="n">
        <x:f>'Physical_Arcs'!S10</x:f>
        <x:v>2.138888888888889</x:v>
      </x:c>
      <x:c r="N1390" s="9" t="n">
        <x:f>M1390*'Parameters'!$C$18</x:f>
        <x:v>0.4277777777777778</x:v>
      </x:c>
      <x:c r="O1390" s="9" t="n">
        <x:f>N1390*'Parameters'!$C$19</x:f>
        <x:v>0.5347222222222223</x:v>
      </x:c>
      <x:c r="P1390" s="9" t="n">
        <x:f>M1390*(1-0.40)-N1390</x:f>
        <x:v>0.8555555555555554</x:v>
      </x:c>
      <x:c r="Q1390" s="9" t="n">
        <x:f>'Physical_Arcs'!T10</x:f>
        <x:v>1.0833333333333333</x:v>
      </x:c>
      <x:c r="R1390" s="9" t="n">
        <x:f>Q1390*'Parameters'!$C$18</x:f>
        <x:v>0.21666666666666667</x:v>
      </x:c>
      <x:c r="S1390" s="9" t="n">
        <x:f>R1390*'Parameters'!$C$19</x:f>
        <x:v>0.27083333333333337</x:v>
      </x:c>
      <x:c r="T1390" s="9" t="n">
        <x:f>Q1390*(1-0.40)-R1390</x:f>
        <x:v>0.43333333333333324</x:v>
      </x:c>
    </x:row>
    <x:row r="1391" ht="21" customHeight="1">
      <x:c r="A1391" s="3" t="n">
        <x:v>23</x:v>
      </x:c>
      <x:c r="B1391" s="3" t="str">
        <x:v>03:50</x:v>
      </x:c>
      <x:c r="C1391" s="3" t="n">
        <x:v>4</x:v>
      </x:c>
      <x:c r="D1391" s="3" t="n">
        <x:v>10</x:v>
      </x:c>
      <x:c r="E1391" s="3" t="n">
        <x:v>2</x:v>
      </x:c>
      <x:c r="F1391" s="3" t="n">
        <x:v>3</x:v>
      </x:c>
      <x:c r="G1391" s="9" t="n">
        <x:v>0.08</x:v>
      </x:c>
      <x:c r="H1391" s="9" t="n">
        <x:v>0.871154</x:v>
      </x:c>
      <x:c r="I1391" s="9" t="n">
        <x:f>'Physical_Arcs'!R11</x:f>
        <x:v>17.02777777777778</x:v>
      </x:c>
      <x:c r="J1391" s="9" t="n">
        <x:f>I1391*'Parameters'!$C$18</x:f>
        <x:v>3.405555555555556</x:v>
      </x:c>
      <x:c r="K1391" s="9" t="n">
        <x:f>J1391*'Parameters'!$C$19</x:f>
        <x:v>4.256944444444445</x:v>
      </x:c>
      <x:c r="L1391" s="9" t="n">
        <x:f>I1391*(1-0.40)-J1391</x:f>
        <x:v>6.811111111111111</x:v>
      </x:c>
      <x:c r="M1391" s="9" t="n">
        <x:f>'Physical_Arcs'!S11</x:f>
        <x:v>17.02777777777778</x:v>
      </x:c>
      <x:c r="N1391" s="9" t="n">
        <x:f>M1391*'Parameters'!$C$18</x:f>
        <x:v>3.405555555555556</x:v>
      </x:c>
      <x:c r="O1391" s="9" t="n">
        <x:f>N1391*'Parameters'!$C$19</x:f>
        <x:v>4.256944444444445</x:v>
      </x:c>
      <x:c r="P1391" s="9" t="n">
        <x:f>M1391*(1-0.40)-N1391</x:f>
        <x:v>6.811111111111111</x:v>
      </x:c>
      <x:c r="Q1391" s="9" t="n">
        <x:f>'Physical_Arcs'!T11</x:f>
        <x:v>17.02777777777778</x:v>
      </x:c>
      <x:c r="R1391" s="9" t="n">
        <x:f>Q1391*'Parameters'!$C$18</x:f>
        <x:v>3.405555555555556</x:v>
      </x:c>
      <x:c r="S1391" s="9" t="n">
        <x:f>R1391*'Parameters'!$C$19</x:f>
        <x:v>4.256944444444445</x:v>
      </x:c>
      <x:c r="T1391" s="9" t="n">
        <x:f>Q1391*(1-0.40)-R1391</x:f>
        <x:v>6.811111111111111</x:v>
      </x:c>
    </x:row>
    <x:row r="1392" ht="21" customHeight="1">
      <x:c r="A1392" s="3" t="n">
        <x:v>23</x:v>
      </x:c>
      <x:c r="B1392" s="3" t="str">
        <x:v>03:50</x:v>
      </x:c>
      <x:c r="C1392" s="3" t="n">
        <x:v>4</x:v>
      </x:c>
      <x:c r="D1392" s="3" t="n">
        <x:v>11</x:v>
      </x:c>
      <x:c r="E1392" s="3" t="n">
        <x:v>2</x:v>
      </x:c>
      <x:c r="F1392" s="3" t="n">
        <x:v>4</x:v>
      </x:c>
      <x:c r="G1392" s="9" t="n">
        <x:v>0.08</x:v>
      </x:c>
      <x:c r="H1392" s="9" t="n">
        <x:v>1.147412</x:v>
      </x:c>
      <x:c r="I1392" s="9" t="n">
        <x:f>'Physical_Arcs'!R12</x:f>
        <x:v>7.972222222222222</x:v>
      </x:c>
      <x:c r="J1392" s="9" t="n">
        <x:f>I1392*'Parameters'!$C$18</x:f>
        <x:v>1.5944444444444446</x:v>
      </x:c>
      <x:c r="K1392" s="9" t="n">
        <x:f>J1392*'Parameters'!$C$19</x:f>
        <x:v>1.9930555555555558</x:v>
      </x:c>
      <x:c r="L1392" s="9" t="n">
        <x:f>I1392*(1-0.40)-J1392</x:f>
        <x:v>3.1888888888888887</x:v>
      </x:c>
      <x:c r="M1392" s="9" t="n">
        <x:f>'Physical_Arcs'!S12</x:f>
        <x:v>7.972222222222222</x:v>
      </x:c>
      <x:c r="N1392" s="9" t="n">
        <x:f>M1392*'Parameters'!$C$18</x:f>
        <x:v>1.5944444444444446</x:v>
      </x:c>
      <x:c r="O1392" s="9" t="n">
        <x:f>N1392*'Parameters'!$C$19</x:f>
        <x:v>1.9930555555555558</x:v>
      </x:c>
      <x:c r="P1392" s="9" t="n">
        <x:f>M1392*(1-0.40)-N1392</x:f>
        <x:v>3.1888888888888887</x:v>
      </x:c>
      <x:c r="Q1392" s="9" t="n">
        <x:f>'Physical_Arcs'!T12</x:f>
        <x:v>4</x:v>
      </x:c>
      <x:c r="R1392" s="9" t="n">
        <x:f>Q1392*'Parameters'!$C$18</x:f>
        <x:v>0.8</x:v>
      </x:c>
      <x:c r="S1392" s="9" t="n">
        <x:f>R1392*'Parameters'!$C$19</x:f>
        <x:v>1</x:v>
      </x:c>
      <x:c r="T1392" s="9" t="n">
        <x:f>Q1392*(1-0.40)-R1392</x:f>
        <x:v>1.5999999999999999</x:v>
      </x:c>
    </x:row>
    <x:row r="1393" ht="21" customHeight="1">
      <x:c r="A1393" s="3" t="n">
        <x:v>23</x:v>
      </x:c>
      <x:c r="B1393" s="3" t="str">
        <x:v>03:50</x:v>
      </x:c>
      <x:c r="C1393" s="3" t="n">
        <x:v>4</x:v>
      </x:c>
      <x:c r="D1393" s="3" t="n">
        <x:v>12</x:v>
      </x:c>
      <x:c r="E1393" s="3" t="n">
        <x:v>2</x:v>
      </x:c>
      <x:c r="F1393" s="3" t="n">
        <x:v>7</x:v>
      </x:c>
      <x:c r="G1393" s="9" t="n">
        <x:v>0.08</x:v>
      </x:c>
      <x:c r="H1393" s="9" t="n">
        <x:v>0.96729</x:v>
      </x:c>
      <x:c r="I1393" s="9" t="n">
        <x:f>'Physical_Arcs'!R13</x:f>
        <x:v>4.611111111111111</x:v>
      </x:c>
      <x:c r="J1393" s="9" t="n">
        <x:f>I1393*'Parameters'!$C$18</x:f>
        <x:v>0.9222222222222222</x:v>
      </x:c>
      <x:c r="K1393" s="9" t="n">
        <x:f>J1393*'Parameters'!$C$19</x:f>
        <x:v>1.1527777777777777</x:v>
      </x:c>
      <x:c r="L1393" s="9" t="n">
        <x:f>I1393*(1-0.40)-J1393</x:f>
        <x:v>1.844444444444444</x:v>
      </x:c>
      <x:c r="M1393" s="9" t="n">
        <x:f>'Physical_Arcs'!S13</x:f>
        <x:v>4.611111111111111</x:v>
      </x:c>
      <x:c r="N1393" s="9" t="n">
        <x:f>M1393*'Parameters'!$C$18</x:f>
        <x:v>0.9222222222222222</x:v>
      </x:c>
      <x:c r="O1393" s="9" t="n">
        <x:f>N1393*'Parameters'!$C$19</x:f>
        <x:v>1.1527777777777777</x:v>
      </x:c>
      <x:c r="P1393" s="9" t="n">
        <x:f>M1393*(1-0.40)-N1393</x:f>
        <x:v>1.844444444444444</x:v>
      </x:c>
      <x:c r="Q1393" s="9" t="n">
        <x:f>'Physical_Arcs'!T13</x:f>
        <x:v>2.3055555555555554</x:v>
      </x:c>
      <x:c r="R1393" s="9" t="n">
        <x:f>Q1393*'Parameters'!$C$18</x:f>
        <x:v>0.4611111111111111</x:v>
      </x:c>
      <x:c r="S1393" s="9" t="n">
        <x:f>R1393*'Parameters'!$C$19</x:f>
        <x:v>0.5763888888888888</x:v>
      </x:c>
      <x:c r="T1393" s="9" t="n">
        <x:f>Q1393*(1-0.40)-R1393</x:f>
        <x:v>0.922222222222222</x:v>
      </x:c>
    </x:row>
    <x:row r="1394" ht="21" customHeight="1">
      <x:c r="A1394" s="3" t="n">
        <x:v>23</x:v>
      </x:c>
      <x:c r="B1394" s="3" t="str">
        <x:v>03:50</x:v>
      </x:c>
      <x:c r="C1394" s="3" t="n">
        <x:v>4</x:v>
      </x:c>
      <x:c r="D1394" s="3" t="n">
        <x:v>13</x:v>
      </x:c>
      <x:c r="E1394" s="3" t="n">
        <x:v>2</x:v>
      </x:c>
      <x:c r="F1394" s="3" t="n">
        <x:v>9</x:v>
      </x:c>
      <x:c r="G1394" s="9" t="n">
        <x:v>0.08</x:v>
      </x:c>
      <x:c r="H1394" s="9" t="n">
        <x:v>1.117625</x:v>
      </x:c>
      <x:c r="I1394" s="9" t="n">
        <x:f>'Physical_Arcs'!R14</x:f>
        <x:v>8.666666666666666</x:v>
      </x:c>
      <x:c r="J1394" s="9" t="n">
        <x:f>I1394*'Parameters'!$C$18</x:f>
        <x:v>1.7333333333333334</x:v>
      </x:c>
      <x:c r="K1394" s="9" t="n">
        <x:f>J1394*'Parameters'!$C$19</x:f>
        <x:v>2.166666666666667</x:v>
      </x:c>
      <x:c r="L1394" s="9" t="n">
        <x:f>I1394*(1-0.40)-J1394</x:f>
        <x:v>3.466666666666666</x:v>
      </x:c>
      <x:c r="M1394" s="9" t="n">
        <x:f>'Physical_Arcs'!S14</x:f>
        <x:v>8.666666666666666</x:v>
      </x:c>
      <x:c r="N1394" s="9" t="n">
        <x:f>M1394*'Parameters'!$C$18</x:f>
        <x:v>1.7333333333333334</x:v>
      </x:c>
      <x:c r="O1394" s="9" t="n">
        <x:f>N1394*'Parameters'!$C$19</x:f>
        <x:v>2.166666666666667</x:v>
      </x:c>
      <x:c r="P1394" s="9" t="n">
        <x:f>M1394*(1-0.40)-N1394</x:f>
        <x:v>3.466666666666666</x:v>
      </x:c>
      <x:c r="Q1394" s="9" t="n">
        <x:f>'Physical_Arcs'!T14</x:f>
        <x:v>4.333333333333333</x:v>
      </x:c>
      <x:c r="R1394" s="9" t="n">
        <x:f>Q1394*'Parameters'!$C$18</x:f>
        <x:v>0.8666666666666667</x:v>
      </x:c>
      <x:c r="S1394" s="9" t="n">
        <x:f>R1394*'Parameters'!$C$19</x:f>
        <x:v>1.0833333333333335</x:v>
      </x:c>
      <x:c r="T1394" s="9" t="n">
        <x:f>Q1394*(1-0.40)-R1394</x:f>
        <x:v>1.733333333333333</x:v>
      </x:c>
    </x:row>
    <x:row r="1395" ht="21" customHeight="1">
      <x:c r="A1395" s="3" t="n">
        <x:v>23</x:v>
      </x:c>
      <x:c r="B1395" s="3" t="str">
        <x:v>03:50</x:v>
      </x:c>
      <x:c r="C1395" s="3" t="n">
        <x:v>4</x:v>
      </x:c>
      <x:c r="D1395" s="3" t="n">
        <x:v>14</x:v>
      </x:c>
      <x:c r="E1395" s="3" t="n">
        <x:v>2</x:v>
      </x:c>
      <x:c r="F1395" s="3" t="n">
        <x:v>8</x:v>
      </x:c>
      <x:c r="G1395" s="9" t="n">
        <x:v>0.08</x:v>
      </x:c>
      <x:c r="H1395" s="9" t="n">
        <x:v>1.144902</x:v>
      </x:c>
      <x:c r="I1395" s="9" t="n">
        <x:f>'Physical_Arcs'!R15</x:f>
        <x:v>7.75</x:v>
      </x:c>
      <x:c r="J1395" s="9" t="n">
        <x:f>I1395*'Parameters'!$C$18</x:f>
        <x:v>1.55</x:v>
      </x:c>
      <x:c r="K1395" s="9" t="n">
        <x:f>J1395*'Parameters'!$C$19</x:f>
        <x:v>1.9375</x:v>
      </x:c>
      <x:c r="L1395" s="9" t="n">
        <x:f>I1395*(1-0.40)-J1395</x:f>
        <x:v>3.0999999999999996</x:v>
      </x:c>
      <x:c r="M1395" s="9" t="n">
        <x:f>'Physical_Arcs'!S15</x:f>
        <x:v>7.75</x:v>
      </x:c>
      <x:c r="N1395" s="9" t="n">
        <x:f>M1395*'Parameters'!$C$18</x:f>
        <x:v>1.55</x:v>
      </x:c>
      <x:c r="O1395" s="9" t="n">
        <x:f>N1395*'Parameters'!$C$19</x:f>
        <x:v>1.9375</x:v>
      </x:c>
      <x:c r="P1395" s="9" t="n">
        <x:f>M1395*(1-0.40)-N1395</x:f>
        <x:v>3.0999999999999996</x:v>
      </x:c>
      <x:c r="Q1395" s="9" t="n">
        <x:f>'Physical_Arcs'!T15</x:f>
        <x:v>3.888888888888889</x:v>
      </x:c>
      <x:c r="R1395" s="9" t="n">
        <x:f>Q1395*'Parameters'!$C$18</x:f>
        <x:v>0.7777777777777778</x:v>
      </x:c>
      <x:c r="S1395" s="9" t="n">
        <x:f>R1395*'Parameters'!$C$19</x:f>
        <x:v>0.9722222222222222</x:v>
      </x:c>
      <x:c r="T1395" s="9" t="n">
        <x:f>Q1395*(1-0.40)-R1395</x:f>
        <x:v>1.5555555555555554</x:v>
      </x:c>
    </x:row>
    <x:row r="1396" ht="21" customHeight="1">
      <x:c r="A1396" s="3" t="n">
        <x:v>23</x:v>
      </x:c>
      <x:c r="B1396" s="3" t="str">
        <x:v>03:50</x:v>
      </x:c>
      <x:c r="C1396" s="3" t="n">
        <x:v>4</x:v>
      </x:c>
      <x:c r="D1396" s="3" t="n">
        <x:v>15</x:v>
      </x:c>
      <x:c r="E1396" s="3" t="n">
        <x:v>2</x:v>
      </x:c>
      <x:c r="F1396" s="3" t="n">
        <x:v>10</x:v>
      </x:c>
      <x:c r="G1396" s="9" t="n">
        <x:v>0.08</x:v>
      </x:c>
      <x:c r="H1396" s="9" t="n">
        <x:v>1.146684</x:v>
      </x:c>
      <x:c r="I1396" s="9" t="n">
        <x:f>'Physical_Arcs'!R16</x:f>
        <x:v>7.416666666666667</x:v>
      </x:c>
      <x:c r="J1396" s="9" t="n">
        <x:f>I1396*'Parameters'!$C$18</x:f>
        <x:v>1.4833333333333334</x:v>
      </x:c>
      <x:c r="K1396" s="9" t="n">
        <x:f>J1396*'Parameters'!$C$19</x:f>
        <x:v>1.8541666666666667</x:v>
      </x:c>
      <x:c r="L1396" s="9" t="n">
        <x:f>I1396*(1-0.40)-J1396</x:f>
        <x:v>2.966666666666667</x:v>
      </x:c>
      <x:c r="M1396" s="9" t="n">
        <x:f>'Physical_Arcs'!S16</x:f>
        <x:v>7.416666666666667</x:v>
      </x:c>
      <x:c r="N1396" s="9" t="n">
        <x:f>M1396*'Parameters'!$C$18</x:f>
        <x:v>1.4833333333333334</x:v>
      </x:c>
      <x:c r="O1396" s="9" t="n">
        <x:f>N1396*'Parameters'!$C$19</x:f>
        <x:v>1.8541666666666667</x:v>
      </x:c>
      <x:c r="P1396" s="9" t="n">
        <x:f>M1396*(1-0.40)-N1396</x:f>
        <x:v>2.966666666666667</x:v>
      </x:c>
      <x:c r="Q1396" s="9" t="n">
        <x:f>'Physical_Arcs'!T16</x:f>
        <x:v>3.7222222222222223</x:v>
      </x:c>
      <x:c r="R1396" s="9" t="n">
        <x:f>Q1396*'Parameters'!$C$18</x:f>
        <x:v>0.7444444444444445</x:v>
      </x:c>
      <x:c r="S1396" s="9" t="n">
        <x:f>R1396*'Parameters'!$C$19</x:f>
        <x:v>0.9305555555555556</x:v>
      </x:c>
      <x:c r="T1396" s="9" t="n">
        <x:f>Q1396*(1-0.40)-R1396</x:f>
        <x:v>1.488888888888889</x:v>
      </x:c>
    </x:row>
    <x:row r="1397" ht="21" customHeight="1">
      <x:c r="A1397" s="3" t="n">
        <x:v>23</x:v>
      </x:c>
      <x:c r="B1397" s="3" t="str">
        <x:v>03:50</x:v>
      </x:c>
      <x:c r="C1397" s="3" t="n">
        <x:v>4</x:v>
      </x:c>
      <x:c r="D1397" s="3" t="n">
        <x:v>16</x:v>
      </x:c>
      <x:c r="E1397" s="3" t="n">
        <x:v>3</x:v>
      </x:c>
      <x:c r="F1397" s="3" t="n">
        <x:v>4</x:v>
      </x:c>
      <x:c r="G1397" s="9" t="n">
        <x:v>0.08</x:v>
      </x:c>
      <x:c r="H1397" s="9" t="n">
        <x:v>1.017658</x:v>
      </x:c>
      <x:c r="I1397" s="9" t="n">
        <x:f>'Physical_Arcs'!R17</x:f>
        <x:v>17.02777777777778</x:v>
      </x:c>
      <x:c r="J1397" s="9" t="n">
        <x:f>I1397*'Parameters'!$C$18</x:f>
        <x:v>3.405555555555556</x:v>
      </x:c>
      <x:c r="K1397" s="9" t="n">
        <x:f>J1397*'Parameters'!$C$19</x:f>
        <x:v>4.256944444444445</x:v>
      </x:c>
      <x:c r="L1397" s="9" t="n">
        <x:f>I1397*(1-0.40)-J1397</x:f>
        <x:v>6.811111111111111</x:v>
      </x:c>
      <x:c r="M1397" s="9" t="n">
        <x:f>'Physical_Arcs'!S17</x:f>
        <x:v>17.02777777777778</x:v>
      </x:c>
      <x:c r="N1397" s="9" t="n">
        <x:f>M1397*'Parameters'!$C$18</x:f>
        <x:v>3.405555555555556</x:v>
      </x:c>
      <x:c r="O1397" s="9" t="n">
        <x:f>N1397*'Parameters'!$C$19</x:f>
        <x:v>4.256944444444445</x:v>
      </x:c>
      <x:c r="P1397" s="9" t="n">
        <x:f>M1397*(1-0.40)-N1397</x:f>
        <x:v>6.811111111111111</x:v>
      </x:c>
      <x:c r="Q1397" s="9" t="n">
        <x:f>'Physical_Arcs'!T17</x:f>
        <x:v>17.02777777777778</x:v>
      </x:c>
      <x:c r="R1397" s="9" t="n">
        <x:f>Q1397*'Parameters'!$C$18</x:f>
        <x:v>3.405555555555556</x:v>
      </x:c>
      <x:c r="S1397" s="9" t="n">
        <x:f>R1397*'Parameters'!$C$19</x:f>
        <x:v>4.256944444444445</x:v>
      </x:c>
      <x:c r="T1397" s="9" t="n">
        <x:f>Q1397*(1-0.40)-R1397</x:f>
        <x:v>6.811111111111111</x:v>
      </x:c>
    </x:row>
    <x:row r="1398" ht="21" customHeight="1">
      <x:c r="A1398" s="3" t="n">
        <x:v>23</x:v>
      </x:c>
      <x:c r="B1398" s="3" t="str">
        <x:v>03:50</x:v>
      </x:c>
      <x:c r="C1398" s="3" t="n">
        <x:v>4</x:v>
      </x:c>
      <x:c r="D1398" s="3" t="n">
        <x:v>17</x:v>
      </x:c>
      <x:c r="E1398" s="3" t="n">
        <x:v>3</x:v>
      </x:c>
      <x:c r="F1398" s="3" t="n">
        <x:v>2</x:v>
      </x:c>
      <x:c r="G1398" s="9" t="n">
        <x:v>0.08</x:v>
      </x:c>
      <x:c r="H1398" s="9" t="n">
        <x:v>0.875995</x:v>
      </x:c>
      <x:c r="I1398" s="9" t="n">
        <x:f>'Physical_Arcs'!R18</x:f>
        <x:v>10.666666666666666</x:v>
      </x:c>
      <x:c r="J1398" s="9" t="n">
        <x:f>I1398*'Parameters'!$C$18</x:f>
        <x:v>2.1333333333333333</x:v>
      </x:c>
      <x:c r="K1398" s="9" t="n">
        <x:f>J1398*'Parameters'!$C$19</x:f>
        <x:v>2.6666666666666665</x:v>
      </x:c>
      <x:c r="L1398" s="9" t="n">
        <x:f>I1398*(1-0.40)-J1398</x:f>
        <x:v>4.266666666666666</x:v>
      </x:c>
      <x:c r="M1398" s="9" t="n">
        <x:f>'Physical_Arcs'!S18</x:f>
        <x:v>10.666666666666666</x:v>
      </x:c>
      <x:c r="N1398" s="9" t="n">
        <x:f>M1398*'Parameters'!$C$18</x:f>
        <x:v>2.1333333333333333</x:v>
      </x:c>
      <x:c r="O1398" s="9" t="n">
        <x:f>N1398*'Parameters'!$C$19</x:f>
        <x:v>2.6666666666666665</x:v>
      </x:c>
      <x:c r="P1398" s="9" t="n">
        <x:f>M1398*(1-0.40)-N1398</x:f>
        <x:v>4.266666666666666</x:v>
      </x:c>
      <x:c r="Q1398" s="9" t="n">
        <x:f>'Physical_Arcs'!T18</x:f>
        <x:v>5.333333333333333</x:v>
      </x:c>
      <x:c r="R1398" s="9" t="n">
        <x:f>Q1398*'Parameters'!$C$18</x:f>
        <x:v>1.0666666666666667</x:v>
      </x:c>
      <x:c r="S1398" s="9" t="n">
        <x:f>R1398*'Parameters'!$C$19</x:f>
        <x:v>1.3333333333333333</x:v>
      </x:c>
      <x:c r="T1398" s="9" t="n">
        <x:f>Q1398*(1-0.40)-R1398</x:f>
        <x:v>2.133333333333333</x:v>
      </x:c>
    </x:row>
    <x:row r="1399" ht="21" customHeight="1">
      <x:c r="A1399" s="3" t="n">
        <x:v>23</x:v>
      </x:c>
      <x:c r="B1399" s="3" t="str">
        <x:v>03:50</x:v>
      </x:c>
      <x:c r="C1399" s="3" t="n">
        <x:v>4</x:v>
      </x:c>
      <x:c r="D1399" s="3" t="n">
        <x:v>18</x:v>
      </x:c>
      <x:c r="E1399" s="3" t="n">
        <x:v>3</x:v>
      </x:c>
      <x:c r="F1399" s="3" t="n">
        <x:v>1</x:v>
      </x:c>
      <x:c r="G1399" s="9" t="n">
        <x:v>0.08</x:v>
      </x:c>
      <x:c r="H1399" s="9" t="n">
        <x:v>1.015397</x:v>
      </x:c>
      <x:c r="I1399" s="9" t="n">
        <x:f>'Physical_Arcs'!R19</x:f>
        <x:v>5.166666666666667</x:v>
      </x:c>
      <x:c r="J1399" s="9" t="n">
        <x:f>I1399*'Parameters'!$C$18</x:f>
        <x:v>1.0333333333333334</x:v>
      </x:c>
      <x:c r="K1399" s="9" t="n">
        <x:f>J1399*'Parameters'!$C$19</x:f>
        <x:v>1.2916666666666667</x:v>
      </x:c>
      <x:c r="L1399" s="9" t="n">
        <x:f>I1399*(1-0.40)-J1399</x:f>
        <x:v>2.0666666666666664</x:v>
      </x:c>
      <x:c r="M1399" s="9" t="n">
        <x:f>'Physical_Arcs'!S19</x:f>
        <x:v>5.166666666666667</x:v>
      </x:c>
      <x:c r="N1399" s="9" t="n">
        <x:f>M1399*'Parameters'!$C$18</x:f>
        <x:v>1.0333333333333334</x:v>
      </x:c>
      <x:c r="O1399" s="9" t="n">
        <x:f>N1399*'Parameters'!$C$19</x:f>
        <x:v>1.2916666666666667</x:v>
      </x:c>
      <x:c r="P1399" s="9" t="n">
        <x:f>M1399*(1-0.40)-N1399</x:f>
        <x:v>2.0666666666666664</x:v>
      </x:c>
      <x:c r="Q1399" s="9" t="n">
        <x:f>'Physical_Arcs'!T19</x:f>
        <x:v>2.5833333333333335</x:v>
      </x:c>
      <x:c r="R1399" s="9" t="n">
        <x:f>Q1399*'Parameters'!$C$18</x:f>
        <x:v>0.5166666666666667</x:v>
      </x:c>
      <x:c r="S1399" s="9" t="n">
        <x:f>R1399*'Parameters'!$C$19</x:f>
        <x:v>0.6458333333333334</x:v>
      </x:c>
      <x:c r="T1399" s="9" t="n">
        <x:f>Q1399*(1-0.40)-R1399</x:f>
        <x:v>1.0333333333333332</x:v>
      </x:c>
    </x:row>
    <x:row r="1400" ht="21" customHeight="1">
      <x:c r="A1400" s="3" t="n">
        <x:v>23</x:v>
      </x:c>
      <x:c r="B1400" s="3" t="str">
        <x:v>03:50</x:v>
      </x:c>
      <x:c r="C1400" s="3" t="n">
        <x:v>4</x:v>
      </x:c>
      <x:c r="D1400" s="3" t="n">
        <x:v>19</x:v>
      </x:c>
      <x:c r="E1400" s="3" t="n">
        <x:v>3</x:v>
      </x:c>
      <x:c r="F1400" s="3" t="n">
        <x:v>7</x:v>
      </x:c>
      <x:c r="G1400" s="9" t="n">
        <x:v>0.08</x:v>
      </x:c>
      <x:c r="H1400" s="9" t="n">
        <x:v>0.996008</x:v>
      </x:c>
      <x:c r="I1400" s="9" t="n">
        <x:f>'Physical_Arcs'!R20</x:f>
        <x:v>5.75</x:v>
      </x:c>
      <x:c r="J1400" s="9" t="n">
        <x:f>I1400*'Parameters'!$C$18</x:f>
        <x:v>1.1500000000000001</x:v>
      </x:c>
      <x:c r="K1400" s="9" t="n">
        <x:f>J1400*'Parameters'!$C$19</x:f>
        <x:v>1.4375000000000002</x:v>
      </x:c>
      <x:c r="L1400" s="9" t="n">
        <x:f>I1400*(1-0.40)-J1400</x:f>
        <x:v>2.3</x:v>
      </x:c>
      <x:c r="M1400" s="9" t="n">
        <x:f>'Physical_Arcs'!S20</x:f>
        <x:v>5.75</x:v>
      </x:c>
      <x:c r="N1400" s="9" t="n">
        <x:f>M1400*'Parameters'!$C$18</x:f>
        <x:v>1.1500000000000001</x:v>
      </x:c>
      <x:c r="O1400" s="9" t="n">
        <x:f>N1400*'Parameters'!$C$19</x:f>
        <x:v>1.4375000000000002</x:v>
      </x:c>
      <x:c r="P1400" s="9" t="n">
        <x:f>M1400*(1-0.40)-N1400</x:f>
        <x:v>2.3</x:v>
      </x:c>
      <x:c r="Q1400" s="9" t="n">
        <x:f>'Physical_Arcs'!T20</x:f>
        <x:v>2.888888888888889</x:v>
      </x:c>
      <x:c r="R1400" s="9" t="n">
        <x:f>Q1400*'Parameters'!$C$18</x:f>
        <x:v>0.5777777777777778</x:v>
      </x:c>
      <x:c r="S1400" s="9" t="n">
        <x:f>R1400*'Parameters'!$C$19</x:f>
        <x:v>0.7222222222222223</x:v>
      </x:c>
      <x:c r="T1400" s="9" t="n">
        <x:f>Q1400*(1-0.40)-R1400</x:f>
        <x:v>1.1555555555555554</x:v>
      </x:c>
    </x:row>
    <x:row r="1401" ht="21" customHeight="1">
      <x:c r="A1401" s="3" t="n">
        <x:v>23</x:v>
      </x:c>
      <x:c r="B1401" s="3" t="str">
        <x:v>03:50</x:v>
      </x:c>
      <x:c r="C1401" s="3" t="n">
        <x:v>4</x:v>
      </x:c>
      <x:c r="D1401" s="3" t="n">
        <x:v>20</x:v>
      </x:c>
      <x:c r="E1401" s="3" t="n">
        <x:v>3</x:v>
      </x:c>
      <x:c r="F1401" s="3" t="n">
        <x:v>10</x:v>
      </x:c>
      <x:c r="G1401" s="9" t="n">
        <x:v>0.08</x:v>
      </x:c>
      <x:c r="H1401" s="9" t="n">
        <x:v>1.118855</x:v>
      </x:c>
      <x:c r="I1401" s="9" t="n">
        <x:f>'Physical_Arcs'!R21</x:f>
        <x:v>5.166666666666667</x:v>
      </x:c>
      <x:c r="J1401" s="9" t="n">
        <x:f>I1401*'Parameters'!$C$18</x:f>
        <x:v>1.0333333333333334</x:v>
      </x:c>
      <x:c r="K1401" s="9" t="n">
        <x:f>J1401*'Parameters'!$C$19</x:f>
        <x:v>1.2916666666666667</x:v>
      </x:c>
      <x:c r="L1401" s="9" t="n">
        <x:f>I1401*(1-0.40)-J1401</x:f>
        <x:v>2.0666666666666664</x:v>
      </x:c>
      <x:c r="M1401" s="9" t="n">
        <x:f>'Physical_Arcs'!S21</x:f>
        <x:v>5.166666666666667</x:v>
      </x:c>
      <x:c r="N1401" s="9" t="n">
        <x:f>M1401*'Parameters'!$C$18</x:f>
        <x:v>1.0333333333333334</x:v>
      </x:c>
      <x:c r="O1401" s="9" t="n">
        <x:f>N1401*'Parameters'!$C$19</x:f>
        <x:v>1.2916666666666667</x:v>
      </x:c>
      <x:c r="P1401" s="9" t="n">
        <x:f>M1401*(1-0.40)-N1401</x:f>
        <x:v>2.0666666666666664</x:v>
      </x:c>
      <x:c r="Q1401" s="9" t="n">
        <x:f>'Physical_Arcs'!T21</x:f>
        <x:v>2.5833333333333335</x:v>
      </x:c>
      <x:c r="R1401" s="9" t="n">
        <x:f>Q1401*'Parameters'!$C$18</x:f>
        <x:v>0.5166666666666667</x:v>
      </x:c>
      <x:c r="S1401" s="9" t="n">
        <x:f>R1401*'Parameters'!$C$19</x:f>
        <x:v>0.6458333333333334</x:v>
      </x:c>
      <x:c r="T1401" s="9" t="n">
        <x:f>Q1401*(1-0.40)-R1401</x:f>
        <x:v>1.0333333333333332</x:v>
      </x:c>
    </x:row>
    <x:row r="1402" ht="21" customHeight="1">
      <x:c r="A1402" s="3" t="n">
        <x:v>23</x:v>
      </x:c>
      <x:c r="B1402" s="3" t="str">
        <x:v>03:50</x:v>
      </x:c>
      <x:c r="C1402" s="3" t="n">
        <x:v>4</x:v>
      </x:c>
      <x:c r="D1402" s="3" t="n">
        <x:v>21</x:v>
      </x:c>
      <x:c r="E1402" s="3" t="n">
        <x:v>3</x:v>
      </x:c>
      <x:c r="F1402" s="3" t="n">
        <x:v>9</x:v>
      </x:c>
      <x:c r="G1402" s="9" t="n">
        <x:v>0.08</x:v>
      </x:c>
      <x:c r="H1402" s="9" t="n">
        <x:v>0.947299</x:v>
      </x:c>
      <x:c r="I1402" s="9" t="n">
        <x:f>'Physical_Arcs'!R22</x:f>
        <x:v>9.333333333333334</x:v>
      </x:c>
      <x:c r="J1402" s="9" t="n">
        <x:f>I1402*'Parameters'!$C$18</x:f>
        <x:v>1.866666666666667</x:v>
      </x:c>
      <x:c r="K1402" s="9" t="n">
        <x:f>J1402*'Parameters'!$C$19</x:f>
        <x:v>2.3333333333333335</x:v>
      </x:c>
      <x:c r="L1402" s="9" t="n">
        <x:f>I1402*(1-0.40)-J1402</x:f>
        <x:v>3.7333333333333334</x:v>
      </x:c>
      <x:c r="M1402" s="9" t="n">
        <x:f>'Physical_Arcs'!S22</x:f>
        <x:v>9.333333333333334</x:v>
      </x:c>
      <x:c r="N1402" s="9" t="n">
        <x:f>M1402*'Parameters'!$C$18</x:f>
        <x:v>1.866666666666667</x:v>
      </x:c>
      <x:c r="O1402" s="9" t="n">
        <x:f>N1402*'Parameters'!$C$19</x:f>
        <x:v>2.3333333333333335</x:v>
      </x:c>
      <x:c r="P1402" s="9" t="n">
        <x:f>M1402*(1-0.40)-N1402</x:f>
        <x:v>3.7333333333333334</x:v>
      </x:c>
      <x:c r="Q1402" s="9" t="n">
        <x:f>'Physical_Arcs'!T22</x:f>
        <x:v>4.666666666666667</x:v>
      </x:c>
      <x:c r="R1402" s="9" t="n">
        <x:f>Q1402*'Parameters'!$C$18</x:f>
        <x:v>0.9333333333333335</x:v>
      </x:c>
      <x:c r="S1402" s="9" t="n">
        <x:f>R1402*'Parameters'!$C$19</x:f>
        <x:v>1.1666666666666667</x:v>
      </x:c>
      <x:c r="T1402" s="9" t="n">
        <x:f>Q1402*(1-0.40)-R1402</x:f>
        <x:v>1.8666666666666667</x:v>
      </x:c>
    </x:row>
    <x:row r="1403" ht="21" customHeight="1">
      <x:c r="A1403" s="3" t="n">
        <x:v>23</x:v>
      </x:c>
      <x:c r="B1403" s="3" t="str">
        <x:v>03:50</x:v>
      </x:c>
      <x:c r="C1403" s="3" t="n">
        <x:v>4</x:v>
      </x:c>
      <x:c r="D1403" s="3" t="n">
        <x:v>22</x:v>
      </x:c>
      <x:c r="E1403" s="3" t="n">
        <x:v>4</x:v>
      </x:c>
      <x:c r="F1403" s="3" t="n">
        <x:v>5</x:v>
      </x:c>
      <x:c r="G1403" s="9" t="n">
        <x:v>0.08</x:v>
      </x:c>
      <x:c r="H1403" s="9" t="n">
        <x:v>0.958485</x:v>
      </x:c>
      <x:c r="I1403" s="9" t="n">
        <x:f>'Physical_Arcs'!R23</x:f>
        <x:v>17.02777777777778</x:v>
      </x:c>
      <x:c r="J1403" s="9" t="n">
        <x:f>I1403*'Parameters'!$C$18</x:f>
        <x:v>3.405555555555556</x:v>
      </x:c>
      <x:c r="K1403" s="9" t="n">
        <x:f>J1403*'Parameters'!$C$19</x:f>
        <x:v>4.256944444444445</x:v>
      </x:c>
      <x:c r="L1403" s="9" t="n">
        <x:f>I1403*(1-0.40)-J1403</x:f>
        <x:v>6.811111111111111</x:v>
      </x:c>
      <x:c r="M1403" s="9" t="n">
        <x:f>'Physical_Arcs'!S23</x:f>
        <x:v>17.02777777777778</x:v>
      </x:c>
      <x:c r="N1403" s="9" t="n">
        <x:f>M1403*'Parameters'!$C$18</x:f>
        <x:v>3.405555555555556</x:v>
      </x:c>
      <x:c r="O1403" s="9" t="n">
        <x:f>N1403*'Parameters'!$C$19</x:f>
        <x:v>4.256944444444445</x:v>
      </x:c>
      <x:c r="P1403" s="9" t="n">
        <x:f>M1403*(1-0.40)-N1403</x:f>
        <x:v>6.811111111111111</x:v>
      </x:c>
      <x:c r="Q1403" s="9" t="n">
        <x:f>'Physical_Arcs'!T23</x:f>
        <x:v>17.02777777777778</x:v>
      </x:c>
      <x:c r="R1403" s="9" t="n">
        <x:f>Q1403*'Parameters'!$C$18</x:f>
        <x:v>3.405555555555556</x:v>
      </x:c>
      <x:c r="S1403" s="9" t="n">
        <x:f>R1403*'Parameters'!$C$19</x:f>
        <x:v>4.256944444444445</x:v>
      </x:c>
      <x:c r="T1403" s="9" t="n">
        <x:f>Q1403*(1-0.40)-R1403</x:f>
        <x:v>6.811111111111111</x:v>
      </x:c>
    </x:row>
    <x:row r="1404" ht="21" customHeight="1">
      <x:c r="A1404" s="3" t="n">
        <x:v>23</x:v>
      </x:c>
      <x:c r="B1404" s="3" t="str">
        <x:v>03:50</x:v>
      </x:c>
      <x:c r="C1404" s="3" t="n">
        <x:v>4</x:v>
      </x:c>
      <x:c r="D1404" s="3" t="n">
        <x:v>23</x:v>
      </x:c>
      <x:c r="E1404" s="3" t="n">
        <x:v>4</x:v>
      </x:c>
      <x:c r="F1404" s="3" t="n">
        <x:v>3</x:v>
      </x:c>
      <x:c r="G1404" s="9" t="n">
        <x:v>0.08</x:v>
      </x:c>
      <x:c r="H1404" s="9" t="n">
        <x:v>0.944916</x:v>
      </x:c>
      <x:c r="I1404" s="9" t="n">
        <x:f>'Physical_Arcs'!R24</x:f>
        <x:v>9.333333333333334</x:v>
      </x:c>
      <x:c r="J1404" s="9" t="n">
        <x:f>I1404*'Parameters'!$C$18</x:f>
        <x:v>1.866666666666667</x:v>
      </x:c>
      <x:c r="K1404" s="9" t="n">
        <x:f>J1404*'Parameters'!$C$19</x:f>
        <x:v>2.3333333333333335</x:v>
      </x:c>
      <x:c r="L1404" s="9" t="n">
        <x:f>I1404*(1-0.40)-J1404</x:f>
        <x:v>3.7333333333333334</x:v>
      </x:c>
      <x:c r="M1404" s="9" t="n">
        <x:f>'Physical_Arcs'!S24</x:f>
        <x:v>9.333333333333334</x:v>
      </x:c>
      <x:c r="N1404" s="9" t="n">
        <x:f>M1404*'Parameters'!$C$18</x:f>
        <x:v>1.866666666666667</x:v>
      </x:c>
      <x:c r="O1404" s="9" t="n">
        <x:f>N1404*'Parameters'!$C$19</x:f>
        <x:v>2.3333333333333335</x:v>
      </x:c>
      <x:c r="P1404" s="9" t="n">
        <x:f>M1404*(1-0.40)-N1404</x:f>
        <x:v>3.7333333333333334</x:v>
      </x:c>
      <x:c r="Q1404" s="9" t="n">
        <x:f>'Physical_Arcs'!T24</x:f>
        <x:v>4.666666666666667</x:v>
      </x:c>
      <x:c r="R1404" s="9" t="n">
        <x:f>Q1404*'Parameters'!$C$18</x:f>
        <x:v>0.9333333333333335</x:v>
      </x:c>
      <x:c r="S1404" s="9" t="n">
        <x:f>R1404*'Parameters'!$C$19</x:f>
        <x:v>1.1666666666666667</x:v>
      </x:c>
      <x:c r="T1404" s="9" t="n">
        <x:f>Q1404*(1-0.40)-R1404</x:f>
        <x:v>1.8666666666666667</x:v>
      </x:c>
    </x:row>
    <x:row r="1405" ht="21" customHeight="1">
      <x:c r="A1405" s="3" t="n">
        <x:v>23</x:v>
      </x:c>
      <x:c r="B1405" s="3" t="str">
        <x:v>03:50</x:v>
      </x:c>
      <x:c r="C1405" s="3" t="n">
        <x:v>4</x:v>
      </x:c>
      <x:c r="D1405" s="3" t="n">
        <x:v>24</x:v>
      </x:c>
      <x:c r="E1405" s="3" t="n">
        <x:v>4</x:v>
      </x:c>
      <x:c r="F1405" s="3" t="n">
        <x:v>10</x:v>
      </x:c>
      <x:c r="G1405" s="9" t="n">
        <x:v>0.08</x:v>
      </x:c>
      <x:c r="H1405" s="9" t="n">
        <x:v>0.875461</x:v>
      </x:c>
      <x:c r="I1405" s="9" t="n">
        <x:f>'Physical_Arcs'!R25</x:f>
        <x:v>7.194444444444445</x:v>
      </x:c>
      <x:c r="J1405" s="9" t="n">
        <x:f>I1405*'Parameters'!$C$18</x:f>
        <x:v>1.438888888888889</x:v>
      </x:c>
      <x:c r="K1405" s="9" t="n">
        <x:f>J1405*'Parameters'!$C$19</x:f>
        <x:v>1.7986111111111114</x:v>
      </x:c>
      <x:c r="L1405" s="9" t="n">
        <x:f>I1405*(1-0.40)-J1405</x:f>
        <x:v>2.8777777777777773</x:v>
      </x:c>
      <x:c r="M1405" s="9" t="n">
        <x:f>'Physical_Arcs'!S25</x:f>
        <x:v>7.194444444444445</x:v>
      </x:c>
      <x:c r="N1405" s="9" t="n">
        <x:f>M1405*'Parameters'!$C$18</x:f>
        <x:v>1.438888888888889</x:v>
      </x:c>
      <x:c r="O1405" s="9" t="n">
        <x:f>N1405*'Parameters'!$C$19</x:f>
        <x:v>1.7986111111111114</x:v>
      </x:c>
      <x:c r="P1405" s="9" t="n">
        <x:f>M1405*(1-0.40)-N1405</x:f>
        <x:v>2.8777777777777773</x:v>
      </x:c>
      <x:c r="Q1405" s="9" t="n">
        <x:f>'Physical_Arcs'!T25</x:f>
        <x:v>3.611111111111111</x:v>
      </x:c>
      <x:c r="R1405" s="9" t="n">
        <x:f>Q1405*'Parameters'!$C$18</x:f>
        <x:v>0.7222222222222223</x:v>
      </x:c>
      <x:c r="S1405" s="9" t="n">
        <x:f>R1405*'Parameters'!$C$19</x:f>
        <x:v>0.9027777777777779</x:v>
      </x:c>
      <x:c r="T1405" s="9" t="n">
        <x:f>Q1405*(1-0.40)-R1405</x:f>
        <x:v>1.4444444444444442</x:v>
      </x:c>
    </x:row>
    <x:row r="1406" ht="21" customHeight="1">
      <x:c r="A1406" s="3" t="n">
        <x:v>23</x:v>
      </x:c>
      <x:c r="B1406" s="3" t="str">
        <x:v>03:50</x:v>
      </x:c>
      <x:c r="C1406" s="3" t="n">
        <x:v>4</x:v>
      </x:c>
      <x:c r="D1406" s="3" t="n">
        <x:v>25</x:v>
      </x:c>
      <x:c r="E1406" s="3" t="n">
        <x:v>4</x:v>
      </x:c>
      <x:c r="F1406" s="3" t="n">
        <x:v>8</x:v>
      </x:c>
      <x:c r="G1406" s="9" t="n">
        <x:v>0.08</x:v>
      </x:c>
      <x:c r="H1406" s="9" t="n">
        <x:v>0.993326</x:v>
      </x:c>
      <x:c r="I1406" s="9" t="n">
        <x:f>'Physical_Arcs'!R26</x:f>
        <x:v>5.277777777777778</x:v>
      </x:c>
      <x:c r="J1406" s="9" t="n">
        <x:f>I1406*'Parameters'!$C$18</x:f>
        <x:v>1.0555555555555556</x:v>
      </x:c>
      <x:c r="K1406" s="9" t="n">
        <x:f>J1406*'Parameters'!$C$19</x:f>
        <x:v>1.3194444444444444</x:v>
      </x:c>
      <x:c r="L1406" s="9" t="n">
        <x:f>I1406*(1-0.40)-J1406</x:f>
        <x:v>2.1111111111111107</x:v>
      </x:c>
      <x:c r="M1406" s="9" t="n">
        <x:f>'Physical_Arcs'!S26</x:f>
        <x:v>5.277777777777778</x:v>
      </x:c>
      <x:c r="N1406" s="9" t="n">
        <x:f>M1406*'Parameters'!$C$18</x:f>
        <x:v>1.0555555555555556</x:v>
      </x:c>
      <x:c r="O1406" s="9" t="n">
        <x:f>N1406*'Parameters'!$C$19</x:f>
        <x:v>1.3194444444444444</x:v>
      </x:c>
      <x:c r="P1406" s="9" t="n">
        <x:f>M1406*(1-0.40)-N1406</x:f>
        <x:v>2.1111111111111107</x:v>
      </x:c>
      <x:c r="Q1406" s="9" t="n">
        <x:f>'Physical_Arcs'!T26</x:f>
        <x:v>2.638888888888889</x:v>
      </x:c>
      <x:c r="R1406" s="9" t="n">
        <x:f>Q1406*'Parameters'!$C$18</x:f>
        <x:v>0.5277777777777778</x:v>
      </x:c>
      <x:c r="S1406" s="9" t="n">
        <x:f>R1406*'Parameters'!$C$19</x:f>
        <x:v>0.6597222222222222</x:v>
      </x:c>
      <x:c r="T1406" s="9" t="n">
        <x:f>Q1406*(1-0.40)-R1406</x:f>
        <x:v>1.0555555555555554</x:v>
      </x:c>
    </x:row>
    <x:row r="1407" ht="21" customHeight="1">
      <x:c r="A1407" s="3" t="n">
        <x:v>23</x:v>
      </x:c>
      <x:c r="B1407" s="3" t="str">
        <x:v>03:50</x:v>
      </x:c>
      <x:c r="C1407" s="3" t="n">
        <x:v>4</x:v>
      </x:c>
      <x:c r="D1407" s="3" t="n">
        <x:v>26</x:v>
      </x:c>
      <x:c r="E1407" s="3" t="n">
        <x:v>4</x:v>
      </x:c>
      <x:c r="F1407" s="3" t="n">
        <x:v>7</x:v>
      </x:c>
      <x:c r="G1407" s="9" t="n">
        <x:v>0.08</x:v>
      </x:c>
      <x:c r="H1407" s="9" t="n">
        <x:v>1.099203</x:v>
      </x:c>
      <x:c r="I1407" s="9" t="n">
        <x:f>'Physical_Arcs'!R27</x:f>
        <x:v>6.527777777777778</x:v>
      </x:c>
      <x:c r="J1407" s="9" t="n">
        <x:f>I1407*'Parameters'!$C$18</x:f>
        <x:v>1.3055555555555556</x:v>
      </x:c>
      <x:c r="K1407" s="9" t="n">
        <x:f>J1407*'Parameters'!$C$19</x:f>
        <x:v>1.6319444444444444</x:v>
      </x:c>
      <x:c r="L1407" s="9" t="n">
        <x:f>I1407*(1-0.40)-J1407</x:f>
        <x:v>2.6111111111111107</x:v>
      </x:c>
      <x:c r="M1407" s="9" t="n">
        <x:f>'Physical_Arcs'!S27</x:f>
        <x:v>6.527777777777778</x:v>
      </x:c>
      <x:c r="N1407" s="9" t="n">
        <x:f>M1407*'Parameters'!$C$18</x:f>
        <x:v>1.3055555555555556</x:v>
      </x:c>
      <x:c r="O1407" s="9" t="n">
        <x:f>N1407*'Parameters'!$C$19</x:f>
        <x:v>1.6319444444444444</x:v>
      </x:c>
      <x:c r="P1407" s="9" t="n">
        <x:f>M1407*(1-0.40)-N1407</x:f>
        <x:v>2.6111111111111107</x:v>
      </x:c>
      <x:c r="Q1407" s="9" t="n">
        <x:f>'Physical_Arcs'!T27</x:f>
        <x:v>3.2777777777777777</x:v>
      </x:c>
      <x:c r="R1407" s="9" t="n">
        <x:f>Q1407*'Parameters'!$C$18</x:f>
        <x:v>0.6555555555555556</x:v>
      </x:c>
      <x:c r="S1407" s="9" t="n">
        <x:f>R1407*'Parameters'!$C$19</x:f>
        <x:v>0.8194444444444444</x:v>
      </x:c>
      <x:c r="T1407" s="9" t="n">
        <x:f>Q1407*(1-0.40)-R1407</x:f>
        <x:v>1.311111111111111</x:v>
      </x:c>
    </x:row>
    <x:row r="1408" ht="21" customHeight="1">
      <x:c r="A1408" s="3" t="n">
        <x:v>23</x:v>
      </x:c>
      <x:c r="B1408" s="3" t="str">
        <x:v>03:50</x:v>
      </x:c>
      <x:c r="C1408" s="3" t="n">
        <x:v>4</x:v>
      </x:c>
      <x:c r="D1408" s="3" t="n">
        <x:v>27</x:v>
      </x:c>
      <x:c r="E1408" s="3" t="n">
        <x:v>4</x:v>
      </x:c>
      <x:c r="F1408" s="3" t="n">
        <x:v>2</x:v>
      </x:c>
      <x:c r="G1408" s="9" t="n">
        <x:v>0.08</x:v>
      </x:c>
      <x:c r="H1408" s="9" t="n">
        <x:v>0.861111</x:v>
      </x:c>
      <x:c r="I1408" s="9" t="n">
        <x:f>'Physical_Arcs'!R28</x:f>
        <x:v>4.944444444444445</x:v>
      </x:c>
      <x:c r="J1408" s="9" t="n">
        <x:f>I1408*'Parameters'!$C$18</x:f>
        <x:v>0.9888888888888889</x:v>
      </x:c>
      <x:c r="K1408" s="9" t="n">
        <x:f>J1408*'Parameters'!$C$19</x:f>
        <x:v>1.2361111111111112</x:v>
      </x:c>
      <x:c r="L1408" s="9" t="n">
        <x:f>I1408*(1-0.40)-J1408</x:f>
        <x:v>1.9777777777777779</x:v>
      </x:c>
      <x:c r="M1408" s="9" t="n">
        <x:f>'Physical_Arcs'!S28</x:f>
        <x:v>4.944444444444445</x:v>
      </x:c>
      <x:c r="N1408" s="9" t="n">
        <x:f>M1408*'Parameters'!$C$18</x:f>
        <x:v>0.9888888888888889</x:v>
      </x:c>
      <x:c r="O1408" s="9" t="n">
        <x:f>N1408*'Parameters'!$C$19</x:f>
        <x:v>1.2361111111111112</x:v>
      </x:c>
      <x:c r="P1408" s="9" t="n">
        <x:f>M1408*(1-0.40)-N1408</x:f>
        <x:v>1.9777777777777779</x:v>
      </x:c>
      <x:c r="Q1408" s="9" t="n">
        <x:f>'Physical_Arcs'!T28</x:f>
        <x:v>2.4722222222222223</x:v>
      </x:c>
      <x:c r="R1408" s="9" t="n">
        <x:f>Q1408*'Parameters'!$C$18</x:f>
        <x:v>0.49444444444444446</x:v>
      </x:c>
      <x:c r="S1408" s="9" t="n">
        <x:f>R1408*'Parameters'!$C$19</x:f>
        <x:v>0.6180555555555556</x:v>
      </x:c>
      <x:c r="T1408" s="9" t="n">
        <x:f>Q1408*(1-0.40)-R1408</x:f>
        <x:v>0.9888888888888889</x:v>
      </x:c>
    </x:row>
    <x:row r="1409" ht="21" customHeight="1">
      <x:c r="A1409" s="3" t="n">
        <x:v>23</x:v>
      </x:c>
      <x:c r="B1409" s="3" t="str">
        <x:v>03:50</x:v>
      </x:c>
      <x:c r="C1409" s="3" t="n">
        <x:v>4</x:v>
      </x:c>
      <x:c r="D1409" s="3" t="n">
        <x:v>28</x:v>
      </x:c>
      <x:c r="E1409" s="3" t="n">
        <x:v>4</x:v>
      </x:c>
      <x:c r="F1409" s="3" t="n">
        <x:v>6</x:v>
      </x:c>
      <x:c r="G1409" s="9" t="n">
        <x:v>0.08</x:v>
      </x:c>
      <x:c r="H1409" s="9" t="n">
        <x:v>1.137214</x:v>
      </x:c>
      <x:c r="I1409" s="9" t="n">
        <x:f>'Physical_Arcs'!R29</x:f>
        <x:v>3.388888888888889</x:v>
      </x:c>
      <x:c r="J1409" s="9" t="n">
        <x:f>I1409*'Parameters'!$C$18</x:f>
        <x:v>0.6777777777777778</x:v>
      </x:c>
      <x:c r="K1409" s="9" t="n">
        <x:f>J1409*'Parameters'!$C$19</x:f>
        <x:v>0.8472222222222223</x:v>
      </x:c>
      <x:c r="L1409" s="9" t="n">
        <x:f>I1409*(1-0.40)-J1409</x:f>
        <x:v>1.3555555555555554</x:v>
      </x:c>
      <x:c r="M1409" s="9" t="n">
        <x:f>'Physical_Arcs'!S29</x:f>
        <x:v>3.388888888888889</x:v>
      </x:c>
      <x:c r="N1409" s="9" t="n">
        <x:f>M1409*'Parameters'!$C$18</x:f>
        <x:v>0.6777777777777778</x:v>
      </x:c>
      <x:c r="O1409" s="9" t="n">
        <x:f>N1409*'Parameters'!$C$19</x:f>
        <x:v>0.8472222222222223</x:v>
      </x:c>
      <x:c r="P1409" s="9" t="n">
        <x:f>M1409*(1-0.40)-N1409</x:f>
        <x:v>1.3555555555555554</x:v>
      </x:c>
      <x:c r="Q1409" s="9" t="n">
        <x:f>'Physical_Arcs'!T29</x:f>
        <x:v>1.6944444444444444</x:v>
      </x:c>
      <x:c r="R1409" s="9" t="n">
        <x:f>Q1409*'Parameters'!$C$18</x:f>
        <x:v>0.3388888888888889</x:v>
      </x:c>
      <x:c r="S1409" s="9" t="n">
        <x:f>R1409*'Parameters'!$C$19</x:f>
        <x:v>0.42361111111111116</x:v>
      </x:c>
      <x:c r="T1409" s="9" t="n">
        <x:f>Q1409*(1-0.40)-R1409</x:f>
        <x:v>0.6777777777777777</x:v>
      </x:c>
    </x:row>
    <x:row r="1410" ht="21" customHeight="1">
      <x:c r="A1410" s="3" t="n">
        <x:v>23</x:v>
      </x:c>
      <x:c r="B1410" s="3" t="str">
        <x:v>03:50</x:v>
      </x:c>
      <x:c r="C1410" s="3" t="n">
        <x:v>4</x:v>
      </x:c>
      <x:c r="D1410" s="3" t="n">
        <x:v>29</x:v>
      </x:c>
      <x:c r="E1410" s="3" t="n">
        <x:v>5</x:v>
      </x:c>
      <x:c r="F1410" s="3" t="n">
        <x:v>6</x:v>
      </x:c>
      <x:c r="G1410" s="9" t="n">
        <x:v>0.08</x:v>
      </x:c>
      <x:c r="H1410" s="9" t="n">
        <x:v>0.949994</x:v>
      </x:c>
      <x:c r="I1410" s="9" t="n">
        <x:f>'Physical_Arcs'!R30</x:f>
        <x:v>17.02777777777778</x:v>
      </x:c>
      <x:c r="J1410" s="9" t="n">
        <x:f>I1410*'Parameters'!$C$18</x:f>
        <x:v>3.405555555555556</x:v>
      </x:c>
      <x:c r="K1410" s="9" t="n">
        <x:f>J1410*'Parameters'!$C$19</x:f>
        <x:v>4.256944444444445</x:v>
      </x:c>
      <x:c r="L1410" s="9" t="n">
        <x:f>I1410*(1-0.40)-J1410</x:f>
        <x:v>6.811111111111111</x:v>
      </x:c>
      <x:c r="M1410" s="9" t="n">
        <x:f>'Physical_Arcs'!S30</x:f>
        <x:v>17.02777777777778</x:v>
      </x:c>
      <x:c r="N1410" s="9" t="n">
        <x:f>M1410*'Parameters'!$C$18</x:f>
        <x:v>3.405555555555556</x:v>
      </x:c>
      <x:c r="O1410" s="9" t="n">
        <x:f>N1410*'Parameters'!$C$19</x:f>
        <x:v>4.256944444444445</x:v>
      </x:c>
      <x:c r="P1410" s="9" t="n">
        <x:f>M1410*(1-0.40)-N1410</x:f>
        <x:v>6.811111111111111</x:v>
      </x:c>
      <x:c r="Q1410" s="9" t="n">
        <x:f>'Physical_Arcs'!T30</x:f>
        <x:v>17.02777777777778</x:v>
      </x:c>
      <x:c r="R1410" s="9" t="n">
        <x:f>Q1410*'Parameters'!$C$18</x:f>
        <x:v>3.405555555555556</x:v>
      </x:c>
      <x:c r="S1410" s="9" t="n">
        <x:f>R1410*'Parameters'!$C$19</x:f>
        <x:v>4.256944444444445</x:v>
      </x:c>
      <x:c r="T1410" s="9" t="n">
        <x:f>Q1410*(1-0.40)-R1410</x:f>
        <x:v>6.811111111111111</x:v>
      </x:c>
    </x:row>
    <x:row r="1411" ht="21" customHeight="1">
      <x:c r="A1411" s="3" t="n">
        <x:v>23</x:v>
      </x:c>
      <x:c r="B1411" s="3" t="str">
        <x:v>03:50</x:v>
      </x:c>
      <x:c r="C1411" s="3" t="n">
        <x:v>4</x:v>
      </x:c>
      <x:c r="D1411" s="3" t="n">
        <x:v>30</x:v>
      </x:c>
      <x:c r="E1411" s="3" t="n">
        <x:v>5</x:v>
      </x:c>
      <x:c r="F1411" s="3" t="n">
        <x:v>2</x:v>
      </x:c>
      <x:c r="G1411" s="9" t="n">
        <x:v>0.08</x:v>
      </x:c>
      <x:c r="H1411" s="9" t="n">
        <x:v>0.882396</x:v>
      </x:c>
      <x:c r="I1411" s="9" t="n">
        <x:f>'Physical_Arcs'!R31</x:f>
        <x:v>2.9444444444444446</x:v>
      </x:c>
      <x:c r="J1411" s="9" t="n">
        <x:f>I1411*'Parameters'!$C$18</x:f>
        <x:v>0.5888888888888889</x:v>
      </x:c>
      <x:c r="K1411" s="9" t="n">
        <x:f>J1411*'Parameters'!$C$19</x:f>
        <x:v>0.7361111111111112</x:v>
      </x:c>
      <x:c r="L1411" s="9" t="n">
        <x:f>I1411*(1-0.40)-J1411</x:f>
        <x:v>1.177777777777778</x:v>
      </x:c>
      <x:c r="M1411" s="9" t="n">
        <x:f>'Physical_Arcs'!S31</x:f>
        <x:v>2.9444444444444446</x:v>
      </x:c>
      <x:c r="N1411" s="9" t="n">
        <x:f>M1411*'Parameters'!$C$18</x:f>
        <x:v>0.5888888888888889</x:v>
      </x:c>
      <x:c r="O1411" s="9" t="n">
        <x:f>N1411*'Parameters'!$C$19</x:f>
        <x:v>0.7361111111111112</x:v>
      </x:c>
      <x:c r="P1411" s="9" t="n">
        <x:f>M1411*(1-0.40)-N1411</x:f>
        <x:v>1.177777777777778</x:v>
      </x:c>
      <x:c r="Q1411" s="9" t="n">
        <x:f>'Physical_Arcs'!T31</x:f>
        <x:v>1.4722222222222223</x:v>
      </x:c>
      <x:c r="R1411" s="9" t="n">
        <x:f>Q1411*'Parameters'!$C$18</x:f>
        <x:v>0.29444444444444445</x:v>
      </x:c>
      <x:c r="S1411" s="9" t="n">
        <x:f>R1411*'Parameters'!$C$19</x:f>
        <x:v>0.3680555555555556</x:v>
      </x:c>
      <x:c r="T1411" s="9" t="n">
        <x:f>Q1411*(1-0.40)-R1411</x:f>
        <x:v>0.588888888888889</x:v>
      </x:c>
    </x:row>
    <x:row r="1412" ht="21" customHeight="1">
      <x:c r="A1412" s="3" t="n">
        <x:v>23</x:v>
      </x:c>
      <x:c r="B1412" s="3" t="str">
        <x:v>03:50</x:v>
      </x:c>
      <x:c r="C1412" s="3" t="n">
        <x:v>4</x:v>
      </x:c>
      <x:c r="D1412" s="3" t="n">
        <x:v>31</x:v>
      </x:c>
      <x:c r="E1412" s="3" t="n">
        <x:v>5</x:v>
      </x:c>
      <x:c r="F1412" s="3" t="n">
        <x:v>8</x:v>
      </x:c>
      <x:c r="G1412" s="9" t="n">
        <x:v>0.08</x:v>
      </x:c>
      <x:c r="H1412" s="9" t="n">
        <x:v>0.986718</x:v>
      </x:c>
      <x:c r="I1412" s="9" t="n">
        <x:f>'Physical_Arcs'!R32</x:f>
        <x:v>9.333333333333334</x:v>
      </x:c>
      <x:c r="J1412" s="9" t="n">
        <x:f>I1412*'Parameters'!$C$18</x:f>
        <x:v>1.866666666666667</x:v>
      </x:c>
      <x:c r="K1412" s="9" t="n">
        <x:f>J1412*'Parameters'!$C$19</x:f>
        <x:v>2.3333333333333335</x:v>
      </x:c>
      <x:c r="L1412" s="9" t="n">
        <x:f>I1412*(1-0.40)-J1412</x:f>
        <x:v>3.7333333333333334</x:v>
      </x:c>
      <x:c r="M1412" s="9" t="n">
        <x:f>'Physical_Arcs'!S32</x:f>
        <x:v>9.333333333333334</x:v>
      </x:c>
      <x:c r="N1412" s="9" t="n">
        <x:f>M1412*'Parameters'!$C$18</x:f>
        <x:v>1.866666666666667</x:v>
      </x:c>
      <x:c r="O1412" s="9" t="n">
        <x:f>N1412*'Parameters'!$C$19</x:f>
        <x:v>2.3333333333333335</x:v>
      </x:c>
      <x:c r="P1412" s="9" t="n">
        <x:f>M1412*(1-0.40)-N1412</x:f>
        <x:v>3.7333333333333334</x:v>
      </x:c>
      <x:c r="Q1412" s="9" t="n">
        <x:f>'Physical_Arcs'!T32</x:f>
        <x:v>4.666666666666667</x:v>
      </x:c>
      <x:c r="R1412" s="9" t="n">
        <x:f>Q1412*'Parameters'!$C$18</x:f>
        <x:v>0.9333333333333335</x:v>
      </x:c>
      <x:c r="S1412" s="9" t="n">
        <x:f>R1412*'Parameters'!$C$19</x:f>
        <x:v>1.1666666666666667</x:v>
      </x:c>
      <x:c r="T1412" s="9" t="n">
        <x:f>Q1412*(1-0.40)-R1412</x:f>
        <x:v>1.8666666666666667</x:v>
      </x:c>
    </x:row>
    <x:row r="1413" ht="21" customHeight="1">
      <x:c r="A1413" s="3" t="n">
        <x:v>23</x:v>
      </x:c>
      <x:c r="B1413" s="3" t="str">
        <x:v>03:50</x:v>
      </x:c>
      <x:c r="C1413" s="3" t="n">
        <x:v>4</x:v>
      </x:c>
      <x:c r="D1413" s="3" t="n">
        <x:v>32</x:v>
      </x:c>
      <x:c r="E1413" s="3" t="n">
        <x:v>5</x:v>
      </x:c>
      <x:c r="F1413" s="3" t="n">
        <x:v>3</x:v>
      </x:c>
      <x:c r="G1413" s="9" t="n">
        <x:v>0.08</x:v>
      </x:c>
      <x:c r="H1413" s="9" t="n">
        <x:v>1.089544</x:v>
      </x:c>
      <x:c r="I1413" s="9" t="n">
        <x:f>'Physical_Arcs'!R33</x:f>
        <x:v>11.13888888888889</x:v>
      </x:c>
      <x:c r="J1413" s="9" t="n">
        <x:f>I1413*'Parameters'!$C$18</x:f>
        <x:v>2.227777777777778</x:v>
      </x:c>
      <x:c r="K1413" s="9" t="n">
        <x:f>J1413*'Parameters'!$C$19</x:f>
        <x:v>2.7847222222222223</x:v>
      </x:c>
      <x:c r="L1413" s="9" t="n">
        <x:f>I1413*(1-0.40)-J1413</x:f>
        <x:v>4.455555555555556</x:v>
      </x:c>
      <x:c r="M1413" s="9" t="n">
        <x:f>'Physical_Arcs'!S33</x:f>
        <x:v>11.13888888888889</x:v>
      </x:c>
      <x:c r="N1413" s="9" t="n">
        <x:f>M1413*'Parameters'!$C$18</x:f>
        <x:v>2.227777777777778</x:v>
      </x:c>
      <x:c r="O1413" s="9" t="n">
        <x:f>N1413*'Parameters'!$C$19</x:f>
        <x:v>2.7847222222222223</x:v>
      </x:c>
      <x:c r="P1413" s="9" t="n">
        <x:f>M1413*(1-0.40)-N1413</x:f>
        <x:v>4.455555555555556</x:v>
      </x:c>
      <x:c r="Q1413" s="9" t="n">
        <x:f>'Physical_Arcs'!T33</x:f>
        <x:v>5.583333333333333</x:v>
      </x:c>
      <x:c r="R1413" s="9" t="n">
        <x:f>Q1413*'Parameters'!$C$18</x:f>
        <x:v>1.1166666666666667</x:v>
      </x:c>
      <x:c r="S1413" s="9" t="n">
        <x:f>R1413*'Parameters'!$C$19</x:f>
        <x:v>1.3958333333333335</x:v>
      </x:c>
      <x:c r="T1413" s="9" t="n">
        <x:f>Q1413*(1-0.40)-R1413</x:f>
        <x:v>2.233333333333333</x:v>
      </x:c>
    </x:row>
    <x:row r="1414" ht="21" customHeight="1">
      <x:c r="A1414" s="3" t="n">
        <x:v>23</x:v>
      </x:c>
      <x:c r="B1414" s="3" t="str">
        <x:v>03:50</x:v>
      </x:c>
      <x:c r="C1414" s="3" t="n">
        <x:v>4</x:v>
      </x:c>
      <x:c r="D1414" s="3" t="n">
        <x:v>33</x:v>
      </x:c>
      <x:c r="E1414" s="3" t="n">
        <x:v>5</x:v>
      </x:c>
      <x:c r="F1414" s="3" t="n">
        <x:v>10</x:v>
      </x:c>
      <x:c r="G1414" s="9" t="n">
        <x:v>0.08</x:v>
      </x:c>
      <x:c r="H1414" s="9" t="n">
        <x:v>1.103596</x:v>
      </x:c>
      <x:c r="I1414" s="9" t="n">
        <x:f>'Physical_Arcs'!R34</x:f>
        <x:v>4.611111111111111</x:v>
      </x:c>
      <x:c r="J1414" s="9" t="n">
        <x:f>I1414*'Parameters'!$C$18</x:f>
        <x:v>0.9222222222222222</x:v>
      </x:c>
      <x:c r="K1414" s="9" t="n">
        <x:f>J1414*'Parameters'!$C$19</x:f>
        <x:v>1.1527777777777777</x:v>
      </x:c>
      <x:c r="L1414" s="9" t="n">
        <x:f>I1414*(1-0.40)-J1414</x:f>
        <x:v>1.844444444444444</x:v>
      </x:c>
      <x:c r="M1414" s="9" t="n">
        <x:f>'Physical_Arcs'!S34</x:f>
        <x:v>4.611111111111111</x:v>
      </x:c>
      <x:c r="N1414" s="9" t="n">
        <x:f>M1414*'Parameters'!$C$18</x:f>
        <x:v>0.9222222222222222</x:v>
      </x:c>
      <x:c r="O1414" s="9" t="n">
        <x:f>N1414*'Parameters'!$C$19</x:f>
        <x:v>1.1527777777777777</x:v>
      </x:c>
      <x:c r="P1414" s="9" t="n">
        <x:f>M1414*(1-0.40)-N1414</x:f>
        <x:v>1.844444444444444</x:v>
      </x:c>
      <x:c r="Q1414" s="9" t="n">
        <x:f>'Physical_Arcs'!T34</x:f>
        <x:v>2.3055555555555554</x:v>
      </x:c>
      <x:c r="R1414" s="9" t="n">
        <x:f>Q1414*'Parameters'!$C$18</x:f>
        <x:v>0.4611111111111111</x:v>
      </x:c>
      <x:c r="S1414" s="9" t="n">
        <x:f>R1414*'Parameters'!$C$19</x:f>
        <x:v>0.5763888888888888</x:v>
      </x:c>
      <x:c r="T1414" s="9" t="n">
        <x:f>Q1414*(1-0.40)-R1414</x:f>
        <x:v>0.922222222222222</x:v>
      </x:c>
    </x:row>
    <x:row r="1415" ht="21" customHeight="1">
      <x:c r="A1415" s="3" t="n">
        <x:v>23</x:v>
      </x:c>
      <x:c r="B1415" s="3" t="str">
        <x:v>03:50</x:v>
      </x:c>
      <x:c r="C1415" s="3" t="n">
        <x:v>4</x:v>
      </x:c>
      <x:c r="D1415" s="3" t="n">
        <x:v>34</x:v>
      </x:c>
      <x:c r="E1415" s="3" t="n">
        <x:v>6</x:v>
      </x:c>
      <x:c r="F1415" s="3" t="n">
        <x:v>7</x:v>
      </x:c>
      <x:c r="G1415" s="9" t="n">
        <x:v>0.08</x:v>
      </x:c>
      <x:c r="H1415" s="9" t="n">
        <x:v>0.973887</x:v>
      </x:c>
      <x:c r="I1415" s="9" t="n">
        <x:f>'Physical_Arcs'!R35</x:f>
        <x:v>17.02777777777778</x:v>
      </x:c>
      <x:c r="J1415" s="9" t="n">
        <x:f>I1415*'Parameters'!$C$18</x:f>
        <x:v>3.405555555555556</x:v>
      </x:c>
      <x:c r="K1415" s="9" t="n">
        <x:f>J1415*'Parameters'!$C$19</x:f>
        <x:v>4.256944444444445</x:v>
      </x:c>
      <x:c r="L1415" s="9" t="n">
        <x:f>I1415*(1-0.40)-J1415</x:f>
        <x:v>6.811111111111111</x:v>
      </x:c>
      <x:c r="M1415" s="9" t="n">
        <x:f>'Physical_Arcs'!S35</x:f>
        <x:v>17.02777777777778</x:v>
      </x:c>
      <x:c r="N1415" s="9" t="n">
        <x:f>M1415*'Parameters'!$C$18</x:f>
        <x:v>3.405555555555556</x:v>
      </x:c>
      <x:c r="O1415" s="9" t="n">
        <x:f>N1415*'Parameters'!$C$19</x:f>
        <x:v>4.256944444444445</x:v>
      </x:c>
      <x:c r="P1415" s="9" t="n">
        <x:f>M1415*(1-0.40)-N1415</x:f>
        <x:v>6.811111111111111</x:v>
      </x:c>
      <x:c r="Q1415" s="9" t="n">
        <x:f>'Physical_Arcs'!T35</x:f>
        <x:v>17.02777777777778</x:v>
      </x:c>
      <x:c r="R1415" s="9" t="n">
        <x:f>Q1415*'Parameters'!$C$18</x:f>
        <x:v>3.405555555555556</x:v>
      </x:c>
      <x:c r="S1415" s="9" t="n">
        <x:f>R1415*'Parameters'!$C$19</x:f>
        <x:v>4.256944444444445</x:v>
      </x:c>
      <x:c r="T1415" s="9" t="n">
        <x:f>Q1415*(1-0.40)-R1415</x:f>
        <x:v>6.811111111111111</x:v>
      </x:c>
    </x:row>
    <x:row r="1416" ht="21" customHeight="1">
      <x:c r="A1416" s="3" t="n">
        <x:v>23</x:v>
      </x:c>
      <x:c r="B1416" s="3" t="str">
        <x:v>03:50</x:v>
      </x:c>
      <x:c r="C1416" s="3" t="n">
        <x:v>4</x:v>
      </x:c>
      <x:c r="D1416" s="3" t="n">
        <x:v>35</x:v>
      </x:c>
      <x:c r="E1416" s="3" t="n">
        <x:v>6</x:v>
      </x:c>
      <x:c r="F1416" s="3" t="n">
        <x:v>10</x:v>
      </x:c>
      <x:c r="G1416" s="9" t="n">
        <x:v>0.08</x:v>
      </x:c>
      <x:c r="H1416" s="9" t="n">
        <x:v>1.009062</x:v>
      </x:c>
      <x:c r="I1416" s="9" t="n">
        <x:f>'Physical_Arcs'!R36</x:f>
        <x:v>4.055555555555555</x:v>
      </x:c>
      <x:c r="J1416" s="9" t="n">
        <x:f>I1416*'Parameters'!$C$18</x:f>
        <x:v>0.8111111111111111</x:v>
      </x:c>
      <x:c r="K1416" s="9" t="n">
        <x:f>J1416*'Parameters'!$C$19</x:f>
        <x:v>1.0138888888888888</x:v>
      </x:c>
      <x:c r="L1416" s="9" t="n">
        <x:f>I1416*(1-0.40)-J1416</x:f>
        <x:v>1.622222222222222</x:v>
      </x:c>
      <x:c r="M1416" s="9" t="n">
        <x:f>'Physical_Arcs'!S36</x:f>
        <x:v>4.055555555555555</x:v>
      </x:c>
      <x:c r="N1416" s="9" t="n">
        <x:f>M1416*'Parameters'!$C$18</x:f>
        <x:v>0.8111111111111111</x:v>
      </x:c>
      <x:c r="O1416" s="9" t="n">
        <x:f>N1416*'Parameters'!$C$19</x:f>
        <x:v>1.0138888888888888</x:v>
      </x:c>
      <x:c r="P1416" s="9" t="n">
        <x:f>M1416*(1-0.40)-N1416</x:f>
        <x:v>1.622222222222222</x:v>
      </x:c>
      <x:c r="Q1416" s="9" t="n">
        <x:f>'Physical_Arcs'!T36</x:f>
        <x:v>2.0277777777777777</x:v>
      </x:c>
      <x:c r="R1416" s="9" t="n">
        <x:f>Q1416*'Parameters'!$C$18</x:f>
        <x:v>0.40555555555555556</x:v>
      </x:c>
      <x:c r="S1416" s="9" t="n">
        <x:f>R1416*'Parameters'!$C$19</x:f>
        <x:v>0.5069444444444444</x:v>
      </x:c>
      <x:c r="T1416" s="9" t="n">
        <x:f>Q1416*(1-0.40)-R1416</x:f>
        <x:v>0.811111111111111</x:v>
      </x:c>
    </x:row>
    <x:row r="1417" ht="21" customHeight="1">
      <x:c r="A1417" s="3" t="n">
        <x:v>23</x:v>
      </x:c>
      <x:c r="B1417" s="3" t="str">
        <x:v>03:50</x:v>
      </x:c>
      <x:c r="C1417" s="3" t="n">
        <x:v>4</x:v>
      </x:c>
      <x:c r="D1417" s="3" t="n">
        <x:v>36</x:v>
      </x:c>
      <x:c r="E1417" s="3" t="n">
        <x:v>6</x:v>
      </x:c>
      <x:c r="F1417" s="3" t="n">
        <x:v>8</x:v>
      </x:c>
      <x:c r="G1417" s="9" t="n">
        <x:v>0.08</x:v>
      </x:c>
      <x:c r="H1417" s="9" t="n">
        <x:v>1.132129</x:v>
      </x:c>
      <x:c r="I1417" s="9" t="n">
        <x:f>'Physical_Arcs'!R37</x:f>
        <x:v>6.972222222222222</x:v>
      </x:c>
      <x:c r="J1417" s="9" t="n">
        <x:f>I1417*'Parameters'!$C$18</x:f>
        <x:v>1.3944444444444446</x:v>
      </x:c>
      <x:c r="K1417" s="9" t="n">
        <x:f>J1417*'Parameters'!$C$19</x:f>
        <x:v>1.7430555555555558</x:v>
      </x:c>
      <x:c r="L1417" s="9" t="n">
        <x:f>I1417*(1-0.40)-J1417</x:f>
        <x:v>2.7888888888888888</x:v>
      </x:c>
      <x:c r="M1417" s="9" t="n">
        <x:f>'Physical_Arcs'!S37</x:f>
        <x:v>6.972222222222222</x:v>
      </x:c>
      <x:c r="N1417" s="9" t="n">
        <x:f>M1417*'Parameters'!$C$18</x:f>
        <x:v>1.3944444444444446</x:v>
      </x:c>
      <x:c r="O1417" s="9" t="n">
        <x:f>N1417*'Parameters'!$C$19</x:f>
        <x:v>1.7430555555555558</x:v>
      </x:c>
      <x:c r="P1417" s="9" t="n">
        <x:f>M1417*(1-0.40)-N1417</x:f>
        <x:v>2.7888888888888888</x:v>
      </x:c>
      <x:c r="Q1417" s="9" t="n">
        <x:f>'Physical_Arcs'!T37</x:f>
        <x:v>3.5</x:v>
      </x:c>
      <x:c r="R1417" s="9" t="n">
        <x:f>Q1417*'Parameters'!$C$18</x:f>
        <x:v>0.7000000000000001</x:v>
      </x:c>
      <x:c r="S1417" s="9" t="n">
        <x:f>R1417*'Parameters'!$C$19</x:f>
        <x:v>0.8750000000000001</x:v>
      </x:c>
      <x:c r="T1417" s="9" t="n">
        <x:f>Q1417*(1-0.40)-R1417</x:f>
        <x:v>1.4</x:v>
      </x:c>
    </x:row>
    <x:row r="1418" ht="21" customHeight="1">
      <x:c r="A1418" s="3" t="n">
        <x:v>23</x:v>
      </x:c>
      <x:c r="B1418" s="3" t="str">
        <x:v>03:50</x:v>
      </x:c>
      <x:c r="C1418" s="3" t="n">
        <x:v>4</x:v>
      </x:c>
      <x:c r="D1418" s="3" t="n">
        <x:v>37</x:v>
      </x:c>
      <x:c r="E1418" s="3" t="n">
        <x:v>6</x:v>
      </x:c>
      <x:c r="F1418" s="3" t="n">
        <x:v>1</x:v>
      </x:c>
      <x:c r="G1418" s="9" t="n">
        <x:v>0.08</x:v>
      </x:c>
      <x:c r="H1418" s="9" t="n">
        <x:v>1.020746</x:v>
      </x:c>
      <x:c r="I1418" s="9" t="n">
        <x:f>'Physical_Arcs'!R38</x:f>
        <x:v>6.305555555555555</x:v>
      </x:c>
      <x:c r="J1418" s="9" t="n">
        <x:f>I1418*'Parameters'!$C$18</x:f>
        <x:v>1.261111111111111</x:v>
      </x:c>
      <x:c r="K1418" s="9" t="n">
        <x:f>J1418*'Parameters'!$C$19</x:f>
        <x:v>1.5763888888888888</x:v>
      </x:c>
      <x:c r="L1418" s="9" t="n">
        <x:f>I1418*(1-0.40)-J1418</x:f>
        <x:v>2.522222222222222</x:v>
      </x:c>
      <x:c r="M1418" s="9" t="n">
        <x:f>'Physical_Arcs'!S38</x:f>
        <x:v>6.305555555555555</x:v>
      </x:c>
      <x:c r="N1418" s="9" t="n">
        <x:f>M1418*'Parameters'!$C$18</x:f>
        <x:v>1.261111111111111</x:v>
      </x:c>
      <x:c r="O1418" s="9" t="n">
        <x:f>N1418*'Parameters'!$C$19</x:f>
        <x:v>1.5763888888888888</x:v>
      </x:c>
      <x:c r="P1418" s="9" t="n">
        <x:f>M1418*(1-0.40)-N1418</x:f>
        <x:v>2.522222222222222</x:v>
      </x:c>
      <x:c r="Q1418" s="9" t="n">
        <x:f>'Physical_Arcs'!T38</x:f>
        <x:v>3.1666666666666665</x:v>
      </x:c>
      <x:c r="R1418" s="9" t="n">
        <x:f>Q1418*'Parameters'!$C$18</x:f>
        <x:v>0.6333333333333333</x:v>
      </x:c>
      <x:c r="S1418" s="9" t="n">
        <x:f>R1418*'Parameters'!$C$19</x:f>
        <x:v>0.7916666666666666</x:v>
      </x:c>
      <x:c r="T1418" s="9" t="n">
        <x:f>Q1418*(1-0.40)-R1418</x:f>
        <x:v>1.2666666666666666</x:v>
      </x:c>
    </x:row>
    <x:row r="1419" ht="21" customHeight="1">
      <x:c r="A1419" s="3" t="n">
        <x:v>23</x:v>
      </x:c>
      <x:c r="B1419" s="3" t="str">
        <x:v>03:50</x:v>
      </x:c>
      <x:c r="C1419" s="3" t="n">
        <x:v>4</x:v>
      </x:c>
      <x:c r="D1419" s="3" t="n">
        <x:v>38</x:v>
      </x:c>
      <x:c r="E1419" s="3" t="n">
        <x:v>6</x:v>
      </x:c>
      <x:c r="F1419" s="3" t="n">
        <x:v>3</x:v>
      </x:c>
      <x:c r="G1419" s="9" t="n">
        <x:v>0.08</x:v>
      </x:c>
      <x:c r="H1419" s="9" t="n">
        <x:v>1.149081</x:v>
      </x:c>
      <x:c r="I1419" s="9" t="n">
        <x:f>'Physical_Arcs'!R39</x:f>
        <x:v>1.9166666666666667</x:v>
      </x:c>
      <x:c r="J1419" s="9" t="n">
        <x:f>I1419*'Parameters'!$C$18</x:f>
        <x:v>0.38333333333333336</x:v>
      </x:c>
      <x:c r="K1419" s="9" t="n">
        <x:f>J1419*'Parameters'!$C$19</x:f>
        <x:v>0.4791666666666667</x:v>
      </x:c>
      <x:c r="L1419" s="9" t="n">
        <x:f>I1419*(1-0.40)-J1419</x:f>
        <x:v>0.7666666666666666</x:v>
      </x:c>
      <x:c r="M1419" s="9" t="n">
        <x:f>'Physical_Arcs'!S39</x:f>
        <x:v>1.9166666666666667</x:v>
      </x:c>
      <x:c r="N1419" s="9" t="n">
        <x:f>M1419*'Parameters'!$C$18</x:f>
        <x:v>0.38333333333333336</x:v>
      </x:c>
      <x:c r="O1419" s="9" t="n">
        <x:f>N1419*'Parameters'!$C$19</x:f>
        <x:v>0.4791666666666667</x:v>
      </x:c>
      <x:c r="P1419" s="9" t="n">
        <x:f>M1419*(1-0.40)-N1419</x:f>
        <x:v>0.7666666666666666</x:v>
      </x:c>
      <x:c r="Q1419" s="9" t="n">
        <x:f>'Physical_Arcs'!T39</x:f>
        <x:v>0.9722222222222222</x:v>
      </x:c>
      <x:c r="R1419" s="9" t="n">
        <x:f>Q1419*'Parameters'!$C$18</x:f>
        <x:v>0.19444444444444445</x:v>
      </x:c>
      <x:c r="S1419" s="9" t="n">
        <x:f>R1419*'Parameters'!$C$19</x:f>
        <x:v>0.24305555555555555</x:v>
      </x:c>
      <x:c r="T1419" s="9" t="n">
        <x:f>Q1419*(1-0.40)-R1419</x:f>
        <x:v>0.38888888888888884</x:v>
      </x:c>
    </x:row>
    <x:row r="1420" ht="21" customHeight="1">
      <x:c r="A1420" s="3" t="n">
        <x:v>23</x:v>
      </x:c>
      <x:c r="B1420" s="3" t="str">
        <x:v>03:50</x:v>
      </x:c>
      <x:c r="C1420" s="3" t="n">
        <x:v>4</x:v>
      </x:c>
      <x:c r="D1420" s="3" t="n">
        <x:v>39</x:v>
      </x:c>
      <x:c r="E1420" s="3" t="n">
        <x:v>7</x:v>
      </x:c>
      <x:c r="F1420" s="3" t="n">
        <x:v>8</x:v>
      </x:c>
      <x:c r="G1420" s="9" t="n">
        <x:v>0.08</x:v>
      </x:c>
      <x:c r="H1420" s="9" t="n">
        <x:v>1.003268</x:v>
      </x:c>
      <x:c r="I1420" s="9" t="n">
        <x:f>'Physical_Arcs'!R40</x:f>
        <x:v>17.02777777777778</x:v>
      </x:c>
      <x:c r="J1420" s="9" t="n">
        <x:f>I1420*'Parameters'!$C$18</x:f>
        <x:v>3.405555555555556</x:v>
      </x:c>
      <x:c r="K1420" s="9" t="n">
        <x:f>J1420*'Parameters'!$C$19</x:f>
        <x:v>4.256944444444445</x:v>
      </x:c>
      <x:c r="L1420" s="9" t="n">
        <x:f>I1420*(1-0.40)-J1420</x:f>
        <x:v>6.811111111111111</x:v>
      </x:c>
      <x:c r="M1420" s="9" t="n">
        <x:f>'Physical_Arcs'!S40</x:f>
        <x:v>17.02777777777778</x:v>
      </x:c>
      <x:c r="N1420" s="9" t="n">
        <x:f>M1420*'Parameters'!$C$18</x:f>
        <x:v>3.405555555555556</x:v>
      </x:c>
      <x:c r="O1420" s="9" t="n">
        <x:f>N1420*'Parameters'!$C$19</x:f>
        <x:v>4.256944444444445</x:v>
      </x:c>
      <x:c r="P1420" s="9" t="n">
        <x:f>M1420*(1-0.40)-N1420</x:f>
        <x:v>6.811111111111111</x:v>
      </x:c>
      <x:c r="Q1420" s="9" t="n">
        <x:f>'Physical_Arcs'!T40</x:f>
        <x:v>17.02777777777778</x:v>
      </x:c>
      <x:c r="R1420" s="9" t="n">
        <x:f>Q1420*'Parameters'!$C$18</x:f>
        <x:v>3.405555555555556</x:v>
      </x:c>
      <x:c r="S1420" s="9" t="n">
        <x:f>R1420*'Parameters'!$C$19</x:f>
        <x:v>4.256944444444445</x:v>
      </x:c>
      <x:c r="T1420" s="9" t="n">
        <x:f>Q1420*(1-0.40)-R1420</x:f>
        <x:v>6.811111111111111</x:v>
      </x:c>
    </x:row>
    <x:row r="1421" ht="21" customHeight="1">
      <x:c r="A1421" s="3" t="n">
        <x:v>23</x:v>
      </x:c>
      <x:c r="B1421" s="3" t="str">
        <x:v>03:50</x:v>
      </x:c>
      <x:c r="C1421" s="3" t="n">
        <x:v>4</x:v>
      </x:c>
      <x:c r="D1421" s="3" t="n">
        <x:v>40</x:v>
      </x:c>
      <x:c r="E1421" s="3" t="n">
        <x:v>7</x:v>
      </x:c>
      <x:c r="F1421" s="3" t="n">
        <x:v>1</x:v>
      </x:c>
      <x:c r="G1421" s="9" t="n">
        <x:v>0.08</x:v>
      </x:c>
      <x:c r="H1421" s="9" t="n">
        <x:v>1.057592</x:v>
      </x:c>
      <x:c r="I1421" s="9" t="n">
        <x:f>'Physical_Arcs'!R41</x:f>
        <x:v>7.972222222222222</x:v>
      </x:c>
      <x:c r="J1421" s="9" t="n">
        <x:f>I1421*'Parameters'!$C$18</x:f>
        <x:v>1.5944444444444446</x:v>
      </x:c>
      <x:c r="K1421" s="9" t="n">
        <x:f>J1421*'Parameters'!$C$19</x:f>
        <x:v>1.9930555555555558</x:v>
      </x:c>
      <x:c r="L1421" s="9" t="n">
        <x:f>I1421*(1-0.40)-J1421</x:f>
        <x:v>3.1888888888888887</x:v>
      </x:c>
      <x:c r="M1421" s="9" t="n">
        <x:f>'Physical_Arcs'!S41</x:f>
        <x:v>7.972222222222222</x:v>
      </x:c>
      <x:c r="N1421" s="9" t="n">
        <x:f>M1421*'Parameters'!$C$18</x:f>
        <x:v>1.5944444444444446</x:v>
      </x:c>
      <x:c r="O1421" s="9" t="n">
        <x:f>N1421*'Parameters'!$C$19</x:f>
        <x:v>1.9930555555555558</x:v>
      </x:c>
      <x:c r="P1421" s="9" t="n">
        <x:f>M1421*(1-0.40)-N1421</x:f>
        <x:v>3.1888888888888887</x:v>
      </x:c>
      <x:c r="Q1421" s="9" t="n">
        <x:f>'Physical_Arcs'!T41</x:f>
        <x:v>4</x:v>
      </x:c>
      <x:c r="R1421" s="9" t="n">
        <x:f>Q1421*'Parameters'!$C$18</x:f>
        <x:v>0.8</x:v>
      </x:c>
      <x:c r="S1421" s="9" t="n">
        <x:f>R1421*'Parameters'!$C$19</x:f>
        <x:v>1</x:v>
      </x:c>
      <x:c r="T1421" s="9" t="n">
        <x:f>Q1421*(1-0.40)-R1421</x:f>
        <x:v>1.5999999999999999</x:v>
      </x:c>
    </x:row>
    <x:row r="1422" ht="21" customHeight="1">
      <x:c r="A1422" s="3" t="n">
        <x:v>23</x:v>
      </x:c>
      <x:c r="B1422" s="3" t="str">
        <x:v>03:50</x:v>
      </x:c>
      <x:c r="C1422" s="3" t="n">
        <x:v>4</x:v>
      </x:c>
      <x:c r="D1422" s="3" t="n">
        <x:v>41</x:v>
      </x:c>
      <x:c r="E1422" s="3" t="n">
        <x:v>7</x:v>
      </x:c>
      <x:c r="F1422" s="3" t="n">
        <x:v>9</x:v>
      </x:c>
      <x:c r="G1422" s="9" t="n">
        <x:v>0.08</x:v>
      </x:c>
      <x:c r="H1422" s="9" t="n">
        <x:v>1.14801</x:v>
      </x:c>
      <x:c r="I1422" s="9" t="n">
        <x:f>'Physical_Arcs'!R42</x:f>
        <x:v>8.88888888888889</x:v>
      </x:c>
      <x:c r="J1422" s="9" t="n">
        <x:f>I1422*'Parameters'!$C$18</x:f>
        <x:v>1.777777777777778</x:v>
      </x:c>
      <x:c r="K1422" s="9" t="n">
        <x:f>J1422*'Parameters'!$C$19</x:f>
        <x:v>2.2222222222222223</x:v>
      </x:c>
      <x:c r="L1422" s="9" t="n">
        <x:f>I1422*(1-0.40)-J1422</x:f>
        <x:v>3.5555555555555554</x:v>
      </x:c>
      <x:c r="M1422" s="9" t="n">
        <x:f>'Physical_Arcs'!S42</x:f>
        <x:v>8.88888888888889</x:v>
      </x:c>
      <x:c r="N1422" s="9" t="n">
        <x:f>M1422*'Parameters'!$C$18</x:f>
        <x:v>1.777777777777778</x:v>
      </x:c>
      <x:c r="O1422" s="9" t="n">
        <x:f>N1422*'Parameters'!$C$19</x:f>
        <x:v>2.2222222222222223</x:v>
      </x:c>
      <x:c r="P1422" s="9" t="n">
        <x:f>M1422*(1-0.40)-N1422</x:f>
        <x:v>3.5555555555555554</x:v>
      </x:c>
      <x:c r="Q1422" s="9" t="n">
        <x:f>'Physical_Arcs'!T42</x:f>
        <x:v>4.444444444444445</x:v>
      </x:c>
      <x:c r="R1422" s="9" t="n">
        <x:f>Q1422*'Parameters'!$C$18</x:f>
        <x:v>0.888888888888889</x:v>
      </x:c>
      <x:c r="S1422" s="9" t="n">
        <x:f>R1422*'Parameters'!$C$19</x:f>
        <x:v>1.1111111111111112</x:v>
      </x:c>
      <x:c r="T1422" s="9" t="n">
        <x:f>Q1422*(1-0.40)-R1422</x:f>
        <x:v>1.7777777777777777</x:v>
      </x:c>
    </x:row>
    <x:row r="1423" ht="21" customHeight="1">
      <x:c r="A1423" s="3" t="n">
        <x:v>23</x:v>
      </x:c>
      <x:c r="B1423" s="3" t="str">
        <x:v>03:50</x:v>
      </x:c>
      <x:c r="C1423" s="3" t="n">
        <x:v>4</x:v>
      </x:c>
      <x:c r="D1423" s="3" t="n">
        <x:v>42</x:v>
      </x:c>
      <x:c r="E1423" s="3" t="n">
        <x:v>7</x:v>
      </x:c>
      <x:c r="F1423" s="3" t="n">
        <x:v>2</x:v>
      </x:c>
      <x:c r="G1423" s="9" t="n">
        <x:v>0.08</x:v>
      </x:c>
      <x:c r="H1423" s="9" t="n">
        <x:v>0.989237</x:v>
      </x:c>
      <x:c r="I1423" s="9" t="n">
        <x:f>'Physical_Arcs'!R43</x:f>
        <x:v>9</x:v>
      </x:c>
      <x:c r="J1423" s="9" t="n">
        <x:f>I1423*'Parameters'!$C$18</x:f>
        <x:v>1.8</x:v>
      </x:c>
      <x:c r="K1423" s="9" t="n">
        <x:f>J1423*'Parameters'!$C$19</x:f>
        <x:v>2.25</x:v>
      </x:c>
      <x:c r="L1423" s="9" t="n">
        <x:f>I1423*(1-0.40)-J1423</x:f>
        <x:v>3.5999999999999996</x:v>
      </x:c>
      <x:c r="M1423" s="9" t="n">
        <x:f>'Physical_Arcs'!S43</x:f>
        <x:v>9</x:v>
      </x:c>
      <x:c r="N1423" s="9" t="n">
        <x:f>M1423*'Parameters'!$C$18</x:f>
        <x:v>1.8</x:v>
      </x:c>
      <x:c r="O1423" s="9" t="n">
        <x:f>N1423*'Parameters'!$C$19</x:f>
        <x:v>2.25</x:v>
      </x:c>
      <x:c r="P1423" s="9" t="n">
        <x:f>M1423*(1-0.40)-N1423</x:f>
        <x:v>3.5999999999999996</x:v>
      </x:c>
      <x:c r="Q1423" s="9" t="n">
        <x:f>'Physical_Arcs'!T43</x:f>
        <x:v>4.5</x:v>
      </x:c>
      <x:c r="R1423" s="9" t="n">
        <x:f>Q1423*'Parameters'!$C$18</x:f>
        <x:v>0.9</x:v>
      </x:c>
      <x:c r="S1423" s="9" t="n">
        <x:f>R1423*'Parameters'!$C$19</x:f>
        <x:v>1.125</x:v>
      </x:c>
      <x:c r="T1423" s="9" t="n">
        <x:f>Q1423*(1-0.40)-R1423</x:f>
        <x:v>1.7999999999999998</x:v>
      </x:c>
    </x:row>
    <x:row r="1424" ht="21" customHeight="1">
      <x:c r="A1424" s="3" t="n">
        <x:v>23</x:v>
      </x:c>
      <x:c r="B1424" s="3" t="str">
        <x:v>03:50</x:v>
      </x:c>
      <x:c r="C1424" s="3" t="n">
        <x:v>4</x:v>
      </x:c>
      <x:c r="D1424" s="3" t="n">
        <x:v>43</x:v>
      </x:c>
      <x:c r="E1424" s="3" t="n">
        <x:v>7</x:v>
      </x:c>
      <x:c r="F1424" s="3" t="n">
        <x:v>3</x:v>
      </x:c>
      <x:c r="G1424" s="9" t="n">
        <x:v>0.08</x:v>
      </x:c>
      <x:c r="H1424" s="9" t="n">
        <x:v>1.050432</x:v>
      </x:c>
      <x:c r="I1424" s="9" t="n">
        <x:f>'Physical_Arcs'!R44</x:f>
        <x:v>7.638888888888889</x:v>
      </x:c>
      <x:c r="J1424" s="9" t="n">
        <x:f>I1424*'Parameters'!$C$18</x:f>
        <x:v>1.527777777777778</x:v>
      </x:c>
      <x:c r="K1424" s="9" t="n">
        <x:f>J1424*'Parameters'!$C$19</x:f>
        <x:v>1.9097222222222223</x:v>
      </x:c>
      <x:c r="L1424" s="9" t="n">
        <x:f>I1424*(1-0.40)-J1424</x:f>
        <x:v>3.0555555555555554</x:v>
      </x:c>
      <x:c r="M1424" s="9" t="n">
        <x:f>'Physical_Arcs'!S44</x:f>
        <x:v>7.638888888888889</x:v>
      </x:c>
      <x:c r="N1424" s="9" t="n">
        <x:f>M1424*'Parameters'!$C$18</x:f>
        <x:v>1.527777777777778</x:v>
      </x:c>
      <x:c r="O1424" s="9" t="n">
        <x:f>N1424*'Parameters'!$C$19</x:f>
        <x:v>1.9097222222222223</x:v>
      </x:c>
      <x:c r="P1424" s="9" t="n">
        <x:f>M1424*(1-0.40)-N1424</x:f>
        <x:v>3.0555555555555554</x:v>
      </x:c>
      <x:c r="Q1424" s="9" t="n">
        <x:f>'Physical_Arcs'!T44</x:f>
        <x:v>3.8333333333333335</x:v>
      </x:c>
      <x:c r="R1424" s="9" t="n">
        <x:f>Q1424*'Parameters'!$C$18</x:f>
        <x:v>0.7666666666666667</x:v>
      </x:c>
      <x:c r="S1424" s="9" t="n">
        <x:f>R1424*'Parameters'!$C$19</x:f>
        <x:v>0.9583333333333334</x:v>
      </x:c>
      <x:c r="T1424" s="9" t="n">
        <x:f>Q1424*(1-0.40)-R1424</x:f>
        <x:v>1.5333333333333332</x:v>
      </x:c>
    </x:row>
    <x:row r="1425" ht="21" customHeight="1">
      <x:c r="A1425" s="3" t="n">
        <x:v>23</x:v>
      </x:c>
      <x:c r="B1425" s="3" t="str">
        <x:v>03:50</x:v>
      </x:c>
      <x:c r="C1425" s="3" t="n">
        <x:v>4</x:v>
      </x:c>
      <x:c r="D1425" s="3" t="n">
        <x:v>44</x:v>
      </x:c>
      <x:c r="E1425" s="3" t="n">
        <x:v>8</x:v>
      </x:c>
      <x:c r="F1425" s="3" t="n">
        <x:v>9</x:v>
      </x:c>
      <x:c r="G1425" s="9" t="n">
        <x:v>0.08</x:v>
      </x:c>
      <x:c r="H1425" s="9" t="n">
        <x:v>0.868101</x:v>
      </x:c>
      <x:c r="I1425" s="9" t="n">
        <x:f>'Physical_Arcs'!R45</x:f>
        <x:v>17.02777777777778</x:v>
      </x:c>
      <x:c r="J1425" s="9" t="n">
        <x:f>I1425*'Parameters'!$C$18</x:f>
        <x:v>3.405555555555556</x:v>
      </x:c>
      <x:c r="K1425" s="9" t="n">
        <x:f>J1425*'Parameters'!$C$19</x:f>
        <x:v>4.256944444444445</x:v>
      </x:c>
      <x:c r="L1425" s="9" t="n">
        <x:f>I1425*(1-0.40)-J1425</x:f>
        <x:v>6.811111111111111</x:v>
      </x:c>
      <x:c r="M1425" s="9" t="n">
        <x:f>'Physical_Arcs'!S45</x:f>
        <x:v>17.02777777777778</x:v>
      </x:c>
      <x:c r="N1425" s="9" t="n">
        <x:f>M1425*'Parameters'!$C$18</x:f>
        <x:v>3.405555555555556</x:v>
      </x:c>
      <x:c r="O1425" s="9" t="n">
        <x:f>N1425*'Parameters'!$C$19</x:f>
        <x:v>4.256944444444445</x:v>
      </x:c>
      <x:c r="P1425" s="9" t="n">
        <x:f>M1425*(1-0.40)-N1425</x:f>
        <x:v>6.811111111111111</x:v>
      </x:c>
      <x:c r="Q1425" s="9" t="n">
        <x:f>'Physical_Arcs'!T45</x:f>
        <x:v>17.02777777777778</x:v>
      </x:c>
      <x:c r="R1425" s="9" t="n">
        <x:f>Q1425*'Parameters'!$C$18</x:f>
        <x:v>3.405555555555556</x:v>
      </x:c>
      <x:c r="S1425" s="9" t="n">
        <x:f>R1425*'Parameters'!$C$19</x:f>
        <x:v>4.256944444444445</x:v>
      </x:c>
      <x:c r="T1425" s="9" t="n">
        <x:f>Q1425*(1-0.40)-R1425</x:f>
        <x:v>6.811111111111111</x:v>
      </x:c>
    </x:row>
    <x:row r="1426" ht="21" customHeight="1">
      <x:c r="A1426" s="3" t="n">
        <x:v>23</x:v>
      </x:c>
      <x:c r="B1426" s="3" t="str">
        <x:v>03:50</x:v>
      </x:c>
      <x:c r="C1426" s="3" t="n">
        <x:v>4</x:v>
      </x:c>
      <x:c r="D1426" s="3" t="n">
        <x:v>45</x:v>
      </x:c>
      <x:c r="E1426" s="3" t="n">
        <x:v>8</x:v>
      </x:c>
      <x:c r="F1426" s="3" t="n">
        <x:v>3</x:v>
      </x:c>
      <x:c r="G1426" s="9" t="n">
        <x:v>0.08</x:v>
      </x:c>
      <x:c r="H1426" s="9" t="n">
        <x:v>0.944958</x:v>
      </x:c>
      <x:c r="I1426" s="9" t="n">
        <x:f>'Physical_Arcs'!R46</x:f>
        <x:v>5.388888888888889</x:v>
      </x:c>
      <x:c r="J1426" s="9" t="n">
        <x:f>I1426*'Parameters'!$C$18</x:f>
        <x:v>1.077777777777778</x:v>
      </x:c>
      <x:c r="K1426" s="9" t="n">
        <x:f>J1426*'Parameters'!$C$19</x:f>
        <x:v>1.3472222222222223</x:v>
      </x:c>
      <x:c r="L1426" s="9" t="n">
        <x:f>I1426*(1-0.40)-J1426</x:f>
        <x:v>2.1555555555555554</x:v>
      </x:c>
      <x:c r="M1426" s="9" t="n">
        <x:f>'Physical_Arcs'!S46</x:f>
        <x:v>5.388888888888889</x:v>
      </x:c>
      <x:c r="N1426" s="9" t="n">
        <x:f>M1426*'Parameters'!$C$18</x:f>
        <x:v>1.077777777777778</x:v>
      </x:c>
      <x:c r="O1426" s="9" t="n">
        <x:f>N1426*'Parameters'!$C$19</x:f>
        <x:v>1.3472222222222223</x:v>
      </x:c>
      <x:c r="P1426" s="9" t="n">
        <x:f>M1426*(1-0.40)-N1426</x:f>
        <x:v>2.1555555555555554</x:v>
      </x:c>
      <x:c r="Q1426" s="9" t="n">
        <x:f>'Physical_Arcs'!T46</x:f>
        <x:v>2.6944444444444446</x:v>
      </x:c>
      <x:c r="R1426" s="9" t="n">
        <x:f>Q1426*'Parameters'!$C$18</x:f>
        <x:v>0.538888888888889</x:v>
      </x:c>
      <x:c r="S1426" s="9" t="n">
        <x:f>R1426*'Parameters'!$C$19</x:f>
        <x:v>0.6736111111111112</x:v>
      </x:c>
      <x:c r="T1426" s="9" t="n">
        <x:f>Q1426*(1-0.40)-R1426</x:f>
        <x:v>1.0777777777777777</x:v>
      </x:c>
    </x:row>
    <x:row r="1427" ht="21" customHeight="1">
      <x:c r="A1427" s="3" t="n">
        <x:v>23</x:v>
      </x:c>
      <x:c r="B1427" s="3" t="str">
        <x:v>03:50</x:v>
      </x:c>
      <x:c r="C1427" s="3" t="n">
        <x:v>4</x:v>
      </x:c>
      <x:c r="D1427" s="3" t="n">
        <x:v>46</x:v>
      </x:c>
      <x:c r="E1427" s="3" t="n">
        <x:v>8</x:v>
      </x:c>
      <x:c r="F1427" s="3" t="n">
        <x:v>7</x:v>
      </x:c>
      <x:c r="G1427" s="9" t="n">
        <x:v>0.08</x:v>
      </x:c>
      <x:c r="H1427" s="9" t="n">
        <x:v>0.866232</x:v>
      </x:c>
      <x:c r="I1427" s="9" t="n">
        <x:f>'Physical_Arcs'!R47</x:f>
        <x:v>5.388888888888889</x:v>
      </x:c>
      <x:c r="J1427" s="9" t="n">
        <x:f>I1427*'Parameters'!$C$18</x:f>
        <x:v>1.077777777777778</x:v>
      </x:c>
      <x:c r="K1427" s="9" t="n">
        <x:f>J1427*'Parameters'!$C$19</x:f>
        <x:v>1.3472222222222223</x:v>
      </x:c>
      <x:c r="L1427" s="9" t="n">
        <x:f>I1427*(1-0.40)-J1427</x:f>
        <x:v>2.1555555555555554</x:v>
      </x:c>
      <x:c r="M1427" s="9" t="n">
        <x:f>'Physical_Arcs'!S47</x:f>
        <x:v>5.388888888888889</x:v>
      </x:c>
      <x:c r="N1427" s="9" t="n">
        <x:f>M1427*'Parameters'!$C$18</x:f>
        <x:v>1.077777777777778</x:v>
      </x:c>
      <x:c r="O1427" s="9" t="n">
        <x:f>N1427*'Parameters'!$C$19</x:f>
        <x:v>1.3472222222222223</x:v>
      </x:c>
      <x:c r="P1427" s="9" t="n">
        <x:f>M1427*(1-0.40)-N1427</x:f>
        <x:v>2.1555555555555554</x:v>
      </x:c>
      <x:c r="Q1427" s="9" t="n">
        <x:f>'Physical_Arcs'!T47</x:f>
        <x:v>2.6944444444444446</x:v>
      </x:c>
      <x:c r="R1427" s="9" t="n">
        <x:f>Q1427*'Parameters'!$C$18</x:f>
        <x:v>0.538888888888889</x:v>
      </x:c>
      <x:c r="S1427" s="9" t="n">
        <x:f>R1427*'Parameters'!$C$19</x:f>
        <x:v>0.6736111111111112</x:v>
      </x:c>
      <x:c r="T1427" s="9" t="n">
        <x:f>Q1427*(1-0.40)-R1427</x:f>
        <x:v>1.0777777777777777</x:v>
      </x:c>
    </x:row>
    <x:row r="1428" ht="21" customHeight="1">
      <x:c r="A1428" s="3" t="n">
        <x:v>23</x:v>
      </x:c>
      <x:c r="B1428" s="3" t="str">
        <x:v>03:50</x:v>
      </x:c>
      <x:c r="C1428" s="3" t="n">
        <x:v>4</x:v>
      </x:c>
      <x:c r="D1428" s="3" t="n">
        <x:v>47</x:v>
      </x:c>
      <x:c r="E1428" s="3" t="n">
        <x:v>8</x:v>
      </x:c>
      <x:c r="F1428" s="3" t="n">
        <x:v>2</x:v>
      </x:c>
      <x:c r="G1428" s="9" t="n">
        <x:v>0.08</x:v>
      </x:c>
      <x:c r="H1428" s="9" t="n">
        <x:v>1.135644</x:v>
      </x:c>
      <x:c r="I1428" s="9" t="n">
        <x:f>'Physical_Arcs'!R48</x:f>
        <x:v>8.083333333333334</x:v>
      </x:c>
      <x:c r="J1428" s="9" t="n">
        <x:f>I1428*'Parameters'!$C$18</x:f>
        <x:v>1.616666666666667</x:v>
      </x:c>
      <x:c r="K1428" s="9" t="n">
        <x:f>J1428*'Parameters'!$C$19</x:f>
        <x:v>2.0208333333333335</x:v>
      </x:c>
      <x:c r="L1428" s="9" t="n">
        <x:f>I1428*(1-0.40)-J1428</x:f>
        <x:v>3.2333333333333334</x:v>
      </x:c>
      <x:c r="M1428" s="9" t="n">
        <x:f>'Physical_Arcs'!S48</x:f>
        <x:v>8.083333333333334</x:v>
      </x:c>
      <x:c r="N1428" s="9" t="n">
        <x:f>M1428*'Parameters'!$C$18</x:f>
        <x:v>1.616666666666667</x:v>
      </x:c>
      <x:c r="O1428" s="9" t="n">
        <x:f>N1428*'Parameters'!$C$19</x:f>
        <x:v>2.0208333333333335</x:v>
      </x:c>
      <x:c r="P1428" s="9" t="n">
        <x:f>M1428*(1-0.40)-N1428</x:f>
        <x:v>3.2333333333333334</x:v>
      </x:c>
      <x:c r="Q1428" s="9" t="n">
        <x:f>'Physical_Arcs'!T48</x:f>
        <x:v>4.055555555555555</x:v>
      </x:c>
      <x:c r="R1428" s="9" t="n">
        <x:f>Q1428*'Parameters'!$C$18</x:f>
        <x:v>0.8111111111111111</x:v>
      </x:c>
      <x:c r="S1428" s="9" t="n">
        <x:f>R1428*'Parameters'!$C$19</x:f>
        <x:v>1.0138888888888888</x:v>
      </x:c>
      <x:c r="T1428" s="9" t="n">
        <x:f>Q1428*(1-0.40)-R1428</x:f>
        <x:v>1.622222222222222</x:v>
      </x:c>
    </x:row>
    <x:row r="1429" ht="21" customHeight="1">
      <x:c r="A1429" s="3" t="n">
        <x:v>23</x:v>
      </x:c>
      <x:c r="B1429" s="3" t="str">
        <x:v>03:50</x:v>
      </x:c>
      <x:c r="C1429" s="3" t="n">
        <x:v>4</x:v>
      </x:c>
      <x:c r="D1429" s="3" t="n">
        <x:v>48</x:v>
      </x:c>
      <x:c r="E1429" s="3" t="n">
        <x:v>8</x:v>
      </x:c>
      <x:c r="F1429" s="3" t="n">
        <x:v>6</x:v>
      </x:c>
      <x:c r="G1429" s="9" t="n">
        <x:v>0.08</x:v>
      </x:c>
      <x:c r="H1429" s="9" t="n">
        <x:v>0.850778</x:v>
      </x:c>
      <x:c r="I1429" s="9" t="n">
        <x:f>'Physical_Arcs'!R49</x:f>
        <x:v>10.555555555555555</x:v>
      </x:c>
      <x:c r="J1429" s="9" t="n">
        <x:f>I1429*'Parameters'!$C$18</x:f>
        <x:v>2.111111111111111</x:v>
      </x:c>
      <x:c r="K1429" s="9" t="n">
        <x:f>J1429*'Parameters'!$C$19</x:f>
        <x:v>2.638888888888889</x:v>
      </x:c>
      <x:c r="L1429" s="9" t="n">
        <x:f>I1429*(1-0.40)-J1429</x:f>
        <x:v>4.222222222222221</x:v>
      </x:c>
      <x:c r="M1429" s="9" t="n">
        <x:f>'Physical_Arcs'!S49</x:f>
        <x:v>10.555555555555555</x:v>
      </x:c>
      <x:c r="N1429" s="9" t="n">
        <x:f>M1429*'Parameters'!$C$18</x:f>
        <x:v>2.111111111111111</x:v>
      </x:c>
      <x:c r="O1429" s="9" t="n">
        <x:f>N1429*'Parameters'!$C$19</x:f>
        <x:v>2.638888888888889</x:v>
      </x:c>
      <x:c r="P1429" s="9" t="n">
        <x:f>M1429*(1-0.40)-N1429</x:f>
        <x:v>4.222222222222221</x:v>
      </x:c>
      <x:c r="Q1429" s="9" t="n">
        <x:f>'Physical_Arcs'!T49</x:f>
        <x:v>5.277777777777778</x:v>
      </x:c>
      <x:c r="R1429" s="9" t="n">
        <x:f>Q1429*'Parameters'!$C$18</x:f>
        <x:v>1.0555555555555556</x:v>
      </x:c>
      <x:c r="S1429" s="9" t="n">
        <x:f>R1429*'Parameters'!$C$19</x:f>
        <x:v>1.3194444444444444</x:v>
      </x:c>
      <x:c r="T1429" s="9" t="n">
        <x:f>Q1429*(1-0.40)-R1429</x:f>
        <x:v>2.1111111111111107</x:v>
      </x:c>
    </x:row>
    <x:row r="1430" ht="21" customHeight="1">
      <x:c r="A1430" s="3" t="n">
        <x:v>23</x:v>
      </x:c>
      <x:c r="B1430" s="3" t="str">
        <x:v>03:50</x:v>
      </x:c>
      <x:c r="C1430" s="3" t="n">
        <x:v>4</x:v>
      </x:c>
      <x:c r="D1430" s="3" t="n">
        <x:v>49</x:v>
      </x:c>
      <x:c r="E1430" s="3" t="n">
        <x:v>8</x:v>
      </x:c>
      <x:c r="F1430" s="3" t="n">
        <x:v>4</x:v>
      </x:c>
      <x:c r="G1430" s="9" t="n">
        <x:v>0.08</x:v>
      </x:c>
      <x:c r="H1430" s="9" t="n">
        <x:v>0.904949</x:v>
      </x:c>
      <x:c r="I1430" s="9" t="n">
        <x:f>'Physical_Arcs'!R50</x:f>
        <x:v>1.5833333333333333</x:v>
      </x:c>
      <x:c r="J1430" s="9" t="n">
        <x:f>I1430*'Parameters'!$C$18</x:f>
        <x:v>0.31666666666666665</x:v>
      </x:c>
      <x:c r="K1430" s="9" t="n">
        <x:f>J1430*'Parameters'!$C$19</x:f>
        <x:v>0.3958333333333333</x:v>
      </x:c>
      <x:c r="L1430" s="9" t="n">
        <x:f>I1430*(1-0.40)-J1430</x:f>
        <x:v>0.6333333333333333</x:v>
      </x:c>
      <x:c r="M1430" s="9" t="n">
        <x:f>'Physical_Arcs'!S50</x:f>
        <x:v>1.5833333333333333</x:v>
      </x:c>
      <x:c r="N1430" s="9" t="n">
        <x:f>M1430*'Parameters'!$C$18</x:f>
        <x:v>0.31666666666666665</x:v>
      </x:c>
      <x:c r="O1430" s="9" t="n">
        <x:f>N1430*'Parameters'!$C$19</x:f>
        <x:v>0.3958333333333333</x:v>
      </x:c>
      <x:c r="P1430" s="9" t="n">
        <x:f>M1430*(1-0.40)-N1430</x:f>
        <x:v>0.6333333333333333</x:v>
      </x:c>
      <x:c r="Q1430" s="9" t="n">
        <x:f>'Physical_Arcs'!T50</x:f>
        <x:v>0.8055555555555556</x:v>
      </x:c>
      <x:c r="R1430" s="9" t="n">
        <x:f>Q1430*'Parameters'!$C$18</x:f>
        <x:v>0.16111111111111112</x:v>
      </x:c>
      <x:c r="S1430" s="9" t="n">
        <x:f>R1430*'Parameters'!$C$19</x:f>
        <x:v>0.2013888888888889</x:v>
      </x:c>
      <x:c r="T1430" s="9" t="n">
        <x:f>Q1430*(1-0.40)-R1430</x:f>
        <x:v>0.3222222222222222</x:v>
      </x:c>
    </x:row>
    <x:row r="1431" ht="21" customHeight="1">
      <x:c r="A1431" s="3" t="n">
        <x:v>23</x:v>
      </x:c>
      <x:c r="B1431" s="3" t="str">
        <x:v>03:50</x:v>
      </x:c>
      <x:c r="C1431" s="3" t="n">
        <x:v>4</x:v>
      </x:c>
      <x:c r="D1431" s="3" t="n">
        <x:v>50</x:v>
      </x:c>
      <x:c r="E1431" s="3" t="n">
        <x:v>8</x:v>
      </x:c>
      <x:c r="F1431" s="3" t="n">
        <x:v>5</x:v>
      </x:c>
      <x:c r="G1431" s="9" t="n">
        <x:v>0.08</x:v>
      </x:c>
      <x:c r="H1431" s="9" t="n">
        <x:v>0.990416</x:v>
      </x:c>
      <x:c r="I1431" s="9" t="n">
        <x:f>'Physical_Arcs'!R51</x:f>
        <x:v>10.777777777777779</x:v>
      </x:c>
      <x:c r="J1431" s="9" t="n">
        <x:f>I1431*'Parameters'!$C$18</x:f>
        <x:v>2.155555555555556</x:v>
      </x:c>
      <x:c r="K1431" s="9" t="n">
        <x:f>J1431*'Parameters'!$C$19</x:f>
        <x:v>2.6944444444444446</x:v>
      </x:c>
      <x:c r="L1431" s="9" t="n">
        <x:f>I1431*(1-0.40)-J1431</x:f>
        <x:v>4.311111111111111</x:v>
      </x:c>
      <x:c r="M1431" s="9" t="n">
        <x:f>'Physical_Arcs'!S51</x:f>
        <x:v>10.777777777777779</x:v>
      </x:c>
      <x:c r="N1431" s="9" t="n">
        <x:f>M1431*'Parameters'!$C$18</x:f>
        <x:v>2.155555555555556</x:v>
      </x:c>
      <x:c r="O1431" s="9" t="n">
        <x:f>N1431*'Parameters'!$C$19</x:f>
        <x:v>2.6944444444444446</x:v>
      </x:c>
      <x:c r="P1431" s="9" t="n">
        <x:f>M1431*(1-0.40)-N1431</x:f>
        <x:v>4.311111111111111</x:v>
      </x:c>
      <x:c r="Q1431" s="9" t="n">
        <x:f>'Physical_Arcs'!T51</x:f>
        <x:v>5.388888888888889</x:v>
      </x:c>
      <x:c r="R1431" s="9" t="n">
        <x:f>Q1431*'Parameters'!$C$18</x:f>
        <x:v>1.077777777777778</x:v>
      </x:c>
      <x:c r="S1431" s="9" t="n">
        <x:f>R1431*'Parameters'!$C$19</x:f>
        <x:v>1.3472222222222223</x:v>
      </x:c>
      <x:c r="T1431" s="9" t="n">
        <x:f>Q1431*(1-0.40)-R1431</x:f>
        <x:v>2.1555555555555554</x:v>
      </x:c>
    </x:row>
    <x:row r="1432" ht="21" customHeight="1">
      <x:c r="A1432" s="3" t="n">
        <x:v>23</x:v>
      </x:c>
      <x:c r="B1432" s="3" t="str">
        <x:v>03:50</x:v>
      </x:c>
      <x:c r="C1432" s="3" t="n">
        <x:v>4</x:v>
      </x:c>
      <x:c r="D1432" s="3" t="n">
        <x:v>51</x:v>
      </x:c>
      <x:c r="E1432" s="3" t="n">
        <x:v>8</x:v>
      </x:c>
      <x:c r="F1432" s="3" t="n">
        <x:v>1</x:v>
      </x:c>
      <x:c r="G1432" s="9" t="n">
        <x:v>0.08</x:v>
      </x:c>
      <x:c r="H1432" s="9" t="n">
        <x:v>1.039066</x:v>
      </x:c>
      <x:c r="I1432" s="9" t="n">
        <x:f>'Physical_Arcs'!R52</x:f>
        <x:v>8.88888888888889</x:v>
      </x:c>
      <x:c r="J1432" s="9" t="n">
        <x:f>I1432*'Parameters'!$C$18</x:f>
        <x:v>1.777777777777778</x:v>
      </x:c>
      <x:c r="K1432" s="9" t="n">
        <x:f>J1432*'Parameters'!$C$19</x:f>
        <x:v>2.2222222222222223</x:v>
      </x:c>
      <x:c r="L1432" s="9" t="n">
        <x:f>I1432*(1-0.40)-J1432</x:f>
        <x:v>3.5555555555555554</x:v>
      </x:c>
      <x:c r="M1432" s="9" t="n">
        <x:f>'Physical_Arcs'!S52</x:f>
        <x:v>8.88888888888889</x:v>
      </x:c>
      <x:c r="N1432" s="9" t="n">
        <x:f>M1432*'Parameters'!$C$18</x:f>
        <x:v>1.777777777777778</x:v>
      </x:c>
      <x:c r="O1432" s="9" t="n">
        <x:f>N1432*'Parameters'!$C$19</x:f>
        <x:v>2.2222222222222223</x:v>
      </x:c>
      <x:c r="P1432" s="9" t="n">
        <x:f>M1432*(1-0.40)-N1432</x:f>
        <x:v>3.5555555555555554</x:v>
      </x:c>
      <x:c r="Q1432" s="9" t="n">
        <x:f>'Physical_Arcs'!T52</x:f>
        <x:v>4.444444444444445</x:v>
      </x:c>
      <x:c r="R1432" s="9" t="n">
        <x:f>Q1432*'Parameters'!$C$18</x:f>
        <x:v>0.888888888888889</x:v>
      </x:c>
      <x:c r="S1432" s="9" t="n">
        <x:f>R1432*'Parameters'!$C$19</x:f>
        <x:v>1.1111111111111112</x:v>
      </x:c>
      <x:c r="T1432" s="9" t="n">
        <x:f>Q1432*(1-0.40)-R1432</x:f>
        <x:v>1.7777777777777777</x:v>
      </x:c>
    </x:row>
    <x:row r="1433" ht="21" customHeight="1">
      <x:c r="A1433" s="3" t="n">
        <x:v>23</x:v>
      </x:c>
      <x:c r="B1433" s="3" t="str">
        <x:v>03:50</x:v>
      </x:c>
      <x:c r="C1433" s="3" t="n">
        <x:v>4</x:v>
      </x:c>
      <x:c r="D1433" s="3" t="n">
        <x:v>52</x:v>
      </x:c>
      <x:c r="E1433" s="3" t="n">
        <x:v>9</x:v>
      </x:c>
      <x:c r="F1433" s="3" t="n">
        <x:v>10</x:v>
      </x:c>
      <x:c r="G1433" s="9" t="n">
        <x:v>0.08</x:v>
      </x:c>
      <x:c r="H1433" s="9" t="n">
        <x:v>0.954096</x:v>
      </x:c>
      <x:c r="I1433" s="9" t="n">
        <x:f>'Physical_Arcs'!R53</x:f>
        <x:v>17.02777777777778</x:v>
      </x:c>
      <x:c r="J1433" s="9" t="n">
        <x:f>I1433*'Parameters'!$C$18</x:f>
        <x:v>3.405555555555556</x:v>
      </x:c>
      <x:c r="K1433" s="9" t="n">
        <x:f>J1433*'Parameters'!$C$19</x:f>
        <x:v>4.256944444444445</x:v>
      </x:c>
      <x:c r="L1433" s="9" t="n">
        <x:f>I1433*(1-0.40)-J1433</x:f>
        <x:v>6.811111111111111</x:v>
      </x:c>
      <x:c r="M1433" s="9" t="n">
        <x:f>'Physical_Arcs'!S53</x:f>
        <x:v>17.02777777777778</x:v>
      </x:c>
      <x:c r="N1433" s="9" t="n">
        <x:f>M1433*'Parameters'!$C$18</x:f>
        <x:v>3.405555555555556</x:v>
      </x:c>
      <x:c r="O1433" s="9" t="n">
        <x:f>N1433*'Parameters'!$C$19</x:f>
        <x:v>4.256944444444445</x:v>
      </x:c>
      <x:c r="P1433" s="9" t="n">
        <x:f>M1433*(1-0.40)-N1433</x:f>
        <x:v>6.811111111111111</x:v>
      </x:c>
      <x:c r="Q1433" s="9" t="n">
        <x:f>'Physical_Arcs'!T53</x:f>
        <x:v>17.02777777777778</x:v>
      </x:c>
      <x:c r="R1433" s="9" t="n">
        <x:f>Q1433*'Parameters'!$C$18</x:f>
        <x:v>3.405555555555556</x:v>
      </x:c>
      <x:c r="S1433" s="9" t="n">
        <x:f>R1433*'Parameters'!$C$19</x:f>
        <x:v>4.256944444444445</x:v>
      </x:c>
      <x:c r="T1433" s="9" t="n">
        <x:f>Q1433*(1-0.40)-R1433</x:f>
        <x:v>6.811111111111111</x:v>
      </x:c>
    </x:row>
    <x:row r="1434" ht="21" customHeight="1">
      <x:c r="A1434" s="3" t="n">
        <x:v>23</x:v>
      </x:c>
      <x:c r="B1434" s="3" t="str">
        <x:v>03:50</x:v>
      </x:c>
      <x:c r="C1434" s="3" t="n">
        <x:v>4</x:v>
      </x:c>
      <x:c r="D1434" s="3" t="n">
        <x:v>53</x:v>
      </x:c>
      <x:c r="E1434" s="3" t="n">
        <x:v>9</x:v>
      </x:c>
      <x:c r="F1434" s="3" t="n">
        <x:v>6</x:v>
      </x:c>
      <x:c r="G1434" s="9" t="n">
        <x:v>0.08</x:v>
      </x:c>
      <x:c r="H1434" s="9" t="n">
        <x:v>1.125574</x:v>
      </x:c>
      <x:c r="I1434" s="9" t="n">
        <x:f>'Physical_Arcs'!R54</x:f>
        <x:v>9.666666666666666</x:v>
      </x:c>
      <x:c r="J1434" s="9" t="n">
        <x:f>I1434*'Parameters'!$C$18</x:f>
        <x:v>1.9333333333333333</x:v>
      </x:c>
      <x:c r="K1434" s="9" t="n">
        <x:f>J1434*'Parameters'!$C$19</x:f>
        <x:v>2.4166666666666665</x:v>
      </x:c>
      <x:c r="L1434" s="9" t="n">
        <x:f>I1434*(1-0.40)-J1434</x:f>
        <x:v>3.8666666666666663</x:v>
      </x:c>
      <x:c r="M1434" s="9" t="n">
        <x:f>'Physical_Arcs'!S54</x:f>
        <x:v>9.666666666666666</x:v>
      </x:c>
      <x:c r="N1434" s="9" t="n">
        <x:f>M1434*'Parameters'!$C$18</x:f>
        <x:v>1.9333333333333333</x:v>
      </x:c>
      <x:c r="O1434" s="9" t="n">
        <x:f>N1434*'Parameters'!$C$19</x:f>
        <x:v>2.4166666666666665</x:v>
      </x:c>
      <x:c r="P1434" s="9" t="n">
        <x:f>M1434*(1-0.40)-N1434</x:f>
        <x:v>3.8666666666666663</x:v>
      </x:c>
      <x:c r="Q1434" s="9" t="n">
        <x:f>'Physical_Arcs'!T54</x:f>
        <x:v>4.833333333333333</x:v>
      </x:c>
      <x:c r="R1434" s="9" t="n">
        <x:f>Q1434*'Parameters'!$C$18</x:f>
        <x:v>0.9666666666666667</x:v>
      </x:c>
      <x:c r="S1434" s="9" t="n">
        <x:f>R1434*'Parameters'!$C$19</x:f>
        <x:v>1.2083333333333333</x:v>
      </x:c>
      <x:c r="T1434" s="9" t="n">
        <x:f>Q1434*(1-0.40)-R1434</x:f>
        <x:v>1.9333333333333331</x:v>
      </x:c>
    </x:row>
    <x:row r="1435" ht="21" customHeight="1">
      <x:c r="A1435" s="3" t="n">
        <x:v>23</x:v>
      </x:c>
      <x:c r="B1435" s="3" t="str">
        <x:v>03:50</x:v>
      </x:c>
      <x:c r="C1435" s="3" t="n">
        <x:v>4</x:v>
      </x:c>
      <x:c r="D1435" s="3" t="n">
        <x:v>54</x:v>
      </x:c>
      <x:c r="E1435" s="3" t="n">
        <x:v>9</x:v>
      </x:c>
      <x:c r="F1435" s="3" t="n">
        <x:v>2</x:v>
      </x:c>
      <x:c r="G1435" s="9" t="n">
        <x:v>0.08</x:v>
      </x:c>
      <x:c r="H1435" s="9" t="n">
        <x:v>0.854534</x:v>
      </x:c>
      <x:c r="I1435" s="9" t="n">
        <x:f>'Physical_Arcs'!R55</x:f>
        <x:v>9.88888888888889</x:v>
      </x:c>
      <x:c r="J1435" s="9" t="n">
        <x:f>I1435*'Parameters'!$C$18</x:f>
        <x:v>1.9777777777777779</x:v>
      </x:c>
      <x:c r="K1435" s="9" t="n">
        <x:f>J1435*'Parameters'!$C$19</x:f>
        <x:v>2.4722222222222223</x:v>
      </x:c>
      <x:c r="L1435" s="9" t="n">
        <x:f>I1435*(1-0.40)-J1435</x:f>
        <x:v>3.9555555555555557</x:v>
      </x:c>
      <x:c r="M1435" s="9" t="n">
        <x:f>'Physical_Arcs'!S55</x:f>
        <x:v>9.88888888888889</x:v>
      </x:c>
      <x:c r="N1435" s="9" t="n">
        <x:f>M1435*'Parameters'!$C$18</x:f>
        <x:v>1.9777777777777779</x:v>
      </x:c>
      <x:c r="O1435" s="9" t="n">
        <x:f>N1435*'Parameters'!$C$19</x:f>
        <x:v>2.4722222222222223</x:v>
      </x:c>
      <x:c r="P1435" s="9" t="n">
        <x:f>M1435*(1-0.40)-N1435</x:f>
        <x:v>3.9555555555555557</x:v>
      </x:c>
      <x:c r="Q1435" s="9" t="n">
        <x:f>'Physical_Arcs'!T55</x:f>
        <x:v>4.944444444444445</x:v>
      </x:c>
      <x:c r="R1435" s="9" t="n">
        <x:f>Q1435*'Parameters'!$C$18</x:f>
        <x:v>0.9888888888888889</x:v>
      </x:c>
      <x:c r="S1435" s="9" t="n">
        <x:f>R1435*'Parameters'!$C$19</x:f>
        <x:v>1.2361111111111112</x:v>
      </x:c>
      <x:c r="T1435" s="9" t="n">
        <x:f>Q1435*(1-0.40)-R1435</x:f>
        <x:v>1.9777777777777779</x:v>
      </x:c>
    </x:row>
    <x:row r="1436" ht="21" customHeight="1">
      <x:c r="A1436" s="3" t="n">
        <x:v>23</x:v>
      </x:c>
      <x:c r="B1436" s="3" t="str">
        <x:v>03:50</x:v>
      </x:c>
      <x:c r="C1436" s="3" t="n">
        <x:v>4</x:v>
      </x:c>
      <x:c r="D1436" s="3" t="n">
        <x:v>55</x:v>
      </x:c>
      <x:c r="E1436" s="3" t="n">
        <x:v>9</x:v>
      </x:c>
      <x:c r="F1436" s="3" t="n">
        <x:v>7</x:v>
      </x:c>
      <x:c r="G1436" s="9" t="n">
        <x:v>0.08</x:v>
      </x:c>
      <x:c r="H1436" s="9" t="n">
        <x:v>0.900033</x:v>
      </x:c>
      <x:c r="I1436" s="9" t="n">
        <x:f>'Physical_Arcs'!R56</x:f>
        <x:v>4.166666666666667</x:v>
      </x:c>
      <x:c r="J1436" s="9" t="n">
        <x:f>I1436*'Parameters'!$C$18</x:f>
        <x:v>0.8333333333333335</x:v>
      </x:c>
      <x:c r="K1436" s="9" t="n">
        <x:f>J1436*'Parameters'!$C$19</x:f>
        <x:v>1.041666666666667</x:v>
      </x:c>
      <x:c r="L1436" s="9" t="n">
        <x:f>I1436*(1-0.40)-J1436</x:f>
        <x:v>1.6666666666666665</x:v>
      </x:c>
      <x:c r="M1436" s="9" t="n">
        <x:f>'Physical_Arcs'!S56</x:f>
        <x:v>4.166666666666667</x:v>
      </x:c>
      <x:c r="N1436" s="9" t="n">
        <x:f>M1436*'Parameters'!$C$18</x:f>
        <x:v>0.8333333333333335</x:v>
      </x:c>
      <x:c r="O1436" s="9" t="n">
        <x:f>N1436*'Parameters'!$C$19</x:f>
        <x:v>1.041666666666667</x:v>
      </x:c>
      <x:c r="P1436" s="9" t="n">
        <x:f>M1436*(1-0.40)-N1436</x:f>
        <x:v>1.6666666666666665</x:v>
      </x:c>
      <x:c r="Q1436" s="9" t="n">
        <x:f>'Physical_Arcs'!T56</x:f>
        <x:v>2.0833333333333335</x:v>
      </x:c>
      <x:c r="R1436" s="9" t="n">
        <x:f>Q1436*'Parameters'!$C$18</x:f>
        <x:v>0.41666666666666674</x:v>
      </x:c>
      <x:c r="S1436" s="9" t="n">
        <x:f>R1436*'Parameters'!$C$19</x:f>
        <x:v>0.5208333333333335</x:v>
      </x:c>
      <x:c r="T1436" s="9" t="n">
        <x:f>Q1436*(1-0.40)-R1436</x:f>
        <x:v>0.8333333333333333</x:v>
      </x:c>
    </x:row>
    <x:row r="1437" ht="21" customHeight="1">
      <x:c r="A1437" s="3" t="n">
        <x:v>23</x:v>
      </x:c>
      <x:c r="B1437" s="3" t="str">
        <x:v>03:50</x:v>
      </x:c>
      <x:c r="C1437" s="3" t="n">
        <x:v>4</x:v>
      </x:c>
      <x:c r="D1437" s="3" t="n">
        <x:v>56</x:v>
      </x:c>
      <x:c r="E1437" s="3" t="n">
        <x:v>9</x:v>
      </x:c>
      <x:c r="F1437" s="3" t="n">
        <x:v>3</x:v>
      </x:c>
      <x:c r="G1437" s="9" t="n">
        <x:v>0.08</x:v>
      </x:c>
      <x:c r="H1437" s="9" t="n">
        <x:v>0.893428</x:v>
      </x:c>
      <x:c r="I1437" s="9" t="n">
        <x:f>'Physical_Arcs'!R57</x:f>
        <x:v>3.7222222222222223</x:v>
      </x:c>
      <x:c r="J1437" s="9" t="n">
        <x:f>I1437*'Parameters'!$C$18</x:f>
        <x:v>0.7444444444444445</x:v>
      </x:c>
      <x:c r="K1437" s="9" t="n">
        <x:f>J1437*'Parameters'!$C$19</x:f>
        <x:v>0.9305555555555556</x:v>
      </x:c>
      <x:c r="L1437" s="9" t="n">
        <x:f>I1437*(1-0.40)-J1437</x:f>
        <x:v>1.488888888888889</x:v>
      </x:c>
      <x:c r="M1437" s="9" t="n">
        <x:f>'Physical_Arcs'!S57</x:f>
        <x:v>3.7222222222222223</x:v>
      </x:c>
      <x:c r="N1437" s="9" t="n">
        <x:f>M1437*'Parameters'!$C$18</x:f>
        <x:v>0.7444444444444445</x:v>
      </x:c>
      <x:c r="O1437" s="9" t="n">
        <x:f>N1437*'Parameters'!$C$19</x:f>
        <x:v>0.9305555555555556</x:v>
      </x:c>
      <x:c r="P1437" s="9" t="n">
        <x:f>M1437*(1-0.40)-N1437</x:f>
        <x:v>1.488888888888889</x:v>
      </x:c>
      <x:c r="Q1437" s="9" t="n">
        <x:f>'Physical_Arcs'!T57</x:f>
        <x:v>1.8611111111111112</x:v>
      </x:c>
      <x:c r="R1437" s="9" t="n">
        <x:f>Q1437*'Parameters'!$C$18</x:f>
        <x:v>0.37222222222222223</x:v>
      </x:c>
      <x:c r="S1437" s="9" t="n">
        <x:f>R1437*'Parameters'!$C$19</x:f>
        <x:v>0.4652777777777778</x:v>
      </x:c>
      <x:c r="T1437" s="9" t="n">
        <x:f>Q1437*(1-0.40)-R1437</x:f>
        <x:v>0.7444444444444445</x:v>
      </x:c>
    </x:row>
    <x:row r="1438" ht="21" customHeight="1">
      <x:c r="A1438" s="3" t="n">
        <x:v>23</x:v>
      </x:c>
      <x:c r="B1438" s="3" t="str">
        <x:v>03:50</x:v>
      </x:c>
      <x:c r="C1438" s="3" t="n">
        <x:v>4</x:v>
      </x:c>
      <x:c r="D1438" s="3" t="n">
        <x:v>57</x:v>
      </x:c>
      <x:c r="E1438" s="3" t="n">
        <x:v>10</x:v>
      </x:c>
      <x:c r="F1438" s="3" t="n">
        <x:v>1</x:v>
      </x:c>
      <x:c r="G1438" s="9" t="n">
        <x:v>0.08</x:v>
      </x:c>
      <x:c r="H1438" s="9" t="n">
        <x:v>1.027979</x:v>
      </x:c>
      <x:c r="I1438" s="9" t="n">
        <x:f>'Physical_Arcs'!R58</x:f>
        <x:v>17.02777777777778</x:v>
      </x:c>
      <x:c r="J1438" s="9" t="n">
        <x:f>I1438*'Parameters'!$C$18</x:f>
        <x:v>3.405555555555556</x:v>
      </x:c>
      <x:c r="K1438" s="9" t="n">
        <x:f>J1438*'Parameters'!$C$19</x:f>
        <x:v>4.256944444444445</x:v>
      </x:c>
      <x:c r="L1438" s="9" t="n">
        <x:f>I1438*(1-0.40)-J1438</x:f>
        <x:v>6.811111111111111</x:v>
      </x:c>
      <x:c r="M1438" s="9" t="n">
        <x:f>'Physical_Arcs'!S58</x:f>
        <x:v>17.02777777777778</x:v>
      </x:c>
      <x:c r="N1438" s="9" t="n">
        <x:f>M1438*'Parameters'!$C$18</x:f>
        <x:v>3.405555555555556</x:v>
      </x:c>
      <x:c r="O1438" s="9" t="n">
        <x:f>N1438*'Parameters'!$C$19</x:f>
        <x:v>4.256944444444445</x:v>
      </x:c>
      <x:c r="P1438" s="9" t="n">
        <x:f>M1438*(1-0.40)-N1438</x:f>
        <x:v>6.811111111111111</x:v>
      </x:c>
      <x:c r="Q1438" s="9" t="n">
        <x:f>'Physical_Arcs'!T58</x:f>
        <x:v>17.02777777777778</x:v>
      </x:c>
      <x:c r="R1438" s="9" t="n">
        <x:f>Q1438*'Parameters'!$C$18</x:f>
        <x:v>3.405555555555556</x:v>
      </x:c>
      <x:c r="S1438" s="9" t="n">
        <x:f>R1438*'Parameters'!$C$19</x:f>
        <x:v>4.256944444444445</x:v>
      </x:c>
      <x:c r="T1438" s="9" t="n">
        <x:f>Q1438*(1-0.40)-R1438</x:f>
        <x:v>6.811111111111111</x:v>
      </x:c>
    </x:row>
    <x:row r="1439" ht="21" customHeight="1">
      <x:c r="A1439" s="3" t="n">
        <x:v>23</x:v>
      </x:c>
      <x:c r="B1439" s="3" t="str">
        <x:v>03:50</x:v>
      </x:c>
      <x:c r="C1439" s="3" t="n">
        <x:v>4</x:v>
      </x:c>
      <x:c r="D1439" s="3" t="n">
        <x:v>58</x:v>
      </x:c>
      <x:c r="E1439" s="3" t="n">
        <x:v>10</x:v>
      </x:c>
      <x:c r="F1439" s="3" t="n">
        <x:v>6</x:v>
      </x:c>
      <x:c r="G1439" s="9" t="n">
        <x:v>0.08</x:v>
      </x:c>
      <x:c r="H1439" s="9" t="n">
        <x:v>0.952676</x:v>
      </x:c>
      <x:c r="I1439" s="9" t="n">
        <x:f>'Physical_Arcs'!R59</x:f>
        <x:v>6.305555555555555</x:v>
      </x:c>
      <x:c r="J1439" s="9" t="n">
        <x:f>I1439*'Parameters'!$C$18</x:f>
        <x:v>1.261111111111111</x:v>
      </x:c>
      <x:c r="K1439" s="9" t="n">
        <x:f>J1439*'Parameters'!$C$19</x:f>
        <x:v>1.5763888888888888</x:v>
      </x:c>
      <x:c r="L1439" s="9" t="n">
        <x:f>I1439*(1-0.40)-J1439</x:f>
        <x:v>2.522222222222222</x:v>
      </x:c>
      <x:c r="M1439" s="9" t="n">
        <x:f>'Physical_Arcs'!S59</x:f>
        <x:v>6.305555555555555</x:v>
      </x:c>
      <x:c r="N1439" s="9" t="n">
        <x:f>M1439*'Parameters'!$C$18</x:f>
        <x:v>1.261111111111111</x:v>
      </x:c>
      <x:c r="O1439" s="9" t="n">
        <x:f>N1439*'Parameters'!$C$19</x:f>
        <x:v>1.5763888888888888</x:v>
      </x:c>
      <x:c r="P1439" s="9" t="n">
        <x:f>M1439*(1-0.40)-N1439</x:f>
        <x:v>2.522222222222222</x:v>
      </x:c>
      <x:c r="Q1439" s="9" t="n">
        <x:f>'Physical_Arcs'!T59</x:f>
        <x:v>3.1666666666666665</x:v>
      </x:c>
      <x:c r="R1439" s="9" t="n">
        <x:f>Q1439*'Parameters'!$C$18</x:f>
        <x:v>0.6333333333333333</x:v>
      </x:c>
      <x:c r="S1439" s="9" t="n">
        <x:f>R1439*'Parameters'!$C$19</x:f>
        <x:v>0.7916666666666666</x:v>
      </x:c>
      <x:c r="T1439" s="9" t="n">
        <x:f>Q1439*(1-0.40)-R1439</x:f>
        <x:v>1.2666666666666666</x:v>
      </x:c>
    </x:row>
    <x:row r="1440" ht="21" customHeight="1">
      <x:c r="A1440" s="3" t="n">
        <x:v>23</x:v>
      </x:c>
      <x:c r="B1440" s="3" t="str">
        <x:v>03:50</x:v>
      </x:c>
      <x:c r="C1440" s="3" t="n">
        <x:v>4</x:v>
      </x:c>
      <x:c r="D1440" s="3" t="n">
        <x:v>59</x:v>
      </x:c>
      <x:c r="E1440" s="3" t="n">
        <x:v>10</x:v>
      </x:c>
      <x:c r="F1440" s="3" t="n">
        <x:v>4</x:v>
      </x:c>
      <x:c r="G1440" s="9" t="n">
        <x:v>0.08</x:v>
      </x:c>
      <x:c r="H1440" s="9" t="n">
        <x:v>1.114542</x:v>
      </x:c>
      <x:c r="I1440" s="9" t="n">
        <x:f>'Physical_Arcs'!R60</x:f>
        <x:v>1.5833333333333333</x:v>
      </x:c>
      <x:c r="J1440" s="9" t="n">
        <x:f>I1440*'Parameters'!$C$18</x:f>
        <x:v>0.31666666666666665</x:v>
      </x:c>
      <x:c r="K1440" s="9" t="n">
        <x:f>J1440*'Parameters'!$C$19</x:f>
        <x:v>0.3958333333333333</x:v>
      </x:c>
      <x:c r="L1440" s="9" t="n">
        <x:f>I1440*(1-0.40)-J1440</x:f>
        <x:v>0.6333333333333333</x:v>
      </x:c>
      <x:c r="M1440" s="9" t="n">
        <x:f>'Physical_Arcs'!S60</x:f>
        <x:v>1.5833333333333333</x:v>
      </x:c>
      <x:c r="N1440" s="9" t="n">
        <x:f>M1440*'Parameters'!$C$18</x:f>
        <x:v>0.31666666666666665</x:v>
      </x:c>
      <x:c r="O1440" s="9" t="n">
        <x:f>N1440*'Parameters'!$C$19</x:f>
        <x:v>0.3958333333333333</x:v>
      </x:c>
      <x:c r="P1440" s="9" t="n">
        <x:f>M1440*(1-0.40)-N1440</x:f>
        <x:v>0.6333333333333333</x:v>
      </x:c>
      <x:c r="Q1440" s="9" t="n">
        <x:f>'Physical_Arcs'!T60</x:f>
        <x:v>0.8055555555555556</x:v>
      </x:c>
      <x:c r="R1440" s="9" t="n">
        <x:f>Q1440*'Parameters'!$C$18</x:f>
        <x:v>0.16111111111111112</x:v>
      </x:c>
      <x:c r="S1440" s="9" t="n">
        <x:f>R1440*'Parameters'!$C$19</x:f>
        <x:v>0.2013888888888889</x:v>
      </x:c>
      <x:c r="T1440" s="9" t="n">
        <x:f>Q1440*(1-0.40)-R1440</x:f>
        <x:v>0.3222222222222222</x:v>
      </x:c>
    </x:row>
    <x:row r="1441" ht="21" customHeight="1">
      <x:c r="A1441" s="3" t="n">
        <x:v>23</x:v>
      </x:c>
      <x:c r="B1441" s="3" t="str">
        <x:v>03:50</x:v>
      </x:c>
      <x:c r="C1441" s="3" t="n">
        <x:v>4</x:v>
      </x:c>
      <x:c r="D1441" s="3" t="n">
        <x:v>60</x:v>
      </x:c>
      <x:c r="E1441" s="3" t="n">
        <x:v>10</x:v>
      </x:c>
      <x:c r="F1441" s="3" t="n">
        <x:v>9</x:v>
      </x:c>
      <x:c r="G1441" s="9" t="n">
        <x:v>0.08</x:v>
      </x:c>
      <x:c r="H1441" s="9" t="n">
        <x:v>1.092245</x:v>
      </x:c>
      <x:c r="I1441" s="9" t="n">
        <x:f>'Physical_Arcs'!R61</x:f>
        <x:v>10.333333333333334</x:v>
      </x:c>
      <x:c r="J1441" s="9" t="n">
        <x:f>I1441*'Parameters'!$C$18</x:f>
        <x:v>2.066666666666667</x:v>
      </x:c>
      <x:c r="K1441" s="9" t="n">
        <x:f>J1441*'Parameters'!$C$19</x:f>
        <x:v>2.5833333333333335</x:v>
      </x:c>
      <x:c r="L1441" s="9" t="n">
        <x:f>I1441*(1-0.40)-J1441</x:f>
        <x:v>4.133333333333333</x:v>
      </x:c>
      <x:c r="M1441" s="9" t="n">
        <x:f>'Physical_Arcs'!S61</x:f>
        <x:v>10.333333333333334</x:v>
      </x:c>
      <x:c r="N1441" s="9" t="n">
        <x:f>M1441*'Parameters'!$C$18</x:f>
        <x:v>2.066666666666667</x:v>
      </x:c>
      <x:c r="O1441" s="9" t="n">
        <x:f>N1441*'Parameters'!$C$19</x:f>
        <x:v>2.5833333333333335</x:v>
      </x:c>
      <x:c r="P1441" s="9" t="n">
        <x:f>M1441*(1-0.40)-N1441</x:f>
        <x:v>4.133333333333333</x:v>
      </x:c>
      <x:c r="Q1441" s="9" t="n">
        <x:f>'Physical_Arcs'!T61</x:f>
        <x:v>5.166666666666667</x:v>
      </x:c>
      <x:c r="R1441" s="9" t="n">
        <x:f>Q1441*'Parameters'!$C$18</x:f>
        <x:v>1.0333333333333334</x:v>
      </x:c>
      <x:c r="S1441" s="9" t="n">
        <x:f>R1441*'Parameters'!$C$19</x:f>
        <x:v>1.2916666666666667</x:v>
      </x:c>
      <x:c r="T1441" s="9" t="n">
        <x:f>Q1441*(1-0.40)-R1441</x:f>
        <x:v>2.0666666666666664</x:v>
      </x:c>
    </x:row>
    <x:row r="1442" ht="21" customHeight="1">
      <x:c r="A1442" s="3" t="n">
        <x:v>24</x:v>
      </x:c>
      <x:c r="B1442" s="3" t="str">
        <x:v>04:00</x:v>
      </x:c>
      <x:c r="C1442" s="3" t="n">
        <x:v>5</x:v>
      </x:c>
      <x:c r="D1442" s="3" t="n">
        <x:v>1</x:v>
      </x:c>
      <x:c r="E1442" s="3" t="n">
        <x:v>1</x:v>
      </x:c>
      <x:c r="F1442" s="3" t="n">
        <x:v>2</x:v>
      </x:c>
      <x:c r="G1442" s="9" t="n">
        <x:v>0.1</x:v>
      </x:c>
      <x:c r="H1442" s="9" t="n">
        <x:v>0.914787</x:v>
      </x:c>
      <x:c r="I1442" s="9" t="n">
        <x:f>'Physical_Arcs'!R2</x:f>
        <x:v>17.02777777777778</x:v>
      </x:c>
      <x:c r="J1442" s="9" t="n">
        <x:f>I1442*'Parameters'!$C$18</x:f>
        <x:v>3.405555555555556</x:v>
      </x:c>
      <x:c r="K1442" s="9" t="n">
        <x:f>J1442*'Parameters'!$C$19</x:f>
        <x:v>4.256944444444445</x:v>
      </x:c>
      <x:c r="L1442" s="9" t="n">
        <x:f>I1442*(1-0.40)-J1442</x:f>
        <x:v>6.811111111111111</x:v>
      </x:c>
      <x:c r="M1442" s="9" t="n">
        <x:f>'Physical_Arcs'!S2</x:f>
        <x:v>17.02777777777778</x:v>
      </x:c>
      <x:c r="N1442" s="9" t="n">
        <x:f>M1442*'Parameters'!$C$18</x:f>
        <x:v>3.405555555555556</x:v>
      </x:c>
      <x:c r="O1442" s="9" t="n">
        <x:f>N1442*'Parameters'!$C$19</x:f>
        <x:v>4.256944444444445</x:v>
      </x:c>
      <x:c r="P1442" s="9" t="n">
        <x:f>M1442*(1-0.40)-N1442</x:f>
        <x:v>6.811111111111111</x:v>
      </x:c>
      <x:c r="Q1442" s="9" t="n">
        <x:f>'Physical_Arcs'!T2</x:f>
        <x:v>17.02777777777778</x:v>
      </x:c>
      <x:c r="R1442" s="9" t="n">
        <x:f>Q1442*'Parameters'!$C$18</x:f>
        <x:v>3.405555555555556</x:v>
      </x:c>
      <x:c r="S1442" s="9" t="n">
        <x:f>R1442*'Parameters'!$C$19</x:f>
        <x:v>4.256944444444445</x:v>
      </x:c>
      <x:c r="T1442" s="9" t="n">
        <x:f>Q1442*(1-0.40)-R1442</x:f>
        <x:v>6.811111111111111</x:v>
      </x:c>
    </x:row>
    <x:row r="1443" ht="21" customHeight="1">
      <x:c r="A1443" s="3" t="n">
        <x:v>24</x:v>
      </x:c>
      <x:c r="B1443" s="3" t="str">
        <x:v>04:00</x:v>
      </x:c>
      <x:c r="C1443" s="3" t="n">
        <x:v>5</x:v>
      </x:c>
      <x:c r="D1443" s="3" t="n">
        <x:v>2</x:v>
      </x:c>
      <x:c r="E1443" s="3" t="n">
        <x:v>1</x:v>
      </x:c>
      <x:c r="F1443" s="3" t="n">
        <x:v>10</x:v>
      </x:c>
      <x:c r="G1443" s="9" t="n">
        <x:v>0.1</x:v>
      </x:c>
      <x:c r="H1443" s="9" t="n">
        <x:v>1.003995</x:v>
      </x:c>
      <x:c r="I1443" s="9" t="n">
        <x:f>'Physical_Arcs'!R3</x:f>
        <x:v>3.2777777777777777</x:v>
      </x:c>
      <x:c r="J1443" s="9" t="n">
        <x:f>I1443*'Parameters'!$C$18</x:f>
        <x:v>0.6555555555555556</x:v>
      </x:c>
      <x:c r="K1443" s="9" t="n">
        <x:f>J1443*'Parameters'!$C$19</x:f>
        <x:v>0.8194444444444444</x:v>
      </x:c>
      <x:c r="L1443" s="9" t="n">
        <x:f>I1443*(1-0.40)-J1443</x:f>
        <x:v>1.311111111111111</x:v>
      </x:c>
      <x:c r="M1443" s="9" t="n">
        <x:f>'Physical_Arcs'!S3</x:f>
        <x:v>3.2777777777777777</x:v>
      </x:c>
      <x:c r="N1443" s="9" t="n">
        <x:f>M1443*'Parameters'!$C$18</x:f>
        <x:v>0.6555555555555556</x:v>
      </x:c>
      <x:c r="O1443" s="9" t="n">
        <x:f>N1443*'Parameters'!$C$19</x:f>
        <x:v>0.8194444444444444</x:v>
      </x:c>
      <x:c r="P1443" s="9" t="n">
        <x:f>M1443*(1-0.40)-N1443</x:f>
        <x:v>1.311111111111111</x:v>
      </x:c>
      <x:c r="Q1443" s="9" t="n">
        <x:f>'Physical_Arcs'!T3</x:f>
        <x:v>1.6388888888888888</x:v>
      </x:c>
      <x:c r="R1443" s="9" t="n">
        <x:f>Q1443*'Parameters'!$C$18</x:f>
        <x:v>0.3277777777777778</x:v>
      </x:c>
      <x:c r="S1443" s="9" t="n">
        <x:f>R1443*'Parameters'!$C$19</x:f>
        <x:v>0.4097222222222222</x:v>
      </x:c>
      <x:c r="T1443" s="9" t="n">
        <x:f>Q1443*(1-0.40)-R1443</x:f>
        <x:v>0.6555555555555554</x:v>
      </x:c>
    </x:row>
    <x:row r="1444" ht="21" customHeight="1">
      <x:c r="A1444" s="3" t="n">
        <x:v>24</x:v>
      </x:c>
      <x:c r="B1444" s="3" t="str">
        <x:v>04:00</x:v>
      </x:c>
      <x:c r="C1444" s="3" t="n">
        <x:v>5</x:v>
      </x:c>
      <x:c r="D1444" s="3" t="n">
        <x:v>3</x:v>
      </x:c>
      <x:c r="E1444" s="3" t="n">
        <x:v>1</x:v>
      </x:c>
      <x:c r="F1444" s="3" t="n">
        <x:v>8</x:v>
      </x:c>
      <x:c r="G1444" s="9" t="n">
        <x:v>0.1</x:v>
      </x:c>
      <x:c r="H1444" s="9" t="n">
        <x:v>0.923863</x:v>
      </x:c>
      <x:c r="I1444" s="9" t="n">
        <x:f>'Physical_Arcs'!R4</x:f>
        <x:v>6.083333333333333</x:v>
      </x:c>
      <x:c r="J1444" s="9" t="n">
        <x:f>I1444*'Parameters'!$C$18</x:f>
        <x:v>1.2166666666666668</x:v>
      </x:c>
      <x:c r="K1444" s="9" t="n">
        <x:f>J1444*'Parameters'!$C$19</x:f>
        <x:v>1.5208333333333335</x:v>
      </x:c>
      <x:c r="L1444" s="9" t="n">
        <x:f>I1444*(1-0.40)-J1444</x:f>
        <x:v>2.4333333333333327</x:v>
      </x:c>
      <x:c r="M1444" s="9" t="n">
        <x:f>'Physical_Arcs'!S4</x:f>
        <x:v>6.083333333333333</x:v>
      </x:c>
      <x:c r="N1444" s="9" t="n">
        <x:f>M1444*'Parameters'!$C$18</x:f>
        <x:v>1.2166666666666668</x:v>
      </x:c>
      <x:c r="O1444" s="9" t="n">
        <x:f>N1444*'Parameters'!$C$19</x:f>
        <x:v>1.5208333333333335</x:v>
      </x:c>
      <x:c r="P1444" s="9" t="n">
        <x:f>M1444*(1-0.40)-N1444</x:f>
        <x:v>2.4333333333333327</x:v>
      </x:c>
      <x:c r="Q1444" s="9" t="n">
        <x:f>'Physical_Arcs'!T4</x:f>
        <x:v>3.0555555555555554</x:v>
      </x:c>
      <x:c r="R1444" s="9" t="n">
        <x:f>Q1444*'Parameters'!$C$18</x:f>
        <x:v>0.6111111111111112</x:v>
      </x:c>
      <x:c r="S1444" s="9" t="n">
        <x:f>R1444*'Parameters'!$C$19</x:f>
        <x:v>0.763888888888889</x:v>
      </x:c>
      <x:c r="T1444" s="9" t="n">
        <x:f>Q1444*(1-0.40)-R1444</x:f>
        <x:v>1.2222222222222219</x:v>
      </x:c>
    </x:row>
    <x:row r="1445" ht="21" customHeight="1">
      <x:c r="A1445" s="3" t="n">
        <x:v>24</x:v>
      </x:c>
      <x:c r="B1445" s="3" t="str">
        <x:v>04:00</x:v>
      </x:c>
      <x:c r="C1445" s="3" t="n">
        <x:v>5</x:v>
      </x:c>
      <x:c r="D1445" s="3" t="n">
        <x:v>4</x:v>
      </x:c>
      <x:c r="E1445" s="3" t="n">
        <x:v>1</x:v>
      </x:c>
      <x:c r="F1445" s="3" t="n">
        <x:v>7</x:v>
      </x:c>
      <x:c r="G1445" s="9" t="n">
        <x:v>0.1</x:v>
      </x:c>
      <x:c r="H1445" s="9" t="n">
        <x:v>1.111072</x:v>
      </x:c>
      <x:c r="I1445" s="9" t="n">
        <x:f>'Physical_Arcs'!R5</x:f>
        <x:v>9</x:v>
      </x:c>
      <x:c r="J1445" s="9" t="n">
        <x:f>I1445*'Parameters'!$C$18</x:f>
        <x:v>1.8</x:v>
      </x:c>
      <x:c r="K1445" s="9" t="n">
        <x:f>J1445*'Parameters'!$C$19</x:f>
        <x:v>2.25</x:v>
      </x:c>
      <x:c r="L1445" s="9" t="n">
        <x:f>I1445*(1-0.40)-J1445</x:f>
        <x:v>3.5999999999999996</x:v>
      </x:c>
      <x:c r="M1445" s="9" t="n">
        <x:f>'Physical_Arcs'!S5</x:f>
        <x:v>9</x:v>
      </x:c>
      <x:c r="N1445" s="9" t="n">
        <x:f>M1445*'Parameters'!$C$18</x:f>
        <x:v>1.8</x:v>
      </x:c>
      <x:c r="O1445" s="9" t="n">
        <x:f>N1445*'Parameters'!$C$19</x:f>
        <x:v>2.25</x:v>
      </x:c>
      <x:c r="P1445" s="9" t="n">
        <x:f>M1445*(1-0.40)-N1445</x:f>
        <x:v>3.5999999999999996</x:v>
      </x:c>
      <x:c r="Q1445" s="9" t="n">
        <x:f>'Physical_Arcs'!T5</x:f>
        <x:v>4.5</x:v>
      </x:c>
      <x:c r="R1445" s="9" t="n">
        <x:f>Q1445*'Parameters'!$C$18</x:f>
        <x:v>0.9</x:v>
      </x:c>
      <x:c r="S1445" s="9" t="n">
        <x:f>R1445*'Parameters'!$C$19</x:f>
        <x:v>1.125</x:v>
      </x:c>
      <x:c r="T1445" s="9" t="n">
        <x:f>Q1445*(1-0.40)-R1445</x:f>
        <x:v>1.7999999999999998</x:v>
      </x:c>
    </x:row>
    <x:row r="1446" ht="21" customHeight="1">
      <x:c r="A1446" s="3" t="n">
        <x:v>24</x:v>
      </x:c>
      <x:c r="B1446" s="3" t="str">
        <x:v>04:00</x:v>
      </x:c>
      <x:c r="C1446" s="3" t="n">
        <x:v>5</x:v>
      </x:c>
      <x:c r="D1446" s="3" t="n">
        <x:v>5</x:v>
      </x:c>
      <x:c r="E1446" s="3" t="n">
        <x:v>1</x:v>
      </x:c>
      <x:c r="F1446" s="3" t="n">
        <x:v>4</x:v>
      </x:c>
      <x:c r="G1446" s="9" t="n">
        <x:v>0.1</x:v>
      </x:c>
      <x:c r="H1446" s="9" t="n">
        <x:v>1.001665</x:v>
      </x:c>
      <x:c r="I1446" s="9" t="n">
        <x:f>'Physical_Arcs'!R6</x:f>
        <x:v>4.166666666666667</x:v>
      </x:c>
      <x:c r="J1446" s="9" t="n">
        <x:f>I1446*'Parameters'!$C$18</x:f>
        <x:v>0.8333333333333335</x:v>
      </x:c>
      <x:c r="K1446" s="9" t="n">
        <x:f>J1446*'Parameters'!$C$19</x:f>
        <x:v>1.041666666666667</x:v>
      </x:c>
      <x:c r="L1446" s="9" t="n">
        <x:f>I1446*(1-0.40)-J1446</x:f>
        <x:v>1.6666666666666665</x:v>
      </x:c>
      <x:c r="M1446" s="9" t="n">
        <x:f>'Physical_Arcs'!S6</x:f>
        <x:v>4.166666666666667</x:v>
      </x:c>
      <x:c r="N1446" s="9" t="n">
        <x:f>M1446*'Parameters'!$C$18</x:f>
        <x:v>0.8333333333333335</x:v>
      </x:c>
      <x:c r="O1446" s="9" t="n">
        <x:f>N1446*'Parameters'!$C$19</x:f>
        <x:v>1.041666666666667</x:v>
      </x:c>
      <x:c r="P1446" s="9" t="n">
        <x:f>M1446*(1-0.40)-N1446</x:f>
        <x:v>1.6666666666666665</x:v>
      </x:c>
      <x:c r="Q1446" s="9" t="n">
        <x:f>'Physical_Arcs'!T6</x:f>
        <x:v>2.0833333333333335</x:v>
      </x:c>
      <x:c r="R1446" s="9" t="n">
        <x:f>Q1446*'Parameters'!$C$18</x:f>
        <x:v>0.41666666666666674</x:v>
      </x:c>
      <x:c r="S1446" s="9" t="n">
        <x:f>R1446*'Parameters'!$C$19</x:f>
        <x:v>0.5208333333333335</x:v>
      </x:c>
      <x:c r="T1446" s="9" t="n">
        <x:f>Q1446*(1-0.40)-R1446</x:f>
        <x:v>0.8333333333333333</x:v>
      </x:c>
    </x:row>
    <x:row r="1447" ht="21" customHeight="1">
      <x:c r="A1447" s="3" t="n">
        <x:v>24</x:v>
      </x:c>
      <x:c r="B1447" s="3" t="str">
        <x:v>04:00</x:v>
      </x:c>
      <x:c r="C1447" s="3" t="n">
        <x:v>5</x:v>
      </x:c>
      <x:c r="D1447" s="3" t="n">
        <x:v>6</x:v>
      </x:c>
      <x:c r="E1447" s="3" t="n">
        <x:v>1</x:v>
      </x:c>
      <x:c r="F1447" s="3" t="n">
        <x:v>9</x:v>
      </x:c>
      <x:c r="G1447" s="9" t="n">
        <x:v>0.1</x:v>
      </x:c>
      <x:c r="H1447" s="9" t="n">
        <x:v>0.942884</x:v>
      </x:c>
      <x:c r="I1447" s="9" t="n">
        <x:f>'Physical_Arcs'!R7</x:f>
        <x:v>11.027777777777779</x:v>
      </x:c>
      <x:c r="J1447" s="9" t="n">
        <x:f>I1447*'Parameters'!$C$18</x:f>
        <x:v>2.2055555555555557</x:v>
      </x:c>
      <x:c r="K1447" s="9" t="n">
        <x:f>J1447*'Parameters'!$C$19</x:f>
        <x:v>2.7569444444444446</x:v>
      </x:c>
      <x:c r="L1447" s="9" t="n">
        <x:f>I1447*(1-0.40)-J1447</x:f>
        <x:v>4.411111111111111</x:v>
      </x:c>
      <x:c r="M1447" s="9" t="n">
        <x:f>'Physical_Arcs'!S7</x:f>
        <x:v>11.027777777777779</x:v>
      </x:c>
      <x:c r="N1447" s="9" t="n">
        <x:f>M1447*'Parameters'!$C$18</x:f>
        <x:v>2.2055555555555557</x:v>
      </x:c>
      <x:c r="O1447" s="9" t="n">
        <x:f>N1447*'Parameters'!$C$19</x:f>
        <x:v>2.7569444444444446</x:v>
      </x:c>
      <x:c r="P1447" s="9" t="n">
        <x:f>M1447*(1-0.40)-N1447</x:f>
        <x:v>4.411111111111111</x:v>
      </x:c>
      <x:c r="Q1447" s="9" t="n">
        <x:f>'Physical_Arcs'!T7</x:f>
        <x:v>5.527777777777778</x:v>
      </x:c>
      <x:c r="R1447" s="9" t="n">
        <x:f>Q1447*'Parameters'!$C$18</x:f>
        <x:v>1.1055555555555556</x:v>
      </x:c>
      <x:c r="S1447" s="9" t="n">
        <x:f>R1447*'Parameters'!$C$19</x:f>
        <x:v>1.3819444444444446</x:v>
      </x:c>
      <x:c r="T1447" s="9" t="n">
        <x:f>Q1447*(1-0.40)-R1447</x:f>
        <x:v>2.211111111111111</x:v>
      </x:c>
    </x:row>
    <x:row r="1448" ht="21" customHeight="1">
      <x:c r="A1448" s="3" t="n">
        <x:v>24</x:v>
      </x:c>
      <x:c r="B1448" s="3" t="str">
        <x:v>04:00</x:v>
      </x:c>
      <x:c r="C1448" s="3" t="n">
        <x:v>5</x:v>
      </x:c>
      <x:c r="D1448" s="3" t="n">
        <x:v>7</x:v>
      </x:c>
      <x:c r="E1448" s="3" t="n">
        <x:v>1</x:v>
      </x:c>
      <x:c r="F1448" s="3" t="n">
        <x:v>5</x:v>
      </x:c>
      <x:c r="G1448" s="9" t="n">
        <x:v>0.1</x:v>
      </x:c>
      <x:c r="H1448" s="9" t="n">
        <x:v>1.038222</x:v>
      </x:c>
      <x:c r="I1448" s="9" t="n">
        <x:f>'Physical_Arcs'!R8</x:f>
        <x:v>7.972222222222222</x:v>
      </x:c>
      <x:c r="J1448" s="9" t="n">
        <x:f>I1448*'Parameters'!$C$18</x:f>
        <x:v>1.5944444444444446</x:v>
      </x:c>
      <x:c r="K1448" s="9" t="n">
        <x:f>J1448*'Parameters'!$C$19</x:f>
        <x:v>1.9930555555555558</x:v>
      </x:c>
      <x:c r="L1448" s="9" t="n">
        <x:f>I1448*(1-0.40)-J1448</x:f>
        <x:v>3.1888888888888887</x:v>
      </x:c>
      <x:c r="M1448" s="9" t="n">
        <x:f>'Physical_Arcs'!S8</x:f>
        <x:v>7.972222222222222</x:v>
      </x:c>
      <x:c r="N1448" s="9" t="n">
        <x:f>M1448*'Parameters'!$C$18</x:f>
        <x:v>1.5944444444444446</x:v>
      </x:c>
      <x:c r="O1448" s="9" t="n">
        <x:f>N1448*'Parameters'!$C$19</x:f>
        <x:v>1.9930555555555558</x:v>
      </x:c>
      <x:c r="P1448" s="9" t="n">
        <x:f>M1448*(1-0.40)-N1448</x:f>
        <x:v>3.1888888888888887</x:v>
      </x:c>
      <x:c r="Q1448" s="9" t="n">
        <x:f>'Physical_Arcs'!T8</x:f>
        <x:v>4</x:v>
      </x:c>
      <x:c r="R1448" s="9" t="n">
        <x:f>Q1448*'Parameters'!$C$18</x:f>
        <x:v>0.8</x:v>
      </x:c>
      <x:c r="S1448" s="9" t="n">
        <x:f>R1448*'Parameters'!$C$19</x:f>
        <x:v>1</x:v>
      </x:c>
      <x:c r="T1448" s="9" t="n">
        <x:f>Q1448*(1-0.40)-R1448</x:f>
        <x:v>1.5999999999999999</x:v>
      </x:c>
    </x:row>
    <x:row r="1449" ht="21" customHeight="1">
      <x:c r="A1449" s="3" t="n">
        <x:v>24</x:v>
      </x:c>
      <x:c r="B1449" s="3" t="str">
        <x:v>04:00</x:v>
      </x:c>
      <x:c r="C1449" s="3" t="n">
        <x:v>5</x:v>
      </x:c>
      <x:c r="D1449" s="3" t="n">
        <x:v>8</x:v>
      </x:c>
      <x:c r="E1449" s="3" t="n">
        <x:v>1</x:v>
      </x:c>
      <x:c r="F1449" s="3" t="n">
        <x:v>3</x:v>
      </x:c>
      <x:c r="G1449" s="9" t="n">
        <x:v>0.1</x:v>
      </x:c>
      <x:c r="H1449" s="9" t="n">
        <x:v>1.122297</x:v>
      </x:c>
      <x:c r="I1449" s="9" t="n">
        <x:f>'Physical_Arcs'!R9</x:f>
        <x:v>4.166666666666667</x:v>
      </x:c>
      <x:c r="J1449" s="9" t="n">
        <x:f>I1449*'Parameters'!$C$18</x:f>
        <x:v>0.8333333333333335</x:v>
      </x:c>
      <x:c r="K1449" s="9" t="n">
        <x:f>J1449*'Parameters'!$C$19</x:f>
        <x:v>1.041666666666667</x:v>
      </x:c>
      <x:c r="L1449" s="9" t="n">
        <x:f>I1449*(1-0.40)-J1449</x:f>
        <x:v>1.6666666666666665</x:v>
      </x:c>
      <x:c r="M1449" s="9" t="n">
        <x:f>'Physical_Arcs'!S9</x:f>
        <x:v>4.166666666666667</x:v>
      </x:c>
      <x:c r="N1449" s="9" t="n">
        <x:f>M1449*'Parameters'!$C$18</x:f>
        <x:v>0.8333333333333335</x:v>
      </x:c>
      <x:c r="O1449" s="9" t="n">
        <x:f>N1449*'Parameters'!$C$19</x:f>
        <x:v>1.041666666666667</x:v>
      </x:c>
      <x:c r="P1449" s="9" t="n">
        <x:f>M1449*(1-0.40)-N1449</x:f>
        <x:v>1.6666666666666665</x:v>
      </x:c>
      <x:c r="Q1449" s="9" t="n">
        <x:f>'Physical_Arcs'!T9</x:f>
        <x:v>2.0833333333333335</x:v>
      </x:c>
      <x:c r="R1449" s="9" t="n">
        <x:f>Q1449*'Parameters'!$C$18</x:f>
        <x:v>0.41666666666666674</x:v>
      </x:c>
      <x:c r="S1449" s="9" t="n">
        <x:f>R1449*'Parameters'!$C$19</x:f>
        <x:v>0.5208333333333335</x:v>
      </x:c>
      <x:c r="T1449" s="9" t="n">
        <x:f>Q1449*(1-0.40)-R1449</x:f>
        <x:v>0.8333333333333333</x:v>
      </x:c>
    </x:row>
    <x:row r="1450" ht="21" customHeight="1">
      <x:c r="A1450" s="3" t="n">
        <x:v>24</x:v>
      </x:c>
      <x:c r="B1450" s="3" t="str">
        <x:v>04:00</x:v>
      </x:c>
      <x:c r="C1450" s="3" t="n">
        <x:v>5</x:v>
      </x:c>
      <x:c r="D1450" s="3" t="n">
        <x:v>9</x:v>
      </x:c>
      <x:c r="E1450" s="3" t="n">
        <x:v>1</x:v>
      </x:c>
      <x:c r="F1450" s="3" t="n">
        <x:v>6</x:v>
      </x:c>
      <x:c r="G1450" s="9" t="n">
        <x:v>0.1</x:v>
      </x:c>
      <x:c r="H1450" s="9" t="n">
        <x:v>1.132682</x:v>
      </x:c>
      <x:c r="I1450" s="9" t="n">
        <x:f>'Physical_Arcs'!R10</x:f>
        <x:v>2.138888888888889</x:v>
      </x:c>
      <x:c r="J1450" s="9" t="n">
        <x:f>I1450*'Parameters'!$C$18</x:f>
        <x:v>0.4277777777777778</x:v>
      </x:c>
      <x:c r="K1450" s="9" t="n">
        <x:f>J1450*'Parameters'!$C$19</x:f>
        <x:v>0.5347222222222223</x:v>
      </x:c>
      <x:c r="L1450" s="9" t="n">
        <x:f>I1450*(1-0.40)-J1450</x:f>
        <x:v>0.8555555555555554</x:v>
      </x:c>
      <x:c r="M1450" s="9" t="n">
        <x:f>'Physical_Arcs'!S10</x:f>
        <x:v>2.138888888888889</x:v>
      </x:c>
      <x:c r="N1450" s="9" t="n">
        <x:f>M1450*'Parameters'!$C$18</x:f>
        <x:v>0.4277777777777778</x:v>
      </x:c>
      <x:c r="O1450" s="9" t="n">
        <x:f>N1450*'Parameters'!$C$19</x:f>
        <x:v>0.5347222222222223</x:v>
      </x:c>
      <x:c r="P1450" s="9" t="n">
        <x:f>M1450*(1-0.40)-N1450</x:f>
        <x:v>0.8555555555555554</x:v>
      </x:c>
      <x:c r="Q1450" s="9" t="n">
        <x:f>'Physical_Arcs'!T10</x:f>
        <x:v>1.0833333333333333</x:v>
      </x:c>
      <x:c r="R1450" s="9" t="n">
        <x:f>Q1450*'Parameters'!$C$18</x:f>
        <x:v>0.21666666666666667</x:v>
      </x:c>
      <x:c r="S1450" s="9" t="n">
        <x:f>R1450*'Parameters'!$C$19</x:f>
        <x:v>0.27083333333333337</x:v>
      </x:c>
      <x:c r="T1450" s="9" t="n">
        <x:f>Q1450*(1-0.40)-R1450</x:f>
        <x:v>0.43333333333333324</x:v>
      </x:c>
    </x:row>
    <x:row r="1451" ht="21" customHeight="1">
      <x:c r="A1451" s="3" t="n">
        <x:v>24</x:v>
      </x:c>
      <x:c r="B1451" s="3" t="str">
        <x:v>04:00</x:v>
      </x:c>
      <x:c r="C1451" s="3" t="n">
        <x:v>5</x:v>
      </x:c>
      <x:c r="D1451" s="3" t="n">
        <x:v>10</x:v>
      </x:c>
      <x:c r="E1451" s="3" t="n">
        <x:v>2</x:v>
      </x:c>
      <x:c r="F1451" s="3" t="n">
        <x:v>3</x:v>
      </x:c>
      <x:c r="G1451" s="9" t="n">
        <x:v>0.1</x:v>
      </x:c>
      <x:c r="H1451" s="9" t="n">
        <x:v>0.871154</x:v>
      </x:c>
      <x:c r="I1451" s="9" t="n">
        <x:f>'Physical_Arcs'!R11</x:f>
        <x:v>17.02777777777778</x:v>
      </x:c>
      <x:c r="J1451" s="9" t="n">
        <x:f>I1451*'Parameters'!$C$18</x:f>
        <x:v>3.405555555555556</x:v>
      </x:c>
      <x:c r="K1451" s="9" t="n">
        <x:f>J1451*'Parameters'!$C$19</x:f>
        <x:v>4.256944444444445</x:v>
      </x:c>
      <x:c r="L1451" s="9" t="n">
        <x:f>I1451*(1-0.40)-J1451</x:f>
        <x:v>6.811111111111111</x:v>
      </x:c>
      <x:c r="M1451" s="9" t="n">
        <x:f>'Physical_Arcs'!S11</x:f>
        <x:v>17.02777777777778</x:v>
      </x:c>
      <x:c r="N1451" s="9" t="n">
        <x:f>M1451*'Parameters'!$C$18</x:f>
        <x:v>3.405555555555556</x:v>
      </x:c>
      <x:c r="O1451" s="9" t="n">
        <x:f>N1451*'Parameters'!$C$19</x:f>
        <x:v>4.256944444444445</x:v>
      </x:c>
      <x:c r="P1451" s="9" t="n">
        <x:f>M1451*(1-0.40)-N1451</x:f>
        <x:v>6.811111111111111</x:v>
      </x:c>
      <x:c r="Q1451" s="9" t="n">
        <x:f>'Physical_Arcs'!T11</x:f>
        <x:v>17.02777777777778</x:v>
      </x:c>
      <x:c r="R1451" s="9" t="n">
        <x:f>Q1451*'Parameters'!$C$18</x:f>
        <x:v>3.405555555555556</x:v>
      </x:c>
      <x:c r="S1451" s="9" t="n">
        <x:f>R1451*'Parameters'!$C$19</x:f>
        <x:v>4.256944444444445</x:v>
      </x:c>
      <x:c r="T1451" s="9" t="n">
        <x:f>Q1451*(1-0.40)-R1451</x:f>
        <x:v>6.811111111111111</x:v>
      </x:c>
    </x:row>
    <x:row r="1452" ht="21" customHeight="1">
      <x:c r="A1452" s="3" t="n">
        <x:v>24</x:v>
      </x:c>
      <x:c r="B1452" s="3" t="str">
        <x:v>04:00</x:v>
      </x:c>
      <x:c r="C1452" s="3" t="n">
        <x:v>5</x:v>
      </x:c>
      <x:c r="D1452" s="3" t="n">
        <x:v>11</x:v>
      </x:c>
      <x:c r="E1452" s="3" t="n">
        <x:v>2</x:v>
      </x:c>
      <x:c r="F1452" s="3" t="n">
        <x:v>4</x:v>
      </x:c>
      <x:c r="G1452" s="9" t="n">
        <x:v>0.1</x:v>
      </x:c>
      <x:c r="H1452" s="9" t="n">
        <x:v>1.147412</x:v>
      </x:c>
      <x:c r="I1452" s="9" t="n">
        <x:f>'Physical_Arcs'!R12</x:f>
        <x:v>7.972222222222222</x:v>
      </x:c>
      <x:c r="J1452" s="9" t="n">
        <x:f>I1452*'Parameters'!$C$18</x:f>
        <x:v>1.5944444444444446</x:v>
      </x:c>
      <x:c r="K1452" s="9" t="n">
        <x:f>J1452*'Parameters'!$C$19</x:f>
        <x:v>1.9930555555555558</x:v>
      </x:c>
      <x:c r="L1452" s="9" t="n">
        <x:f>I1452*(1-0.40)-J1452</x:f>
        <x:v>3.1888888888888887</x:v>
      </x:c>
      <x:c r="M1452" s="9" t="n">
        <x:f>'Physical_Arcs'!S12</x:f>
        <x:v>7.972222222222222</x:v>
      </x:c>
      <x:c r="N1452" s="9" t="n">
        <x:f>M1452*'Parameters'!$C$18</x:f>
        <x:v>1.5944444444444446</x:v>
      </x:c>
      <x:c r="O1452" s="9" t="n">
        <x:f>N1452*'Parameters'!$C$19</x:f>
        <x:v>1.9930555555555558</x:v>
      </x:c>
      <x:c r="P1452" s="9" t="n">
        <x:f>M1452*(1-0.40)-N1452</x:f>
        <x:v>3.1888888888888887</x:v>
      </x:c>
      <x:c r="Q1452" s="9" t="n">
        <x:f>'Physical_Arcs'!T12</x:f>
        <x:v>4</x:v>
      </x:c>
      <x:c r="R1452" s="9" t="n">
        <x:f>Q1452*'Parameters'!$C$18</x:f>
        <x:v>0.8</x:v>
      </x:c>
      <x:c r="S1452" s="9" t="n">
        <x:f>R1452*'Parameters'!$C$19</x:f>
        <x:v>1</x:v>
      </x:c>
      <x:c r="T1452" s="9" t="n">
        <x:f>Q1452*(1-0.40)-R1452</x:f>
        <x:v>1.5999999999999999</x:v>
      </x:c>
    </x:row>
    <x:row r="1453" ht="21" customHeight="1">
      <x:c r="A1453" s="3" t="n">
        <x:v>24</x:v>
      </x:c>
      <x:c r="B1453" s="3" t="str">
        <x:v>04:00</x:v>
      </x:c>
      <x:c r="C1453" s="3" t="n">
        <x:v>5</x:v>
      </x:c>
      <x:c r="D1453" s="3" t="n">
        <x:v>12</x:v>
      </x:c>
      <x:c r="E1453" s="3" t="n">
        <x:v>2</x:v>
      </x:c>
      <x:c r="F1453" s="3" t="n">
        <x:v>7</x:v>
      </x:c>
      <x:c r="G1453" s="9" t="n">
        <x:v>0.1</x:v>
      </x:c>
      <x:c r="H1453" s="9" t="n">
        <x:v>0.96729</x:v>
      </x:c>
      <x:c r="I1453" s="9" t="n">
        <x:f>'Physical_Arcs'!R13</x:f>
        <x:v>4.611111111111111</x:v>
      </x:c>
      <x:c r="J1453" s="9" t="n">
        <x:f>I1453*'Parameters'!$C$18</x:f>
        <x:v>0.9222222222222222</x:v>
      </x:c>
      <x:c r="K1453" s="9" t="n">
        <x:f>J1453*'Parameters'!$C$19</x:f>
        <x:v>1.1527777777777777</x:v>
      </x:c>
      <x:c r="L1453" s="9" t="n">
        <x:f>I1453*(1-0.40)-J1453</x:f>
        <x:v>1.844444444444444</x:v>
      </x:c>
      <x:c r="M1453" s="9" t="n">
        <x:f>'Physical_Arcs'!S13</x:f>
        <x:v>4.611111111111111</x:v>
      </x:c>
      <x:c r="N1453" s="9" t="n">
        <x:f>M1453*'Parameters'!$C$18</x:f>
        <x:v>0.9222222222222222</x:v>
      </x:c>
      <x:c r="O1453" s="9" t="n">
        <x:f>N1453*'Parameters'!$C$19</x:f>
        <x:v>1.1527777777777777</x:v>
      </x:c>
      <x:c r="P1453" s="9" t="n">
        <x:f>M1453*(1-0.40)-N1453</x:f>
        <x:v>1.844444444444444</x:v>
      </x:c>
      <x:c r="Q1453" s="9" t="n">
        <x:f>'Physical_Arcs'!T13</x:f>
        <x:v>2.3055555555555554</x:v>
      </x:c>
      <x:c r="R1453" s="9" t="n">
        <x:f>Q1453*'Parameters'!$C$18</x:f>
        <x:v>0.4611111111111111</x:v>
      </x:c>
      <x:c r="S1453" s="9" t="n">
        <x:f>R1453*'Parameters'!$C$19</x:f>
        <x:v>0.5763888888888888</x:v>
      </x:c>
      <x:c r="T1453" s="9" t="n">
        <x:f>Q1453*(1-0.40)-R1453</x:f>
        <x:v>0.922222222222222</x:v>
      </x:c>
    </x:row>
    <x:row r="1454" ht="21" customHeight="1">
      <x:c r="A1454" s="3" t="n">
        <x:v>24</x:v>
      </x:c>
      <x:c r="B1454" s="3" t="str">
        <x:v>04:00</x:v>
      </x:c>
      <x:c r="C1454" s="3" t="n">
        <x:v>5</x:v>
      </x:c>
      <x:c r="D1454" s="3" t="n">
        <x:v>13</x:v>
      </x:c>
      <x:c r="E1454" s="3" t="n">
        <x:v>2</x:v>
      </x:c>
      <x:c r="F1454" s="3" t="n">
        <x:v>9</x:v>
      </x:c>
      <x:c r="G1454" s="9" t="n">
        <x:v>0.1</x:v>
      </x:c>
      <x:c r="H1454" s="9" t="n">
        <x:v>1.117625</x:v>
      </x:c>
      <x:c r="I1454" s="9" t="n">
        <x:f>'Physical_Arcs'!R14</x:f>
        <x:v>8.666666666666666</x:v>
      </x:c>
      <x:c r="J1454" s="9" t="n">
        <x:f>I1454*'Parameters'!$C$18</x:f>
        <x:v>1.7333333333333334</x:v>
      </x:c>
      <x:c r="K1454" s="9" t="n">
        <x:f>J1454*'Parameters'!$C$19</x:f>
        <x:v>2.166666666666667</x:v>
      </x:c>
      <x:c r="L1454" s="9" t="n">
        <x:f>I1454*(1-0.40)-J1454</x:f>
        <x:v>3.466666666666666</x:v>
      </x:c>
      <x:c r="M1454" s="9" t="n">
        <x:f>'Physical_Arcs'!S14</x:f>
        <x:v>8.666666666666666</x:v>
      </x:c>
      <x:c r="N1454" s="9" t="n">
        <x:f>M1454*'Parameters'!$C$18</x:f>
        <x:v>1.7333333333333334</x:v>
      </x:c>
      <x:c r="O1454" s="9" t="n">
        <x:f>N1454*'Parameters'!$C$19</x:f>
        <x:v>2.166666666666667</x:v>
      </x:c>
      <x:c r="P1454" s="9" t="n">
        <x:f>M1454*(1-0.40)-N1454</x:f>
        <x:v>3.466666666666666</x:v>
      </x:c>
      <x:c r="Q1454" s="9" t="n">
        <x:f>'Physical_Arcs'!T14</x:f>
        <x:v>4.333333333333333</x:v>
      </x:c>
      <x:c r="R1454" s="9" t="n">
        <x:f>Q1454*'Parameters'!$C$18</x:f>
        <x:v>0.8666666666666667</x:v>
      </x:c>
      <x:c r="S1454" s="9" t="n">
        <x:f>R1454*'Parameters'!$C$19</x:f>
        <x:v>1.0833333333333335</x:v>
      </x:c>
      <x:c r="T1454" s="9" t="n">
        <x:f>Q1454*(1-0.40)-R1454</x:f>
        <x:v>1.733333333333333</x:v>
      </x:c>
    </x:row>
    <x:row r="1455" ht="21" customHeight="1">
      <x:c r="A1455" s="3" t="n">
        <x:v>24</x:v>
      </x:c>
      <x:c r="B1455" s="3" t="str">
        <x:v>04:00</x:v>
      </x:c>
      <x:c r="C1455" s="3" t="n">
        <x:v>5</x:v>
      </x:c>
      <x:c r="D1455" s="3" t="n">
        <x:v>14</x:v>
      </x:c>
      <x:c r="E1455" s="3" t="n">
        <x:v>2</x:v>
      </x:c>
      <x:c r="F1455" s="3" t="n">
        <x:v>8</x:v>
      </x:c>
      <x:c r="G1455" s="9" t="n">
        <x:v>0.1</x:v>
      </x:c>
      <x:c r="H1455" s="9" t="n">
        <x:v>1.144902</x:v>
      </x:c>
      <x:c r="I1455" s="9" t="n">
        <x:f>'Physical_Arcs'!R15</x:f>
        <x:v>7.75</x:v>
      </x:c>
      <x:c r="J1455" s="9" t="n">
        <x:f>I1455*'Parameters'!$C$18</x:f>
        <x:v>1.55</x:v>
      </x:c>
      <x:c r="K1455" s="9" t="n">
        <x:f>J1455*'Parameters'!$C$19</x:f>
        <x:v>1.9375</x:v>
      </x:c>
      <x:c r="L1455" s="9" t="n">
        <x:f>I1455*(1-0.40)-J1455</x:f>
        <x:v>3.0999999999999996</x:v>
      </x:c>
      <x:c r="M1455" s="9" t="n">
        <x:f>'Physical_Arcs'!S15</x:f>
        <x:v>7.75</x:v>
      </x:c>
      <x:c r="N1455" s="9" t="n">
        <x:f>M1455*'Parameters'!$C$18</x:f>
        <x:v>1.55</x:v>
      </x:c>
      <x:c r="O1455" s="9" t="n">
        <x:f>N1455*'Parameters'!$C$19</x:f>
        <x:v>1.9375</x:v>
      </x:c>
      <x:c r="P1455" s="9" t="n">
        <x:f>M1455*(1-0.40)-N1455</x:f>
        <x:v>3.0999999999999996</x:v>
      </x:c>
      <x:c r="Q1455" s="9" t="n">
        <x:f>'Physical_Arcs'!T15</x:f>
        <x:v>3.888888888888889</x:v>
      </x:c>
      <x:c r="R1455" s="9" t="n">
        <x:f>Q1455*'Parameters'!$C$18</x:f>
        <x:v>0.7777777777777778</x:v>
      </x:c>
      <x:c r="S1455" s="9" t="n">
        <x:f>R1455*'Parameters'!$C$19</x:f>
        <x:v>0.9722222222222222</x:v>
      </x:c>
      <x:c r="T1455" s="9" t="n">
        <x:f>Q1455*(1-0.40)-R1455</x:f>
        <x:v>1.5555555555555554</x:v>
      </x:c>
    </x:row>
    <x:row r="1456" ht="21" customHeight="1">
      <x:c r="A1456" s="3" t="n">
        <x:v>24</x:v>
      </x:c>
      <x:c r="B1456" s="3" t="str">
        <x:v>04:00</x:v>
      </x:c>
      <x:c r="C1456" s="3" t="n">
        <x:v>5</x:v>
      </x:c>
      <x:c r="D1456" s="3" t="n">
        <x:v>15</x:v>
      </x:c>
      <x:c r="E1456" s="3" t="n">
        <x:v>2</x:v>
      </x:c>
      <x:c r="F1456" s="3" t="n">
        <x:v>10</x:v>
      </x:c>
      <x:c r="G1456" s="9" t="n">
        <x:v>0.1</x:v>
      </x:c>
      <x:c r="H1456" s="9" t="n">
        <x:v>1.146684</x:v>
      </x:c>
      <x:c r="I1456" s="9" t="n">
        <x:f>'Physical_Arcs'!R16</x:f>
        <x:v>7.416666666666667</x:v>
      </x:c>
      <x:c r="J1456" s="9" t="n">
        <x:f>I1456*'Parameters'!$C$18</x:f>
        <x:v>1.4833333333333334</x:v>
      </x:c>
      <x:c r="K1456" s="9" t="n">
        <x:f>J1456*'Parameters'!$C$19</x:f>
        <x:v>1.8541666666666667</x:v>
      </x:c>
      <x:c r="L1456" s="9" t="n">
        <x:f>I1456*(1-0.40)-J1456</x:f>
        <x:v>2.966666666666667</x:v>
      </x:c>
      <x:c r="M1456" s="9" t="n">
        <x:f>'Physical_Arcs'!S16</x:f>
        <x:v>7.416666666666667</x:v>
      </x:c>
      <x:c r="N1456" s="9" t="n">
        <x:f>M1456*'Parameters'!$C$18</x:f>
        <x:v>1.4833333333333334</x:v>
      </x:c>
      <x:c r="O1456" s="9" t="n">
        <x:f>N1456*'Parameters'!$C$19</x:f>
        <x:v>1.8541666666666667</x:v>
      </x:c>
      <x:c r="P1456" s="9" t="n">
        <x:f>M1456*(1-0.40)-N1456</x:f>
        <x:v>2.966666666666667</x:v>
      </x:c>
      <x:c r="Q1456" s="9" t="n">
        <x:f>'Physical_Arcs'!T16</x:f>
        <x:v>3.7222222222222223</x:v>
      </x:c>
      <x:c r="R1456" s="9" t="n">
        <x:f>Q1456*'Parameters'!$C$18</x:f>
        <x:v>0.7444444444444445</x:v>
      </x:c>
      <x:c r="S1456" s="9" t="n">
        <x:f>R1456*'Parameters'!$C$19</x:f>
        <x:v>0.9305555555555556</x:v>
      </x:c>
      <x:c r="T1456" s="9" t="n">
        <x:f>Q1456*(1-0.40)-R1456</x:f>
        <x:v>1.488888888888889</x:v>
      </x:c>
    </x:row>
    <x:row r="1457" ht="21" customHeight="1">
      <x:c r="A1457" s="3" t="n">
        <x:v>24</x:v>
      </x:c>
      <x:c r="B1457" s="3" t="str">
        <x:v>04:00</x:v>
      </x:c>
      <x:c r="C1457" s="3" t="n">
        <x:v>5</x:v>
      </x:c>
      <x:c r="D1457" s="3" t="n">
        <x:v>16</x:v>
      </x:c>
      <x:c r="E1457" s="3" t="n">
        <x:v>3</x:v>
      </x:c>
      <x:c r="F1457" s="3" t="n">
        <x:v>4</x:v>
      </x:c>
      <x:c r="G1457" s="9" t="n">
        <x:v>0.1</x:v>
      </x:c>
      <x:c r="H1457" s="9" t="n">
        <x:v>1.017658</x:v>
      </x:c>
      <x:c r="I1457" s="9" t="n">
        <x:f>'Physical_Arcs'!R17</x:f>
        <x:v>17.02777777777778</x:v>
      </x:c>
      <x:c r="J1457" s="9" t="n">
        <x:f>I1457*'Parameters'!$C$18</x:f>
        <x:v>3.405555555555556</x:v>
      </x:c>
      <x:c r="K1457" s="9" t="n">
        <x:f>J1457*'Parameters'!$C$19</x:f>
        <x:v>4.256944444444445</x:v>
      </x:c>
      <x:c r="L1457" s="9" t="n">
        <x:f>I1457*(1-0.40)-J1457</x:f>
        <x:v>6.811111111111111</x:v>
      </x:c>
      <x:c r="M1457" s="9" t="n">
        <x:f>'Physical_Arcs'!S17</x:f>
        <x:v>17.02777777777778</x:v>
      </x:c>
      <x:c r="N1457" s="9" t="n">
        <x:f>M1457*'Parameters'!$C$18</x:f>
        <x:v>3.405555555555556</x:v>
      </x:c>
      <x:c r="O1457" s="9" t="n">
        <x:f>N1457*'Parameters'!$C$19</x:f>
        <x:v>4.256944444444445</x:v>
      </x:c>
      <x:c r="P1457" s="9" t="n">
        <x:f>M1457*(1-0.40)-N1457</x:f>
        <x:v>6.811111111111111</x:v>
      </x:c>
      <x:c r="Q1457" s="9" t="n">
        <x:f>'Physical_Arcs'!T17</x:f>
        <x:v>17.02777777777778</x:v>
      </x:c>
      <x:c r="R1457" s="9" t="n">
        <x:f>Q1457*'Parameters'!$C$18</x:f>
        <x:v>3.405555555555556</x:v>
      </x:c>
      <x:c r="S1457" s="9" t="n">
        <x:f>R1457*'Parameters'!$C$19</x:f>
        <x:v>4.256944444444445</x:v>
      </x:c>
      <x:c r="T1457" s="9" t="n">
        <x:f>Q1457*(1-0.40)-R1457</x:f>
        <x:v>6.811111111111111</x:v>
      </x:c>
    </x:row>
    <x:row r="1458" ht="21" customHeight="1">
      <x:c r="A1458" s="3" t="n">
        <x:v>24</x:v>
      </x:c>
      <x:c r="B1458" s="3" t="str">
        <x:v>04:00</x:v>
      </x:c>
      <x:c r="C1458" s="3" t="n">
        <x:v>5</x:v>
      </x:c>
      <x:c r="D1458" s="3" t="n">
        <x:v>17</x:v>
      </x:c>
      <x:c r="E1458" s="3" t="n">
        <x:v>3</x:v>
      </x:c>
      <x:c r="F1458" s="3" t="n">
        <x:v>2</x:v>
      </x:c>
      <x:c r="G1458" s="9" t="n">
        <x:v>0.1</x:v>
      </x:c>
      <x:c r="H1458" s="9" t="n">
        <x:v>0.875995</x:v>
      </x:c>
      <x:c r="I1458" s="9" t="n">
        <x:f>'Physical_Arcs'!R18</x:f>
        <x:v>10.666666666666666</x:v>
      </x:c>
      <x:c r="J1458" s="9" t="n">
        <x:f>I1458*'Parameters'!$C$18</x:f>
        <x:v>2.1333333333333333</x:v>
      </x:c>
      <x:c r="K1458" s="9" t="n">
        <x:f>J1458*'Parameters'!$C$19</x:f>
        <x:v>2.6666666666666665</x:v>
      </x:c>
      <x:c r="L1458" s="9" t="n">
        <x:f>I1458*(1-0.40)-J1458</x:f>
        <x:v>4.266666666666666</x:v>
      </x:c>
      <x:c r="M1458" s="9" t="n">
        <x:f>'Physical_Arcs'!S18</x:f>
        <x:v>10.666666666666666</x:v>
      </x:c>
      <x:c r="N1458" s="9" t="n">
        <x:f>M1458*'Parameters'!$C$18</x:f>
        <x:v>2.1333333333333333</x:v>
      </x:c>
      <x:c r="O1458" s="9" t="n">
        <x:f>N1458*'Parameters'!$C$19</x:f>
        <x:v>2.6666666666666665</x:v>
      </x:c>
      <x:c r="P1458" s="9" t="n">
        <x:f>M1458*(1-0.40)-N1458</x:f>
        <x:v>4.266666666666666</x:v>
      </x:c>
      <x:c r="Q1458" s="9" t="n">
        <x:f>'Physical_Arcs'!T18</x:f>
        <x:v>5.333333333333333</x:v>
      </x:c>
      <x:c r="R1458" s="9" t="n">
        <x:f>Q1458*'Parameters'!$C$18</x:f>
        <x:v>1.0666666666666667</x:v>
      </x:c>
      <x:c r="S1458" s="9" t="n">
        <x:f>R1458*'Parameters'!$C$19</x:f>
        <x:v>1.3333333333333333</x:v>
      </x:c>
      <x:c r="T1458" s="9" t="n">
        <x:f>Q1458*(1-0.40)-R1458</x:f>
        <x:v>2.133333333333333</x:v>
      </x:c>
    </x:row>
    <x:row r="1459" ht="21" customHeight="1">
      <x:c r="A1459" s="3" t="n">
        <x:v>24</x:v>
      </x:c>
      <x:c r="B1459" s="3" t="str">
        <x:v>04:00</x:v>
      </x:c>
      <x:c r="C1459" s="3" t="n">
        <x:v>5</x:v>
      </x:c>
      <x:c r="D1459" s="3" t="n">
        <x:v>18</x:v>
      </x:c>
      <x:c r="E1459" s="3" t="n">
        <x:v>3</x:v>
      </x:c>
      <x:c r="F1459" s="3" t="n">
        <x:v>1</x:v>
      </x:c>
      <x:c r="G1459" s="9" t="n">
        <x:v>0.1</x:v>
      </x:c>
      <x:c r="H1459" s="9" t="n">
        <x:v>1.015397</x:v>
      </x:c>
      <x:c r="I1459" s="9" t="n">
        <x:f>'Physical_Arcs'!R19</x:f>
        <x:v>5.166666666666667</x:v>
      </x:c>
      <x:c r="J1459" s="9" t="n">
        <x:f>I1459*'Parameters'!$C$18</x:f>
        <x:v>1.0333333333333334</x:v>
      </x:c>
      <x:c r="K1459" s="9" t="n">
        <x:f>J1459*'Parameters'!$C$19</x:f>
        <x:v>1.2916666666666667</x:v>
      </x:c>
      <x:c r="L1459" s="9" t="n">
        <x:f>I1459*(1-0.40)-J1459</x:f>
        <x:v>2.0666666666666664</x:v>
      </x:c>
      <x:c r="M1459" s="9" t="n">
        <x:f>'Physical_Arcs'!S19</x:f>
        <x:v>5.166666666666667</x:v>
      </x:c>
      <x:c r="N1459" s="9" t="n">
        <x:f>M1459*'Parameters'!$C$18</x:f>
        <x:v>1.0333333333333334</x:v>
      </x:c>
      <x:c r="O1459" s="9" t="n">
        <x:f>N1459*'Parameters'!$C$19</x:f>
        <x:v>1.2916666666666667</x:v>
      </x:c>
      <x:c r="P1459" s="9" t="n">
        <x:f>M1459*(1-0.40)-N1459</x:f>
        <x:v>2.0666666666666664</x:v>
      </x:c>
      <x:c r="Q1459" s="9" t="n">
        <x:f>'Physical_Arcs'!T19</x:f>
        <x:v>2.5833333333333335</x:v>
      </x:c>
      <x:c r="R1459" s="9" t="n">
        <x:f>Q1459*'Parameters'!$C$18</x:f>
        <x:v>0.5166666666666667</x:v>
      </x:c>
      <x:c r="S1459" s="9" t="n">
        <x:f>R1459*'Parameters'!$C$19</x:f>
        <x:v>0.6458333333333334</x:v>
      </x:c>
      <x:c r="T1459" s="9" t="n">
        <x:f>Q1459*(1-0.40)-R1459</x:f>
        <x:v>1.0333333333333332</x:v>
      </x:c>
    </x:row>
    <x:row r="1460" ht="21" customHeight="1">
      <x:c r="A1460" s="3" t="n">
        <x:v>24</x:v>
      </x:c>
      <x:c r="B1460" s="3" t="str">
        <x:v>04:00</x:v>
      </x:c>
      <x:c r="C1460" s="3" t="n">
        <x:v>5</x:v>
      </x:c>
      <x:c r="D1460" s="3" t="n">
        <x:v>19</x:v>
      </x:c>
      <x:c r="E1460" s="3" t="n">
        <x:v>3</x:v>
      </x:c>
      <x:c r="F1460" s="3" t="n">
        <x:v>7</x:v>
      </x:c>
      <x:c r="G1460" s="9" t="n">
        <x:v>0.1</x:v>
      </x:c>
      <x:c r="H1460" s="9" t="n">
        <x:v>0.996008</x:v>
      </x:c>
      <x:c r="I1460" s="9" t="n">
        <x:f>'Physical_Arcs'!R20</x:f>
        <x:v>5.75</x:v>
      </x:c>
      <x:c r="J1460" s="9" t="n">
        <x:f>I1460*'Parameters'!$C$18</x:f>
        <x:v>1.1500000000000001</x:v>
      </x:c>
      <x:c r="K1460" s="9" t="n">
        <x:f>J1460*'Parameters'!$C$19</x:f>
        <x:v>1.4375000000000002</x:v>
      </x:c>
      <x:c r="L1460" s="9" t="n">
        <x:f>I1460*(1-0.40)-J1460</x:f>
        <x:v>2.3</x:v>
      </x:c>
      <x:c r="M1460" s="9" t="n">
        <x:f>'Physical_Arcs'!S20</x:f>
        <x:v>5.75</x:v>
      </x:c>
      <x:c r="N1460" s="9" t="n">
        <x:f>M1460*'Parameters'!$C$18</x:f>
        <x:v>1.1500000000000001</x:v>
      </x:c>
      <x:c r="O1460" s="9" t="n">
        <x:f>N1460*'Parameters'!$C$19</x:f>
        <x:v>1.4375000000000002</x:v>
      </x:c>
      <x:c r="P1460" s="9" t="n">
        <x:f>M1460*(1-0.40)-N1460</x:f>
        <x:v>2.3</x:v>
      </x:c>
      <x:c r="Q1460" s="9" t="n">
        <x:f>'Physical_Arcs'!T20</x:f>
        <x:v>2.888888888888889</x:v>
      </x:c>
      <x:c r="R1460" s="9" t="n">
        <x:f>Q1460*'Parameters'!$C$18</x:f>
        <x:v>0.5777777777777778</x:v>
      </x:c>
      <x:c r="S1460" s="9" t="n">
        <x:f>R1460*'Parameters'!$C$19</x:f>
        <x:v>0.7222222222222223</x:v>
      </x:c>
      <x:c r="T1460" s="9" t="n">
        <x:f>Q1460*(1-0.40)-R1460</x:f>
        <x:v>1.1555555555555554</x:v>
      </x:c>
    </x:row>
    <x:row r="1461" ht="21" customHeight="1">
      <x:c r="A1461" s="3" t="n">
        <x:v>24</x:v>
      </x:c>
      <x:c r="B1461" s="3" t="str">
        <x:v>04:00</x:v>
      </x:c>
      <x:c r="C1461" s="3" t="n">
        <x:v>5</x:v>
      </x:c>
      <x:c r="D1461" s="3" t="n">
        <x:v>20</x:v>
      </x:c>
      <x:c r="E1461" s="3" t="n">
        <x:v>3</x:v>
      </x:c>
      <x:c r="F1461" s="3" t="n">
        <x:v>10</x:v>
      </x:c>
      <x:c r="G1461" s="9" t="n">
        <x:v>0.1</x:v>
      </x:c>
      <x:c r="H1461" s="9" t="n">
        <x:v>1.118855</x:v>
      </x:c>
      <x:c r="I1461" s="9" t="n">
        <x:f>'Physical_Arcs'!R21</x:f>
        <x:v>5.166666666666667</x:v>
      </x:c>
      <x:c r="J1461" s="9" t="n">
        <x:f>I1461*'Parameters'!$C$18</x:f>
        <x:v>1.0333333333333334</x:v>
      </x:c>
      <x:c r="K1461" s="9" t="n">
        <x:f>J1461*'Parameters'!$C$19</x:f>
        <x:v>1.2916666666666667</x:v>
      </x:c>
      <x:c r="L1461" s="9" t="n">
        <x:f>I1461*(1-0.40)-J1461</x:f>
        <x:v>2.0666666666666664</x:v>
      </x:c>
      <x:c r="M1461" s="9" t="n">
        <x:f>'Physical_Arcs'!S21</x:f>
        <x:v>5.166666666666667</x:v>
      </x:c>
      <x:c r="N1461" s="9" t="n">
        <x:f>M1461*'Parameters'!$C$18</x:f>
        <x:v>1.0333333333333334</x:v>
      </x:c>
      <x:c r="O1461" s="9" t="n">
        <x:f>N1461*'Parameters'!$C$19</x:f>
        <x:v>1.2916666666666667</x:v>
      </x:c>
      <x:c r="P1461" s="9" t="n">
        <x:f>M1461*(1-0.40)-N1461</x:f>
        <x:v>2.0666666666666664</x:v>
      </x:c>
      <x:c r="Q1461" s="9" t="n">
        <x:f>'Physical_Arcs'!T21</x:f>
        <x:v>2.5833333333333335</x:v>
      </x:c>
      <x:c r="R1461" s="9" t="n">
        <x:f>Q1461*'Parameters'!$C$18</x:f>
        <x:v>0.5166666666666667</x:v>
      </x:c>
      <x:c r="S1461" s="9" t="n">
        <x:f>R1461*'Parameters'!$C$19</x:f>
        <x:v>0.6458333333333334</x:v>
      </x:c>
      <x:c r="T1461" s="9" t="n">
        <x:f>Q1461*(1-0.40)-R1461</x:f>
        <x:v>1.0333333333333332</x:v>
      </x:c>
    </x:row>
    <x:row r="1462" ht="21" customHeight="1">
      <x:c r="A1462" s="3" t="n">
        <x:v>24</x:v>
      </x:c>
      <x:c r="B1462" s="3" t="str">
        <x:v>04:00</x:v>
      </x:c>
      <x:c r="C1462" s="3" t="n">
        <x:v>5</x:v>
      </x:c>
      <x:c r="D1462" s="3" t="n">
        <x:v>21</x:v>
      </x:c>
      <x:c r="E1462" s="3" t="n">
        <x:v>3</x:v>
      </x:c>
      <x:c r="F1462" s="3" t="n">
        <x:v>9</x:v>
      </x:c>
      <x:c r="G1462" s="9" t="n">
        <x:v>0.1</x:v>
      </x:c>
      <x:c r="H1462" s="9" t="n">
        <x:v>0.947299</x:v>
      </x:c>
      <x:c r="I1462" s="9" t="n">
        <x:f>'Physical_Arcs'!R22</x:f>
        <x:v>9.333333333333334</x:v>
      </x:c>
      <x:c r="J1462" s="9" t="n">
        <x:f>I1462*'Parameters'!$C$18</x:f>
        <x:v>1.866666666666667</x:v>
      </x:c>
      <x:c r="K1462" s="9" t="n">
        <x:f>J1462*'Parameters'!$C$19</x:f>
        <x:v>2.3333333333333335</x:v>
      </x:c>
      <x:c r="L1462" s="9" t="n">
        <x:f>I1462*(1-0.40)-J1462</x:f>
        <x:v>3.7333333333333334</x:v>
      </x:c>
      <x:c r="M1462" s="9" t="n">
        <x:f>'Physical_Arcs'!S22</x:f>
        <x:v>9.333333333333334</x:v>
      </x:c>
      <x:c r="N1462" s="9" t="n">
        <x:f>M1462*'Parameters'!$C$18</x:f>
        <x:v>1.866666666666667</x:v>
      </x:c>
      <x:c r="O1462" s="9" t="n">
        <x:f>N1462*'Parameters'!$C$19</x:f>
        <x:v>2.3333333333333335</x:v>
      </x:c>
      <x:c r="P1462" s="9" t="n">
        <x:f>M1462*(1-0.40)-N1462</x:f>
        <x:v>3.7333333333333334</x:v>
      </x:c>
      <x:c r="Q1462" s="9" t="n">
        <x:f>'Physical_Arcs'!T22</x:f>
        <x:v>4.666666666666667</x:v>
      </x:c>
      <x:c r="R1462" s="9" t="n">
        <x:f>Q1462*'Parameters'!$C$18</x:f>
        <x:v>0.9333333333333335</x:v>
      </x:c>
      <x:c r="S1462" s="9" t="n">
        <x:f>R1462*'Parameters'!$C$19</x:f>
        <x:v>1.1666666666666667</x:v>
      </x:c>
      <x:c r="T1462" s="9" t="n">
        <x:f>Q1462*(1-0.40)-R1462</x:f>
        <x:v>1.8666666666666667</x:v>
      </x:c>
    </x:row>
    <x:row r="1463" ht="21" customHeight="1">
      <x:c r="A1463" s="3" t="n">
        <x:v>24</x:v>
      </x:c>
      <x:c r="B1463" s="3" t="str">
        <x:v>04:00</x:v>
      </x:c>
      <x:c r="C1463" s="3" t="n">
        <x:v>5</x:v>
      </x:c>
      <x:c r="D1463" s="3" t="n">
        <x:v>22</x:v>
      </x:c>
      <x:c r="E1463" s="3" t="n">
        <x:v>4</x:v>
      </x:c>
      <x:c r="F1463" s="3" t="n">
        <x:v>5</x:v>
      </x:c>
      <x:c r="G1463" s="9" t="n">
        <x:v>0.1</x:v>
      </x:c>
      <x:c r="H1463" s="9" t="n">
        <x:v>0.958485</x:v>
      </x:c>
      <x:c r="I1463" s="9" t="n">
        <x:f>'Physical_Arcs'!R23</x:f>
        <x:v>17.02777777777778</x:v>
      </x:c>
      <x:c r="J1463" s="9" t="n">
        <x:f>I1463*'Parameters'!$C$18</x:f>
        <x:v>3.405555555555556</x:v>
      </x:c>
      <x:c r="K1463" s="9" t="n">
        <x:f>J1463*'Parameters'!$C$19</x:f>
        <x:v>4.256944444444445</x:v>
      </x:c>
      <x:c r="L1463" s="9" t="n">
        <x:f>I1463*(1-0.40)-J1463</x:f>
        <x:v>6.811111111111111</x:v>
      </x:c>
      <x:c r="M1463" s="9" t="n">
        <x:f>'Physical_Arcs'!S23</x:f>
        <x:v>17.02777777777778</x:v>
      </x:c>
      <x:c r="N1463" s="9" t="n">
        <x:f>M1463*'Parameters'!$C$18</x:f>
        <x:v>3.405555555555556</x:v>
      </x:c>
      <x:c r="O1463" s="9" t="n">
        <x:f>N1463*'Parameters'!$C$19</x:f>
        <x:v>4.256944444444445</x:v>
      </x:c>
      <x:c r="P1463" s="9" t="n">
        <x:f>M1463*(1-0.40)-N1463</x:f>
        <x:v>6.811111111111111</x:v>
      </x:c>
      <x:c r="Q1463" s="9" t="n">
        <x:f>'Physical_Arcs'!T23</x:f>
        <x:v>17.02777777777778</x:v>
      </x:c>
      <x:c r="R1463" s="9" t="n">
        <x:f>Q1463*'Parameters'!$C$18</x:f>
        <x:v>3.405555555555556</x:v>
      </x:c>
      <x:c r="S1463" s="9" t="n">
        <x:f>R1463*'Parameters'!$C$19</x:f>
        <x:v>4.256944444444445</x:v>
      </x:c>
      <x:c r="T1463" s="9" t="n">
        <x:f>Q1463*(1-0.40)-R1463</x:f>
        <x:v>6.811111111111111</x:v>
      </x:c>
    </x:row>
    <x:row r="1464" ht="21" customHeight="1">
      <x:c r="A1464" s="3" t="n">
        <x:v>24</x:v>
      </x:c>
      <x:c r="B1464" s="3" t="str">
        <x:v>04:00</x:v>
      </x:c>
      <x:c r="C1464" s="3" t="n">
        <x:v>5</x:v>
      </x:c>
      <x:c r="D1464" s="3" t="n">
        <x:v>23</x:v>
      </x:c>
      <x:c r="E1464" s="3" t="n">
        <x:v>4</x:v>
      </x:c>
      <x:c r="F1464" s="3" t="n">
        <x:v>3</x:v>
      </x:c>
      <x:c r="G1464" s="9" t="n">
        <x:v>0.1</x:v>
      </x:c>
      <x:c r="H1464" s="9" t="n">
        <x:v>0.944916</x:v>
      </x:c>
      <x:c r="I1464" s="9" t="n">
        <x:f>'Physical_Arcs'!R24</x:f>
        <x:v>9.333333333333334</x:v>
      </x:c>
      <x:c r="J1464" s="9" t="n">
        <x:f>I1464*'Parameters'!$C$18</x:f>
        <x:v>1.866666666666667</x:v>
      </x:c>
      <x:c r="K1464" s="9" t="n">
        <x:f>J1464*'Parameters'!$C$19</x:f>
        <x:v>2.3333333333333335</x:v>
      </x:c>
      <x:c r="L1464" s="9" t="n">
        <x:f>I1464*(1-0.40)-J1464</x:f>
        <x:v>3.7333333333333334</x:v>
      </x:c>
      <x:c r="M1464" s="9" t="n">
        <x:f>'Physical_Arcs'!S24</x:f>
        <x:v>9.333333333333334</x:v>
      </x:c>
      <x:c r="N1464" s="9" t="n">
        <x:f>M1464*'Parameters'!$C$18</x:f>
        <x:v>1.866666666666667</x:v>
      </x:c>
      <x:c r="O1464" s="9" t="n">
        <x:f>N1464*'Parameters'!$C$19</x:f>
        <x:v>2.3333333333333335</x:v>
      </x:c>
      <x:c r="P1464" s="9" t="n">
        <x:f>M1464*(1-0.40)-N1464</x:f>
        <x:v>3.7333333333333334</x:v>
      </x:c>
      <x:c r="Q1464" s="9" t="n">
        <x:f>'Physical_Arcs'!T24</x:f>
        <x:v>4.666666666666667</x:v>
      </x:c>
      <x:c r="R1464" s="9" t="n">
        <x:f>Q1464*'Parameters'!$C$18</x:f>
        <x:v>0.9333333333333335</x:v>
      </x:c>
      <x:c r="S1464" s="9" t="n">
        <x:f>R1464*'Parameters'!$C$19</x:f>
        <x:v>1.1666666666666667</x:v>
      </x:c>
      <x:c r="T1464" s="9" t="n">
        <x:f>Q1464*(1-0.40)-R1464</x:f>
        <x:v>1.8666666666666667</x:v>
      </x:c>
    </x:row>
    <x:row r="1465" ht="21" customHeight="1">
      <x:c r="A1465" s="3" t="n">
        <x:v>24</x:v>
      </x:c>
      <x:c r="B1465" s="3" t="str">
        <x:v>04:00</x:v>
      </x:c>
      <x:c r="C1465" s="3" t="n">
        <x:v>5</x:v>
      </x:c>
      <x:c r="D1465" s="3" t="n">
        <x:v>24</x:v>
      </x:c>
      <x:c r="E1465" s="3" t="n">
        <x:v>4</x:v>
      </x:c>
      <x:c r="F1465" s="3" t="n">
        <x:v>10</x:v>
      </x:c>
      <x:c r="G1465" s="9" t="n">
        <x:v>0.1</x:v>
      </x:c>
      <x:c r="H1465" s="9" t="n">
        <x:v>0.875461</x:v>
      </x:c>
      <x:c r="I1465" s="9" t="n">
        <x:f>'Physical_Arcs'!R25</x:f>
        <x:v>7.194444444444445</x:v>
      </x:c>
      <x:c r="J1465" s="9" t="n">
        <x:f>I1465*'Parameters'!$C$18</x:f>
        <x:v>1.438888888888889</x:v>
      </x:c>
      <x:c r="K1465" s="9" t="n">
        <x:f>J1465*'Parameters'!$C$19</x:f>
        <x:v>1.7986111111111114</x:v>
      </x:c>
      <x:c r="L1465" s="9" t="n">
        <x:f>I1465*(1-0.40)-J1465</x:f>
        <x:v>2.8777777777777773</x:v>
      </x:c>
      <x:c r="M1465" s="9" t="n">
        <x:f>'Physical_Arcs'!S25</x:f>
        <x:v>7.194444444444445</x:v>
      </x:c>
      <x:c r="N1465" s="9" t="n">
        <x:f>M1465*'Parameters'!$C$18</x:f>
        <x:v>1.438888888888889</x:v>
      </x:c>
      <x:c r="O1465" s="9" t="n">
        <x:f>N1465*'Parameters'!$C$19</x:f>
        <x:v>1.7986111111111114</x:v>
      </x:c>
      <x:c r="P1465" s="9" t="n">
        <x:f>M1465*(1-0.40)-N1465</x:f>
        <x:v>2.8777777777777773</x:v>
      </x:c>
      <x:c r="Q1465" s="9" t="n">
        <x:f>'Physical_Arcs'!T25</x:f>
        <x:v>3.611111111111111</x:v>
      </x:c>
      <x:c r="R1465" s="9" t="n">
        <x:f>Q1465*'Parameters'!$C$18</x:f>
        <x:v>0.7222222222222223</x:v>
      </x:c>
      <x:c r="S1465" s="9" t="n">
        <x:f>R1465*'Parameters'!$C$19</x:f>
        <x:v>0.9027777777777779</x:v>
      </x:c>
      <x:c r="T1465" s="9" t="n">
        <x:f>Q1465*(1-0.40)-R1465</x:f>
        <x:v>1.4444444444444442</x:v>
      </x:c>
    </x:row>
    <x:row r="1466" ht="21" customHeight="1">
      <x:c r="A1466" s="3" t="n">
        <x:v>24</x:v>
      </x:c>
      <x:c r="B1466" s="3" t="str">
        <x:v>04:00</x:v>
      </x:c>
      <x:c r="C1466" s="3" t="n">
        <x:v>5</x:v>
      </x:c>
      <x:c r="D1466" s="3" t="n">
        <x:v>25</x:v>
      </x:c>
      <x:c r="E1466" s="3" t="n">
        <x:v>4</x:v>
      </x:c>
      <x:c r="F1466" s="3" t="n">
        <x:v>8</x:v>
      </x:c>
      <x:c r="G1466" s="9" t="n">
        <x:v>0.1</x:v>
      </x:c>
      <x:c r="H1466" s="9" t="n">
        <x:v>0.993326</x:v>
      </x:c>
      <x:c r="I1466" s="9" t="n">
        <x:f>'Physical_Arcs'!R26</x:f>
        <x:v>5.277777777777778</x:v>
      </x:c>
      <x:c r="J1466" s="9" t="n">
        <x:f>I1466*'Parameters'!$C$18</x:f>
        <x:v>1.0555555555555556</x:v>
      </x:c>
      <x:c r="K1466" s="9" t="n">
        <x:f>J1466*'Parameters'!$C$19</x:f>
        <x:v>1.3194444444444444</x:v>
      </x:c>
      <x:c r="L1466" s="9" t="n">
        <x:f>I1466*(1-0.40)-J1466</x:f>
        <x:v>2.1111111111111107</x:v>
      </x:c>
      <x:c r="M1466" s="9" t="n">
        <x:f>'Physical_Arcs'!S26</x:f>
        <x:v>5.277777777777778</x:v>
      </x:c>
      <x:c r="N1466" s="9" t="n">
        <x:f>M1466*'Parameters'!$C$18</x:f>
        <x:v>1.0555555555555556</x:v>
      </x:c>
      <x:c r="O1466" s="9" t="n">
        <x:f>N1466*'Parameters'!$C$19</x:f>
        <x:v>1.3194444444444444</x:v>
      </x:c>
      <x:c r="P1466" s="9" t="n">
        <x:f>M1466*(1-0.40)-N1466</x:f>
        <x:v>2.1111111111111107</x:v>
      </x:c>
      <x:c r="Q1466" s="9" t="n">
        <x:f>'Physical_Arcs'!T26</x:f>
        <x:v>2.638888888888889</x:v>
      </x:c>
      <x:c r="R1466" s="9" t="n">
        <x:f>Q1466*'Parameters'!$C$18</x:f>
        <x:v>0.5277777777777778</x:v>
      </x:c>
      <x:c r="S1466" s="9" t="n">
        <x:f>R1466*'Parameters'!$C$19</x:f>
        <x:v>0.6597222222222222</x:v>
      </x:c>
      <x:c r="T1466" s="9" t="n">
        <x:f>Q1466*(1-0.40)-R1466</x:f>
        <x:v>1.0555555555555554</x:v>
      </x:c>
    </x:row>
    <x:row r="1467" ht="21" customHeight="1">
      <x:c r="A1467" s="3" t="n">
        <x:v>24</x:v>
      </x:c>
      <x:c r="B1467" s="3" t="str">
        <x:v>04:00</x:v>
      </x:c>
      <x:c r="C1467" s="3" t="n">
        <x:v>5</x:v>
      </x:c>
      <x:c r="D1467" s="3" t="n">
        <x:v>26</x:v>
      </x:c>
      <x:c r="E1467" s="3" t="n">
        <x:v>4</x:v>
      </x:c>
      <x:c r="F1467" s="3" t="n">
        <x:v>7</x:v>
      </x:c>
      <x:c r="G1467" s="9" t="n">
        <x:v>0.1</x:v>
      </x:c>
      <x:c r="H1467" s="9" t="n">
        <x:v>1.099203</x:v>
      </x:c>
      <x:c r="I1467" s="9" t="n">
        <x:f>'Physical_Arcs'!R27</x:f>
        <x:v>6.527777777777778</x:v>
      </x:c>
      <x:c r="J1467" s="9" t="n">
        <x:f>I1467*'Parameters'!$C$18</x:f>
        <x:v>1.3055555555555556</x:v>
      </x:c>
      <x:c r="K1467" s="9" t="n">
        <x:f>J1467*'Parameters'!$C$19</x:f>
        <x:v>1.6319444444444444</x:v>
      </x:c>
      <x:c r="L1467" s="9" t="n">
        <x:f>I1467*(1-0.40)-J1467</x:f>
        <x:v>2.6111111111111107</x:v>
      </x:c>
      <x:c r="M1467" s="9" t="n">
        <x:f>'Physical_Arcs'!S27</x:f>
        <x:v>6.527777777777778</x:v>
      </x:c>
      <x:c r="N1467" s="9" t="n">
        <x:f>M1467*'Parameters'!$C$18</x:f>
        <x:v>1.3055555555555556</x:v>
      </x:c>
      <x:c r="O1467" s="9" t="n">
        <x:f>N1467*'Parameters'!$C$19</x:f>
        <x:v>1.6319444444444444</x:v>
      </x:c>
      <x:c r="P1467" s="9" t="n">
        <x:f>M1467*(1-0.40)-N1467</x:f>
        <x:v>2.6111111111111107</x:v>
      </x:c>
      <x:c r="Q1467" s="9" t="n">
        <x:f>'Physical_Arcs'!T27</x:f>
        <x:v>3.2777777777777777</x:v>
      </x:c>
      <x:c r="R1467" s="9" t="n">
        <x:f>Q1467*'Parameters'!$C$18</x:f>
        <x:v>0.6555555555555556</x:v>
      </x:c>
      <x:c r="S1467" s="9" t="n">
        <x:f>R1467*'Parameters'!$C$19</x:f>
        <x:v>0.8194444444444444</x:v>
      </x:c>
      <x:c r="T1467" s="9" t="n">
        <x:f>Q1467*(1-0.40)-R1467</x:f>
        <x:v>1.311111111111111</x:v>
      </x:c>
    </x:row>
    <x:row r="1468" ht="21" customHeight="1">
      <x:c r="A1468" s="3" t="n">
        <x:v>24</x:v>
      </x:c>
      <x:c r="B1468" s="3" t="str">
        <x:v>04:00</x:v>
      </x:c>
      <x:c r="C1468" s="3" t="n">
        <x:v>5</x:v>
      </x:c>
      <x:c r="D1468" s="3" t="n">
        <x:v>27</x:v>
      </x:c>
      <x:c r="E1468" s="3" t="n">
        <x:v>4</x:v>
      </x:c>
      <x:c r="F1468" s="3" t="n">
        <x:v>2</x:v>
      </x:c>
      <x:c r="G1468" s="9" t="n">
        <x:v>0.1</x:v>
      </x:c>
      <x:c r="H1468" s="9" t="n">
        <x:v>0.861111</x:v>
      </x:c>
      <x:c r="I1468" s="9" t="n">
        <x:f>'Physical_Arcs'!R28</x:f>
        <x:v>4.944444444444445</x:v>
      </x:c>
      <x:c r="J1468" s="9" t="n">
        <x:f>I1468*'Parameters'!$C$18</x:f>
        <x:v>0.9888888888888889</x:v>
      </x:c>
      <x:c r="K1468" s="9" t="n">
        <x:f>J1468*'Parameters'!$C$19</x:f>
        <x:v>1.2361111111111112</x:v>
      </x:c>
      <x:c r="L1468" s="9" t="n">
        <x:f>I1468*(1-0.40)-J1468</x:f>
        <x:v>1.9777777777777779</x:v>
      </x:c>
      <x:c r="M1468" s="9" t="n">
        <x:f>'Physical_Arcs'!S28</x:f>
        <x:v>4.944444444444445</x:v>
      </x:c>
      <x:c r="N1468" s="9" t="n">
        <x:f>M1468*'Parameters'!$C$18</x:f>
        <x:v>0.9888888888888889</x:v>
      </x:c>
      <x:c r="O1468" s="9" t="n">
        <x:f>N1468*'Parameters'!$C$19</x:f>
        <x:v>1.2361111111111112</x:v>
      </x:c>
      <x:c r="P1468" s="9" t="n">
        <x:f>M1468*(1-0.40)-N1468</x:f>
        <x:v>1.9777777777777779</x:v>
      </x:c>
      <x:c r="Q1468" s="9" t="n">
        <x:f>'Physical_Arcs'!T28</x:f>
        <x:v>2.4722222222222223</x:v>
      </x:c>
      <x:c r="R1468" s="9" t="n">
        <x:f>Q1468*'Parameters'!$C$18</x:f>
        <x:v>0.49444444444444446</x:v>
      </x:c>
      <x:c r="S1468" s="9" t="n">
        <x:f>R1468*'Parameters'!$C$19</x:f>
        <x:v>0.6180555555555556</x:v>
      </x:c>
      <x:c r="T1468" s="9" t="n">
        <x:f>Q1468*(1-0.40)-R1468</x:f>
        <x:v>0.9888888888888889</x:v>
      </x:c>
    </x:row>
    <x:row r="1469" ht="21" customHeight="1">
      <x:c r="A1469" s="3" t="n">
        <x:v>24</x:v>
      </x:c>
      <x:c r="B1469" s="3" t="str">
        <x:v>04:00</x:v>
      </x:c>
      <x:c r="C1469" s="3" t="n">
        <x:v>5</x:v>
      </x:c>
      <x:c r="D1469" s="3" t="n">
        <x:v>28</x:v>
      </x:c>
      <x:c r="E1469" s="3" t="n">
        <x:v>4</x:v>
      </x:c>
      <x:c r="F1469" s="3" t="n">
        <x:v>6</x:v>
      </x:c>
      <x:c r="G1469" s="9" t="n">
        <x:v>0.1</x:v>
      </x:c>
      <x:c r="H1469" s="9" t="n">
        <x:v>1.137214</x:v>
      </x:c>
      <x:c r="I1469" s="9" t="n">
        <x:f>'Physical_Arcs'!R29</x:f>
        <x:v>3.388888888888889</x:v>
      </x:c>
      <x:c r="J1469" s="9" t="n">
        <x:f>I1469*'Parameters'!$C$18</x:f>
        <x:v>0.6777777777777778</x:v>
      </x:c>
      <x:c r="K1469" s="9" t="n">
        <x:f>J1469*'Parameters'!$C$19</x:f>
        <x:v>0.8472222222222223</x:v>
      </x:c>
      <x:c r="L1469" s="9" t="n">
        <x:f>I1469*(1-0.40)-J1469</x:f>
        <x:v>1.3555555555555554</x:v>
      </x:c>
      <x:c r="M1469" s="9" t="n">
        <x:f>'Physical_Arcs'!S29</x:f>
        <x:v>3.388888888888889</x:v>
      </x:c>
      <x:c r="N1469" s="9" t="n">
        <x:f>M1469*'Parameters'!$C$18</x:f>
        <x:v>0.6777777777777778</x:v>
      </x:c>
      <x:c r="O1469" s="9" t="n">
        <x:f>N1469*'Parameters'!$C$19</x:f>
        <x:v>0.8472222222222223</x:v>
      </x:c>
      <x:c r="P1469" s="9" t="n">
        <x:f>M1469*(1-0.40)-N1469</x:f>
        <x:v>1.3555555555555554</x:v>
      </x:c>
      <x:c r="Q1469" s="9" t="n">
        <x:f>'Physical_Arcs'!T29</x:f>
        <x:v>1.6944444444444444</x:v>
      </x:c>
      <x:c r="R1469" s="9" t="n">
        <x:f>Q1469*'Parameters'!$C$18</x:f>
        <x:v>0.3388888888888889</x:v>
      </x:c>
      <x:c r="S1469" s="9" t="n">
        <x:f>R1469*'Parameters'!$C$19</x:f>
        <x:v>0.42361111111111116</x:v>
      </x:c>
      <x:c r="T1469" s="9" t="n">
        <x:f>Q1469*(1-0.40)-R1469</x:f>
        <x:v>0.6777777777777777</x:v>
      </x:c>
    </x:row>
    <x:row r="1470" ht="21" customHeight="1">
      <x:c r="A1470" s="3" t="n">
        <x:v>24</x:v>
      </x:c>
      <x:c r="B1470" s="3" t="str">
        <x:v>04:00</x:v>
      </x:c>
      <x:c r="C1470" s="3" t="n">
        <x:v>5</x:v>
      </x:c>
      <x:c r="D1470" s="3" t="n">
        <x:v>29</x:v>
      </x:c>
      <x:c r="E1470" s="3" t="n">
        <x:v>5</x:v>
      </x:c>
      <x:c r="F1470" s="3" t="n">
        <x:v>6</x:v>
      </x:c>
      <x:c r="G1470" s="9" t="n">
        <x:v>0.1</x:v>
      </x:c>
      <x:c r="H1470" s="9" t="n">
        <x:v>0.949994</x:v>
      </x:c>
      <x:c r="I1470" s="9" t="n">
        <x:f>'Physical_Arcs'!R30</x:f>
        <x:v>17.02777777777778</x:v>
      </x:c>
      <x:c r="J1470" s="9" t="n">
        <x:f>I1470*'Parameters'!$C$18</x:f>
        <x:v>3.405555555555556</x:v>
      </x:c>
      <x:c r="K1470" s="9" t="n">
        <x:f>J1470*'Parameters'!$C$19</x:f>
        <x:v>4.256944444444445</x:v>
      </x:c>
      <x:c r="L1470" s="9" t="n">
        <x:f>I1470*(1-0.40)-J1470</x:f>
        <x:v>6.811111111111111</x:v>
      </x:c>
      <x:c r="M1470" s="9" t="n">
        <x:f>'Physical_Arcs'!S30</x:f>
        <x:v>17.02777777777778</x:v>
      </x:c>
      <x:c r="N1470" s="9" t="n">
        <x:f>M1470*'Parameters'!$C$18</x:f>
        <x:v>3.405555555555556</x:v>
      </x:c>
      <x:c r="O1470" s="9" t="n">
        <x:f>N1470*'Parameters'!$C$19</x:f>
        <x:v>4.256944444444445</x:v>
      </x:c>
      <x:c r="P1470" s="9" t="n">
        <x:f>M1470*(1-0.40)-N1470</x:f>
        <x:v>6.811111111111111</x:v>
      </x:c>
      <x:c r="Q1470" s="9" t="n">
        <x:f>'Physical_Arcs'!T30</x:f>
        <x:v>17.02777777777778</x:v>
      </x:c>
      <x:c r="R1470" s="9" t="n">
        <x:f>Q1470*'Parameters'!$C$18</x:f>
        <x:v>3.405555555555556</x:v>
      </x:c>
      <x:c r="S1470" s="9" t="n">
        <x:f>R1470*'Parameters'!$C$19</x:f>
        <x:v>4.256944444444445</x:v>
      </x:c>
      <x:c r="T1470" s="9" t="n">
        <x:f>Q1470*(1-0.40)-R1470</x:f>
        <x:v>6.811111111111111</x:v>
      </x:c>
    </x:row>
    <x:row r="1471" ht="21" customHeight="1">
      <x:c r="A1471" s="3" t="n">
        <x:v>24</x:v>
      </x:c>
      <x:c r="B1471" s="3" t="str">
        <x:v>04:00</x:v>
      </x:c>
      <x:c r="C1471" s="3" t="n">
        <x:v>5</x:v>
      </x:c>
      <x:c r="D1471" s="3" t="n">
        <x:v>30</x:v>
      </x:c>
      <x:c r="E1471" s="3" t="n">
        <x:v>5</x:v>
      </x:c>
      <x:c r="F1471" s="3" t="n">
        <x:v>2</x:v>
      </x:c>
      <x:c r="G1471" s="9" t="n">
        <x:v>0.1</x:v>
      </x:c>
      <x:c r="H1471" s="9" t="n">
        <x:v>0.882396</x:v>
      </x:c>
      <x:c r="I1471" s="9" t="n">
        <x:f>'Physical_Arcs'!R31</x:f>
        <x:v>2.9444444444444446</x:v>
      </x:c>
      <x:c r="J1471" s="9" t="n">
        <x:f>I1471*'Parameters'!$C$18</x:f>
        <x:v>0.5888888888888889</x:v>
      </x:c>
      <x:c r="K1471" s="9" t="n">
        <x:f>J1471*'Parameters'!$C$19</x:f>
        <x:v>0.7361111111111112</x:v>
      </x:c>
      <x:c r="L1471" s="9" t="n">
        <x:f>I1471*(1-0.40)-J1471</x:f>
        <x:v>1.177777777777778</x:v>
      </x:c>
      <x:c r="M1471" s="9" t="n">
        <x:f>'Physical_Arcs'!S31</x:f>
        <x:v>2.9444444444444446</x:v>
      </x:c>
      <x:c r="N1471" s="9" t="n">
        <x:f>M1471*'Parameters'!$C$18</x:f>
        <x:v>0.5888888888888889</x:v>
      </x:c>
      <x:c r="O1471" s="9" t="n">
        <x:f>N1471*'Parameters'!$C$19</x:f>
        <x:v>0.7361111111111112</x:v>
      </x:c>
      <x:c r="P1471" s="9" t="n">
        <x:f>M1471*(1-0.40)-N1471</x:f>
        <x:v>1.177777777777778</x:v>
      </x:c>
      <x:c r="Q1471" s="9" t="n">
        <x:f>'Physical_Arcs'!T31</x:f>
        <x:v>1.4722222222222223</x:v>
      </x:c>
      <x:c r="R1471" s="9" t="n">
        <x:f>Q1471*'Parameters'!$C$18</x:f>
        <x:v>0.29444444444444445</x:v>
      </x:c>
      <x:c r="S1471" s="9" t="n">
        <x:f>R1471*'Parameters'!$C$19</x:f>
        <x:v>0.3680555555555556</x:v>
      </x:c>
      <x:c r="T1471" s="9" t="n">
        <x:f>Q1471*(1-0.40)-R1471</x:f>
        <x:v>0.588888888888889</x:v>
      </x:c>
    </x:row>
    <x:row r="1472" ht="21" customHeight="1">
      <x:c r="A1472" s="3" t="n">
        <x:v>24</x:v>
      </x:c>
      <x:c r="B1472" s="3" t="str">
        <x:v>04:00</x:v>
      </x:c>
      <x:c r="C1472" s="3" t="n">
        <x:v>5</x:v>
      </x:c>
      <x:c r="D1472" s="3" t="n">
        <x:v>31</x:v>
      </x:c>
      <x:c r="E1472" s="3" t="n">
        <x:v>5</x:v>
      </x:c>
      <x:c r="F1472" s="3" t="n">
        <x:v>8</x:v>
      </x:c>
      <x:c r="G1472" s="9" t="n">
        <x:v>0.1</x:v>
      </x:c>
      <x:c r="H1472" s="9" t="n">
        <x:v>0.986718</x:v>
      </x:c>
      <x:c r="I1472" s="9" t="n">
        <x:f>'Physical_Arcs'!R32</x:f>
        <x:v>9.333333333333334</x:v>
      </x:c>
      <x:c r="J1472" s="9" t="n">
        <x:f>I1472*'Parameters'!$C$18</x:f>
        <x:v>1.866666666666667</x:v>
      </x:c>
      <x:c r="K1472" s="9" t="n">
        <x:f>J1472*'Parameters'!$C$19</x:f>
        <x:v>2.3333333333333335</x:v>
      </x:c>
      <x:c r="L1472" s="9" t="n">
        <x:f>I1472*(1-0.40)-J1472</x:f>
        <x:v>3.7333333333333334</x:v>
      </x:c>
      <x:c r="M1472" s="9" t="n">
        <x:f>'Physical_Arcs'!S32</x:f>
        <x:v>9.333333333333334</x:v>
      </x:c>
      <x:c r="N1472" s="9" t="n">
        <x:f>M1472*'Parameters'!$C$18</x:f>
        <x:v>1.866666666666667</x:v>
      </x:c>
      <x:c r="O1472" s="9" t="n">
        <x:f>N1472*'Parameters'!$C$19</x:f>
        <x:v>2.3333333333333335</x:v>
      </x:c>
      <x:c r="P1472" s="9" t="n">
        <x:f>M1472*(1-0.40)-N1472</x:f>
        <x:v>3.7333333333333334</x:v>
      </x:c>
      <x:c r="Q1472" s="9" t="n">
        <x:f>'Physical_Arcs'!T32</x:f>
        <x:v>4.666666666666667</x:v>
      </x:c>
      <x:c r="R1472" s="9" t="n">
        <x:f>Q1472*'Parameters'!$C$18</x:f>
        <x:v>0.9333333333333335</x:v>
      </x:c>
      <x:c r="S1472" s="9" t="n">
        <x:f>R1472*'Parameters'!$C$19</x:f>
        <x:v>1.1666666666666667</x:v>
      </x:c>
      <x:c r="T1472" s="9" t="n">
        <x:f>Q1472*(1-0.40)-R1472</x:f>
        <x:v>1.8666666666666667</x:v>
      </x:c>
    </x:row>
    <x:row r="1473" ht="21" customHeight="1">
      <x:c r="A1473" s="3" t="n">
        <x:v>24</x:v>
      </x:c>
      <x:c r="B1473" s="3" t="str">
        <x:v>04:00</x:v>
      </x:c>
      <x:c r="C1473" s="3" t="n">
        <x:v>5</x:v>
      </x:c>
      <x:c r="D1473" s="3" t="n">
        <x:v>32</x:v>
      </x:c>
      <x:c r="E1473" s="3" t="n">
        <x:v>5</x:v>
      </x:c>
      <x:c r="F1473" s="3" t="n">
        <x:v>3</x:v>
      </x:c>
      <x:c r="G1473" s="9" t="n">
        <x:v>0.1</x:v>
      </x:c>
      <x:c r="H1473" s="9" t="n">
        <x:v>1.089544</x:v>
      </x:c>
      <x:c r="I1473" s="9" t="n">
        <x:f>'Physical_Arcs'!R33</x:f>
        <x:v>11.13888888888889</x:v>
      </x:c>
      <x:c r="J1473" s="9" t="n">
        <x:f>I1473*'Parameters'!$C$18</x:f>
        <x:v>2.227777777777778</x:v>
      </x:c>
      <x:c r="K1473" s="9" t="n">
        <x:f>J1473*'Parameters'!$C$19</x:f>
        <x:v>2.7847222222222223</x:v>
      </x:c>
      <x:c r="L1473" s="9" t="n">
        <x:f>I1473*(1-0.40)-J1473</x:f>
        <x:v>4.455555555555556</x:v>
      </x:c>
      <x:c r="M1473" s="9" t="n">
        <x:f>'Physical_Arcs'!S33</x:f>
        <x:v>11.13888888888889</x:v>
      </x:c>
      <x:c r="N1473" s="9" t="n">
        <x:f>M1473*'Parameters'!$C$18</x:f>
        <x:v>2.227777777777778</x:v>
      </x:c>
      <x:c r="O1473" s="9" t="n">
        <x:f>N1473*'Parameters'!$C$19</x:f>
        <x:v>2.7847222222222223</x:v>
      </x:c>
      <x:c r="P1473" s="9" t="n">
        <x:f>M1473*(1-0.40)-N1473</x:f>
        <x:v>4.455555555555556</x:v>
      </x:c>
      <x:c r="Q1473" s="9" t="n">
        <x:f>'Physical_Arcs'!T33</x:f>
        <x:v>5.583333333333333</x:v>
      </x:c>
      <x:c r="R1473" s="9" t="n">
        <x:f>Q1473*'Parameters'!$C$18</x:f>
        <x:v>1.1166666666666667</x:v>
      </x:c>
      <x:c r="S1473" s="9" t="n">
        <x:f>R1473*'Parameters'!$C$19</x:f>
        <x:v>1.3958333333333335</x:v>
      </x:c>
      <x:c r="T1473" s="9" t="n">
        <x:f>Q1473*(1-0.40)-R1473</x:f>
        <x:v>2.233333333333333</x:v>
      </x:c>
    </x:row>
    <x:row r="1474" ht="21" customHeight="1">
      <x:c r="A1474" s="3" t="n">
        <x:v>24</x:v>
      </x:c>
      <x:c r="B1474" s="3" t="str">
        <x:v>04:00</x:v>
      </x:c>
      <x:c r="C1474" s="3" t="n">
        <x:v>5</x:v>
      </x:c>
      <x:c r="D1474" s="3" t="n">
        <x:v>33</x:v>
      </x:c>
      <x:c r="E1474" s="3" t="n">
        <x:v>5</x:v>
      </x:c>
      <x:c r="F1474" s="3" t="n">
        <x:v>10</x:v>
      </x:c>
      <x:c r="G1474" s="9" t="n">
        <x:v>0.1</x:v>
      </x:c>
      <x:c r="H1474" s="9" t="n">
        <x:v>1.103596</x:v>
      </x:c>
      <x:c r="I1474" s="9" t="n">
        <x:f>'Physical_Arcs'!R34</x:f>
        <x:v>4.611111111111111</x:v>
      </x:c>
      <x:c r="J1474" s="9" t="n">
        <x:f>I1474*'Parameters'!$C$18</x:f>
        <x:v>0.9222222222222222</x:v>
      </x:c>
      <x:c r="K1474" s="9" t="n">
        <x:f>J1474*'Parameters'!$C$19</x:f>
        <x:v>1.1527777777777777</x:v>
      </x:c>
      <x:c r="L1474" s="9" t="n">
        <x:f>I1474*(1-0.40)-J1474</x:f>
        <x:v>1.844444444444444</x:v>
      </x:c>
      <x:c r="M1474" s="9" t="n">
        <x:f>'Physical_Arcs'!S34</x:f>
        <x:v>4.611111111111111</x:v>
      </x:c>
      <x:c r="N1474" s="9" t="n">
        <x:f>M1474*'Parameters'!$C$18</x:f>
        <x:v>0.9222222222222222</x:v>
      </x:c>
      <x:c r="O1474" s="9" t="n">
        <x:f>N1474*'Parameters'!$C$19</x:f>
        <x:v>1.1527777777777777</x:v>
      </x:c>
      <x:c r="P1474" s="9" t="n">
        <x:f>M1474*(1-0.40)-N1474</x:f>
        <x:v>1.844444444444444</x:v>
      </x:c>
      <x:c r="Q1474" s="9" t="n">
        <x:f>'Physical_Arcs'!T34</x:f>
        <x:v>2.3055555555555554</x:v>
      </x:c>
      <x:c r="R1474" s="9" t="n">
        <x:f>Q1474*'Parameters'!$C$18</x:f>
        <x:v>0.4611111111111111</x:v>
      </x:c>
      <x:c r="S1474" s="9" t="n">
        <x:f>R1474*'Parameters'!$C$19</x:f>
        <x:v>0.5763888888888888</x:v>
      </x:c>
      <x:c r="T1474" s="9" t="n">
        <x:f>Q1474*(1-0.40)-R1474</x:f>
        <x:v>0.922222222222222</x:v>
      </x:c>
    </x:row>
    <x:row r="1475" ht="21" customHeight="1">
      <x:c r="A1475" s="3" t="n">
        <x:v>24</x:v>
      </x:c>
      <x:c r="B1475" s="3" t="str">
        <x:v>04:00</x:v>
      </x:c>
      <x:c r="C1475" s="3" t="n">
        <x:v>5</x:v>
      </x:c>
      <x:c r="D1475" s="3" t="n">
        <x:v>34</x:v>
      </x:c>
      <x:c r="E1475" s="3" t="n">
        <x:v>6</x:v>
      </x:c>
      <x:c r="F1475" s="3" t="n">
        <x:v>7</x:v>
      </x:c>
      <x:c r="G1475" s="9" t="n">
        <x:v>0.1</x:v>
      </x:c>
      <x:c r="H1475" s="9" t="n">
        <x:v>0.973887</x:v>
      </x:c>
      <x:c r="I1475" s="9" t="n">
        <x:f>'Physical_Arcs'!R35</x:f>
        <x:v>17.02777777777778</x:v>
      </x:c>
      <x:c r="J1475" s="9" t="n">
        <x:f>I1475*'Parameters'!$C$18</x:f>
        <x:v>3.405555555555556</x:v>
      </x:c>
      <x:c r="K1475" s="9" t="n">
        <x:f>J1475*'Parameters'!$C$19</x:f>
        <x:v>4.256944444444445</x:v>
      </x:c>
      <x:c r="L1475" s="9" t="n">
        <x:f>I1475*(1-0.40)-J1475</x:f>
        <x:v>6.811111111111111</x:v>
      </x:c>
      <x:c r="M1475" s="9" t="n">
        <x:f>'Physical_Arcs'!S35</x:f>
        <x:v>17.02777777777778</x:v>
      </x:c>
      <x:c r="N1475" s="9" t="n">
        <x:f>M1475*'Parameters'!$C$18</x:f>
        <x:v>3.405555555555556</x:v>
      </x:c>
      <x:c r="O1475" s="9" t="n">
        <x:f>N1475*'Parameters'!$C$19</x:f>
        <x:v>4.256944444444445</x:v>
      </x:c>
      <x:c r="P1475" s="9" t="n">
        <x:f>M1475*(1-0.40)-N1475</x:f>
        <x:v>6.811111111111111</x:v>
      </x:c>
      <x:c r="Q1475" s="9" t="n">
        <x:f>'Physical_Arcs'!T35</x:f>
        <x:v>17.02777777777778</x:v>
      </x:c>
      <x:c r="R1475" s="9" t="n">
        <x:f>Q1475*'Parameters'!$C$18</x:f>
        <x:v>3.405555555555556</x:v>
      </x:c>
      <x:c r="S1475" s="9" t="n">
        <x:f>R1475*'Parameters'!$C$19</x:f>
        <x:v>4.256944444444445</x:v>
      </x:c>
      <x:c r="T1475" s="9" t="n">
        <x:f>Q1475*(1-0.40)-R1475</x:f>
        <x:v>6.811111111111111</x:v>
      </x:c>
    </x:row>
    <x:row r="1476" ht="21" customHeight="1">
      <x:c r="A1476" s="3" t="n">
        <x:v>24</x:v>
      </x:c>
      <x:c r="B1476" s="3" t="str">
        <x:v>04:00</x:v>
      </x:c>
      <x:c r="C1476" s="3" t="n">
        <x:v>5</x:v>
      </x:c>
      <x:c r="D1476" s="3" t="n">
        <x:v>35</x:v>
      </x:c>
      <x:c r="E1476" s="3" t="n">
        <x:v>6</x:v>
      </x:c>
      <x:c r="F1476" s="3" t="n">
        <x:v>10</x:v>
      </x:c>
      <x:c r="G1476" s="9" t="n">
        <x:v>0.1</x:v>
      </x:c>
      <x:c r="H1476" s="9" t="n">
        <x:v>1.009062</x:v>
      </x:c>
      <x:c r="I1476" s="9" t="n">
        <x:f>'Physical_Arcs'!R36</x:f>
        <x:v>4.055555555555555</x:v>
      </x:c>
      <x:c r="J1476" s="9" t="n">
        <x:f>I1476*'Parameters'!$C$18</x:f>
        <x:v>0.8111111111111111</x:v>
      </x:c>
      <x:c r="K1476" s="9" t="n">
        <x:f>J1476*'Parameters'!$C$19</x:f>
        <x:v>1.0138888888888888</x:v>
      </x:c>
      <x:c r="L1476" s="9" t="n">
        <x:f>I1476*(1-0.40)-J1476</x:f>
        <x:v>1.622222222222222</x:v>
      </x:c>
      <x:c r="M1476" s="9" t="n">
        <x:f>'Physical_Arcs'!S36</x:f>
        <x:v>4.055555555555555</x:v>
      </x:c>
      <x:c r="N1476" s="9" t="n">
        <x:f>M1476*'Parameters'!$C$18</x:f>
        <x:v>0.8111111111111111</x:v>
      </x:c>
      <x:c r="O1476" s="9" t="n">
        <x:f>N1476*'Parameters'!$C$19</x:f>
        <x:v>1.0138888888888888</x:v>
      </x:c>
      <x:c r="P1476" s="9" t="n">
        <x:f>M1476*(1-0.40)-N1476</x:f>
        <x:v>1.622222222222222</x:v>
      </x:c>
      <x:c r="Q1476" s="9" t="n">
        <x:f>'Physical_Arcs'!T36</x:f>
        <x:v>2.0277777777777777</x:v>
      </x:c>
      <x:c r="R1476" s="9" t="n">
        <x:f>Q1476*'Parameters'!$C$18</x:f>
        <x:v>0.40555555555555556</x:v>
      </x:c>
      <x:c r="S1476" s="9" t="n">
        <x:f>R1476*'Parameters'!$C$19</x:f>
        <x:v>0.5069444444444444</x:v>
      </x:c>
      <x:c r="T1476" s="9" t="n">
        <x:f>Q1476*(1-0.40)-R1476</x:f>
        <x:v>0.811111111111111</x:v>
      </x:c>
    </x:row>
    <x:row r="1477" ht="21" customHeight="1">
      <x:c r="A1477" s="3" t="n">
        <x:v>24</x:v>
      </x:c>
      <x:c r="B1477" s="3" t="str">
        <x:v>04:00</x:v>
      </x:c>
      <x:c r="C1477" s="3" t="n">
        <x:v>5</x:v>
      </x:c>
      <x:c r="D1477" s="3" t="n">
        <x:v>36</x:v>
      </x:c>
      <x:c r="E1477" s="3" t="n">
        <x:v>6</x:v>
      </x:c>
      <x:c r="F1477" s="3" t="n">
        <x:v>8</x:v>
      </x:c>
      <x:c r="G1477" s="9" t="n">
        <x:v>0.1</x:v>
      </x:c>
      <x:c r="H1477" s="9" t="n">
        <x:v>1.132129</x:v>
      </x:c>
      <x:c r="I1477" s="9" t="n">
        <x:f>'Physical_Arcs'!R37</x:f>
        <x:v>6.972222222222222</x:v>
      </x:c>
      <x:c r="J1477" s="9" t="n">
        <x:f>I1477*'Parameters'!$C$18</x:f>
        <x:v>1.3944444444444446</x:v>
      </x:c>
      <x:c r="K1477" s="9" t="n">
        <x:f>J1477*'Parameters'!$C$19</x:f>
        <x:v>1.7430555555555558</x:v>
      </x:c>
      <x:c r="L1477" s="9" t="n">
        <x:f>I1477*(1-0.40)-J1477</x:f>
        <x:v>2.7888888888888888</x:v>
      </x:c>
      <x:c r="M1477" s="9" t="n">
        <x:f>'Physical_Arcs'!S37</x:f>
        <x:v>6.972222222222222</x:v>
      </x:c>
      <x:c r="N1477" s="9" t="n">
        <x:f>M1477*'Parameters'!$C$18</x:f>
        <x:v>1.3944444444444446</x:v>
      </x:c>
      <x:c r="O1477" s="9" t="n">
        <x:f>N1477*'Parameters'!$C$19</x:f>
        <x:v>1.7430555555555558</x:v>
      </x:c>
      <x:c r="P1477" s="9" t="n">
        <x:f>M1477*(1-0.40)-N1477</x:f>
        <x:v>2.7888888888888888</x:v>
      </x:c>
      <x:c r="Q1477" s="9" t="n">
        <x:f>'Physical_Arcs'!T37</x:f>
        <x:v>3.5</x:v>
      </x:c>
      <x:c r="R1477" s="9" t="n">
        <x:f>Q1477*'Parameters'!$C$18</x:f>
        <x:v>0.7000000000000001</x:v>
      </x:c>
      <x:c r="S1477" s="9" t="n">
        <x:f>R1477*'Parameters'!$C$19</x:f>
        <x:v>0.8750000000000001</x:v>
      </x:c>
      <x:c r="T1477" s="9" t="n">
        <x:f>Q1477*(1-0.40)-R1477</x:f>
        <x:v>1.4</x:v>
      </x:c>
    </x:row>
    <x:row r="1478" ht="21" customHeight="1">
      <x:c r="A1478" s="3" t="n">
        <x:v>24</x:v>
      </x:c>
      <x:c r="B1478" s="3" t="str">
        <x:v>04:00</x:v>
      </x:c>
      <x:c r="C1478" s="3" t="n">
        <x:v>5</x:v>
      </x:c>
      <x:c r="D1478" s="3" t="n">
        <x:v>37</x:v>
      </x:c>
      <x:c r="E1478" s="3" t="n">
        <x:v>6</x:v>
      </x:c>
      <x:c r="F1478" s="3" t="n">
        <x:v>1</x:v>
      </x:c>
      <x:c r="G1478" s="9" t="n">
        <x:v>0.1</x:v>
      </x:c>
      <x:c r="H1478" s="9" t="n">
        <x:v>1.020746</x:v>
      </x:c>
      <x:c r="I1478" s="9" t="n">
        <x:f>'Physical_Arcs'!R38</x:f>
        <x:v>6.305555555555555</x:v>
      </x:c>
      <x:c r="J1478" s="9" t="n">
        <x:f>I1478*'Parameters'!$C$18</x:f>
        <x:v>1.261111111111111</x:v>
      </x:c>
      <x:c r="K1478" s="9" t="n">
        <x:f>J1478*'Parameters'!$C$19</x:f>
        <x:v>1.5763888888888888</x:v>
      </x:c>
      <x:c r="L1478" s="9" t="n">
        <x:f>I1478*(1-0.40)-J1478</x:f>
        <x:v>2.522222222222222</x:v>
      </x:c>
      <x:c r="M1478" s="9" t="n">
        <x:f>'Physical_Arcs'!S38</x:f>
        <x:v>6.305555555555555</x:v>
      </x:c>
      <x:c r="N1478" s="9" t="n">
        <x:f>M1478*'Parameters'!$C$18</x:f>
        <x:v>1.261111111111111</x:v>
      </x:c>
      <x:c r="O1478" s="9" t="n">
        <x:f>N1478*'Parameters'!$C$19</x:f>
        <x:v>1.5763888888888888</x:v>
      </x:c>
      <x:c r="P1478" s="9" t="n">
        <x:f>M1478*(1-0.40)-N1478</x:f>
        <x:v>2.522222222222222</x:v>
      </x:c>
      <x:c r="Q1478" s="9" t="n">
        <x:f>'Physical_Arcs'!T38</x:f>
        <x:v>3.1666666666666665</x:v>
      </x:c>
      <x:c r="R1478" s="9" t="n">
        <x:f>Q1478*'Parameters'!$C$18</x:f>
        <x:v>0.6333333333333333</x:v>
      </x:c>
      <x:c r="S1478" s="9" t="n">
        <x:f>R1478*'Parameters'!$C$19</x:f>
        <x:v>0.7916666666666666</x:v>
      </x:c>
      <x:c r="T1478" s="9" t="n">
        <x:f>Q1478*(1-0.40)-R1478</x:f>
        <x:v>1.2666666666666666</x:v>
      </x:c>
    </x:row>
    <x:row r="1479" ht="21" customHeight="1">
      <x:c r="A1479" s="3" t="n">
        <x:v>24</x:v>
      </x:c>
      <x:c r="B1479" s="3" t="str">
        <x:v>04:00</x:v>
      </x:c>
      <x:c r="C1479" s="3" t="n">
        <x:v>5</x:v>
      </x:c>
      <x:c r="D1479" s="3" t="n">
        <x:v>38</x:v>
      </x:c>
      <x:c r="E1479" s="3" t="n">
        <x:v>6</x:v>
      </x:c>
      <x:c r="F1479" s="3" t="n">
        <x:v>3</x:v>
      </x:c>
      <x:c r="G1479" s="9" t="n">
        <x:v>0.1</x:v>
      </x:c>
      <x:c r="H1479" s="9" t="n">
        <x:v>1.149081</x:v>
      </x:c>
      <x:c r="I1479" s="9" t="n">
        <x:f>'Physical_Arcs'!R39</x:f>
        <x:v>1.9166666666666667</x:v>
      </x:c>
      <x:c r="J1479" s="9" t="n">
        <x:f>I1479*'Parameters'!$C$18</x:f>
        <x:v>0.38333333333333336</x:v>
      </x:c>
      <x:c r="K1479" s="9" t="n">
        <x:f>J1479*'Parameters'!$C$19</x:f>
        <x:v>0.4791666666666667</x:v>
      </x:c>
      <x:c r="L1479" s="9" t="n">
        <x:f>I1479*(1-0.40)-J1479</x:f>
        <x:v>0.7666666666666666</x:v>
      </x:c>
      <x:c r="M1479" s="9" t="n">
        <x:f>'Physical_Arcs'!S39</x:f>
        <x:v>1.9166666666666667</x:v>
      </x:c>
      <x:c r="N1479" s="9" t="n">
        <x:f>M1479*'Parameters'!$C$18</x:f>
        <x:v>0.38333333333333336</x:v>
      </x:c>
      <x:c r="O1479" s="9" t="n">
        <x:f>N1479*'Parameters'!$C$19</x:f>
        <x:v>0.4791666666666667</x:v>
      </x:c>
      <x:c r="P1479" s="9" t="n">
        <x:f>M1479*(1-0.40)-N1479</x:f>
        <x:v>0.7666666666666666</x:v>
      </x:c>
      <x:c r="Q1479" s="9" t="n">
        <x:f>'Physical_Arcs'!T39</x:f>
        <x:v>0.9722222222222222</x:v>
      </x:c>
      <x:c r="R1479" s="9" t="n">
        <x:f>Q1479*'Parameters'!$C$18</x:f>
        <x:v>0.19444444444444445</x:v>
      </x:c>
      <x:c r="S1479" s="9" t="n">
        <x:f>R1479*'Parameters'!$C$19</x:f>
        <x:v>0.24305555555555555</x:v>
      </x:c>
      <x:c r="T1479" s="9" t="n">
        <x:f>Q1479*(1-0.40)-R1479</x:f>
        <x:v>0.38888888888888884</x:v>
      </x:c>
    </x:row>
    <x:row r="1480" ht="21" customHeight="1">
      <x:c r="A1480" s="3" t="n">
        <x:v>24</x:v>
      </x:c>
      <x:c r="B1480" s="3" t="str">
        <x:v>04:00</x:v>
      </x:c>
      <x:c r="C1480" s="3" t="n">
        <x:v>5</x:v>
      </x:c>
      <x:c r="D1480" s="3" t="n">
        <x:v>39</x:v>
      </x:c>
      <x:c r="E1480" s="3" t="n">
        <x:v>7</x:v>
      </x:c>
      <x:c r="F1480" s="3" t="n">
        <x:v>8</x:v>
      </x:c>
      <x:c r="G1480" s="9" t="n">
        <x:v>0.1</x:v>
      </x:c>
      <x:c r="H1480" s="9" t="n">
        <x:v>1.003268</x:v>
      </x:c>
      <x:c r="I1480" s="9" t="n">
        <x:f>'Physical_Arcs'!R40</x:f>
        <x:v>17.02777777777778</x:v>
      </x:c>
      <x:c r="J1480" s="9" t="n">
        <x:f>I1480*'Parameters'!$C$18</x:f>
        <x:v>3.405555555555556</x:v>
      </x:c>
      <x:c r="K1480" s="9" t="n">
        <x:f>J1480*'Parameters'!$C$19</x:f>
        <x:v>4.256944444444445</x:v>
      </x:c>
      <x:c r="L1480" s="9" t="n">
        <x:f>I1480*(1-0.40)-J1480</x:f>
        <x:v>6.811111111111111</x:v>
      </x:c>
      <x:c r="M1480" s="9" t="n">
        <x:f>'Physical_Arcs'!S40</x:f>
        <x:v>17.02777777777778</x:v>
      </x:c>
      <x:c r="N1480" s="9" t="n">
        <x:f>M1480*'Parameters'!$C$18</x:f>
        <x:v>3.405555555555556</x:v>
      </x:c>
      <x:c r="O1480" s="9" t="n">
        <x:f>N1480*'Parameters'!$C$19</x:f>
        <x:v>4.256944444444445</x:v>
      </x:c>
      <x:c r="P1480" s="9" t="n">
        <x:f>M1480*(1-0.40)-N1480</x:f>
        <x:v>6.811111111111111</x:v>
      </x:c>
      <x:c r="Q1480" s="9" t="n">
        <x:f>'Physical_Arcs'!T40</x:f>
        <x:v>17.02777777777778</x:v>
      </x:c>
      <x:c r="R1480" s="9" t="n">
        <x:f>Q1480*'Parameters'!$C$18</x:f>
        <x:v>3.405555555555556</x:v>
      </x:c>
      <x:c r="S1480" s="9" t="n">
        <x:f>R1480*'Parameters'!$C$19</x:f>
        <x:v>4.256944444444445</x:v>
      </x:c>
      <x:c r="T1480" s="9" t="n">
        <x:f>Q1480*(1-0.40)-R1480</x:f>
        <x:v>6.811111111111111</x:v>
      </x:c>
    </x:row>
    <x:row r="1481" ht="21" customHeight="1">
      <x:c r="A1481" s="3" t="n">
        <x:v>24</x:v>
      </x:c>
      <x:c r="B1481" s="3" t="str">
        <x:v>04:00</x:v>
      </x:c>
      <x:c r="C1481" s="3" t="n">
        <x:v>5</x:v>
      </x:c>
      <x:c r="D1481" s="3" t="n">
        <x:v>40</x:v>
      </x:c>
      <x:c r="E1481" s="3" t="n">
        <x:v>7</x:v>
      </x:c>
      <x:c r="F1481" s="3" t="n">
        <x:v>1</x:v>
      </x:c>
      <x:c r="G1481" s="9" t="n">
        <x:v>0.1</x:v>
      </x:c>
      <x:c r="H1481" s="9" t="n">
        <x:v>1.057592</x:v>
      </x:c>
      <x:c r="I1481" s="9" t="n">
        <x:f>'Physical_Arcs'!R41</x:f>
        <x:v>7.972222222222222</x:v>
      </x:c>
      <x:c r="J1481" s="9" t="n">
        <x:f>I1481*'Parameters'!$C$18</x:f>
        <x:v>1.5944444444444446</x:v>
      </x:c>
      <x:c r="K1481" s="9" t="n">
        <x:f>J1481*'Parameters'!$C$19</x:f>
        <x:v>1.9930555555555558</x:v>
      </x:c>
      <x:c r="L1481" s="9" t="n">
        <x:f>I1481*(1-0.40)-J1481</x:f>
        <x:v>3.1888888888888887</x:v>
      </x:c>
      <x:c r="M1481" s="9" t="n">
        <x:f>'Physical_Arcs'!S41</x:f>
        <x:v>7.972222222222222</x:v>
      </x:c>
      <x:c r="N1481" s="9" t="n">
        <x:f>M1481*'Parameters'!$C$18</x:f>
        <x:v>1.5944444444444446</x:v>
      </x:c>
      <x:c r="O1481" s="9" t="n">
        <x:f>N1481*'Parameters'!$C$19</x:f>
        <x:v>1.9930555555555558</x:v>
      </x:c>
      <x:c r="P1481" s="9" t="n">
        <x:f>M1481*(1-0.40)-N1481</x:f>
        <x:v>3.1888888888888887</x:v>
      </x:c>
      <x:c r="Q1481" s="9" t="n">
        <x:f>'Physical_Arcs'!T41</x:f>
        <x:v>4</x:v>
      </x:c>
      <x:c r="R1481" s="9" t="n">
        <x:f>Q1481*'Parameters'!$C$18</x:f>
        <x:v>0.8</x:v>
      </x:c>
      <x:c r="S1481" s="9" t="n">
        <x:f>R1481*'Parameters'!$C$19</x:f>
        <x:v>1</x:v>
      </x:c>
      <x:c r="T1481" s="9" t="n">
        <x:f>Q1481*(1-0.40)-R1481</x:f>
        <x:v>1.5999999999999999</x:v>
      </x:c>
    </x:row>
    <x:row r="1482" ht="21" customHeight="1">
      <x:c r="A1482" s="3" t="n">
        <x:v>24</x:v>
      </x:c>
      <x:c r="B1482" s="3" t="str">
        <x:v>04:00</x:v>
      </x:c>
      <x:c r="C1482" s="3" t="n">
        <x:v>5</x:v>
      </x:c>
      <x:c r="D1482" s="3" t="n">
        <x:v>41</x:v>
      </x:c>
      <x:c r="E1482" s="3" t="n">
        <x:v>7</x:v>
      </x:c>
      <x:c r="F1482" s="3" t="n">
        <x:v>9</x:v>
      </x:c>
      <x:c r="G1482" s="9" t="n">
        <x:v>0.1</x:v>
      </x:c>
      <x:c r="H1482" s="9" t="n">
        <x:v>1.14801</x:v>
      </x:c>
      <x:c r="I1482" s="9" t="n">
        <x:f>'Physical_Arcs'!R42</x:f>
        <x:v>8.88888888888889</x:v>
      </x:c>
      <x:c r="J1482" s="9" t="n">
        <x:f>I1482*'Parameters'!$C$18</x:f>
        <x:v>1.777777777777778</x:v>
      </x:c>
      <x:c r="K1482" s="9" t="n">
        <x:f>J1482*'Parameters'!$C$19</x:f>
        <x:v>2.2222222222222223</x:v>
      </x:c>
      <x:c r="L1482" s="9" t="n">
        <x:f>I1482*(1-0.40)-J1482</x:f>
        <x:v>3.5555555555555554</x:v>
      </x:c>
      <x:c r="M1482" s="9" t="n">
        <x:f>'Physical_Arcs'!S42</x:f>
        <x:v>8.88888888888889</x:v>
      </x:c>
      <x:c r="N1482" s="9" t="n">
        <x:f>M1482*'Parameters'!$C$18</x:f>
        <x:v>1.777777777777778</x:v>
      </x:c>
      <x:c r="O1482" s="9" t="n">
        <x:f>N1482*'Parameters'!$C$19</x:f>
        <x:v>2.2222222222222223</x:v>
      </x:c>
      <x:c r="P1482" s="9" t="n">
        <x:f>M1482*(1-0.40)-N1482</x:f>
        <x:v>3.5555555555555554</x:v>
      </x:c>
      <x:c r="Q1482" s="9" t="n">
        <x:f>'Physical_Arcs'!T42</x:f>
        <x:v>4.444444444444445</x:v>
      </x:c>
      <x:c r="R1482" s="9" t="n">
        <x:f>Q1482*'Parameters'!$C$18</x:f>
        <x:v>0.888888888888889</x:v>
      </x:c>
      <x:c r="S1482" s="9" t="n">
        <x:f>R1482*'Parameters'!$C$19</x:f>
        <x:v>1.1111111111111112</x:v>
      </x:c>
      <x:c r="T1482" s="9" t="n">
        <x:f>Q1482*(1-0.40)-R1482</x:f>
        <x:v>1.7777777777777777</x:v>
      </x:c>
    </x:row>
    <x:row r="1483" ht="21" customHeight="1">
      <x:c r="A1483" s="3" t="n">
        <x:v>24</x:v>
      </x:c>
      <x:c r="B1483" s="3" t="str">
        <x:v>04:00</x:v>
      </x:c>
      <x:c r="C1483" s="3" t="n">
        <x:v>5</x:v>
      </x:c>
      <x:c r="D1483" s="3" t="n">
        <x:v>42</x:v>
      </x:c>
      <x:c r="E1483" s="3" t="n">
        <x:v>7</x:v>
      </x:c>
      <x:c r="F1483" s="3" t="n">
        <x:v>2</x:v>
      </x:c>
      <x:c r="G1483" s="9" t="n">
        <x:v>0.1</x:v>
      </x:c>
      <x:c r="H1483" s="9" t="n">
        <x:v>0.989237</x:v>
      </x:c>
      <x:c r="I1483" s="9" t="n">
        <x:f>'Physical_Arcs'!R43</x:f>
        <x:v>9</x:v>
      </x:c>
      <x:c r="J1483" s="9" t="n">
        <x:f>I1483*'Parameters'!$C$18</x:f>
        <x:v>1.8</x:v>
      </x:c>
      <x:c r="K1483" s="9" t="n">
        <x:f>J1483*'Parameters'!$C$19</x:f>
        <x:v>2.25</x:v>
      </x:c>
      <x:c r="L1483" s="9" t="n">
        <x:f>I1483*(1-0.40)-J1483</x:f>
        <x:v>3.5999999999999996</x:v>
      </x:c>
      <x:c r="M1483" s="9" t="n">
        <x:f>'Physical_Arcs'!S43</x:f>
        <x:v>9</x:v>
      </x:c>
      <x:c r="N1483" s="9" t="n">
        <x:f>M1483*'Parameters'!$C$18</x:f>
        <x:v>1.8</x:v>
      </x:c>
      <x:c r="O1483" s="9" t="n">
        <x:f>N1483*'Parameters'!$C$19</x:f>
        <x:v>2.25</x:v>
      </x:c>
      <x:c r="P1483" s="9" t="n">
        <x:f>M1483*(1-0.40)-N1483</x:f>
        <x:v>3.5999999999999996</x:v>
      </x:c>
      <x:c r="Q1483" s="9" t="n">
        <x:f>'Physical_Arcs'!T43</x:f>
        <x:v>4.5</x:v>
      </x:c>
      <x:c r="R1483" s="9" t="n">
        <x:f>Q1483*'Parameters'!$C$18</x:f>
        <x:v>0.9</x:v>
      </x:c>
      <x:c r="S1483" s="9" t="n">
        <x:f>R1483*'Parameters'!$C$19</x:f>
        <x:v>1.125</x:v>
      </x:c>
      <x:c r="T1483" s="9" t="n">
        <x:f>Q1483*(1-0.40)-R1483</x:f>
        <x:v>1.7999999999999998</x:v>
      </x:c>
    </x:row>
    <x:row r="1484" ht="21" customHeight="1">
      <x:c r="A1484" s="3" t="n">
        <x:v>24</x:v>
      </x:c>
      <x:c r="B1484" s="3" t="str">
        <x:v>04:00</x:v>
      </x:c>
      <x:c r="C1484" s="3" t="n">
        <x:v>5</x:v>
      </x:c>
      <x:c r="D1484" s="3" t="n">
        <x:v>43</x:v>
      </x:c>
      <x:c r="E1484" s="3" t="n">
        <x:v>7</x:v>
      </x:c>
      <x:c r="F1484" s="3" t="n">
        <x:v>3</x:v>
      </x:c>
      <x:c r="G1484" s="9" t="n">
        <x:v>0.1</x:v>
      </x:c>
      <x:c r="H1484" s="9" t="n">
        <x:v>1.050432</x:v>
      </x:c>
      <x:c r="I1484" s="9" t="n">
        <x:f>'Physical_Arcs'!R44</x:f>
        <x:v>7.638888888888889</x:v>
      </x:c>
      <x:c r="J1484" s="9" t="n">
        <x:f>I1484*'Parameters'!$C$18</x:f>
        <x:v>1.527777777777778</x:v>
      </x:c>
      <x:c r="K1484" s="9" t="n">
        <x:f>J1484*'Parameters'!$C$19</x:f>
        <x:v>1.9097222222222223</x:v>
      </x:c>
      <x:c r="L1484" s="9" t="n">
        <x:f>I1484*(1-0.40)-J1484</x:f>
        <x:v>3.0555555555555554</x:v>
      </x:c>
      <x:c r="M1484" s="9" t="n">
        <x:f>'Physical_Arcs'!S44</x:f>
        <x:v>7.638888888888889</x:v>
      </x:c>
      <x:c r="N1484" s="9" t="n">
        <x:f>M1484*'Parameters'!$C$18</x:f>
        <x:v>1.527777777777778</x:v>
      </x:c>
      <x:c r="O1484" s="9" t="n">
        <x:f>N1484*'Parameters'!$C$19</x:f>
        <x:v>1.9097222222222223</x:v>
      </x:c>
      <x:c r="P1484" s="9" t="n">
        <x:f>M1484*(1-0.40)-N1484</x:f>
        <x:v>3.0555555555555554</x:v>
      </x:c>
      <x:c r="Q1484" s="9" t="n">
        <x:f>'Physical_Arcs'!T44</x:f>
        <x:v>3.8333333333333335</x:v>
      </x:c>
      <x:c r="R1484" s="9" t="n">
        <x:f>Q1484*'Parameters'!$C$18</x:f>
        <x:v>0.7666666666666667</x:v>
      </x:c>
      <x:c r="S1484" s="9" t="n">
        <x:f>R1484*'Parameters'!$C$19</x:f>
        <x:v>0.9583333333333334</x:v>
      </x:c>
      <x:c r="T1484" s="9" t="n">
        <x:f>Q1484*(1-0.40)-R1484</x:f>
        <x:v>1.5333333333333332</x:v>
      </x:c>
    </x:row>
    <x:row r="1485" ht="21" customHeight="1">
      <x:c r="A1485" s="3" t="n">
        <x:v>24</x:v>
      </x:c>
      <x:c r="B1485" s="3" t="str">
        <x:v>04:00</x:v>
      </x:c>
      <x:c r="C1485" s="3" t="n">
        <x:v>5</x:v>
      </x:c>
      <x:c r="D1485" s="3" t="n">
        <x:v>44</x:v>
      </x:c>
      <x:c r="E1485" s="3" t="n">
        <x:v>8</x:v>
      </x:c>
      <x:c r="F1485" s="3" t="n">
        <x:v>9</x:v>
      </x:c>
      <x:c r="G1485" s="9" t="n">
        <x:v>0.1</x:v>
      </x:c>
      <x:c r="H1485" s="9" t="n">
        <x:v>0.868101</x:v>
      </x:c>
      <x:c r="I1485" s="9" t="n">
        <x:f>'Physical_Arcs'!R45</x:f>
        <x:v>17.02777777777778</x:v>
      </x:c>
      <x:c r="J1485" s="9" t="n">
        <x:f>I1485*'Parameters'!$C$18</x:f>
        <x:v>3.405555555555556</x:v>
      </x:c>
      <x:c r="K1485" s="9" t="n">
        <x:f>J1485*'Parameters'!$C$19</x:f>
        <x:v>4.256944444444445</x:v>
      </x:c>
      <x:c r="L1485" s="9" t="n">
        <x:f>I1485*(1-0.40)-J1485</x:f>
        <x:v>6.811111111111111</x:v>
      </x:c>
      <x:c r="M1485" s="9" t="n">
        <x:f>'Physical_Arcs'!S45</x:f>
        <x:v>17.02777777777778</x:v>
      </x:c>
      <x:c r="N1485" s="9" t="n">
        <x:f>M1485*'Parameters'!$C$18</x:f>
        <x:v>3.405555555555556</x:v>
      </x:c>
      <x:c r="O1485" s="9" t="n">
        <x:f>N1485*'Parameters'!$C$19</x:f>
        <x:v>4.256944444444445</x:v>
      </x:c>
      <x:c r="P1485" s="9" t="n">
        <x:f>M1485*(1-0.40)-N1485</x:f>
        <x:v>6.811111111111111</x:v>
      </x:c>
      <x:c r="Q1485" s="9" t="n">
        <x:f>'Physical_Arcs'!T45</x:f>
        <x:v>17.02777777777778</x:v>
      </x:c>
      <x:c r="R1485" s="9" t="n">
        <x:f>Q1485*'Parameters'!$C$18</x:f>
        <x:v>3.405555555555556</x:v>
      </x:c>
      <x:c r="S1485" s="9" t="n">
        <x:f>R1485*'Parameters'!$C$19</x:f>
        <x:v>4.256944444444445</x:v>
      </x:c>
      <x:c r="T1485" s="9" t="n">
        <x:f>Q1485*(1-0.40)-R1485</x:f>
        <x:v>6.811111111111111</x:v>
      </x:c>
    </x:row>
    <x:row r="1486" ht="21" customHeight="1">
      <x:c r="A1486" s="3" t="n">
        <x:v>24</x:v>
      </x:c>
      <x:c r="B1486" s="3" t="str">
        <x:v>04:00</x:v>
      </x:c>
      <x:c r="C1486" s="3" t="n">
        <x:v>5</x:v>
      </x:c>
      <x:c r="D1486" s="3" t="n">
        <x:v>45</x:v>
      </x:c>
      <x:c r="E1486" s="3" t="n">
        <x:v>8</x:v>
      </x:c>
      <x:c r="F1486" s="3" t="n">
        <x:v>3</x:v>
      </x:c>
      <x:c r="G1486" s="9" t="n">
        <x:v>0.1</x:v>
      </x:c>
      <x:c r="H1486" s="9" t="n">
        <x:v>0.944958</x:v>
      </x:c>
      <x:c r="I1486" s="9" t="n">
        <x:f>'Physical_Arcs'!R46</x:f>
        <x:v>5.388888888888889</x:v>
      </x:c>
      <x:c r="J1486" s="9" t="n">
        <x:f>I1486*'Parameters'!$C$18</x:f>
        <x:v>1.077777777777778</x:v>
      </x:c>
      <x:c r="K1486" s="9" t="n">
        <x:f>J1486*'Parameters'!$C$19</x:f>
        <x:v>1.3472222222222223</x:v>
      </x:c>
      <x:c r="L1486" s="9" t="n">
        <x:f>I1486*(1-0.40)-J1486</x:f>
        <x:v>2.1555555555555554</x:v>
      </x:c>
      <x:c r="M1486" s="9" t="n">
        <x:f>'Physical_Arcs'!S46</x:f>
        <x:v>5.388888888888889</x:v>
      </x:c>
      <x:c r="N1486" s="9" t="n">
        <x:f>M1486*'Parameters'!$C$18</x:f>
        <x:v>1.077777777777778</x:v>
      </x:c>
      <x:c r="O1486" s="9" t="n">
        <x:f>N1486*'Parameters'!$C$19</x:f>
        <x:v>1.3472222222222223</x:v>
      </x:c>
      <x:c r="P1486" s="9" t="n">
        <x:f>M1486*(1-0.40)-N1486</x:f>
        <x:v>2.1555555555555554</x:v>
      </x:c>
      <x:c r="Q1486" s="9" t="n">
        <x:f>'Physical_Arcs'!T46</x:f>
        <x:v>2.6944444444444446</x:v>
      </x:c>
      <x:c r="R1486" s="9" t="n">
        <x:f>Q1486*'Parameters'!$C$18</x:f>
        <x:v>0.538888888888889</x:v>
      </x:c>
      <x:c r="S1486" s="9" t="n">
        <x:f>R1486*'Parameters'!$C$19</x:f>
        <x:v>0.6736111111111112</x:v>
      </x:c>
      <x:c r="T1486" s="9" t="n">
        <x:f>Q1486*(1-0.40)-R1486</x:f>
        <x:v>1.0777777777777777</x:v>
      </x:c>
    </x:row>
    <x:row r="1487" ht="21" customHeight="1">
      <x:c r="A1487" s="3" t="n">
        <x:v>24</x:v>
      </x:c>
      <x:c r="B1487" s="3" t="str">
        <x:v>04:00</x:v>
      </x:c>
      <x:c r="C1487" s="3" t="n">
        <x:v>5</x:v>
      </x:c>
      <x:c r="D1487" s="3" t="n">
        <x:v>46</x:v>
      </x:c>
      <x:c r="E1487" s="3" t="n">
        <x:v>8</x:v>
      </x:c>
      <x:c r="F1487" s="3" t="n">
        <x:v>7</x:v>
      </x:c>
      <x:c r="G1487" s="9" t="n">
        <x:v>0.1</x:v>
      </x:c>
      <x:c r="H1487" s="9" t="n">
        <x:v>0.866232</x:v>
      </x:c>
      <x:c r="I1487" s="9" t="n">
        <x:f>'Physical_Arcs'!R47</x:f>
        <x:v>5.388888888888889</x:v>
      </x:c>
      <x:c r="J1487" s="9" t="n">
        <x:f>I1487*'Parameters'!$C$18</x:f>
        <x:v>1.077777777777778</x:v>
      </x:c>
      <x:c r="K1487" s="9" t="n">
        <x:f>J1487*'Parameters'!$C$19</x:f>
        <x:v>1.3472222222222223</x:v>
      </x:c>
      <x:c r="L1487" s="9" t="n">
        <x:f>I1487*(1-0.40)-J1487</x:f>
        <x:v>2.1555555555555554</x:v>
      </x:c>
      <x:c r="M1487" s="9" t="n">
        <x:f>'Physical_Arcs'!S47</x:f>
        <x:v>5.388888888888889</x:v>
      </x:c>
      <x:c r="N1487" s="9" t="n">
        <x:f>M1487*'Parameters'!$C$18</x:f>
        <x:v>1.077777777777778</x:v>
      </x:c>
      <x:c r="O1487" s="9" t="n">
        <x:f>N1487*'Parameters'!$C$19</x:f>
        <x:v>1.3472222222222223</x:v>
      </x:c>
      <x:c r="P1487" s="9" t="n">
        <x:f>M1487*(1-0.40)-N1487</x:f>
        <x:v>2.1555555555555554</x:v>
      </x:c>
      <x:c r="Q1487" s="9" t="n">
        <x:f>'Physical_Arcs'!T47</x:f>
        <x:v>2.6944444444444446</x:v>
      </x:c>
      <x:c r="R1487" s="9" t="n">
        <x:f>Q1487*'Parameters'!$C$18</x:f>
        <x:v>0.538888888888889</x:v>
      </x:c>
      <x:c r="S1487" s="9" t="n">
        <x:f>R1487*'Parameters'!$C$19</x:f>
        <x:v>0.6736111111111112</x:v>
      </x:c>
      <x:c r="T1487" s="9" t="n">
        <x:f>Q1487*(1-0.40)-R1487</x:f>
        <x:v>1.0777777777777777</x:v>
      </x:c>
    </x:row>
    <x:row r="1488" ht="21" customHeight="1">
      <x:c r="A1488" s="3" t="n">
        <x:v>24</x:v>
      </x:c>
      <x:c r="B1488" s="3" t="str">
        <x:v>04:00</x:v>
      </x:c>
      <x:c r="C1488" s="3" t="n">
        <x:v>5</x:v>
      </x:c>
      <x:c r="D1488" s="3" t="n">
        <x:v>47</x:v>
      </x:c>
      <x:c r="E1488" s="3" t="n">
        <x:v>8</x:v>
      </x:c>
      <x:c r="F1488" s="3" t="n">
        <x:v>2</x:v>
      </x:c>
      <x:c r="G1488" s="9" t="n">
        <x:v>0.1</x:v>
      </x:c>
      <x:c r="H1488" s="9" t="n">
        <x:v>1.135644</x:v>
      </x:c>
      <x:c r="I1488" s="9" t="n">
        <x:f>'Physical_Arcs'!R48</x:f>
        <x:v>8.083333333333334</x:v>
      </x:c>
      <x:c r="J1488" s="9" t="n">
        <x:f>I1488*'Parameters'!$C$18</x:f>
        <x:v>1.616666666666667</x:v>
      </x:c>
      <x:c r="K1488" s="9" t="n">
        <x:f>J1488*'Parameters'!$C$19</x:f>
        <x:v>2.0208333333333335</x:v>
      </x:c>
      <x:c r="L1488" s="9" t="n">
        <x:f>I1488*(1-0.40)-J1488</x:f>
        <x:v>3.2333333333333334</x:v>
      </x:c>
      <x:c r="M1488" s="9" t="n">
        <x:f>'Physical_Arcs'!S48</x:f>
        <x:v>8.083333333333334</x:v>
      </x:c>
      <x:c r="N1488" s="9" t="n">
        <x:f>M1488*'Parameters'!$C$18</x:f>
        <x:v>1.616666666666667</x:v>
      </x:c>
      <x:c r="O1488" s="9" t="n">
        <x:f>N1488*'Parameters'!$C$19</x:f>
        <x:v>2.0208333333333335</x:v>
      </x:c>
      <x:c r="P1488" s="9" t="n">
        <x:f>M1488*(1-0.40)-N1488</x:f>
        <x:v>3.2333333333333334</x:v>
      </x:c>
      <x:c r="Q1488" s="9" t="n">
        <x:f>'Physical_Arcs'!T48</x:f>
        <x:v>4.055555555555555</x:v>
      </x:c>
      <x:c r="R1488" s="9" t="n">
        <x:f>Q1488*'Parameters'!$C$18</x:f>
        <x:v>0.8111111111111111</x:v>
      </x:c>
      <x:c r="S1488" s="9" t="n">
        <x:f>R1488*'Parameters'!$C$19</x:f>
        <x:v>1.0138888888888888</x:v>
      </x:c>
      <x:c r="T1488" s="9" t="n">
        <x:f>Q1488*(1-0.40)-R1488</x:f>
        <x:v>1.622222222222222</x:v>
      </x:c>
    </x:row>
    <x:row r="1489" ht="21" customHeight="1">
      <x:c r="A1489" s="3" t="n">
        <x:v>24</x:v>
      </x:c>
      <x:c r="B1489" s="3" t="str">
        <x:v>04:00</x:v>
      </x:c>
      <x:c r="C1489" s="3" t="n">
        <x:v>5</x:v>
      </x:c>
      <x:c r="D1489" s="3" t="n">
        <x:v>48</x:v>
      </x:c>
      <x:c r="E1489" s="3" t="n">
        <x:v>8</x:v>
      </x:c>
      <x:c r="F1489" s="3" t="n">
        <x:v>6</x:v>
      </x:c>
      <x:c r="G1489" s="9" t="n">
        <x:v>0.1</x:v>
      </x:c>
      <x:c r="H1489" s="9" t="n">
        <x:v>0.850778</x:v>
      </x:c>
      <x:c r="I1489" s="9" t="n">
        <x:f>'Physical_Arcs'!R49</x:f>
        <x:v>10.555555555555555</x:v>
      </x:c>
      <x:c r="J1489" s="9" t="n">
        <x:f>I1489*'Parameters'!$C$18</x:f>
        <x:v>2.111111111111111</x:v>
      </x:c>
      <x:c r="K1489" s="9" t="n">
        <x:f>J1489*'Parameters'!$C$19</x:f>
        <x:v>2.638888888888889</x:v>
      </x:c>
      <x:c r="L1489" s="9" t="n">
        <x:f>I1489*(1-0.40)-J1489</x:f>
        <x:v>4.222222222222221</x:v>
      </x:c>
      <x:c r="M1489" s="9" t="n">
        <x:f>'Physical_Arcs'!S49</x:f>
        <x:v>10.555555555555555</x:v>
      </x:c>
      <x:c r="N1489" s="9" t="n">
        <x:f>M1489*'Parameters'!$C$18</x:f>
        <x:v>2.111111111111111</x:v>
      </x:c>
      <x:c r="O1489" s="9" t="n">
        <x:f>N1489*'Parameters'!$C$19</x:f>
        <x:v>2.638888888888889</x:v>
      </x:c>
      <x:c r="P1489" s="9" t="n">
        <x:f>M1489*(1-0.40)-N1489</x:f>
        <x:v>4.222222222222221</x:v>
      </x:c>
      <x:c r="Q1489" s="9" t="n">
        <x:f>'Physical_Arcs'!T49</x:f>
        <x:v>5.277777777777778</x:v>
      </x:c>
      <x:c r="R1489" s="9" t="n">
        <x:f>Q1489*'Parameters'!$C$18</x:f>
        <x:v>1.0555555555555556</x:v>
      </x:c>
      <x:c r="S1489" s="9" t="n">
        <x:f>R1489*'Parameters'!$C$19</x:f>
        <x:v>1.3194444444444444</x:v>
      </x:c>
      <x:c r="T1489" s="9" t="n">
        <x:f>Q1489*(1-0.40)-R1489</x:f>
        <x:v>2.1111111111111107</x:v>
      </x:c>
    </x:row>
    <x:row r="1490" ht="21" customHeight="1">
      <x:c r="A1490" s="3" t="n">
        <x:v>24</x:v>
      </x:c>
      <x:c r="B1490" s="3" t="str">
        <x:v>04:00</x:v>
      </x:c>
      <x:c r="C1490" s="3" t="n">
        <x:v>5</x:v>
      </x:c>
      <x:c r="D1490" s="3" t="n">
        <x:v>49</x:v>
      </x:c>
      <x:c r="E1490" s="3" t="n">
        <x:v>8</x:v>
      </x:c>
      <x:c r="F1490" s="3" t="n">
        <x:v>4</x:v>
      </x:c>
      <x:c r="G1490" s="9" t="n">
        <x:v>0.1</x:v>
      </x:c>
      <x:c r="H1490" s="9" t="n">
        <x:v>0.904949</x:v>
      </x:c>
      <x:c r="I1490" s="9" t="n">
        <x:f>'Physical_Arcs'!R50</x:f>
        <x:v>1.5833333333333333</x:v>
      </x:c>
      <x:c r="J1490" s="9" t="n">
        <x:f>I1490*'Parameters'!$C$18</x:f>
        <x:v>0.31666666666666665</x:v>
      </x:c>
      <x:c r="K1490" s="9" t="n">
        <x:f>J1490*'Parameters'!$C$19</x:f>
        <x:v>0.3958333333333333</x:v>
      </x:c>
      <x:c r="L1490" s="9" t="n">
        <x:f>I1490*(1-0.40)-J1490</x:f>
        <x:v>0.6333333333333333</x:v>
      </x:c>
      <x:c r="M1490" s="9" t="n">
        <x:f>'Physical_Arcs'!S50</x:f>
        <x:v>1.5833333333333333</x:v>
      </x:c>
      <x:c r="N1490" s="9" t="n">
        <x:f>M1490*'Parameters'!$C$18</x:f>
        <x:v>0.31666666666666665</x:v>
      </x:c>
      <x:c r="O1490" s="9" t="n">
        <x:f>N1490*'Parameters'!$C$19</x:f>
        <x:v>0.3958333333333333</x:v>
      </x:c>
      <x:c r="P1490" s="9" t="n">
        <x:f>M1490*(1-0.40)-N1490</x:f>
        <x:v>0.6333333333333333</x:v>
      </x:c>
      <x:c r="Q1490" s="9" t="n">
        <x:f>'Physical_Arcs'!T50</x:f>
        <x:v>0.8055555555555556</x:v>
      </x:c>
      <x:c r="R1490" s="9" t="n">
        <x:f>Q1490*'Parameters'!$C$18</x:f>
        <x:v>0.16111111111111112</x:v>
      </x:c>
      <x:c r="S1490" s="9" t="n">
        <x:f>R1490*'Parameters'!$C$19</x:f>
        <x:v>0.2013888888888889</x:v>
      </x:c>
      <x:c r="T1490" s="9" t="n">
        <x:f>Q1490*(1-0.40)-R1490</x:f>
        <x:v>0.3222222222222222</x:v>
      </x:c>
    </x:row>
    <x:row r="1491" ht="21" customHeight="1">
      <x:c r="A1491" s="3" t="n">
        <x:v>24</x:v>
      </x:c>
      <x:c r="B1491" s="3" t="str">
        <x:v>04:00</x:v>
      </x:c>
      <x:c r="C1491" s="3" t="n">
        <x:v>5</x:v>
      </x:c>
      <x:c r="D1491" s="3" t="n">
        <x:v>50</x:v>
      </x:c>
      <x:c r="E1491" s="3" t="n">
        <x:v>8</x:v>
      </x:c>
      <x:c r="F1491" s="3" t="n">
        <x:v>5</x:v>
      </x:c>
      <x:c r="G1491" s="9" t="n">
        <x:v>0.1</x:v>
      </x:c>
      <x:c r="H1491" s="9" t="n">
        <x:v>0.990416</x:v>
      </x:c>
      <x:c r="I1491" s="9" t="n">
        <x:f>'Physical_Arcs'!R51</x:f>
        <x:v>10.777777777777779</x:v>
      </x:c>
      <x:c r="J1491" s="9" t="n">
        <x:f>I1491*'Parameters'!$C$18</x:f>
        <x:v>2.155555555555556</x:v>
      </x:c>
      <x:c r="K1491" s="9" t="n">
        <x:f>J1491*'Parameters'!$C$19</x:f>
        <x:v>2.6944444444444446</x:v>
      </x:c>
      <x:c r="L1491" s="9" t="n">
        <x:f>I1491*(1-0.40)-J1491</x:f>
        <x:v>4.311111111111111</x:v>
      </x:c>
      <x:c r="M1491" s="9" t="n">
        <x:f>'Physical_Arcs'!S51</x:f>
        <x:v>10.777777777777779</x:v>
      </x:c>
      <x:c r="N1491" s="9" t="n">
        <x:f>M1491*'Parameters'!$C$18</x:f>
        <x:v>2.155555555555556</x:v>
      </x:c>
      <x:c r="O1491" s="9" t="n">
        <x:f>N1491*'Parameters'!$C$19</x:f>
        <x:v>2.6944444444444446</x:v>
      </x:c>
      <x:c r="P1491" s="9" t="n">
        <x:f>M1491*(1-0.40)-N1491</x:f>
        <x:v>4.311111111111111</x:v>
      </x:c>
      <x:c r="Q1491" s="9" t="n">
        <x:f>'Physical_Arcs'!T51</x:f>
        <x:v>5.388888888888889</x:v>
      </x:c>
      <x:c r="R1491" s="9" t="n">
        <x:f>Q1491*'Parameters'!$C$18</x:f>
        <x:v>1.077777777777778</x:v>
      </x:c>
      <x:c r="S1491" s="9" t="n">
        <x:f>R1491*'Parameters'!$C$19</x:f>
        <x:v>1.3472222222222223</x:v>
      </x:c>
      <x:c r="T1491" s="9" t="n">
        <x:f>Q1491*(1-0.40)-R1491</x:f>
        <x:v>2.1555555555555554</x:v>
      </x:c>
    </x:row>
    <x:row r="1492" ht="21" customHeight="1">
      <x:c r="A1492" s="3" t="n">
        <x:v>24</x:v>
      </x:c>
      <x:c r="B1492" s="3" t="str">
        <x:v>04:00</x:v>
      </x:c>
      <x:c r="C1492" s="3" t="n">
        <x:v>5</x:v>
      </x:c>
      <x:c r="D1492" s="3" t="n">
        <x:v>51</x:v>
      </x:c>
      <x:c r="E1492" s="3" t="n">
        <x:v>8</x:v>
      </x:c>
      <x:c r="F1492" s="3" t="n">
        <x:v>1</x:v>
      </x:c>
      <x:c r="G1492" s="9" t="n">
        <x:v>0.1</x:v>
      </x:c>
      <x:c r="H1492" s="9" t="n">
        <x:v>1.039066</x:v>
      </x:c>
      <x:c r="I1492" s="9" t="n">
        <x:f>'Physical_Arcs'!R52</x:f>
        <x:v>8.88888888888889</x:v>
      </x:c>
      <x:c r="J1492" s="9" t="n">
        <x:f>I1492*'Parameters'!$C$18</x:f>
        <x:v>1.777777777777778</x:v>
      </x:c>
      <x:c r="K1492" s="9" t="n">
        <x:f>J1492*'Parameters'!$C$19</x:f>
        <x:v>2.2222222222222223</x:v>
      </x:c>
      <x:c r="L1492" s="9" t="n">
        <x:f>I1492*(1-0.40)-J1492</x:f>
        <x:v>3.5555555555555554</x:v>
      </x:c>
      <x:c r="M1492" s="9" t="n">
        <x:f>'Physical_Arcs'!S52</x:f>
        <x:v>8.88888888888889</x:v>
      </x:c>
      <x:c r="N1492" s="9" t="n">
        <x:f>M1492*'Parameters'!$C$18</x:f>
        <x:v>1.777777777777778</x:v>
      </x:c>
      <x:c r="O1492" s="9" t="n">
        <x:f>N1492*'Parameters'!$C$19</x:f>
        <x:v>2.2222222222222223</x:v>
      </x:c>
      <x:c r="P1492" s="9" t="n">
        <x:f>M1492*(1-0.40)-N1492</x:f>
        <x:v>3.5555555555555554</x:v>
      </x:c>
      <x:c r="Q1492" s="9" t="n">
        <x:f>'Physical_Arcs'!T52</x:f>
        <x:v>4.444444444444445</x:v>
      </x:c>
      <x:c r="R1492" s="9" t="n">
        <x:f>Q1492*'Parameters'!$C$18</x:f>
        <x:v>0.888888888888889</x:v>
      </x:c>
      <x:c r="S1492" s="9" t="n">
        <x:f>R1492*'Parameters'!$C$19</x:f>
        <x:v>1.1111111111111112</x:v>
      </x:c>
      <x:c r="T1492" s="9" t="n">
        <x:f>Q1492*(1-0.40)-R1492</x:f>
        <x:v>1.7777777777777777</x:v>
      </x:c>
    </x:row>
    <x:row r="1493" ht="21" customHeight="1">
      <x:c r="A1493" s="3" t="n">
        <x:v>24</x:v>
      </x:c>
      <x:c r="B1493" s="3" t="str">
        <x:v>04:00</x:v>
      </x:c>
      <x:c r="C1493" s="3" t="n">
        <x:v>5</x:v>
      </x:c>
      <x:c r="D1493" s="3" t="n">
        <x:v>52</x:v>
      </x:c>
      <x:c r="E1493" s="3" t="n">
        <x:v>9</x:v>
      </x:c>
      <x:c r="F1493" s="3" t="n">
        <x:v>10</x:v>
      </x:c>
      <x:c r="G1493" s="9" t="n">
        <x:v>0.1</x:v>
      </x:c>
      <x:c r="H1493" s="9" t="n">
        <x:v>0.954096</x:v>
      </x:c>
      <x:c r="I1493" s="9" t="n">
        <x:f>'Physical_Arcs'!R53</x:f>
        <x:v>17.02777777777778</x:v>
      </x:c>
      <x:c r="J1493" s="9" t="n">
        <x:f>I1493*'Parameters'!$C$18</x:f>
        <x:v>3.405555555555556</x:v>
      </x:c>
      <x:c r="K1493" s="9" t="n">
        <x:f>J1493*'Parameters'!$C$19</x:f>
        <x:v>4.256944444444445</x:v>
      </x:c>
      <x:c r="L1493" s="9" t="n">
        <x:f>I1493*(1-0.40)-J1493</x:f>
        <x:v>6.811111111111111</x:v>
      </x:c>
      <x:c r="M1493" s="9" t="n">
        <x:f>'Physical_Arcs'!S53</x:f>
        <x:v>17.02777777777778</x:v>
      </x:c>
      <x:c r="N1493" s="9" t="n">
        <x:f>M1493*'Parameters'!$C$18</x:f>
        <x:v>3.405555555555556</x:v>
      </x:c>
      <x:c r="O1493" s="9" t="n">
        <x:f>N1493*'Parameters'!$C$19</x:f>
        <x:v>4.256944444444445</x:v>
      </x:c>
      <x:c r="P1493" s="9" t="n">
        <x:f>M1493*(1-0.40)-N1493</x:f>
        <x:v>6.811111111111111</x:v>
      </x:c>
      <x:c r="Q1493" s="9" t="n">
        <x:f>'Physical_Arcs'!T53</x:f>
        <x:v>17.02777777777778</x:v>
      </x:c>
      <x:c r="R1493" s="9" t="n">
        <x:f>Q1493*'Parameters'!$C$18</x:f>
        <x:v>3.405555555555556</x:v>
      </x:c>
      <x:c r="S1493" s="9" t="n">
        <x:f>R1493*'Parameters'!$C$19</x:f>
        <x:v>4.256944444444445</x:v>
      </x:c>
      <x:c r="T1493" s="9" t="n">
        <x:f>Q1493*(1-0.40)-R1493</x:f>
        <x:v>6.811111111111111</x:v>
      </x:c>
    </x:row>
    <x:row r="1494" ht="21" customHeight="1">
      <x:c r="A1494" s="3" t="n">
        <x:v>24</x:v>
      </x:c>
      <x:c r="B1494" s="3" t="str">
        <x:v>04:00</x:v>
      </x:c>
      <x:c r="C1494" s="3" t="n">
        <x:v>5</x:v>
      </x:c>
      <x:c r="D1494" s="3" t="n">
        <x:v>53</x:v>
      </x:c>
      <x:c r="E1494" s="3" t="n">
        <x:v>9</x:v>
      </x:c>
      <x:c r="F1494" s="3" t="n">
        <x:v>6</x:v>
      </x:c>
      <x:c r="G1494" s="9" t="n">
        <x:v>0.1</x:v>
      </x:c>
      <x:c r="H1494" s="9" t="n">
        <x:v>1.125574</x:v>
      </x:c>
      <x:c r="I1494" s="9" t="n">
        <x:f>'Physical_Arcs'!R54</x:f>
        <x:v>9.666666666666666</x:v>
      </x:c>
      <x:c r="J1494" s="9" t="n">
        <x:f>I1494*'Parameters'!$C$18</x:f>
        <x:v>1.9333333333333333</x:v>
      </x:c>
      <x:c r="K1494" s="9" t="n">
        <x:f>J1494*'Parameters'!$C$19</x:f>
        <x:v>2.4166666666666665</x:v>
      </x:c>
      <x:c r="L1494" s="9" t="n">
        <x:f>I1494*(1-0.40)-J1494</x:f>
        <x:v>3.8666666666666663</x:v>
      </x:c>
      <x:c r="M1494" s="9" t="n">
        <x:f>'Physical_Arcs'!S54</x:f>
        <x:v>9.666666666666666</x:v>
      </x:c>
      <x:c r="N1494" s="9" t="n">
        <x:f>M1494*'Parameters'!$C$18</x:f>
        <x:v>1.9333333333333333</x:v>
      </x:c>
      <x:c r="O1494" s="9" t="n">
        <x:f>N1494*'Parameters'!$C$19</x:f>
        <x:v>2.4166666666666665</x:v>
      </x:c>
      <x:c r="P1494" s="9" t="n">
        <x:f>M1494*(1-0.40)-N1494</x:f>
        <x:v>3.8666666666666663</x:v>
      </x:c>
      <x:c r="Q1494" s="9" t="n">
        <x:f>'Physical_Arcs'!T54</x:f>
        <x:v>4.833333333333333</x:v>
      </x:c>
      <x:c r="R1494" s="9" t="n">
        <x:f>Q1494*'Parameters'!$C$18</x:f>
        <x:v>0.9666666666666667</x:v>
      </x:c>
      <x:c r="S1494" s="9" t="n">
        <x:f>R1494*'Parameters'!$C$19</x:f>
        <x:v>1.2083333333333333</x:v>
      </x:c>
      <x:c r="T1494" s="9" t="n">
        <x:f>Q1494*(1-0.40)-R1494</x:f>
        <x:v>1.9333333333333331</x:v>
      </x:c>
    </x:row>
    <x:row r="1495" ht="21" customHeight="1">
      <x:c r="A1495" s="3" t="n">
        <x:v>24</x:v>
      </x:c>
      <x:c r="B1495" s="3" t="str">
        <x:v>04:00</x:v>
      </x:c>
      <x:c r="C1495" s="3" t="n">
        <x:v>5</x:v>
      </x:c>
      <x:c r="D1495" s="3" t="n">
        <x:v>54</x:v>
      </x:c>
      <x:c r="E1495" s="3" t="n">
        <x:v>9</x:v>
      </x:c>
      <x:c r="F1495" s="3" t="n">
        <x:v>2</x:v>
      </x:c>
      <x:c r="G1495" s="9" t="n">
        <x:v>0.1</x:v>
      </x:c>
      <x:c r="H1495" s="9" t="n">
        <x:v>0.854534</x:v>
      </x:c>
      <x:c r="I1495" s="9" t="n">
        <x:f>'Physical_Arcs'!R55</x:f>
        <x:v>9.88888888888889</x:v>
      </x:c>
      <x:c r="J1495" s="9" t="n">
        <x:f>I1495*'Parameters'!$C$18</x:f>
        <x:v>1.9777777777777779</x:v>
      </x:c>
      <x:c r="K1495" s="9" t="n">
        <x:f>J1495*'Parameters'!$C$19</x:f>
        <x:v>2.4722222222222223</x:v>
      </x:c>
      <x:c r="L1495" s="9" t="n">
        <x:f>I1495*(1-0.40)-J1495</x:f>
        <x:v>3.9555555555555557</x:v>
      </x:c>
      <x:c r="M1495" s="9" t="n">
        <x:f>'Physical_Arcs'!S55</x:f>
        <x:v>9.88888888888889</x:v>
      </x:c>
      <x:c r="N1495" s="9" t="n">
        <x:f>M1495*'Parameters'!$C$18</x:f>
        <x:v>1.9777777777777779</x:v>
      </x:c>
      <x:c r="O1495" s="9" t="n">
        <x:f>N1495*'Parameters'!$C$19</x:f>
        <x:v>2.4722222222222223</x:v>
      </x:c>
      <x:c r="P1495" s="9" t="n">
        <x:f>M1495*(1-0.40)-N1495</x:f>
        <x:v>3.9555555555555557</x:v>
      </x:c>
      <x:c r="Q1495" s="9" t="n">
        <x:f>'Physical_Arcs'!T55</x:f>
        <x:v>4.944444444444445</x:v>
      </x:c>
      <x:c r="R1495" s="9" t="n">
        <x:f>Q1495*'Parameters'!$C$18</x:f>
        <x:v>0.9888888888888889</x:v>
      </x:c>
      <x:c r="S1495" s="9" t="n">
        <x:f>R1495*'Parameters'!$C$19</x:f>
        <x:v>1.2361111111111112</x:v>
      </x:c>
      <x:c r="T1495" s="9" t="n">
        <x:f>Q1495*(1-0.40)-R1495</x:f>
        <x:v>1.9777777777777779</x:v>
      </x:c>
    </x:row>
    <x:row r="1496" ht="21" customHeight="1">
      <x:c r="A1496" s="3" t="n">
        <x:v>24</x:v>
      </x:c>
      <x:c r="B1496" s="3" t="str">
        <x:v>04:00</x:v>
      </x:c>
      <x:c r="C1496" s="3" t="n">
        <x:v>5</x:v>
      </x:c>
      <x:c r="D1496" s="3" t="n">
        <x:v>55</x:v>
      </x:c>
      <x:c r="E1496" s="3" t="n">
        <x:v>9</x:v>
      </x:c>
      <x:c r="F1496" s="3" t="n">
        <x:v>7</x:v>
      </x:c>
      <x:c r="G1496" s="9" t="n">
        <x:v>0.1</x:v>
      </x:c>
      <x:c r="H1496" s="9" t="n">
        <x:v>0.900033</x:v>
      </x:c>
      <x:c r="I1496" s="9" t="n">
        <x:f>'Physical_Arcs'!R56</x:f>
        <x:v>4.166666666666667</x:v>
      </x:c>
      <x:c r="J1496" s="9" t="n">
        <x:f>I1496*'Parameters'!$C$18</x:f>
        <x:v>0.8333333333333335</x:v>
      </x:c>
      <x:c r="K1496" s="9" t="n">
        <x:f>J1496*'Parameters'!$C$19</x:f>
        <x:v>1.041666666666667</x:v>
      </x:c>
      <x:c r="L1496" s="9" t="n">
        <x:f>I1496*(1-0.40)-J1496</x:f>
        <x:v>1.6666666666666665</x:v>
      </x:c>
      <x:c r="M1496" s="9" t="n">
        <x:f>'Physical_Arcs'!S56</x:f>
        <x:v>4.166666666666667</x:v>
      </x:c>
      <x:c r="N1496" s="9" t="n">
        <x:f>M1496*'Parameters'!$C$18</x:f>
        <x:v>0.8333333333333335</x:v>
      </x:c>
      <x:c r="O1496" s="9" t="n">
        <x:f>N1496*'Parameters'!$C$19</x:f>
        <x:v>1.041666666666667</x:v>
      </x:c>
      <x:c r="P1496" s="9" t="n">
        <x:f>M1496*(1-0.40)-N1496</x:f>
        <x:v>1.6666666666666665</x:v>
      </x:c>
      <x:c r="Q1496" s="9" t="n">
        <x:f>'Physical_Arcs'!T56</x:f>
        <x:v>2.0833333333333335</x:v>
      </x:c>
      <x:c r="R1496" s="9" t="n">
        <x:f>Q1496*'Parameters'!$C$18</x:f>
        <x:v>0.41666666666666674</x:v>
      </x:c>
      <x:c r="S1496" s="9" t="n">
        <x:f>R1496*'Parameters'!$C$19</x:f>
        <x:v>0.5208333333333335</x:v>
      </x:c>
      <x:c r="T1496" s="9" t="n">
        <x:f>Q1496*(1-0.40)-R1496</x:f>
        <x:v>0.8333333333333333</x:v>
      </x:c>
    </x:row>
    <x:row r="1497" ht="21" customHeight="1">
      <x:c r="A1497" s="3" t="n">
        <x:v>24</x:v>
      </x:c>
      <x:c r="B1497" s="3" t="str">
        <x:v>04:00</x:v>
      </x:c>
      <x:c r="C1497" s="3" t="n">
        <x:v>5</x:v>
      </x:c>
      <x:c r="D1497" s="3" t="n">
        <x:v>56</x:v>
      </x:c>
      <x:c r="E1497" s="3" t="n">
        <x:v>9</x:v>
      </x:c>
      <x:c r="F1497" s="3" t="n">
        <x:v>3</x:v>
      </x:c>
      <x:c r="G1497" s="9" t="n">
        <x:v>0.1</x:v>
      </x:c>
      <x:c r="H1497" s="9" t="n">
        <x:v>0.893428</x:v>
      </x:c>
      <x:c r="I1497" s="9" t="n">
        <x:f>'Physical_Arcs'!R57</x:f>
        <x:v>3.7222222222222223</x:v>
      </x:c>
      <x:c r="J1497" s="9" t="n">
        <x:f>I1497*'Parameters'!$C$18</x:f>
        <x:v>0.7444444444444445</x:v>
      </x:c>
      <x:c r="K1497" s="9" t="n">
        <x:f>J1497*'Parameters'!$C$19</x:f>
        <x:v>0.9305555555555556</x:v>
      </x:c>
      <x:c r="L1497" s="9" t="n">
        <x:f>I1497*(1-0.40)-J1497</x:f>
        <x:v>1.488888888888889</x:v>
      </x:c>
      <x:c r="M1497" s="9" t="n">
        <x:f>'Physical_Arcs'!S57</x:f>
        <x:v>3.7222222222222223</x:v>
      </x:c>
      <x:c r="N1497" s="9" t="n">
        <x:f>M1497*'Parameters'!$C$18</x:f>
        <x:v>0.7444444444444445</x:v>
      </x:c>
      <x:c r="O1497" s="9" t="n">
        <x:f>N1497*'Parameters'!$C$19</x:f>
        <x:v>0.9305555555555556</x:v>
      </x:c>
      <x:c r="P1497" s="9" t="n">
        <x:f>M1497*(1-0.40)-N1497</x:f>
        <x:v>1.488888888888889</x:v>
      </x:c>
      <x:c r="Q1497" s="9" t="n">
        <x:f>'Physical_Arcs'!T57</x:f>
        <x:v>1.8611111111111112</x:v>
      </x:c>
      <x:c r="R1497" s="9" t="n">
        <x:f>Q1497*'Parameters'!$C$18</x:f>
        <x:v>0.37222222222222223</x:v>
      </x:c>
      <x:c r="S1497" s="9" t="n">
        <x:f>R1497*'Parameters'!$C$19</x:f>
        <x:v>0.4652777777777778</x:v>
      </x:c>
      <x:c r="T1497" s="9" t="n">
        <x:f>Q1497*(1-0.40)-R1497</x:f>
        <x:v>0.7444444444444445</x:v>
      </x:c>
    </x:row>
    <x:row r="1498" ht="21" customHeight="1">
      <x:c r="A1498" s="3" t="n">
        <x:v>24</x:v>
      </x:c>
      <x:c r="B1498" s="3" t="str">
        <x:v>04:00</x:v>
      </x:c>
      <x:c r="C1498" s="3" t="n">
        <x:v>5</x:v>
      </x:c>
      <x:c r="D1498" s="3" t="n">
        <x:v>57</x:v>
      </x:c>
      <x:c r="E1498" s="3" t="n">
        <x:v>10</x:v>
      </x:c>
      <x:c r="F1498" s="3" t="n">
        <x:v>1</x:v>
      </x:c>
      <x:c r="G1498" s="9" t="n">
        <x:v>0.1</x:v>
      </x:c>
      <x:c r="H1498" s="9" t="n">
        <x:v>1.027979</x:v>
      </x:c>
      <x:c r="I1498" s="9" t="n">
        <x:f>'Physical_Arcs'!R58</x:f>
        <x:v>17.02777777777778</x:v>
      </x:c>
      <x:c r="J1498" s="9" t="n">
        <x:f>I1498*'Parameters'!$C$18</x:f>
        <x:v>3.405555555555556</x:v>
      </x:c>
      <x:c r="K1498" s="9" t="n">
        <x:f>J1498*'Parameters'!$C$19</x:f>
        <x:v>4.256944444444445</x:v>
      </x:c>
      <x:c r="L1498" s="9" t="n">
        <x:f>I1498*(1-0.40)-J1498</x:f>
        <x:v>6.811111111111111</x:v>
      </x:c>
      <x:c r="M1498" s="9" t="n">
        <x:f>'Physical_Arcs'!S58</x:f>
        <x:v>17.02777777777778</x:v>
      </x:c>
      <x:c r="N1498" s="9" t="n">
        <x:f>M1498*'Parameters'!$C$18</x:f>
        <x:v>3.405555555555556</x:v>
      </x:c>
      <x:c r="O1498" s="9" t="n">
        <x:f>N1498*'Parameters'!$C$19</x:f>
        <x:v>4.256944444444445</x:v>
      </x:c>
      <x:c r="P1498" s="9" t="n">
        <x:f>M1498*(1-0.40)-N1498</x:f>
        <x:v>6.811111111111111</x:v>
      </x:c>
      <x:c r="Q1498" s="9" t="n">
        <x:f>'Physical_Arcs'!T58</x:f>
        <x:v>17.02777777777778</x:v>
      </x:c>
      <x:c r="R1498" s="9" t="n">
        <x:f>Q1498*'Parameters'!$C$18</x:f>
        <x:v>3.405555555555556</x:v>
      </x:c>
      <x:c r="S1498" s="9" t="n">
        <x:f>R1498*'Parameters'!$C$19</x:f>
        <x:v>4.256944444444445</x:v>
      </x:c>
      <x:c r="T1498" s="9" t="n">
        <x:f>Q1498*(1-0.40)-R1498</x:f>
        <x:v>6.811111111111111</x:v>
      </x:c>
    </x:row>
    <x:row r="1499" ht="21" customHeight="1">
      <x:c r="A1499" s="3" t="n">
        <x:v>24</x:v>
      </x:c>
      <x:c r="B1499" s="3" t="str">
        <x:v>04:00</x:v>
      </x:c>
      <x:c r="C1499" s="3" t="n">
        <x:v>5</x:v>
      </x:c>
      <x:c r="D1499" s="3" t="n">
        <x:v>58</x:v>
      </x:c>
      <x:c r="E1499" s="3" t="n">
        <x:v>10</x:v>
      </x:c>
      <x:c r="F1499" s="3" t="n">
        <x:v>6</x:v>
      </x:c>
      <x:c r="G1499" s="9" t="n">
        <x:v>0.1</x:v>
      </x:c>
      <x:c r="H1499" s="9" t="n">
        <x:v>0.952676</x:v>
      </x:c>
      <x:c r="I1499" s="9" t="n">
        <x:f>'Physical_Arcs'!R59</x:f>
        <x:v>6.305555555555555</x:v>
      </x:c>
      <x:c r="J1499" s="9" t="n">
        <x:f>I1499*'Parameters'!$C$18</x:f>
        <x:v>1.261111111111111</x:v>
      </x:c>
      <x:c r="K1499" s="9" t="n">
        <x:f>J1499*'Parameters'!$C$19</x:f>
        <x:v>1.5763888888888888</x:v>
      </x:c>
      <x:c r="L1499" s="9" t="n">
        <x:f>I1499*(1-0.40)-J1499</x:f>
        <x:v>2.522222222222222</x:v>
      </x:c>
      <x:c r="M1499" s="9" t="n">
        <x:f>'Physical_Arcs'!S59</x:f>
        <x:v>6.305555555555555</x:v>
      </x:c>
      <x:c r="N1499" s="9" t="n">
        <x:f>M1499*'Parameters'!$C$18</x:f>
        <x:v>1.261111111111111</x:v>
      </x:c>
      <x:c r="O1499" s="9" t="n">
        <x:f>N1499*'Parameters'!$C$19</x:f>
        <x:v>1.5763888888888888</x:v>
      </x:c>
      <x:c r="P1499" s="9" t="n">
        <x:f>M1499*(1-0.40)-N1499</x:f>
        <x:v>2.522222222222222</x:v>
      </x:c>
      <x:c r="Q1499" s="9" t="n">
        <x:f>'Physical_Arcs'!T59</x:f>
        <x:v>3.1666666666666665</x:v>
      </x:c>
      <x:c r="R1499" s="9" t="n">
        <x:f>Q1499*'Parameters'!$C$18</x:f>
        <x:v>0.6333333333333333</x:v>
      </x:c>
      <x:c r="S1499" s="9" t="n">
        <x:f>R1499*'Parameters'!$C$19</x:f>
        <x:v>0.7916666666666666</x:v>
      </x:c>
      <x:c r="T1499" s="9" t="n">
        <x:f>Q1499*(1-0.40)-R1499</x:f>
        <x:v>1.2666666666666666</x:v>
      </x:c>
    </x:row>
    <x:row r="1500" ht="21" customHeight="1">
      <x:c r="A1500" s="3" t="n">
        <x:v>24</x:v>
      </x:c>
      <x:c r="B1500" s="3" t="str">
        <x:v>04:00</x:v>
      </x:c>
      <x:c r="C1500" s="3" t="n">
        <x:v>5</x:v>
      </x:c>
      <x:c r="D1500" s="3" t="n">
        <x:v>59</x:v>
      </x:c>
      <x:c r="E1500" s="3" t="n">
        <x:v>10</x:v>
      </x:c>
      <x:c r="F1500" s="3" t="n">
        <x:v>4</x:v>
      </x:c>
      <x:c r="G1500" s="9" t="n">
        <x:v>0.1</x:v>
      </x:c>
      <x:c r="H1500" s="9" t="n">
        <x:v>1.114542</x:v>
      </x:c>
      <x:c r="I1500" s="9" t="n">
        <x:f>'Physical_Arcs'!R60</x:f>
        <x:v>1.5833333333333333</x:v>
      </x:c>
      <x:c r="J1500" s="9" t="n">
        <x:f>I1500*'Parameters'!$C$18</x:f>
        <x:v>0.31666666666666665</x:v>
      </x:c>
      <x:c r="K1500" s="9" t="n">
        <x:f>J1500*'Parameters'!$C$19</x:f>
        <x:v>0.3958333333333333</x:v>
      </x:c>
      <x:c r="L1500" s="9" t="n">
        <x:f>I1500*(1-0.40)-J1500</x:f>
        <x:v>0.6333333333333333</x:v>
      </x:c>
      <x:c r="M1500" s="9" t="n">
        <x:f>'Physical_Arcs'!S60</x:f>
        <x:v>1.5833333333333333</x:v>
      </x:c>
      <x:c r="N1500" s="9" t="n">
        <x:f>M1500*'Parameters'!$C$18</x:f>
        <x:v>0.31666666666666665</x:v>
      </x:c>
      <x:c r="O1500" s="9" t="n">
        <x:f>N1500*'Parameters'!$C$19</x:f>
        <x:v>0.3958333333333333</x:v>
      </x:c>
      <x:c r="P1500" s="9" t="n">
        <x:f>M1500*(1-0.40)-N1500</x:f>
        <x:v>0.6333333333333333</x:v>
      </x:c>
      <x:c r="Q1500" s="9" t="n">
        <x:f>'Physical_Arcs'!T60</x:f>
        <x:v>0.8055555555555556</x:v>
      </x:c>
      <x:c r="R1500" s="9" t="n">
        <x:f>Q1500*'Parameters'!$C$18</x:f>
        <x:v>0.16111111111111112</x:v>
      </x:c>
      <x:c r="S1500" s="9" t="n">
        <x:f>R1500*'Parameters'!$C$19</x:f>
        <x:v>0.2013888888888889</x:v>
      </x:c>
      <x:c r="T1500" s="9" t="n">
        <x:f>Q1500*(1-0.40)-R1500</x:f>
        <x:v>0.3222222222222222</x:v>
      </x:c>
    </x:row>
    <x:row r="1501" ht="21" customHeight="1">
      <x:c r="A1501" s="3" t="n">
        <x:v>24</x:v>
      </x:c>
      <x:c r="B1501" s="3" t="str">
        <x:v>04:00</x:v>
      </x:c>
      <x:c r="C1501" s="3" t="n">
        <x:v>5</x:v>
      </x:c>
      <x:c r="D1501" s="3" t="n">
        <x:v>60</x:v>
      </x:c>
      <x:c r="E1501" s="3" t="n">
        <x:v>10</x:v>
      </x:c>
      <x:c r="F1501" s="3" t="n">
        <x:v>9</x:v>
      </x:c>
      <x:c r="G1501" s="9" t="n">
        <x:v>0.1</x:v>
      </x:c>
      <x:c r="H1501" s="9" t="n">
        <x:v>1.092245</x:v>
      </x:c>
      <x:c r="I1501" s="9" t="n">
        <x:f>'Physical_Arcs'!R61</x:f>
        <x:v>10.333333333333334</x:v>
      </x:c>
      <x:c r="J1501" s="9" t="n">
        <x:f>I1501*'Parameters'!$C$18</x:f>
        <x:v>2.066666666666667</x:v>
      </x:c>
      <x:c r="K1501" s="9" t="n">
        <x:f>J1501*'Parameters'!$C$19</x:f>
        <x:v>2.5833333333333335</x:v>
      </x:c>
      <x:c r="L1501" s="9" t="n">
        <x:f>I1501*(1-0.40)-J1501</x:f>
        <x:v>4.133333333333333</x:v>
      </x:c>
      <x:c r="M1501" s="9" t="n">
        <x:f>'Physical_Arcs'!S61</x:f>
        <x:v>10.333333333333334</x:v>
      </x:c>
      <x:c r="N1501" s="9" t="n">
        <x:f>M1501*'Parameters'!$C$18</x:f>
        <x:v>2.066666666666667</x:v>
      </x:c>
      <x:c r="O1501" s="9" t="n">
        <x:f>N1501*'Parameters'!$C$19</x:f>
        <x:v>2.5833333333333335</x:v>
      </x:c>
      <x:c r="P1501" s="9" t="n">
        <x:f>M1501*(1-0.40)-N1501</x:f>
        <x:v>4.133333333333333</x:v>
      </x:c>
      <x:c r="Q1501" s="9" t="n">
        <x:f>'Physical_Arcs'!T61</x:f>
        <x:v>5.166666666666667</x:v>
      </x:c>
      <x:c r="R1501" s="9" t="n">
        <x:f>Q1501*'Parameters'!$C$18</x:f>
        <x:v>1.0333333333333334</x:v>
      </x:c>
      <x:c r="S1501" s="9" t="n">
        <x:f>R1501*'Parameters'!$C$19</x:f>
        <x:v>1.2916666666666667</x:v>
      </x:c>
      <x:c r="T1501" s="9" t="n">
        <x:f>Q1501*(1-0.40)-R1501</x:f>
        <x:v>2.0666666666666664</x:v>
      </x:c>
    </x:row>
    <x:row r="1502" ht="21" customHeight="1">
      <x:c r="A1502" s="3" t="n">
        <x:v>25</x:v>
      </x:c>
      <x:c r="B1502" s="3" t="str">
        <x:v>04:10</x:v>
      </x:c>
      <x:c r="C1502" s="3" t="n">
        <x:v>5</x:v>
      </x:c>
      <x:c r="D1502" s="3" t="n">
        <x:v>1</x:v>
      </x:c>
      <x:c r="E1502" s="3" t="n">
        <x:v>1</x:v>
      </x:c>
      <x:c r="F1502" s="3" t="n">
        <x:v>2</x:v>
      </x:c>
      <x:c r="G1502" s="9" t="n">
        <x:v>0.1</x:v>
      </x:c>
      <x:c r="H1502" s="9" t="n">
        <x:v>0.914787</x:v>
      </x:c>
      <x:c r="I1502" s="9" t="n">
        <x:f>'Physical_Arcs'!R2</x:f>
        <x:v>17.02777777777778</x:v>
      </x:c>
      <x:c r="J1502" s="9" t="n">
        <x:f>I1502*'Parameters'!$C$18</x:f>
        <x:v>3.405555555555556</x:v>
      </x:c>
      <x:c r="K1502" s="9" t="n">
        <x:f>J1502*'Parameters'!$C$19</x:f>
        <x:v>4.256944444444445</x:v>
      </x:c>
      <x:c r="L1502" s="9" t="n">
        <x:f>I1502*(1-0.40)-J1502</x:f>
        <x:v>6.811111111111111</x:v>
      </x:c>
      <x:c r="M1502" s="9" t="n">
        <x:f>'Physical_Arcs'!S2</x:f>
        <x:v>17.02777777777778</x:v>
      </x:c>
      <x:c r="N1502" s="9" t="n">
        <x:f>M1502*'Parameters'!$C$18</x:f>
        <x:v>3.405555555555556</x:v>
      </x:c>
      <x:c r="O1502" s="9" t="n">
        <x:f>N1502*'Parameters'!$C$19</x:f>
        <x:v>4.256944444444445</x:v>
      </x:c>
      <x:c r="P1502" s="9" t="n">
        <x:f>M1502*(1-0.40)-N1502</x:f>
        <x:v>6.811111111111111</x:v>
      </x:c>
      <x:c r="Q1502" s="9" t="n">
        <x:f>'Physical_Arcs'!T2</x:f>
        <x:v>17.02777777777778</x:v>
      </x:c>
      <x:c r="R1502" s="9" t="n">
        <x:f>Q1502*'Parameters'!$C$18</x:f>
        <x:v>3.405555555555556</x:v>
      </x:c>
      <x:c r="S1502" s="9" t="n">
        <x:f>R1502*'Parameters'!$C$19</x:f>
        <x:v>4.256944444444445</x:v>
      </x:c>
      <x:c r="T1502" s="9" t="n">
        <x:f>Q1502*(1-0.40)-R1502</x:f>
        <x:v>6.811111111111111</x:v>
      </x:c>
    </x:row>
    <x:row r="1503" ht="21" customHeight="1">
      <x:c r="A1503" s="3" t="n">
        <x:v>25</x:v>
      </x:c>
      <x:c r="B1503" s="3" t="str">
        <x:v>04:10</x:v>
      </x:c>
      <x:c r="C1503" s="3" t="n">
        <x:v>5</x:v>
      </x:c>
      <x:c r="D1503" s="3" t="n">
        <x:v>2</x:v>
      </x:c>
      <x:c r="E1503" s="3" t="n">
        <x:v>1</x:v>
      </x:c>
      <x:c r="F1503" s="3" t="n">
        <x:v>10</x:v>
      </x:c>
      <x:c r="G1503" s="9" t="n">
        <x:v>0.1</x:v>
      </x:c>
      <x:c r="H1503" s="9" t="n">
        <x:v>1.003995</x:v>
      </x:c>
      <x:c r="I1503" s="9" t="n">
        <x:f>'Physical_Arcs'!R3</x:f>
        <x:v>3.2777777777777777</x:v>
      </x:c>
      <x:c r="J1503" s="9" t="n">
        <x:f>I1503*'Parameters'!$C$18</x:f>
        <x:v>0.6555555555555556</x:v>
      </x:c>
      <x:c r="K1503" s="9" t="n">
        <x:f>J1503*'Parameters'!$C$19</x:f>
        <x:v>0.8194444444444444</x:v>
      </x:c>
      <x:c r="L1503" s="9" t="n">
        <x:f>I1503*(1-0.40)-J1503</x:f>
        <x:v>1.311111111111111</x:v>
      </x:c>
      <x:c r="M1503" s="9" t="n">
        <x:f>'Physical_Arcs'!S3</x:f>
        <x:v>3.2777777777777777</x:v>
      </x:c>
      <x:c r="N1503" s="9" t="n">
        <x:f>M1503*'Parameters'!$C$18</x:f>
        <x:v>0.6555555555555556</x:v>
      </x:c>
      <x:c r="O1503" s="9" t="n">
        <x:f>N1503*'Parameters'!$C$19</x:f>
        <x:v>0.8194444444444444</x:v>
      </x:c>
      <x:c r="P1503" s="9" t="n">
        <x:f>M1503*(1-0.40)-N1503</x:f>
        <x:v>1.311111111111111</x:v>
      </x:c>
      <x:c r="Q1503" s="9" t="n">
        <x:f>'Physical_Arcs'!T3</x:f>
        <x:v>1.6388888888888888</x:v>
      </x:c>
      <x:c r="R1503" s="9" t="n">
        <x:f>Q1503*'Parameters'!$C$18</x:f>
        <x:v>0.3277777777777778</x:v>
      </x:c>
      <x:c r="S1503" s="9" t="n">
        <x:f>R1503*'Parameters'!$C$19</x:f>
        <x:v>0.4097222222222222</x:v>
      </x:c>
      <x:c r="T1503" s="9" t="n">
        <x:f>Q1503*(1-0.40)-R1503</x:f>
        <x:v>0.6555555555555554</x:v>
      </x:c>
    </x:row>
    <x:row r="1504" ht="21" customHeight="1">
      <x:c r="A1504" s="3" t="n">
        <x:v>25</x:v>
      </x:c>
      <x:c r="B1504" s="3" t="str">
        <x:v>04:10</x:v>
      </x:c>
      <x:c r="C1504" s="3" t="n">
        <x:v>5</x:v>
      </x:c>
      <x:c r="D1504" s="3" t="n">
        <x:v>3</x:v>
      </x:c>
      <x:c r="E1504" s="3" t="n">
        <x:v>1</x:v>
      </x:c>
      <x:c r="F1504" s="3" t="n">
        <x:v>8</x:v>
      </x:c>
      <x:c r="G1504" s="9" t="n">
        <x:v>0.1</x:v>
      </x:c>
      <x:c r="H1504" s="9" t="n">
        <x:v>0.923863</x:v>
      </x:c>
      <x:c r="I1504" s="9" t="n">
        <x:f>'Physical_Arcs'!R4</x:f>
        <x:v>6.083333333333333</x:v>
      </x:c>
      <x:c r="J1504" s="9" t="n">
        <x:f>I1504*'Parameters'!$C$18</x:f>
        <x:v>1.2166666666666668</x:v>
      </x:c>
      <x:c r="K1504" s="9" t="n">
        <x:f>J1504*'Parameters'!$C$19</x:f>
        <x:v>1.5208333333333335</x:v>
      </x:c>
      <x:c r="L1504" s="9" t="n">
        <x:f>I1504*(1-0.40)-J1504</x:f>
        <x:v>2.4333333333333327</x:v>
      </x:c>
      <x:c r="M1504" s="9" t="n">
        <x:f>'Physical_Arcs'!S4</x:f>
        <x:v>6.083333333333333</x:v>
      </x:c>
      <x:c r="N1504" s="9" t="n">
        <x:f>M1504*'Parameters'!$C$18</x:f>
        <x:v>1.2166666666666668</x:v>
      </x:c>
      <x:c r="O1504" s="9" t="n">
        <x:f>N1504*'Parameters'!$C$19</x:f>
        <x:v>1.5208333333333335</x:v>
      </x:c>
      <x:c r="P1504" s="9" t="n">
        <x:f>M1504*(1-0.40)-N1504</x:f>
        <x:v>2.4333333333333327</x:v>
      </x:c>
      <x:c r="Q1504" s="9" t="n">
        <x:f>'Physical_Arcs'!T4</x:f>
        <x:v>3.0555555555555554</x:v>
      </x:c>
      <x:c r="R1504" s="9" t="n">
        <x:f>Q1504*'Parameters'!$C$18</x:f>
        <x:v>0.6111111111111112</x:v>
      </x:c>
      <x:c r="S1504" s="9" t="n">
        <x:f>R1504*'Parameters'!$C$19</x:f>
        <x:v>0.763888888888889</x:v>
      </x:c>
      <x:c r="T1504" s="9" t="n">
        <x:f>Q1504*(1-0.40)-R1504</x:f>
        <x:v>1.2222222222222219</x:v>
      </x:c>
    </x:row>
    <x:row r="1505" ht="21" customHeight="1">
      <x:c r="A1505" s="3" t="n">
        <x:v>25</x:v>
      </x:c>
      <x:c r="B1505" s="3" t="str">
        <x:v>04:10</x:v>
      </x:c>
      <x:c r="C1505" s="3" t="n">
        <x:v>5</x:v>
      </x:c>
      <x:c r="D1505" s="3" t="n">
        <x:v>4</x:v>
      </x:c>
      <x:c r="E1505" s="3" t="n">
        <x:v>1</x:v>
      </x:c>
      <x:c r="F1505" s="3" t="n">
        <x:v>7</x:v>
      </x:c>
      <x:c r="G1505" s="9" t="n">
        <x:v>0.1</x:v>
      </x:c>
      <x:c r="H1505" s="9" t="n">
        <x:v>1.111072</x:v>
      </x:c>
      <x:c r="I1505" s="9" t="n">
        <x:f>'Physical_Arcs'!R5</x:f>
        <x:v>9</x:v>
      </x:c>
      <x:c r="J1505" s="9" t="n">
        <x:f>I1505*'Parameters'!$C$18</x:f>
        <x:v>1.8</x:v>
      </x:c>
      <x:c r="K1505" s="9" t="n">
        <x:f>J1505*'Parameters'!$C$19</x:f>
        <x:v>2.25</x:v>
      </x:c>
      <x:c r="L1505" s="9" t="n">
        <x:f>I1505*(1-0.40)-J1505</x:f>
        <x:v>3.5999999999999996</x:v>
      </x:c>
      <x:c r="M1505" s="9" t="n">
        <x:f>'Physical_Arcs'!S5</x:f>
        <x:v>9</x:v>
      </x:c>
      <x:c r="N1505" s="9" t="n">
        <x:f>M1505*'Parameters'!$C$18</x:f>
        <x:v>1.8</x:v>
      </x:c>
      <x:c r="O1505" s="9" t="n">
        <x:f>N1505*'Parameters'!$C$19</x:f>
        <x:v>2.25</x:v>
      </x:c>
      <x:c r="P1505" s="9" t="n">
        <x:f>M1505*(1-0.40)-N1505</x:f>
        <x:v>3.5999999999999996</x:v>
      </x:c>
      <x:c r="Q1505" s="9" t="n">
        <x:f>'Physical_Arcs'!T5</x:f>
        <x:v>4.5</x:v>
      </x:c>
      <x:c r="R1505" s="9" t="n">
        <x:f>Q1505*'Parameters'!$C$18</x:f>
        <x:v>0.9</x:v>
      </x:c>
      <x:c r="S1505" s="9" t="n">
        <x:f>R1505*'Parameters'!$C$19</x:f>
        <x:v>1.125</x:v>
      </x:c>
      <x:c r="T1505" s="9" t="n">
        <x:f>Q1505*(1-0.40)-R1505</x:f>
        <x:v>1.7999999999999998</x:v>
      </x:c>
    </x:row>
    <x:row r="1506" ht="21" customHeight="1">
      <x:c r="A1506" s="3" t="n">
        <x:v>25</x:v>
      </x:c>
      <x:c r="B1506" s="3" t="str">
        <x:v>04:10</x:v>
      </x:c>
      <x:c r="C1506" s="3" t="n">
        <x:v>5</x:v>
      </x:c>
      <x:c r="D1506" s="3" t="n">
        <x:v>5</x:v>
      </x:c>
      <x:c r="E1506" s="3" t="n">
        <x:v>1</x:v>
      </x:c>
      <x:c r="F1506" s="3" t="n">
        <x:v>4</x:v>
      </x:c>
      <x:c r="G1506" s="9" t="n">
        <x:v>0.1</x:v>
      </x:c>
      <x:c r="H1506" s="9" t="n">
        <x:v>1.001665</x:v>
      </x:c>
      <x:c r="I1506" s="9" t="n">
        <x:f>'Physical_Arcs'!R6</x:f>
        <x:v>4.166666666666667</x:v>
      </x:c>
      <x:c r="J1506" s="9" t="n">
        <x:f>I1506*'Parameters'!$C$18</x:f>
        <x:v>0.8333333333333335</x:v>
      </x:c>
      <x:c r="K1506" s="9" t="n">
        <x:f>J1506*'Parameters'!$C$19</x:f>
        <x:v>1.041666666666667</x:v>
      </x:c>
      <x:c r="L1506" s="9" t="n">
        <x:f>I1506*(1-0.40)-J1506</x:f>
        <x:v>1.6666666666666665</x:v>
      </x:c>
      <x:c r="M1506" s="9" t="n">
        <x:f>'Physical_Arcs'!S6</x:f>
        <x:v>4.166666666666667</x:v>
      </x:c>
      <x:c r="N1506" s="9" t="n">
        <x:f>M1506*'Parameters'!$C$18</x:f>
        <x:v>0.8333333333333335</x:v>
      </x:c>
      <x:c r="O1506" s="9" t="n">
        <x:f>N1506*'Parameters'!$C$19</x:f>
        <x:v>1.041666666666667</x:v>
      </x:c>
      <x:c r="P1506" s="9" t="n">
        <x:f>M1506*(1-0.40)-N1506</x:f>
        <x:v>1.6666666666666665</x:v>
      </x:c>
      <x:c r="Q1506" s="9" t="n">
        <x:f>'Physical_Arcs'!T6</x:f>
        <x:v>2.0833333333333335</x:v>
      </x:c>
      <x:c r="R1506" s="9" t="n">
        <x:f>Q1506*'Parameters'!$C$18</x:f>
        <x:v>0.41666666666666674</x:v>
      </x:c>
      <x:c r="S1506" s="9" t="n">
        <x:f>R1506*'Parameters'!$C$19</x:f>
        <x:v>0.5208333333333335</x:v>
      </x:c>
      <x:c r="T1506" s="9" t="n">
        <x:f>Q1506*(1-0.40)-R1506</x:f>
        <x:v>0.8333333333333333</x:v>
      </x:c>
    </x:row>
    <x:row r="1507" ht="21" customHeight="1">
      <x:c r="A1507" s="3" t="n">
        <x:v>25</x:v>
      </x:c>
      <x:c r="B1507" s="3" t="str">
        <x:v>04:10</x:v>
      </x:c>
      <x:c r="C1507" s="3" t="n">
        <x:v>5</x:v>
      </x:c>
      <x:c r="D1507" s="3" t="n">
        <x:v>6</x:v>
      </x:c>
      <x:c r="E1507" s="3" t="n">
        <x:v>1</x:v>
      </x:c>
      <x:c r="F1507" s="3" t="n">
        <x:v>9</x:v>
      </x:c>
      <x:c r="G1507" s="9" t="n">
        <x:v>0.1</x:v>
      </x:c>
      <x:c r="H1507" s="9" t="n">
        <x:v>0.942884</x:v>
      </x:c>
      <x:c r="I1507" s="9" t="n">
        <x:f>'Physical_Arcs'!R7</x:f>
        <x:v>11.027777777777779</x:v>
      </x:c>
      <x:c r="J1507" s="9" t="n">
        <x:f>I1507*'Parameters'!$C$18</x:f>
        <x:v>2.2055555555555557</x:v>
      </x:c>
      <x:c r="K1507" s="9" t="n">
        <x:f>J1507*'Parameters'!$C$19</x:f>
        <x:v>2.7569444444444446</x:v>
      </x:c>
      <x:c r="L1507" s="9" t="n">
        <x:f>I1507*(1-0.40)-J1507</x:f>
        <x:v>4.411111111111111</x:v>
      </x:c>
      <x:c r="M1507" s="9" t="n">
        <x:f>'Physical_Arcs'!S7</x:f>
        <x:v>11.027777777777779</x:v>
      </x:c>
      <x:c r="N1507" s="9" t="n">
        <x:f>M1507*'Parameters'!$C$18</x:f>
        <x:v>2.2055555555555557</x:v>
      </x:c>
      <x:c r="O1507" s="9" t="n">
        <x:f>N1507*'Parameters'!$C$19</x:f>
        <x:v>2.7569444444444446</x:v>
      </x:c>
      <x:c r="P1507" s="9" t="n">
        <x:f>M1507*(1-0.40)-N1507</x:f>
        <x:v>4.411111111111111</x:v>
      </x:c>
      <x:c r="Q1507" s="9" t="n">
        <x:f>'Physical_Arcs'!T7</x:f>
        <x:v>5.527777777777778</x:v>
      </x:c>
      <x:c r="R1507" s="9" t="n">
        <x:f>Q1507*'Parameters'!$C$18</x:f>
        <x:v>1.1055555555555556</x:v>
      </x:c>
      <x:c r="S1507" s="9" t="n">
        <x:f>R1507*'Parameters'!$C$19</x:f>
        <x:v>1.3819444444444446</x:v>
      </x:c>
      <x:c r="T1507" s="9" t="n">
        <x:f>Q1507*(1-0.40)-R1507</x:f>
        <x:v>2.211111111111111</x:v>
      </x:c>
    </x:row>
    <x:row r="1508" ht="21" customHeight="1">
      <x:c r="A1508" s="3" t="n">
        <x:v>25</x:v>
      </x:c>
      <x:c r="B1508" s="3" t="str">
        <x:v>04:10</x:v>
      </x:c>
      <x:c r="C1508" s="3" t="n">
        <x:v>5</x:v>
      </x:c>
      <x:c r="D1508" s="3" t="n">
        <x:v>7</x:v>
      </x:c>
      <x:c r="E1508" s="3" t="n">
        <x:v>1</x:v>
      </x:c>
      <x:c r="F1508" s="3" t="n">
        <x:v>5</x:v>
      </x:c>
      <x:c r="G1508" s="9" t="n">
        <x:v>0.1</x:v>
      </x:c>
      <x:c r="H1508" s="9" t="n">
        <x:v>1.038222</x:v>
      </x:c>
      <x:c r="I1508" s="9" t="n">
        <x:f>'Physical_Arcs'!R8</x:f>
        <x:v>7.972222222222222</x:v>
      </x:c>
      <x:c r="J1508" s="9" t="n">
        <x:f>I1508*'Parameters'!$C$18</x:f>
        <x:v>1.5944444444444446</x:v>
      </x:c>
      <x:c r="K1508" s="9" t="n">
        <x:f>J1508*'Parameters'!$C$19</x:f>
        <x:v>1.9930555555555558</x:v>
      </x:c>
      <x:c r="L1508" s="9" t="n">
        <x:f>I1508*(1-0.40)-J1508</x:f>
        <x:v>3.1888888888888887</x:v>
      </x:c>
      <x:c r="M1508" s="9" t="n">
        <x:f>'Physical_Arcs'!S8</x:f>
        <x:v>7.972222222222222</x:v>
      </x:c>
      <x:c r="N1508" s="9" t="n">
        <x:f>M1508*'Parameters'!$C$18</x:f>
        <x:v>1.5944444444444446</x:v>
      </x:c>
      <x:c r="O1508" s="9" t="n">
        <x:f>N1508*'Parameters'!$C$19</x:f>
        <x:v>1.9930555555555558</x:v>
      </x:c>
      <x:c r="P1508" s="9" t="n">
        <x:f>M1508*(1-0.40)-N1508</x:f>
        <x:v>3.1888888888888887</x:v>
      </x:c>
      <x:c r="Q1508" s="9" t="n">
        <x:f>'Physical_Arcs'!T8</x:f>
        <x:v>4</x:v>
      </x:c>
      <x:c r="R1508" s="9" t="n">
        <x:f>Q1508*'Parameters'!$C$18</x:f>
        <x:v>0.8</x:v>
      </x:c>
      <x:c r="S1508" s="9" t="n">
        <x:f>R1508*'Parameters'!$C$19</x:f>
        <x:v>1</x:v>
      </x:c>
      <x:c r="T1508" s="9" t="n">
        <x:f>Q1508*(1-0.40)-R1508</x:f>
        <x:v>1.5999999999999999</x:v>
      </x:c>
    </x:row>
    <x:row r="1509" ht="21" customHeight="1">
      <x:c r="A1509" s="3" t="n">
        <x:v>25</x:v>
      </x:c>
      <x:c r="B1509" s="3" t="str">
        <x:v>04:10</x:v>
      </x:c>
      <x:c r="C1509" s="3" t="n">
        <x:v>5</x:v>
      </x:c>
      <x:c r="D1509" s="3" t="n">
        <x:v>8</x:v>
      </x:c>
      <x:c r="E1509" s="3" t="n">
        <x:v>1</x:v>
      </x:c>
      <x:c r="F1509" s="3" t="n">
        <x:v>3</x:v>
      </x:c>
      <x:c r="G1509" s="9" t="n">
        <x:v>0.1</x:v>
      </x:c>
      <x:c r="H1509" s="9" t="n">
        <x:v>1.122297</x:v>
      </x:c>
      <x:c r="I1509" s="9" t="n">
        <x:f>'Physical_Arcs'!R9</x:f>
        <x:v>4.166666666666667</x:v>
      </x:c>
      <x:c r="J1509" s="9" t="n">
        <x:f>I1509*'Parameters'!$C$18</x:f>
        <x:v>0.8333333333333335</x:v>
      </x:c>
      <x:c r="K1509" s="9" t="n">
        <x:f>J1509*'Parameters'!$C$19</x:f>
        <x:v>1.041666666666667</x:v>
      </x:c>
      <x:c r="L1509" s="9" t="n">
        <x:f>I1509*(1-0.40)-J1509</x:f>
        <x:v>1.6666666666666665</x:v>
      </x:c>
      <x:c r="M1509" s="9" t="n">
        <x:f>'Physical_Arcs'!S9</x:f>
        <x:v>4.166666666666667</x:v>
      </x:c>
      <x:c r="N1509" s="9" t="n">
        <x:f>M1509*'Parameters'!$C$18</x:f>
        <x:v>0.8333333333333335</x:v>
      </x:c>
      <x:c r="O1509" s="9" t="n">
        <x:f>N1509*'Parameters'!$C$19</x:f>
        <x:v>1.041666666666667</x:v>
      </x:c>
      <x:c r="P1509" s="9" t="n">
        <x:f>M1509*(1-0.40)-N1509</x:f>
        <x:v>1.6666666666666665</x:v>
      </x:c>
      <x:c r="Q1509" s="9" t="n">
        <x:f>'Physical_Arcs'!T9</x:f>
        <x:v>2.0833333333333335</x:v>
      </x:c>
      <x:c r="R1509" s="9" t="n">
        <x:f>Q1509*'Parameters'!$C$18</x:f>
        <x:v>0.41666666666666674</x:v>
      </x:c>
      <x:c r="S1509" s="9" t="n">
        <x:f>R1509*'Parameters'!$C$19</x:f>
        <x:v>0.5208333333333335</x:v>
      </x:c>
      <x:c r="T1509" s="9" t="n">
        <x:f>Q1509*(1-0.40)-R1509</x:f>
        <x:v>0.8333333333333333</x:v>
      </x:c>
    </x:row>
    <x:row r="1510" ht="21" customHeight="1">
      <x:c r="A1510" s="3" t="n">
        <x:v>25</x:v>
      </x:c>
      <x:c r="B1510" s="3" t="str">
        <x:v>04:10</x:v>
      </x:c>
      <x:c r="C1510" s="3" t="n">
        <x:v>5</x:v>
      </x:c>
      <x:c r="D1510" s="3" t="n">
        <x:v>9</x:v>
      </x:c>
      <x:c r="E1510" s="3" t="n">
        <x:v>1</x:v>
      </x:c>
      <x:c r="F1510" s="3" t="n">
        <x:v>6</x:v>
      </x:c>
      <x:c r="G1510" s="9" t="n">
        <x:v>0.1</x:v>
      </x:c>
      <x:c r="H1510" s="9" t="n">
        <x:v>1.132682</x:v>
      </x:c>
      <x:c r="I1510" s="9" t="n">
        <x:f>'Physical_Arcs'!R10</x:f>
        <x:v>2.138888888888889</x:v>
      </x:c>
      <x:c r="J1510" s="9" t="n">
        <x:f>I1510*'Parameters'!$C$18</x:f>
        <x:v>0.4277777777777778</x:v>
      </x:c>
      <x:c r="K1510" s="9" t="n">
        <x:f>J1510*'Parameters'!$C$19</x:f>
        <x:v>0.5347222222222223</x:v>
      </x:c>
      <x:c r="L1510" s="9" t="n">
        <x:f>I1510*(1-0.40)-J1510</x:f>
        <x:v>0.8555555555555554</x:v>
      </x:c>
      <x:c r="M1510" s="9" t="n">
        <x:f>'Physical_Arcs'!S10</x:f>
        <x:v>2.138888888888889</x:v>
      </x:c>
      <x:c r="N1510" s="9" t="n">
        <x:f>M1510*'Parameters'!$C$18</x:f>
        <x:v>0.4277777777777778</x:v>
      </x:c>
      <x:c r="O1510" s="9" t="n">
        <x:f>N1510*'Parameters'!$C$19</x:f>
        <x:v>0.5347222222222223</x:v>
      </x:c>
      <x:c r="P1510" s="9" t="n">
        <x:f>M1510*(1-0.40)-N1510</x:f>
        <x:v>0.8555555555555554</x:v>
      </x:c>
      <x:c r="Q1510" s="9" t="n">
        <x:f>'Physical_Arcs'!T10</x:f>
        <x:v>1.0833333333333333</x:v>
      </x:c>
      <x:c r="R1510" s="9" t="n">
        <x:f>Q1510*'Parameters'!$C$18</x:f>
        <x:v>0.21666666666666667</x:v>
      </x:c>
      <x:c r="S1510" s="9" t="n">
        <x:f>R1510*'Parameters'!$C$19</x:f>
        <x:v>0.27083333333333337</x:v>
      </x:c>
      <x:c r="T1510" s="9" t="n">
        <x:f>Q1510*(1-0.40)-R1510</x:f>
        <x:v>0.43333333333333324</x:v>
      </x:c>
    </x:row>
    <x:row r="1511" ht="21" customHeight="1">
      <x:c r="A1511" s="3" t="n">
        <x:v>25</x:v>
      </x:c>
      <x:c r="B1511" s="3" t="str">
        <x:v>04:10</x:v>
      </x:c>
      <x:c r="C1511" s="3" t="n">
        <x:v>5</x:v>
      </x:c>
      <x:c r="D1511" s="3" t="n">
        <x:v>10</x:v>
      </x:c>
      <x:c r="E1511" s="3" t="n">
        <x:v>2</x:v>
      </x:c>
      <x:c r="F1511" s="3" t="n">
        <x:v>3</x:v>
      </x:c>
      <x:c r="G1511" s="9" t="n">
        <x:v>0.1</x:v>
      </x:c>
      <x:c r="H1511" s="9" t="n">
        <x:v>0.871154</x:v>
      </x:c>
      <x:c r="I1511" s="9" t="n">
        <x:f>'Physical_Arcs'!R11</x:f>
        <x:v>17.02777777777778</x:v>
      </x:c>
      <x:c r="J1511" s="9" t="n">
        <x:f>I1511*'Parameters'!$C$18</x:f>
        <x:v>3.405555555555556</x:v>
      </x:c>
      <x:c r="K1511" s="9" t="n">
        <x:f>J1511*'Parameters'!$C$19</x:f>
        <x:v>4.256944444444445</x:v>
      </x:c>
      <x:c r="L1511" s="9" t="n">
        <x:f>I1511*(1-0.40)-J1511</x:f>
        <x:v>6.811111111111111</x:v>
      </x:c>
      <x:c r="M1511" s="9" t="n">
        <x:f>'Physical_Arcs'!S11</x:f>
        <x:v>17.02777777777778</x:v>
      </x:c>
      <x:c r="N1511" s="9" t="n">
        <x:f>M1511*'Parameters'!$C$18</x:f>
        <x:v>3.405555555555556</x:v>
      </x:c>
      <x:c r="O1511" s="9" t="n">
        <x:f>N1511*'Parameters'!$C$19</x:f>
        <x:v>4.256944444444445</x:v>
      </x:c>
      <x:c r="P1511" s="9" t="n">
        <x:f>M1511*(1-0.40)-N1511</x:f>
        <x:v>6.811111111111111</x:v>
      </x:c>
      <x:c r="Q1511" s="9" t="n">
        <x:f>'Physical_Arcs'!T11</x:f>
        <x:v>17.02777777777778</x:v>
      </x:c>
      <x:c r="R1511" s="9" t="n">
        <x:f>Q1511*'Parameters'!$C$18</x:f>
        <x:v>3.405555555555556</x:v>
      </x:c>
      <x:c r="S1511" s="9" t="n">
        <x:f>R1511*'Parameters'!$C$19</x:f>
        <x:v>4.256944444444445</x:v>
      </x:c>
      <x:c r="T1511" s="9" t="n">
        <x:f>Q1511*(1-0.40)-R1511</x:f>
        <x:v>6.811111111111111</x:v>
      </x:c>
    </x:row>
    <x:row r="1512" ht="21" customHeight="1">
      <x:c r="A1512" s="3" t="n">
        <x:v>25</x:v>
      </x:c>
      <x:c r="B1512" s="3" t="str">
        <x:v>04:10</x:v>
      </x:c>
      <x:c r="C1512" s="3" t="n">
        <x:v>5</x:v>
      </x:c>
      <x:c r="D1512" s="3" t="n">
        <x:v>11</x:v>
      </x:c>
      <x:c r="E1512" s="3" t="n">
        <x:v>2</x:v>
      </x:c>
      <x:c r="F1512" s="3" t="n">
        <x:v>4</x:v>
      </x:c>
      <x:c r="G1512" s="9" t="n">
        <x:v>0.1</x:v>
      </x:c>
      <x:c r="H1512" s="9" t="n">
        <x:v>1.147412</x:v>
      </x:c>
      <x:c r="I1512" s="9" t="n">
        <x:f>'Physical_Arcs'!R12</x:f>
        <x:v>7.972222222222222</x:v>
      </x:c>
      <x:c r="J1512" s="9" t="n">
        <x:f>I1512*'Parameters'!$C$18</x:f>
        <x:v>1.5944444444444446</x:v>
      </x:c>
      <x:c r="K1512" s="9" t="n">
        <x:f>J1512*'Parameters'!$C$19</x:f>
        <x:v>1.9930555555555558</x:v>
      </x:c>
      <x:c r="L1512" s="9" t="n">
        <x:f>I1512*(1-0.40)-J1512</x:f>
        <x:v>3.1888888888888887</x:v>
      </x:c>
      <x:c r="M1512" s="9" t="n">
        <x:f>'Physical_Arcs'!S12</x:f>
        <x:v>7.972222222222222</x:v>
      </x:c>
      <x:c r="N1512" s="9" t="n">
        <x:f>M1512*'Parameters'!$C$18</x:f>
        <x:v>1.5944444444444446</x:v>
      </x:c>
      <x:c r="O1512" s="9" t="n">
        <x:f>N1512*'Parameters'!$C$19</x:f>
        <x:v>1.9930555555555558</x:v>
      </x:c>
      <x:c r="P1512" s="9" t="n">
        <x:f>M1512*(1-0.40)-N1512</x:f>
        <x:v>3.1888888888888887</x:v>
      </x:c>
      <x:c r="Q1512" s="9" t="n">
        <x:f>'Physical_Arcs'!T12</x:f>
        <x:v>4</x:v>
      </x:c>
      <x:c r="R1512" s="9" t="n">
        <x:f>Q1512*'Parameters'!$C$18</x:f>
        <x:v>0.8</x:v>
      </x:c>
      <x:c r="S1512" s="9" t="n">
        <x:f>R1512*'Parameters'!$C$19</x:f>
        <x:v>1</x:v>
      </x:c>
      <x:c r="T1512" s="9" t="n">
        <x:f>Q1512*(1-0.40)-R1512</x:f>
        <x:v>1.5999999999999999</x:v>
      </x:c>
    </x:row>
    <x:row r="1513" ht="21" customHeight="1">
      <x:c r="A1513" s="3" t="n">
        <x:v>25</x:v>
      </x:c>
      <x:c r="B1513" s="3" t="str">
        <x:v>04:10</x:v>
      </x:c>
      <x:c r="C1513" s="3" t="n">
        <x:v>5</x:v>
      </x:c>
      <x:c r="D1513" s="3" t="n">
        <x:v>12</x:v>
      </x:c>
      <x:c r="E1513" s="3" t="n">
        <x:v>2</x:v>
      </x:c>
      <x:c r="F1513" s="3" t="n">
        <x:v>7</x:v>
      </x:c>
      <x:c r="G1513" s="9" t="n">
        <x:v>0.1</x:v>
      </x:c>
      <x:c r="H1513" s="9" t="n">
        <x:v>0.96729</x:v>
      </x:c>
      <x:c r="I1513" s="9" t="n">
        <x:f>'Physical_Arcs'!R13</x:f>
        <x:v>4.611111111111111</x:v>
      </x:c>
      <x:c r="J1513" s="9" t="n">
        <x:f>I1513*'Parameters'!$C$18</x:f>
        <x:v>0.9222222222222222</x:v>
      </x:c>
      <x:c r="K1513" s="9" t="n">
        <x:f>J1513*'Parameters'!$C$19</x:f>
        <x:v>1.1527777777777777</x:v>
      </x:c>
      <x:c r="L1513" s="9" t="n">
        <x:f>I1513*(1-0.40)-J1513</x:f>
        <x:v>1.844444444444444</x:v>
      </x:c>
      <x:c r="M1513" s="9" t="n">
        <x:f>'Physical_Arcs'!S13</x:f>
        <x:v>4.611111111111111</x:v>
      </x:c>
      <x:c r="N1513" s="9" t="n">
        <x:f>M1513*'Parameters'!$C$18</x:f>
        <x:v>0.9222222222222222</x:v>
      </x:c>
      <x:c r="O1513" s="9" t="n">
        <x:f>N1513*'Parameters'!$C$19</x:f>
        <x:v>1.1527777777777777</x:v>
      </x:c>
      <x:c r="P1513" s="9" t="n">
        <x:f>M1513*(1-0.40)-N1513</x:f>
        <x:v>1.844444444444444</x:v>
      </x:c>
      <x:c r="Q1513" s="9" t="n">
        <x:f>'Physical_Arcs'!T13</x:f>
        <x:v>2.3055555555555554</x:v>
      </x:c>
      <x:c r="R1513" s="9" t="n">
        <x:f>Q1513*'Parameters'!$C$18</x:f>
        <x:v>0.4611111111111111</x:v>
      </x:c>
      <x:c r="S1513" s="9" t="n">
        <x:f>R1513*'Parameters'!$C$19</x:f>
        <x:v>0.5763888888888888</x:v>
      </x:c>
      <x:c r="T1513" s="9" t="n">
        <x:f>Q1513*(1-0.40)-R1513</x:f>
        <x:v>0.922222222222222</x:v>
      </x:c>
    </x:row>
    <x:row r="1514" ht="21" customHeight="1">
      <x:c r="A1514" s="3" t="n">
        <x:v>25</x:v>
      </x:c>
      <x:c r="B1514" s="3" t="str">
        <x:v>04:10</x:v>
      </x:c>
      <x:c r="C1514" s="3" t="n">
        <x:v>5</x:v>
      </x:c>
      <x:c r="D1514" s="3" t="n">
        <x:v>13</x:v>
      </x:c>
      <x:c r="E1514" s="3" t="n">
        <x:v>2</x:v>
      </x:c>
      <x:c r="F1514" s="3" t="n">
        <x:v>9</x:v>
      </x:c>
      <x:c r="G1514" s="9" t="n">
        <x:v>0.1</x:v>
      </x:c>
      <x:c r="H1514" s="9" t="n">
        <x:v>1.117625</x:v>
      </x:c>
      <x:c r="I1514" s="9" t="n">
        <x:f>'Physical_Arcs'!R14</x:f>
        <x:v>8.666666666666666</x:v>
      </x:c>
      <x:c r="J1514" s="9" t="n">
        <x:f>I1514*'Parameters'!$C$18</x:f>
        <x:v>1.7333333333333334</x:v>
      </x:c>
      <x:c r="K1514" s="9" t="n">
        <x:f>J1514*'Parameters'!$C$19</x:f>
        <x:v>2.166666666666667</x:v>
      </x:c>
      <x:c r="L1514" s="9" t="n">
        <x:f>I1514*(1-0.40)-J1514</x:f>
        <x:v>3.466666666666666</x:v>
      </x:c>
      <x:c r="M1514" s="9" t="n">
        <x:f>'Physical_Arcs'!S14</x:f>
        <x:v>8.666666666666666</x:v>
      </x:c>
      <x:c r="N1514" s="9" t="n">
        <x:f>M1514*'Parameters'!$C$18</x:f>
        <x:v>1.7333333333333334</x:v>
      </x:c>
      <x:c r="O1514" s="9" t="n">
        <x:f>N1514*'Parameters'!$C$19</x:f>
        <x:v>2.166666666666667</x:v>
      </x:c>
      <x:c r="P1514" s="9" t="n">
        <x:f>M1514*(1-0.40)-N1514</x:f>
        <x:v>3.466666666666666</x:v>
      </x:c>
      <x:c r="Q1514" s="9" t="n">
        <x:f>'Physical_Arcs'!T14</x:f>
        <x:v>4.333333333333333</x:v>
      </x:c>
      <x:c r="R1514" s="9" t="n">
        <x:f>Q1514*'Parameters'!$C$18</x:f>
        <x:v>0.8666666666666667</x:v>
      </x:c>
      <x:c r="S1514" s="9" t="n">
        <x:f>R1514*'Parameters'!$C$19</x:f>
        <x:v>1.0833333333333335</x:v>
      </x:c>
      <x:c r="T1514" s="9" t="n">
        <x:f>Q1514*(1-0.40)-R1514</x:f>
        <x:v>1.733333333333333</x:v>
      </x:c>
    </x:row>
    <x:row r="1515" ht="21" customHeight="1">
      <x:c r="A1515" s="3" t="n">
        <x:v>25</x:v>
      </x:c>
      <x:c r="B1515" s="3" t="str">
        <x:v>04:10</x:v>
      </x:c>
      <x:c r="C1515" s="3" t="n">
        <x:v>5</x:v>
      </x:c>
      <x:c r="D1515" s="3" t="n">
        <x:v>14</x:v>
      </x:c>
      <x:c r="E1515" s="3" t="n">
        <x:v>2</x:v>
      </x:c>
      <x:c r="F1515" s="3" t="n">
        <x:v>8</x:v>
      </x:c>
      <x:c r="G1515" s="9" t="n">
        <x:v>0.1</x:v>
      </x:c>
      <x:c r="H1515" s="9" t="n">
        <x:v>1.144902</x:v>
      </x:c>
      <x:c r="I1515" s="9" t="n">
        <x:f>'Physical_Arcs'!R15</x:f>
        <x:v>7.75</x:v>
      </x:c>
      <x:c r="J1515" s="9" t="n">
        <x:f>I1515*'Parameters'!$C$18</x:f>
        <x:v>1.55</x:v>
      </x:c>
      <x:c r="K1515" s="9" t="n">
        <x:f>J1515*'Parameters'!$C$19</x:f>
        <x:v>1.9375</x:v>
      </x:c>
      <x:c r="L1515" s="9" t="n">
        <x:f>I1515*(1-0.40)-J1515</x:f>
        <x:v>3.0999999999999996</x:v>
      </x:c>
      <x:c r="M1515" s="9" t="n">
        <x:f>'Physical_Arcs'!S15</x:f>
        <x:v>7.75</x:v>
      </x:c>
      <x:c r="N1515" s="9" t="n">
        <x:f>M1515*'Parameters'!$C$18</x:f>
        <x:v>1.55</x:v>
      </x:c>
      <x:c r="O1515" s="9" t="n">
        <x:f>N1515*'Parameters'!$C$19</x:f>
        <x:v>1.9375</x:v>
      </x:c>
      <x:c r="P1515" s="9" t="n">
        <x:f>M1515*(1-0.40)-N1515</x:f>
        <x:v>3.0999999999999996</x:v>
      </x:c>
      <x:c r="Q1515" s="9" t="n">
        <x:f>'Physical_Arcs'!T15</x:f>
        <x:v>3.888888888888889</x:v>
      </x:c>
      <x:c r="R1515" s="9" t="n">
        <x:f>Q1515*'Parameters'!$C$18</x:f>
        <x:v>0.7777777777777778</x:v>
      </x:c>
      <x:c r="S1515" s="9" t="n">
        <x:f>R1515*'Parameters'!$C$19</x:f>
        <x:v>0.9722222222222222</x:v>
      </x:c>
      <x:c r="T1515" s="9" t="n">
        <x:f>Q1515*(1-0.40)-R1515</x:f>
        <x:v>1.5555555555555554</x:v>
      </x:c>
    </x:row>
    <x:row r="1516" ht="21" customHeight="1">
      <x:c r="A1516" s="3" t="n">
        <x:v>25</x:v>
      </x:c>
      <x:c r="B1516" s="3" t="str">
        <x:v>04:10</x:v>
      </x:c>
      <x:c r="C1516" s="3" t="n">
        <x:v>5</x:v>
      </x:c>
      <x:c r="D1516" s="3" t="n">
        <x:v>15</x:v>
      </x:c>
      <x:c r="E1516" s="3" t="n">
        <x:v>2</x:v>
      </x:c>
      <x:c r="F1516" s="3" t="n">
        <x:v>10</x:v>
      </x:c>
      <x:c r="G1516" s="9" t="n">
        <x:v>0.1</x:v>
      </x:c>
      <x:c r="H1516" s="9" t="n">
        <x:v>1.146684</x:v>
      </x:c>
      <x:c r="I1516" s="9" t="n">
        <x:f>'Physical_Arcs'!R16</x:f>
        <x:v>7.416666666666667</x:v>
      </x:c>
      <x:c r="J1516" s="9" t="n">
        <x:f>I1516*'Parameters'!$C$18</x:f>
        <x:v>1.4833333333333334</x:v>
      </x:c>
      <x:c r="K1516" s="9" t="n">
        <x:f>J1516*'Parameters'!$C$19</x:f>
        <x:v>1.8541666666666667</x:v>
      </x:c>
      <x:c r="L1516" s="9" t="n">
        <x:f>I1516*(1-0.40)-J1516</x:f>
        <x:v>2.966666666666667</x:v>
      </x:c>
      <x:c r="M1516" s="9" t="n">
        <x:f>'Physical_Arcs'!S16</x:f>
        <x:v>7.416666666666667</x:v>
      </x:c>
      <x:c r="N1516" s="9" t="n">
        <x:f>M1516*'Parameters'!$C$18</x:f>
        <x:v>1.4833333333333334</x:v>
      </x:c>
      <x:c r="O1516" s="9" t="n">
        <x:f>N1516*'Parameters'!$C$19</x:f>
        <x:v>1.8541666666666667</x:v>
      </x:c>
      <x:c r="P1516" s="9" t="n">
        <x:f>M1516*(1-0.40)-N1516</x:f>
        <x:v>2.966666666666667</x:v>
      </x:c>
      <x:c r="Q1516" s="9" t="n">
        <x:f>'Physical_Arcs'!T16</x:f>
        <x:v>3.7222222222222223</x:v>
      </x:c>
      <x:c r="R1516" s="9" t="n">
        <x:f>Q1516*'Parameters'!$C$18</x:f>
        <x:v>0.7444444444444445</x:v>
      </x:c>
      <x:c r="S1516" s="9" t="n">
        <x:f>R1516*'Parameters'!$C$19</x:f>
        <x:v>0.9305555555555556</x:v>
      </x:c>
      <x:c r="T1516" s="9" t="n">
        <x:f>Q1516*(1-0.40)-R1516</x:f>
        <x:v>1.488888888888889</x:v>
      </x:c>
    </x:row>
    <x:row r="1517" ht="21" customHeight="1">
      <x:c r="A1517" s="3" t="n">
        <x:v>25</x:v>
      </x:c>
      <x:c r="B1517" s="3" t="str">
        <x:v>04:10</x:v>
      </x:c>
      <x:c r="C1517" s="3" t="n">
        <x:v>5</x:v>
      </x:c>
      <x:c r="D1517" s="3" t="n">
        <x:v>16</x:v>
      </x:c>
      <x:c r="E1517" s="3" t="n">
        <x:v>3</x:v>
      </x:c>
      <x:c r="F1517" s="3" t="n">
        <x:v>4</x:v>
      </x:c>
      <x:c r="G1517" s="9" t="n">
        <x:v>0.1</x:v>
      </x:c>
      <x:c r="H1517" s="9" t="n">
        <x:v>1.017658</x:v>
      </x:c>
      <x:c r="I1517" s="9" t="n">
        <x:f>'Physical_Arcs'!R17</x:f>
        <x:v>17.02777777777778</x:v>
      </x:c>
      <x:c r="J1517" s="9" t="n">
        <x:f>I1517*'Parameters'!$C$18</x:f>
        <x:v>3.405555555555556</x:v>
      </x:c>
      <x:c r="K1517" s="9" t="n">
        <x:f>J1517*'Parameters'!$C$19</x:f>
        <x:v>4.256944444444445</x:v>
      </x:c>
      <x:c r="L1517" s="9" t="n">
        <x:f>I1517*(1-0.40)-J1517</x:f>
        <x:v>6.811111111111111</x:v>
      </x:c>
      <x:c r="M1517" s="9" t="n">
        <x:f>'Physical_Arcs'!S17</x:f>
        <x:v>17.02777777777778</x:v>
      </x:c>
      <x:c r="N1517" s="9" t="n">
        <x:f>M1517*'Parameters'!$C$18</x:f>
        <x:v>3.405555555555556</x:v>
      </x:c>
      <x:c r="O1517" s="9" t="n">
        <x:f>N1517*'Parameters'!$C$19</x:f>
        <x:v>4.256944444444445</x:v>
      </x:c>
      <x:c r="P1517" s="9" t="n">
        <x:f>M1517*(1-0.40)-N1517</x:f>
        <x:v>6.811111111111111</x:v>
      </x:c>
      <x:c r="Q1517" s="9" t="n">
        <x:f>'Physical_Arcs'!T17</x:f>
        <x:v>17.02777777777778</x:v>
      </x:c>
      <x:c r="R1517" s="9" t="n">
        <x:f>Q1517*'Parameters'!$C$18</x:f>
        <x:v>3.405555555555556</x:v>
      </x:c>
      <x:c r="S1517" s="9" t="n">
        <x:f>R1517*'Parameters'!$C$19</x:f>
        <x:v>4.256944444444445</x:v>
      </x:c>
      <x:c r="T1517" s="9" t="n">
        <x:f>Q1517*(1-0.40)-R1517</x:f>
        <x:v>6.811111111111111</x:v>
      </x:c>
    </x:row>
    <x:row r="1518" ht="21" customHeight="1">
      <x:c r="A1518" s="3" t="n">
        <x:v>25</x:v>
      </x:c>
      <x:c r="B1518" s="3" t="str">
        <x:v>04:10</x:v>
      </x:c>
      <x:c r="C1518" s="3" t="n">
        <x:v>5</x:v>
      </x:c>
      <x:c r="D1518" s="3" t="n">
        <x:v>17</x:v>
      </x:c>
      <x:c r="E1518" s="3" t="n">
        <x:v>3</x:v>
      </x:c>
      <x:c r="F1518" s="3" t="n">
        <x:v>2</x:v>
      </x:c>
      <x:c r="G1518" s="9" t="n">
        <x:v>0.1</x:v>
      </x:c>
      <x:c r="H1518" s="9" t="n">
        <x:v>0.875995</x:v>
      </x:c>
      <x:c r="I1518" s="9" t="n">
        <x:f>'Physical_Arcs'!R18</x:f>
        <x:v>10.666666666666666</x:v>
      </x:c>
      <x:c r="J1518" s="9" t="n">
        <x:f>I1518*'Parameters'!$C$18</x:f>
        <x:v>2.1333333333333333</x:v>
      </x:c>
      <x:c r="K1518" s="9" t="n">
        <x:f>J1518*'Parameters'!$C$19</x:f>
        <x:v>2.6666666666666665</x:v>
      </x:c>
      <x:c r="L1518" s="9" t="n">
        <x:f>I1518*(1-0.40)-J1518</x:f>
        <x:v>4.266666666666666</x:v>
      </x:c>
      <x:c r="M1518" s="9" t="n">
        <x:f>'Physical_Arcs'!S18</x:f>
        <x:v>10.666666666666666</x:v>
      </x:c>
      <x:c r="N1518" s="9" t="n">
        <x:f>M1518*'Parameters'!$C$18</x:f>
        <x:v>2.1333333333333333</x:v>
      </x:c>
      <x:c r="O1518" s="9" t="n">
        <x:f>N1518*'Parameters'!$C$19</x:f>
        <x:v>2.6666666666666665</x:v>
      </x:c>
      <x:c r="P1518" s="9" t="n">
        <x:f>M1518*(1-0.40)-N1518</x:f>
        <x:v>4.266666666666666</x:v>
      </x:c>
      <x:c r="Q1518" s="9" t="n">
        <x:f>'Physical_Arcs'!T18</x:f>
        <x:v>5.333333333333333</x:v>
      </x:c>
      <x:c r="R1518" s="9" t="n">
        <x:f>Q1518*'Parameters'!$C$18</x:f>
        <x:v>1.0666666666666667</x:v>
      </x:c>
      <x:c r="S1518" s="9" t="n">
        <x:f>R1518*'Parameters'!$C$19</x:f>
        <x:v>1.3333333333333333</x:v>
      </x:c>
      <x:c r="T1518" s="9" t="n">
        <x:f>Q1518*(1-0.40)-R1518</x:f>
        <x:v>2.133333333333333</x:v>
      </x:c>
    </x:row>
    <x:row r="1519" ht="21" customHeight="1">
      <x:c r="A1519" s="3" t="n">
        <x:v>25</x:v>
      </x:c>
      <x:c r="B1519" s="3" t="str">
        <x:v>04:10</x:v>
      </x:c>
      <x:c r="C1519" s="3" t="n">
        <x:v>5</x:v>
      </x:c>
      <x:c r="D1519" s="3" t="n">
        <x:v>18</x:v>
      </x:c>
      <x:c r="E1519" s="3" t="n">
        <x:v>3</x:v>
      </x:c>
      <x:c r="F1519" s="3" t="n">
        <x:v>1</x:v>
      </x:c>
      <x:c r="G1519" s="9" t="n">
        <x:v>0.1</x:v>
      </x:c>
      <x:c r="H1519" s="9" t="n">
        <x:v>1.015397</x:v>
      </x:c>
      <x:c r="I1519" s="9" t="n">
        <x:f>'Physical_Arcs'!R19</x:f>
        <x:v>5.166666666666667</x:v>
      </x:c>
      <x:c r="J1519" s="9" t="n">
        <x:f>I1519*'Parameters'!$C$18</x:f>
        <x:v>1.0333333333333334</x:v>
      </x:c>
      <x:c r="K1519" s="9" t="n">
        <x:f>J1519*'Parameters'!$C$19</x:f>
        <x:v>1.2916666666666667</x:v>
      </x:c>
      <x:c r="L1519" s="9" t="n">
        <x:f>I1519*(1-0.40)-J1519</x:f>
        <x:v>2.0666666666666664</x:v>
      </x:c>
      <x:c r="M1519" s="9" t="n">
        <x:f>'Physical_Arcs'!S19</x:f>
        <x:v>5.166666666666667</x:v>
      </x:c>
      <x:c r="N1519" s="9" t="n">
        <x:f>M1519*'Parameters'!$C$18</x:f>
        <x:v>1.0333333333333334</x:v>
      </x:c>
      <x:c r="O1519" s="9" t="n">
        <x:f>N1519*'Parameters'!$C$19</x:f>
        <x:v>1.2916666666666667</x:v>
      </x:c>
      <x:c r="P1519" s="9" t="n">
        <x:f>M1519*(1-0.40)-N1519</x:f>
        <x:v>2.0666666666666664</x:v>
      </x:c>
      <x:c r="Q1519" s="9" t="n">
        <x:f>'Physical_Arcs'!T19</x:f>
        <x:v>2.5833333333333335</x:v>
      </x:c>
      <x:c r="R1519" s="9" t="n">
        <x:f>Q1519*'Parameters'!$C$18</x:f>
        <x:v>0.5166666666666667</x:v>
      </x:c>
      <x:c r="S1519" s="9" t="n">
        <x:f>R1519*'Parameters'!$C$19</x:f>
        <x:v>0.6458333333333334</x:v>
      </x:c>
      <x:c r="T1519" s="9" t="n">
        <x:f>Q1519*(1-0.40)-R1519</x:f>
        <x:v>1.0333333333333332</x:v>
      </x:c>
    </x:row>
    <x:row r="1520" ht="21" customHeight="1">
      <x:c r="A1520" s="3" t="n">
        <x:v>25</x:v>
      </x:c>
      <x:c r="B1520" s="3" t="str">
        <x:v>04:10</x:v>
      </x:c>
      <x:c r="C1520" s="3" t="n">
        <x:v>5</x:v>
      </x:c>
      <x:c r="D1520" s="3" t="n">
        <x:v>19</x:v>
      </x:c>
      <x:c r="E1520" s="3" t="n">
        <x:v>3</x:v>
      </x:c>
      <x:c r="F1520" s="3" t="n">
        <x:v>7</x:v>
      </x:c>
      <x:c r="G1520" s="9" t="n">
        <x:v>0.1</x:v>
      </x:c>
      <x:c r="H1520" s="9" t="n">
        <x:v>0.996008</x:v>
      </x:c>
      <x:c r="I1520" s="9" t="n">
        <x:f>'Physical_Arcs'!R20</x:f>
        <x:v>5.75</x:v>
      </x:c>
      <x:c r="J1520" s="9" t="n">
        <x:f>I1520*'Parameters'!$C$18</x:f>
        <x:v>1.1500000000000001</x:v>
      </x:c>
      <x:c r="K1520" s="9" t="n">
        <x:f>J1520*'Parameters'!$C$19</x:f>
        <x:v>1.4375000000000002</x:v>
      </x:c>
      <x:c r="L1520" s="9" t="n">
        <x:f>I1520*(1-0.40)-J1520</x:f>
        <x:v>2.3</x:v>
      </x:c>
      <x:c r="M1520" s="9" t="n">
        <x:f>'Physical_Arcs'!S20</x:f>
        <x:v>5.75</x:v>
      </x:c>
      <x:c r="N1520" s="9" t="n">
        <x:f>M1520*'Parameters'!$C$18</x:f>
        <x:v>1.1500000000000001</x:v>
      </x:c>
      <x:c r="O1520" s="9" t="n">
        <x:f>N1520*'Parameters'!$C$19</x:f>
        <x:v>1.4375000000000002</x:v>
      </x:c>
      <x:c r="P1520" s="9" t="n">
        <x:f>M1520*(1-0.40)-N1520</x:f>
        <x:v>2.3</x:v>
      </x:c>
      <x:c r="Q1520" s="9" t="n">
        <x:f>'Physical_Arcs'!T20</x:f>
        <x:v>2.888888888888889</x:v>
      </x:c>
      <x:c r="R1520" s="9" t="n">
        <x:f>Q1520*'Parameters'!$C$18</x:f>
        <x:v>0.5777777777777778</x:v>
      </x:c>
      <x:c r="S1520" s="9" t="n">
        <x:f>R1520*'Parameters'!$C$19</x:f>
        <x:v>0.7222222222222223</x:v>
      </x:c>
      <x:c r="T1520" s="9" t="n">
        <x:f>Q1520*(1-0.40)-R1520</x:f>
        <x:v>1.1555555555555554</x:v>
      </x:c>
    </x:row>
    <x:row r="1521" ht="21" customHeight="1">
      <x:c r="A1521" s="3" t="n">
        <x:v>25</x:v>
      </x:c>
      <x:c r="B1521" s="3" t="str">
        <x:v>04:10</x:v>
      </x:c>
      <x:c r="C1521" s="3" t="n">
        <x:v>5</x:v>
      </x:c>
      <x:c r="D1521" s="3" t="n">
        <x:v>20</x:v>
      </x:c>
      <x:c r="E1521" s="3" t="n">
        <x:v>3</x:v>
      </x:c>
      <x:c r="F1521" s="3" t="n">
        <x:v>10</x:v>
      </x:c>
      <x:c r="G1521" s="9" t="n">
        <x:v>0.1</x:v>
      </x:c>
      <x:c r="H1521" s="9" t="n">
        <x:v>1.118855</x:v>
      </x:c>
      <x:c r="I1521" s="9" t="n">
        <x:f>'Physical_Arcs'!R21</x:f>
        <x:v>5.166666666666667</x:v>
      </x:c>
      <x:c r="J1521" s="9" t="n">
        <x:f>I1521*'Parameters'!$C$18</x:f>
        <x:v>1.0333333333333334</x:v>
      </x:c>
      <x:c r="K1521" s="9" t="n">
        <x:f>J1521*'Parameters'!$C$19</x:f>
        <x:v>1.2916666666666667</x:v>
      </x:c>
      <x:c r="L1521" s="9" t="n">
        <x:f>I1521*(1-0.40)-J1521</x:f>
        <x:v>2.0666666666666664</x:v>
      </x:c>
      <x:c r="M1521" s="9" t="n">
        <x:f>'Physical_Arcs'!S21</x:f>
        <x:v>5.166666666666667</x:v>
      </x:c>
      <x:c r="N1521" s="9" t="n">
        <x:f>M1521*'Parameters'!$C$18</x:f>
        <x:v>1.0333333333333334</x:v>
      </x:c>
      <x:c r="O1521" s="9" t="n">
        <x:f>N1521*'Parameters'!$C$19</x:f>
        <x:v>1.2916666666666667</x:v>
      </x:c>
      <x:c r="P1521" s="9" t="n">
        <x:f>M1521*(1-0.40)-N1521</x:f>
        <x:v>2.0666666666666664</x:v>
      </x:c>
      <x:c r="Q1521" s="9" t="n">
        <x:f>'Physical_Arcs'!T21</x:f>
        <x:v>2.5833333333333335</x:v>
      </x:c>
      <x:c r="R1521" s="9" t="n">
        <x:f>Q1521*'Parameters'!$C$18</x:f>
        <x:v>0.5166666666666667</x:v>
      </x:c>
      <x:c r="S1521" s="9" t="n">
        <x:f>R1521*'Parameters'!$C$19</x:f>
        <x:v>0.6458333333333334</x:v>
      </x:c>
      <x:c r="T1521" s="9" t="n">
        <x:f>Q1521*(1-0.40)-R1521</x:f>
        <x:v>1.0333333333333332</x:v>
      </x:c>
    </x:row>
    <x:row r="1522" ht="21" customHeight="1">
      <x:c r="A1522" s="3" t="n">
        <x:v>25</x:v>
      </x:c>
      <x:c r="B1522" s="3" t="str">
        <x:v>04:10</x:v>
      </x:c>
      <x:c r="C1522" s="3" t="n">
        <x:v>5</x:v>
      </x:c>
      <x:c r="D1522" s="3" t="n">
        <x:v>21</x:v>
      </x:c>
      <x:c r="E1522" s="3" t="n">
        <x:v>3</x:v>
      </x:c>
      <x:c r="F1522" s="3" t="n">
        <x:v>9</x:v>
      </x:c>
      <x:c r="G1522" s="9" t="n">
        <x:v>0.1</x:v>
      </x:c>
      <x:c r="H1522" s="9" t="n">
        <x:v>0.947299</x:v>
      </x:c>
      <x:c r="I1522" s="9" t="n">
        <x:f>'Physical_Arcs'!R22</x:f>
        <x:v>9.333333333333334</x:v>
      </x:c>
      <x:c r="J1522" s="9" t="n">
        <x:f>I1522*'Parameters'!$C$18</x:f>
        <x:v>1.866666666666667</x:v>
      </x:c>
      <x:c r="K1522" s="9" t="n">
        <x:f>J1522*'Parameters'!$C$19</x:f>
        <x:v>2.3333333333333335</x:v>
      </x:c>
      <x:c r="L1522" s="9" t="n">
        <x:f>I1522*(1-0.40)-J1522</x:f>
        <x:v>3.7333333333333334</x:v>
      </x:c>
      <x:c r="M1522" s="9" t="n">
        <x:f>'Physical_Arcs'!S22</x:f>
        <x:v>9.333333333333334</x:v>
      </x:c>
      <x:c r="N1522" s="9" t="n">
        <x:f>M1522*'Parameters'!$C$18</x:f>
        <x:v>1.866666666666667</x:v>
      </x:c>
      <x:c r="O1522" s="9" t="n">
        <x:f>N1522*'Parameters'!$C$19</x:f>
        <x:v>2.3333333333333335</x:v>
      </x:c>
      <x:c r="P1522" s="9" t="n">
        <x:f>M1522*(1-0.40)-N1522</x:f>
        <x:v>3.7333333333333334</x:v>
      </x:c>
      <x:c r="Q1522" s="9" t="n">
        <x:f>'Physical_Arcs'!T22</x:f>
        <x:v>4.666666666666667</x:v>
      </x:c>
      <x:c r="R1522" s="9" t="n">
        <x:f>Q1522*'Parameters'!$C$18</x:f>
        <x:v>0.9333333333333335</x:v>
      </x:c>
      <x:c r="S1522" s="9" t="n">
        <x:f>R1522*'Parameters'!$C$19</x:f>
        <x:v>1.1666666666666667</x:v>
      </x:c>
      <x:c r="T1522" s="9" t="n">
        <x:f>Q1522*(1-0.40)-R1522</x:f>
        <x:v>1.8666666666666667</x:v>
      </x:c>
    </x:row>
    <x:row r="1523" ht="21" customHeight="1">
      <x:c r="A1523" s="3" t="n">
        <x:v>25</x:v>
      </x:c>
      <x:c r="B1523" s="3" t="str">
        <x:v>04:10</x:v>
      </x:c>
      <x:c r="C1523" s="3" t="n">
        <x:v>5</x:v>
      </x:c>
      <x:c r="D1523" s="3" t="n">
        <x:v>22</x:v>
      </x:c>
      <x:c r="E1523" s="3" t="n">
        <x:v>4</x:v>
      </x:c>
      <x:c r="F1523" s="3" t="n">
        <x:v>5</x:v>
      </x:c>
      <x:c r="G1523" s="9" t="n">
        <x:v>0.1</x:v>
      </x:c>
      <x:c r="H1523" s="9" t="n">
        <x:v>0.958485</x:v>
      </x:c>
      <x:c r="I1523" s="9" t="n">
        <x:f>'Physical_Arcs'!R23</x:f>
        <x:v>17.02777777777778</x:v>
      </x:c>
      <x:c r="J1523" s="9" t="n">
        <x:f>I1523*'Parameters'!$C$18</x:f>
        <x:v>3.405555555555556</x:v>
      </x:c>
      <x:c r="K1523" s="9" t="n">
        <x:f>J1523*'Parameters'!$C$19</x:f>
        <x:v>4.256944444444445</x:v>
      </x:c>
      <x:c r="L1523" s="9" t="n">
        <x:f>I1523*(1-0.40)-J1523</x:f>
        <x:v>6.811111111111111</x:v>
      </x:c>
      <x:c r="M1523" s="9" t="n">
        <x:f>'Physical_Arcs'!S23</x:f>
        <x:v>17.02777777777778</x:v>
      </x:c>
      <x:c r="N1523" s="9" t="n">
        <x:f>M1523*'Parameters'!$C$18</x:f>
        <x:v>3.405555555555556</x:v>
      </x:c>
      <x:c r="O1523" s="9" t="n">
        <x:f>N1523*'Parameters'!$C$19</x:f>
        <x:v>4.256944444444445</x:v>
      </x:c>
      <x:c r="P1523" s="9" t="n">
        <x:f>M1523*(1-0.40)-N1523</x:f>
        <x:v>6.811111111111111</x:v>
      </x:c>
      <x:c r="Q1523" s="9" t="n">
        <x:f>'Physical_Arcs'!T23</x:f>
        <x:v>17.02777777777778</x:v>
      </x:c>
      <x:c r="R1523" s="9" t="n">
        <x:f>Q1523*'Parameters'!$C$18</x:f>
        <x:v>3.405555555555556</x:v>
      </x:c>
      <x:c r="S1523" s="9" t="n">
        <x:f>R1523*'Parameters'!$C$19</x:f>
        <x:v>4.256944444444445</x:v>
      </x:c>
      <x:c r="T1523" s="9" t="n">
        <x:f>Q1523*(1-0.40)-R1523</x:f>
        <x:v>6.811111111111111</x:v>
      </x:c>
    </x:row>
    <x:row r="1524" ht="21" customHeight="1">
      <x:c r="A1524" s="3" t="n">
        <x:v>25</x:v>
      </x:c>
      <x:c r="B1524" s="3" t="str">
        <x:v>04:10</x:v>
      </x:c>
      <x:c r="C1524" s="3" t="n">
        <x:v>5</x:v>
      </x:c>
      <x:c r="D1524" s="3" t="n">
        <x:v>23</x:v>
      </x:c>
      <x:c r="E1524" s="3" t="n">
        <x:v>4</x:v>
      </x:c>
      <x:c r="F1524" s="3" t="n">
        <x:v>3</x:v>
      </x:c>
      <x:c r="G1524" s="9" t="n">
        <x:v>0.1</x:v>
      </x:c>
      <x:c r="H1524" s="9" t="n">
        <x:v>0.944916</x:v>
      </x:c>
      <x:c r="I1524" s="9" t="n">
        <x:f>'Physical_Arcs'!R24</x:f>
        <x:v>9.333333333333334</x:v>
      </x:c>
      <x:c r="J1524" s="9" t="n">
        <x:f>I1524*'Parameters'!$C$18</x:f>
        <x:v>1.866666666666667</x:v>
      </x:c>
      <x:c r="K1524" s="9" t="n">
        <x:f>J1524*'Parameters'!$C$19</x:f>
        <x:v>2.3333333333333335</x:v>
      </x:c>
      <x:c r="L1524" s="9" t="n">
        <x:f>I1524*(1-0.40)-J1524</x:f>
        <x:v>3.7333333333333334</x:v>
      </x:c>
      <x:c r="M1524" s="9" t="n">
        <x:f>'Physical_Arcs'!S24</x:f>
        <x:v>9.333333333333334</x:v>
      </x:c>
      <x:c r="N1524" s="9" t="n">
        <x:f>M1524*'Parameters'!$C$18</x:f>
        <x:v>1.866666666666667</x:v>
      </x:c>
      <x:c r="O1524" s="9" t="n">
        <x:f>N1524*'Parameters'!$C$19</x:f>
        <x:v>2.3333333333333335</x:v>
      </x:c>
      <x:c r="P1524" s="9" t="n">
        <x:f>M1524*(1-0.40)-N1524</x:f>
        <x:v>3.7333333333333334</x:v>
      </x:c>
      <x:c r="Q1524" s="9" t="n">
        <x:f>'Physical_Arcs'!T24</x:f>
        <x:v>4.666666666666667</x:v>
      </x:c>
      <x:c r="R1524" s="9" t="n">
        <x:f>Q1524*'Parameters'!$C$18</x:f>
        <x:v>0.9333333333333335</x:v>
      </x:c>
      <x:c r="S1524" s="9" t="n">
        <x:f>R1524*'Parameters'!$C$19</x:f>
        <x:v>1.1666666666666667</x:v>
      </x:c>
      <x:c r="T1524" s="9" t="n">
        <x:f>Q1524*(1-0.40)-R1524</x:f>
        <x:v>1.8666666666666667</x:v>
      </x:c>
    </x:row>
    <x:row r="1525" ht="21" customHeight="1">
      <x:c r="A1525" s="3" t="n">
        <x:v>25</x:v>
      </x:c>
      <x:c r="B1525" s="3" t="str">
        <x:v>04:10</x:v>
      </x:c>
      <x:c r="C1525" s="3" t="n">
        <x:v>5</x:v>
      </x:c>
      <x:c r="D1525" s="3" t="n">
        <x:v>24</x:v>
      </x:c>
      <x:c r="E1525" s="3" t="n">
        <x:v>4</x:v>
      </x:c>
      <x:c r="F1525" s="3" t="n">
        <x:v>10</x:v>
      </x:c>
      <x:c r="G1525" s="9" t="n">
        <x:v>0.1</x:v>
      </x:c>
      <x:c r="H1525" s="9" t="n">
        <x:v>0.875461</x:v>
      </x:c>
      <x:c r="I1525" s="9" t="n">
        <x:f>'Physical_Arcs'!R25</x:f>
        <x:v>7.194444444444445</x:v>
      </x:c>
      <x:c r="J1525" s="9" t="n">
        <x:f>I1525*'Parameters'!$C$18</x:f>
        <x:v>1.438888888888889</x:v>
      </x:c>
      <x:c r="K1525" s="9" t="n">
        <x:f>J1525*'Parameters'!$C$19</x:f>
        <x:v>1.7986111111111114</x:v>
      </x:c>
      <x:c r="L1525" s="9" t="n">
        <x:f>I1525*(1-0.40)-J1525</x:f>
        <x:v>2.8777777777777773</x:v>
      </x:c>
      <x:c r="M1525" s="9" t="n">
        <x:f>'Physical_Arcs'!S25</x:f>
        <x:v>7.194444444444445</x:v>
      </x:c>
      <x:c r="N1525" s="9" t="n">
        <x:f>M1525*'Parameters'!$C$18</x:f>
        <x:v>1.438888888888889</x:v>
      </x:c>
      <x:c r="O1525" s="9" t="n">
        <x:f>N1525*'Parameters'!$C$19</x:f>
        <x:v>1.7986111111111114</x:v>
      </x:c>
      <x:c r="P1525" s="9" t="n">
        <x:f>M1525*(1-0.40)-N1525</x:f>
        <x:v>2.8777777777777773</x:v>
      </x:c>
      <x:c r="Q1525" s="9" t="n">
        <x:f>'Physical_Arcs'!T25</x:f>
        <x:v>3.611111111111111</x:v>
      </x:c>
      <x:c r="R1525" s="9" t="n">
        <x:f>Q1525*'Parameters'!$C$18</x:f>
        <x:v>0.7222222222222223</x:v>
      </x:c>
      <x:c r="S1525" s="9" t="n">
        <x:f>R1525*'Parameters'!$C$19</x:f>
        <x:v>0.9027777777777779</x:v>
      </x:c>
      <x:c r="T1525" s="9" t="n">
        <x:f>Q1525*(1-0.40)-R1525</x:f>
        <x:v>1.4444444444444442</x:v>
      </x:c>
    </x:row>
    <x:row r="1526" ht="21" customHeight="1">
      <x:c r="A1526" s="3" t="n">
        <x:v>25</x:v>
      </x:c>
      <x:c r="B1526" s="3" t="str">
        <x:v>04:10</x:v>
      </x:c>
      <x:c r="C1526" s="3" t="n">
        <x:v>5</x:v>
      </x:c>
      <x:c r="D1526" s="3" t="n">
        <x:v>25</x:v>
      </x:c>
      <x:c r="E1526" s="3" t="n">
        <x:v>4</x:v>
      </x:c>
      <x:c r="F1526" s="3" t="n">
        <x:v>8</x:v>
      </x:c>
      <x:c r="G1526" s="9" t="n">
        <x:v>0.1</x:v>
      </x:c>
      <x:c r="H1526" s="9" t="n">
        <x:v>0.993326</x:v>
      </x:c>
      <x:c r="I1526" s="9" t="n">
        <x:f>'Physical_Arcs'!R26</x:f>
        <x:v>5.277777777777778</x:v>
      </x:c>
      <x:c r="J1526" s="9" t="n">
        <x:f>I1526*'Parameters'!$C$18</x:f>
        <x:v>1.0555555555555556</x:v>
      </x:c>
      <x:c r="K1526" s="9" t="n">
        <x:f>J1526*'Parameters'!$C$19</x:f>
        <x:v>1.3194444444444444</x:v>
      </x:c>
      <x:c r="L1526" s="9" t="n">
        <x:f>I1526*(1-0.40)-J1526</x:f>
        <x:v>2.1111111111111107</x:v>
      </x:c>
      <x:c r="M1526" s="9" t="n">
        <x:f>'Physical_Arcs'!S26</x:f>
        <x:v>5.277777777777778</x:v>
      </x:c>
      <x:c r="N1526" s="9" t="n">
        <x:f>M1526*'Parameters'!$C$18</x:f>
        <x:v>1.0555555555555556</x:v>
      </x:c>
      <x:c r="O1526" s="9" t="n">
        <x:f>N1526*'Parameters'!$C$19</x:f>
        <x:v>1.3194444444444444</x:v>
      </x:c>
      <x:c r="P1526" s="9" t="n">
        <x:f>M1526*(1-0.40)-N1526</x:f>
        <x:v>2.1111111111111107</x:v>
      </x:c>
      <x:c r="Q1526" s="9" t="n">
        <x:f>'Physical_Arcs'!T26</x:f>
        <x:v>2.638888888888889</x:v>
      </x:c>
      <x:c r="R1526" s="9" t="n">
        <x:f>Q1526*'Parameters'!$C$18</x:f>
        <x:v>0.5277777777777778</x:v>
      </x:c>
      <x:c r="S1526" s="9" t="n">
        <x:f>R1526*'Parameters'!$C$19</x:f>
        <x:v>0.6597222222222222</x:v>
      </x:c>
      <x:c r="T1526" s="9" t="n">
        <x:f>Q1526*(1-0.40)-R1526</x:f>
        <x:v>1.0555555555555554</x:v>
      </x:c>
    </x:row>
    <x:row r="1527" ht="21" customHeight="1">
      <x:c r="A1527" s="3" t="n">
        <x:v>25</x:v>
      </x:c>
      <x:c r="B1527" s="3" t="str">
        <x:v>04:10</x:v>
      </x:c>
      <x:c r="C1527" s="3" t="n">
        <x:v>5</x:v>
      </x:c>
      <x:c r="D1527" s="3" t="n">
        <x:v>26</x:v>
      </x:c>
      <x:c r="E1527" s="3" t="n">
        <x:v>4</x:v>
      </x:c>
      <x:c r="F1527" s="3" t="n">
        <x:v>7</x:v>
      </x:c>
      <x:c r="G1527" s="9" t="n">
        <x:v>0.1</x:v>
      </x:c>
      <x:c r="H1527" s="9" t="n">
        <x:v>1.099203</x:v>
      </x:c>
      <x:c r="I1527" s="9" t="n">
        <x:f>'Physical_Arcs'!R27</x:f>
        <x:v>6.527777777777778</x:v>
      </x:c>
      <x:c r="J1527" s="9" t="n">
        <x:f>I1527*'Parameters'!$C$18</x:f>
        <x:v>1.3055555555555556</x:v>
      </x:c>
      <x:c r="K1527" s="9" t="n">
        <x:f>J1527*'Parameters'!$C$19</x:f>
        <x:v>1.6319444444444444</x:v>
      </x:c>
      <x:c r="L1527" s="9" t="n">
        <x:f>I1527*(1-0.40)-J1527</x:f>
        <x:v>2.6111111111111107</x:v>
      </x:c>
      <x:c r="M1527" s="9" t="n">
        <x:f>'Physical_Arcs'!S27</x:f>
        <x:v>6.527777777777778</x:v>
      </x:c>
      <x:c r="N1527" s="9" t="n">
        <x:f>M1527*'Parameters'!$C$18</x:f>
        <x:v>1.3055555555555556</x:v>
      </x:c>
      <x:c r="O1527" s="9" t="n">
        <x:f>N1527*'Parameters'!$C$19</x:f>
        <x:v>1.6319444444444444</x:v>
      </x:c>
      <x:c r="P1527" s="9" t="n">
        <x:f>M1527*(1-0.40)-N1527</x:f>
        <x:v>2.6111111111111107</x:v>
      </x:c>
      <x:c r="Q1527" s="9" t="n">
        <x:f>'Physical_Arcs'!T27</x:f>
        <x:v>3.2777777777777777</x:v>
      </x:c>
      <x:c r="R1527" s="9" t="n">
        <x:f>Q1527*'Parameters'!$C$18</x:f>
        <x:v>0.6555555555555556</x:v>
      </x:c>
      <x:c r="S1527" s="9" t="n">
        <x:f>R1527*'Parameters'!$C$19</x:f>
        <x:v>0.8194444444444444</x:v>
      </x:c>
      <x:c r="T1527" s="9" t="n">
        <x:f>Q1527*(1-0.40)-R1527</x:f>
        <x:v>1.311111111111111</x:v>
      </x:c>
    </x:row>
    <x:row r="1528" ht="21" customHeight="1">
      <x:c r="A1528" s="3" t="n">
        <x:v>25</x:v>
      </x:c>
      <x:c r="B1528" s="3" t="str">
        <x:v>04:10</x:v>
      </x:c>
      <x:c r="C1528" s="3" t="n">
        <x:v>5</x:v>
      </x:c>
      <x:c r="D1528" s="3" t="n">
        <x:v>27</x:v>
      </x:c>
      <x:c r="E1528" s="3" t="n">
        <x:v>4</x:v>
      </x:c>
      <x:c r="F1528" s="3" t="n">
        <x:v>2</x:v>
      </x:c>
      <x:c r="G1528" s="9" t="n">
        <x:v>0.1</x:v>
      </x:c>
      <x:c r="H1528" s="9" t="n">
        <x:v>0.861111</x:v>
      </x:c>
      <x:c r="I1528" s="9" t="n">
        <x:f>'Physical_Arcs'!R28</x:f>
        <x:v>4.944444444444445</x:v>
      </x:c>
      <x:c r="J1528" s="9" t="n">
        <x:f>I1528*'Parameters'!$C$18</x:f>
        <x:v>0.9888888888888889</x:v>
      </x:c>
      <x:c r="K1528" s="9" t="n">
        <x:f>J1528*'Parameters'!$C$19</x:f>
        <x:v>1.2361111111111112</x:v>
      </x:c>
      <x:c r="L1528" s="9" t="n">
        <x:f>I1528*(1-0.40)-J1528</x:f>
        <x:v>1.9777777777777779</x:v>
      </x:c>
      <x:c r="M1528" s="9" t="n">
        <x:f>'Physical_Arcs'!S28</x:f>
        <x:v>4.944444444444445</x:v>
      </x:c>
      <x:c r="N1528" s="9" t="n">
        <x:f>M1528*'Parameters'!$C$18</x:f>
        <x:v>0.9888888888888889</x:v>
      </x:c>
      <x:c r="O1528" s="9" t="n">
        <x:f>N1528*'Parameters'!$C$19</x:f>
        <x:v>1.2361111111111112</x:v>
      </x:c>
      <x:c r="P1528" s="9" t="n">
        <x:f>M1528*(1-0.40)-N1528</x:f>
        <x:v>1.9777777777777779</x:v>
      </x:c>
      <x:c r="Q1528" s="9" t="n">
        <x:f>'Physical_Arcs'!T28</x:f>
        <x:v>2.4722222222222223</x:v>
      </x:c>
      <x:c r="R1528" s="9" t="n">
        <x:f>Q1528*'Parameters'!$C$18</x:f>
        <x:v>0.49444444444444446</x:v>
      </x:c>
      <x:c r="S1528" s="9" t="n">
        <x:f>R1528*'Parameters'!$C$19</x:f>
        <x:v>0.6180555555555556</x:v>
      </x:c>
      <x:c r="T1528" s="9" t="n">
        <x:f>Q1528*(1-0.40)-R1528</x:f>
        <x:v>0.9888888888888889</x:v>
      </x:c>
    </x:row>
    <x:row r="1529" ht="21" customHeight="1">
      <x:c r="A1529" s="3" t="n">
        <x:v>25</x:v>
      </x:c>
      <x:c r="B1529" s="3" t="str">
        <x:v>04:10</x:v>
      </x:c>
      <x:c r="C1529" s="3" t="n">
        <x:v>5</x:v>
      </x:c>
      <x:c r="D1529" s="3" t="n">
        <x:v>28</x:v>
      </x:c>
      <x:c r="E1529" s="3" t="n">
        <x:v>4</x:v>
      </x:c>
      <x:c r="F1529" s="3" t="n">
        <x:v>6</x:v>
      </x:c>
      <x:c r="G1529" s="9" t="n">
        <x:v>0.1</x:v>
      </x:c>
      <x:c r="H1529" s="9" t="n">
        <x:v>1.137214</x:v>
      </x:c>
      <x:c r="I1529" s="9" t="n">
        <x:f>'Physical_Arcs'!R29</x:f>
        <x:v>3.388888888888889</x:v>
      </x:c>
      <x:c r="J1529" s="9" t="n">
        <x:f>I1529*'Parameters'!$C$18</x:f>
        <x:v>0.6777777777777778</x:v>
      </x:c>
      <x:c r="K1529" s="9" t="n">
        <x:f>J1529*'Parameters'!$C$19</x:f>
        <x:v>0.8472222222222223</x:v>
      </x:c>
      <x:c r="L1529" s="9" t="n">
        <x:f>I1529*(1-0.40)-J1529</x:f>
        <x:v>1.3555555555555554</x:v>
      </x:c>
      <x:c r="M1529" s="9" t="n">
        <x:f>'Physical_Arcs'!S29</x:f>
        <x:v>3.388888888888889</x:v>
      </x:c>
      <x:c r="N1529" s="9" t="n">
        <x:f>M1529*'Parameters'!$C$18</x:f>
        <x:v>0.6777777777777778</x:v>
      </x:c>
      <x:c r="O1529" s="9" t="n">
        <x:f>N1529*'Parameters'!$C$19</x:f>
        <x:v>0.8472222222222223</x:v>
      </x:c>
      <x:c r="P1529" s="9" t="n">
        <x:f>M1529*(1-0.40)-N1529</x:f>
        <x:v>1.3555555555555554</x:v>
      </x:c>
      <x:c r="Q1529" s="9" t="n">
        <x:f>'Physical_Arcs'!T29</x:f>
        <x:v>1.6944444444444444</x:v>
      </x:c>
      <x:c r="R1529" s="9" t="n">
        <x:f>Q1529*'Parameters'!$C$18</x:f>
        <x:v>0.3388888888888889</x:v>
      </x:c>
      <x:c r="S1529" s="9" t="n">
        <x:f>R1529*'Parameters'!$C$19</x:f>
        <x:v>0.42361111111111116</x:v>
      </x:c>
      <x:c r="T1529" s="9" t="n">
        <x:f>Q1529*(1-0.40)-R1529</x:f>
        <x:v>0.6777777777777777</x:v>
      </x:c>
    </x:row>
    <x:row r="1530" ht="21" customHeight="1">
      <x:c r="A1530" s="3" t="n">
        <x:v>25</x:v>
      </x:c>
      <x:c r="B1530" s="3" t="str">
        <x:v>04:10</x:v>
      </x:c>
      <x:c r="C1530" s="3" t="n">
        <x:v>5</x:v>
      </x:c>
      <x:c r="D1530" s="3" t="n">
        <x:v>29</x:v>
      </x:c>
      <x:c r="E1530" s="3" t="n">
        <x:v>5</x:v>
      </x:c>
      <x:c r="F1530" s="3" t="n">
        <x:v>6</x:v>
      </x:c>
      <x:c r="G1530" s="9" t="n">
        <x:v>0.1</x:v>
      </x:c>
      <x:c r="H1530" s="9" t="n">
        <x:v>0.949994</x:v>
      </x:c>
      <x:c r="I1530" s="9" t="n">
        <x:f>'Physical_Arcs'!R30</x:f>
        <x:v>17.02777777777778</x:v>
      </x:c>
      <x:c r="J1530" s="9" t="n">
        <x:f>I1530*'Parameters'!$C$18</x:f>
        <x:v>3.405555555555556</x:v>
      </x:c>
      <x:c r="K1530" s="9" t="n">
        <x:f>J1530*'Parameters'!$C$19</x:f>
        <x:v>4.256944444444445</x:v>
      </x:c>
      <x:c r="L1530" s="9" t="n">
        <x:f>I1530*(1-0.40)-J1530</x:f>
        <x:v>6.811111111111111</x:v>
      </x:c>
      <x:c r="M1530" s="9" t="n">
        <x:f>'Physical_Arcs'!S30</x:f>
        <x:v>17.02777777777778</x:v>
      </x:c>
      <x:c r="N1530" s="9" t="n">
        <x:f>M1530*'Parameters'!$C$18</x:f>
        <x:v>3.405555555555556</x:v>
      </x:c>
      <x:c r="O1530" s="9" t="n">
        <x:f>N1530*'Parameters'!$C$19</x:f>
        <x:v>4.256944444444445</x:v>
      </x:c>
      <x:c r="P1530" s="9" t="n">
        <x:f>M1530*(1-0.40)-N1530</x:f>
        <x:v>6.811111111111111</x:v>
      </x:c>
      <x:c r="Q1530" s="9" t="n">
        <x:f>'Physical_Arcs'!T30</x:f>
        <x:v>17.02777777777778</x:v>
      </x:c>
      <x:c r="R1530" s="9" t="n">
        <x:f>Q1530*'Parameters'!$C$18</x:f>
        <x:v>3.405555555555556</x:v>
      </x:c>
      <x:c r="S1530" s="9" t="n">
        <x:f>R1530*'Parameters'!$C$19</x:f>
        <x:v>4.256944444444445</x:v>
      </x:c>
      <x:c r="T1530" s="9" t="n">
        <x:f>Q1530*(1-0.40)-R1530</x:f>
        <x:v>6.811111111111111</x:v>
      </x:c>
    </x:row>
    <x:row r="1531" ht="21" customHeight="1">
      <x:c r="A1531" s="3" t="n">
        <x:v>25</x:v>
      </x:c>
      <x:c r="B1531" s="3" t="str">
        <x:v>04:10</x:v>
      </x:c>
      <x:c r="C1531" s="3" t="n">
        <x:v>5</x:v>
      </x:c>
      <x:c r="D1531" s="3" t="n">
        <x:v>30</x:v>
      </x:c>
      <x:c r="E1531" s="3" t="n">
        <x:v>5</x:v>
      </x:c>
      <x:c r="F1531" s="3" t="n">
        <x:v>2</x:v>
      </x:c>
      <x:c r="G1531" s="9" t="n">
        <x:v>0.1</x:v>
      </x:c>
      <x:c r="H1531" s="9" t="n">
        <x:v>0.882396</x:v>
      </x:c>
      <x:c r="I1531" s="9" t="n">
        <x:f>'Physical_Arcs'!R31</x:f>
        <x:v>2.9444444444444446</x:v>
      </x:c>
      <x:c r="J1531" s="9" t="n">
        <x:f>I1531*'Parameters'!$C$18</x:f>
        <x:v>0.5888888888888889</x:v>
      </x:c>
      <x:c r="K1531" s="9" t="n">
        <x:f>J1531*'Parameters'!$C$19</x:f>
        <x:v>0.7361111111111112</x:v>
      </x:c>
      <x:c r="L1531" s="9" t="n">
        <x:f>I1531*(1-0.40)-J1531</x:f>
        <x:v>1.177777777777778</x:v>
      </x:c>
      <x:c r="M1531" s="9" t="n">
        <x:f>'Physical_Arcs'!S31</x:f>
        <x:v>2.9444444444444446</x:v>
      </x:c>
      <x:c r="N1531" s="9" t="n">
        <x:f>M1531*'Parameters'!$C$18</x:f>
        <x:v>0.5888888888888889</x:v>
      </x:c>
      <x:c r="O1531" s="9" t="n">
        <x:f>N1531*'Parameters'!$C$19</x:f>
        <x:v>0.7361111111111112</x:v>
      </x:c>
      <x:c r="P1531" s="9" t="n">
        <x:f>M1531*(1-0.40)-N1531</x:f>
        <x:v>1.177777777777778</x:v>
      </x:c>
      <x:c r="Q1531" s="9" t="n">
        <x:f>'Physical_Arcs'!T31</x:f>
        <x:v>1.4722222222222223</x:v>
      </x:c>
      <x:c r="R1531" s="9" t="n">
        <x:f>Q1531*'Parameters'!$C$18</x:f>
        <x:v>0.29444444444444445</x:v>
      </x:c>
      <x:c r="S1531" s="9" t="n">
        <x:f>R1531*'Parameters'!$C$19</x:f>
        <x:v>0.3680555555555556</x:v>
      </x:c>
      <x:c r="T1531" s="9" t="n">
        <x:f>Q1531*(1-0.40)-R1531</x:f>
        <x:v>0.588888888888889</x:v>
      </x:c>
    </x:row>
    <x:row r="1532" ht="21" customHeight="1">
      <x:c r="A1532" s="3" t="n">
        <x:v>25</x:v>
      </x:c>
      <x:c r="B1532" s="3" t="str">
        <x:v>04:10</x:v>
      </x:c>
      <x:c r="C1532" s="3" t="n">
        <x:v>5</x:v>
      </x:c>
      <x:c r="D1532" s="3" t="n">
        <x:v>31</x:v>
      </x:c>
      <x:c r="E1532" s="3" t="n">
        <x:v>5</x:v>
      </x:c>
      <x:c r="F1532" s="3" t="n">
        <x:v>8</x:v>
      </x:c>
      <x:c r="G1532" s="9" t="n">
        <x:v>0.1</x:v>
      </x:c>
      <x:c r="H1532" s="9" t="n">
        <x:v>0.986718</x:v>
      </x:c>
      <x:c r="I1532" s="9" t="n">
        <x:f>'Physical_Arcs'!R32</x:f>
        <x:v>9.333333333333334</x:v>
      </x:c>
      <x:c r="J1532" s="9" t="n">
        <x:f>I1532*'Parameters'!$C$18</x:f>
        <x:v>1.866666666666667</x:v>
      </x:c>
      <x:c r="K1532" s="9" t="n">
        <x:f>J1532*'Parameters'!$C$19</x:f>
        <x:v>2.3333333333333335</x:v>
      </x:c>
      <x:c r="L1532" s="9" t="n">
        <x:f>I1532*(1-0.40)-J1532</x:f>
        <x:v>3.7333333333333334</x:v>
      </x:c>
      <x:c r="M1532" s="9" t="n">
        <x:f>'Physical_Arcs'!S32</x:f>
        <x:v>9.333333333333334</x:v>
      </x:c>
      <x:c r="N1532" s="9" t="n">
        <x:f>M1532*'Parameters'!$C$18</x:f>
        <x:v>1.866666666666667</x:v>
      </x:c>
      <x:c r="O1532" s="9" t="n">
        <x:f>N1532*'Parameters'!$C$19</x:f>
        <x:v>2.3333333333333335</x:v>
      </x:c>
      <x:c r="P1532" s="9" t="n">
        <x:f>M1532*(1-0.40)-N1532</x:f>
        <x:v>3.7333333333333334</x:v>
      </x:c>
      <x:c r="Q1532" s="9" t="n">
        <x:f>'Physical_Arcs'!T32</x:f>
        <x:v>4.666666666666667</x:v>
      </x:c>
      <x:c r="R1532" s="9" t="n">
        <x:f>Q1532*'Parameters'!$C$18</x:f>
        <x:v>0.9333333333333335</x:v>
      </x:c>
      <x:c r="S1532" s="9" t="n">
        <x:f>R1532*'Parameters'!$C$19</x:f>
        <x:v>1.1666666666666667</x:v>
      </x:c>
      <x:c r="T1532" s="9" t="n">
        <x:f>Q1532*(1-0.40)-R1532</x:f>
        <x:v>1.8666666666666667</x:v>
      </x:c>
    </x:row>
    <x:row r="1533" ht="21" customHeight="1">
      <x:c r="A1533" s="3" t="n">
        <x:v>25</x:v>
      </x:c>
      <x:c r="B1533" s="3" t="str">
        <x:v>04:10</x:v>
      </x:c>
      <x:c r="C1533" s="3" t="n">
        <x:v>5</x:v>
      </x:c>
      <x:c r="D1533" s="3" t="n">
        <x:v>32</x:v>
      </x:c>
      <x:c r="E1533" s="3" t="n">
        <x:v>5</x:v>
      </x:c>
      <x:c r="F1533" s="3" t="n">
        <x:v>3</x:v>
      </x:c>
      <x:c r="G1533" s="9" t="n">
        <x:v>0.1</x:v>
      </x:c>
      <x:c r="H1533" s="9" t="n">
        <x:v>1.089544</x:v>
      </x:c>
      <x:c r="I1533" s="9" t="n">
        <x:f>'Physical_Arcs'!R33</x:f>
        <x:v>11.13888888888889</x:v>
      </x:c>
      <x:c r="J1533" s="9" t="n">
        <x:f>I1533*'Parameters'!$C$18</x:f>
        <x:v>2.227777777777778</x:v>
      </x:c>
      <x:c r="K1533" s="9" t="n">
        <x:f>J1533*'Parameters'!$C$19</x:f>
        <x:v>2.7847222222222223</x:v>
      </x:c>
      <x:c r="L1533" s="9" t="n">
        <x:f>I1533*(1-0.40)-J1533</x:f>
        <x:v>4.455555555555556</x:v>
      </x:c>
      <x:c r="M1533" s="9" t="n">
        <x:f>'Physical_Arcs'!S33</x:f>
        <x:v>11.13888888888889</x:v>
      </x:c>
      <x:c r="N1533" s="9" t="n">
        <x:f>M1533*'Parameters'!$C$18</x:f>
        <x:v>2.227777777777778</x:v>
      </x:c>
      <x:c r="O1533" s="9" t="n">
        <x:f>N1533*'Parameters'!$C$19</x:f>
        <x:v>2.7847222222222223</x:v>
      </x:c>
      <x:c r="P1533" s="9" t="n">
        <x:f>M1533*(1-0.40)-N1533</x:f>
        <x:v>4.455555555555556</x:v>
      </x:c>
      <x:c r="Q1533" s="9" t="n">
        <x:f>'Physical_Arcs'!T33</x:f>
        <x:v>5.583333333333333</x:v>
      </x:c>
      <x:c r="R1533" s="9" t="n">
        <x:f>Q1533*'Parameters'!$C$18</x:f>
        <x:v>1.1166666666666667</x:v>
      </x:c>
      <x:c r="S1533" s="9" t="n">
        <x:f>R1533*'Parameters'!$C$19</x:f>
        <x:v>1.3958333333333335</x:v>
      </x:c>
      <x:c r="T1533" s="9" t="n">
        <x:f>Q1533*(1-0.40)-R1533</x:f>
        <x:v>2.233333333333333</x:v>
      </x:c>
    </x:row>
    <x:row r="1534" ht="21" customHeight="1">
      <x:c r="A1534" s="3" t="n">
        <x:v>25</x:v>
      </x:c>
      <x:c r="B1534" s="3" t="str">
        <x:v>04:10</x:v>
      </x:c>
      <x:c r="C1534" s="3" t="n">
        <x:v>5</x:v>
      </x:c>
      <x:c r="D1534" s="3" t="n">
        <x:v>33</x:v>
      </x:c>
      <x:c r="E1534" s="3" t="n">
        <x:v>5</x:v>
      </x:c>
      <x:c r="F1534" s="3" t="n">
        <x:v>10</x:v>
      </x:c>
      <x:c r="G1534" s="9" t="n">
        <x:v>0.1</x:v>
      </x:c>
      <x:c r="H1534" s="9" t="n">
        <x:v>1.103596</x:v>
      </x:c>
      <x:c r="I1534" s="9" t="n">
        <x:f>'Physical_Arcs'!R34</x:f>
        <x:v>4.611111111111111</x:v>
      </x:c>
      <x:c r="J1534" s="9" t="n">
        <x:f>I1534*'Parameters'!$C$18</x:f>
        <x:v>0.9222222222222222</x:v>
      </x:c>
      <x:c r="K1534" s="9" t="n">
        <x:f>J1534*'Parameters'!$C$19</x:f>
        <x:v>1.1527777777777777</x:v>
      </x:c>
      <x:c r="L1534" s="9" t="n">
        <x:f>I1534*(1-0.40)-J1534</x:f>
        <x:v>1.844444444444444</x:v>
      </x:c>
      <x:c r="M1534" s="9" t="n">
        <x:f>'Physical_Arcs'!S34</x:f>
        <x:v>4.611111111111111</x:v>
      </x:c>
      <x:c r="N1534" s="9" t="n">
        <x:f>M1534*'Parameters'!$C$18</x:f>
        <x:v>0.9222222222222222</x:v>
      </x:c>
      <x:c r="O1534" s="9" t="n">
        <x:f>N1534*'Parameters'!$C$19</x:f>
        <x:v>1.1527777777777777</x:v>
      </x:c>
      <x:c r="P1534" s="9" t="n">
        <x:f>M1534*(1-0.40)-N1534</x:f>
        <x:v>1.844444444444444</x:v>
      </x:c>
      <x:c r="Q1534" s="9" t="n">
        <x:f>'Physical_Arcs'!T34</x:f>
        <x:v>2.3055555555555554</x:v>
      </x:c>
      <x:c r="R1534" s="9" t="n">
        <x:f>Q1534*'Parameters'!$C$18</x:f>
        <x:v>0.4611111111111111</x:v>
      </x:c>
      <x:c r="S1534" s="9" t="n">
        <x:f>R1534*'Parameters'!$C$19</x:f>
        <x:v>0.5763888888888888</x:v>
      </x:c>
      <x:c r="T1534" s="9" t="n">
        <x:f>Q1534*(1-0.40)-R1534</x:f>
        <x:v>0.922222222222222</x:v>
      </x:c>
    </x:row>
    <x:row r="1535" ht="21" customHeight="1">
      <x:c r="A1535" s="3" t="n">
        <x:v>25</x:v>
      </x:c>
      <x:c r="B1535" s="3" t="str">
        <x:v>04:10</x:v>
      </x:c>
      <x:c r="C1535" s="3" t="n">
        <x:v>5</x:v>
      </x:c>
      <x:c r="D1535" s="3" t="n">
        <x:v>34</x:v>
      </x:c>
      <x:c r="E1535" s="3" t="n">
        <x:v>6</x:v>
      </x:c>
      <x:c r="F1535" s="3" t="n">
        <x:v>7</x:v>
      </x:c>
      <x:c r="G1535" s="9" t="n">
        <x:v>0.1</x:v>
      </x:c>
      <x:c r="H1535" s="9" t="n">
        <x:v>0.973887</x:v>
      </x:c>
      <x:c r="I1535" s="9" t="n">
        <x:f>'Physical_Arcs'!R35</x:f>
        <x:v>17.02777777777778</x:v>
      </x:c>
      <x:c r="J1535" s="9" t="n">
        <x:f>I1535*'Parameters'!$C$18</x:f>
        <x:v>3.405555555555556</x:v>
      </x:c>
      <x:c r="K1535" s="9" t="n">
        <x:f>J1535*'Parameters'!$C$19</x:f>
        <x:v>4.256944444444445</x:v>
      </x:c>
      <x:c r="L1535" s="9" t="n">
        <x:f>I1535*(1-0.40)-J1535</x:f>
        <x:v>6.811111111111111</x:v>
      </x:c>
      <x:c r="M1535" s="9" t="n">
        <x:f>'Physical_Arcs'!S35</x:f>
        <x:v>17.02777777777778</x:v>
      </x:c>
      <x:c r="N1535" s="9" t="n">
        <x:f>M1535*'Parameters'!$C$18</x:f>
        <x:v>3.405555555555556</x:v>
      </x:c>
      <x:c r="O1535" s="9" t="n">
        <x:f>N1535*'Parameters'!$C$19</x:f>
        <x:v>4.256944444444445</x:v>
      </x:c>
      <x:c r="P1535" s="9" t="n">
        <x:f>M1535*(1-0.40)-N1535</x:f>
        <x:v>6.811111111111111</x:v>
      </x:c>
      <x:c r="Q1535" s="9" t="n">
        <x:f>'Physical_Arcs'!T35</x:f>
        <x:v>17.02777777777778</x:v>
      </x:c>
      <x:c r="R1535" s="9" t="n">
        <x:f>Q1535*'Parameters'!$C$18</x:f>
        <x:v>3.405555555555556</x:v>
      </x:c>
      <x:c r="S1535" s="9" t="n">
        <x:f>R1535*'Parameters'!$C$19</x:f>
        <x:v>4.256944444444445</x:v>
      </x:c>
      <x:c r="T1535" s="9" t="n">
        <x:f>Q1535*(1-0.40)-R1535</x:f>
        <x:v>6.811111111111111</x:v>
      </x:c>
    </x:row>
    <x:row r="1536" ht="21" customHeight="1">
      <x:c r="A1536" s="3" t="n">
        <x:v>25</x:v>
      </x:c>
      <x:c r="B1536" s="3" t="str">
        <x:v>04:10</x:v>
      </x:c>
      <x:c r="C1536" s="3" t="n">
        <x:v>5</x:v>
      </x:c>
      <x:c r="D1536" s="3" t="n">
        <x:v>35</x:v>
      </x:c>
      <x:c r="E1536" s="3" t="n">
        <x:v>6</x:v>
      </x:c>
      <x:c r="F1536" s="3" t="n">
        <x:v>10</x:v>
      </x:c>
      <x:c r="G1536" s="9" t="n">
        <x:v>0.1</x:v>
      </x:c>
      <x:c r="H1536" s="9" t="n">
        <x:v>1.009062</x:v>
      </x:c>
      <x:c r="I1536" s="9" t="n">
        <x:f>'Physical_Arcs'!R36</x:f>
        <x:v>4.055555555555555</x:v>
      </x:c>
      <x:c r="J1536" s="9" t="n">
        <x:f>I1536*'Parameters'!$C$18</x:f>
        <x:v>0.8111111111111111</x:v>
      </x:c>
      <x:c r="K1536" s="9" t="n">
        <x:f>J1536*'Parameters'!$C$19</x:f>
        <x:v>1.0138888888888888</x:v>
      </x:c>
      <x:c r="L1536" s="9" t="n">
        <x:f>I1536*(1-0.40)-J1536</x:f>
        <x:v>1.622222222222222</x:v>
      </x:c>
      <x:c r="M1536" s="9" t="n">
        <x:f>'Physical_Arcs'!S36</x:f>
        <x:v>4.055555555555555</x:v>
      </x:c>
      <x:c r="N1536" s="9" t="n">
        <x:f>M1536*'Parameters'!$C$18</x:f>
        <x:v>0.8111111111111111</x:v>
      </x:c>
      <x:c r="O1536" s="9" t="n">
        <x:f>N1536*'Parameters'!$C$19</x:f>
        <x:v>1.0138888888888888</x:v>
      </x:c>
      <x:c r="P1536" s="9" t="n">
        <x:f>M1536*(1-0.40)-N1536</x:f>
        <x:v>1.622222222222222</x:v>
      </x:c>
      <x:c r="Q1536" s="9" t="n">
        <x:f>'Physical_Arcs'!T36</x:f>
        <x:v>2.0277777777777777</x:v>
      </x:c>
      <x:c r="R1536" s="9" t="n">
        <x:f>Q1536*'Parameters'!$C$18</x:f>
        <x:v>0.40555555555555556</x:v>
      </x:c>
      <x:c r="S1536" s="9" t="n">
        <x:f>R1536*'Parameters'!$C$19</x:f>
        <x:v>0.5069444444444444</x:v>
      </x:c>
      <x:c r="T1536" s="9" t="n">
        <x:f>Q1536*(1-0.40)-R1536</x:f>
        <x:v>0.811111111111111</x:v>
      </x:c>
    </x:row>
    <x:row r="1537" ht="21" customHeight="1">
      <x:c r="A1537" s="3" t="n">
        <x:v>25</x:v>
      </x:c>
      <x:c r="B1537" s="3" t="str">
        <x:v>04:10</x:v>
      </x:c>
      <x:c r="C1537" s="3" t="n">
        <x:v>5</x:v>
      </x:c>
      <x:c r="D1537" s="3" t="n">
        <x:v>36</x:v>
      </x:c>
      <x:c r="E1537" s="3" t="n">
        <x:v>6</x:v>
      </x:c>
      <x:c r="F1537" s="3" t="n">
        <x:v>8</x:v>
      </x:c>
      <x:c r="G1537" s="9" t="n">
        <x:v>0.1</x:v>
      </x:c>
      <x:c r="H1537" s="9" t="n">
        <x:v>1.132129</x:v>
      </x:c>
      <x:c r="I1537" s="9" t="n">
        <x:f>'Physical_Arcs'!R37</x:f>
        <x:v>6.972222222222222</x:v>
      </x:c>
      <x:c r="J1537" s="9" t="n">
        <x:f>I1537*'Parameters'!$C$18</x:f>
        <x:v>1.3944444444444446</x:v>
      </x:c>
      <x:c r="K1537" s="9" t="n">
        <x:f>J1537*'Parameters'!$C$19</x:f>
        <x:v>1.7430555555555558</x:v>
      </x:c>
      <x:c r="L1537" s="9" t="n">
        <x:f>I1537*(1-0.40)-J1537</x:f>
        <x:v>2.7888888888888888</x:v>
      </x:c>
      <x:c r="M1537" s="9" t="n">
        <x:f>'Physical_Arcs'!S37</x:f>
        <x:v>6.972222222222222</x:v>
      </x:c>
      <x:c r="N1537" s="9" t="n">
        <x:f>M1537*'Parameters'!$C$18</x:f>
        <x:v>1.3944444444444446</x:v>
      </x:c>
      <x:c r="O1537" s="9" t="n">
        <x:f>N1537*'Parameters'!$C$19</x:f>
        <x:v>1.7430555555555558</x:v>
      </x:c>
      <x:c r="P1537" s="9" t="n">
        <x:f>M1537*(1-0.40)-N1537</x:f>
        <x:v>2.7888888888888888</x:v>
      </x:c>
      <x:c r="Q1537" s="9" t="n">
        <x:f>'Physical_Arcs'!T37</x:f>
        <x:v>3.5</x:v>
      </x:c>
      <x:c r="R1537" s="9" t="n">
        <x:f>Q1537*'Parameters'!$C$18</x:f>
        <x:v>0.7000000000000001</x:v>
      </x:c>
      <x:c r="S1537" s="9" t="n">
        <x:f>R1537*'Parameters'!$C$19</x:f>
        <x:v>0.8750000000000001</x:v>
      </x:c>
      <x:c r="T1537" s="9" t="n">
        <x:f>Q1537*(1-0.40)-R1537</x:f>
        <x:v>1.4</x:v>
      </x:c>
    </x:row>
    <x:row r="1538" ht="21" customHeight="1">
      <x:c r="A1538" s="3" t="n">
        <x:v>25</x:v>
      </x:c>
      <x:c r="B1538" s="3" t="str">
        <x:v>04:10</x:v>
      </x:c>
      <x:c r="C1538" s="3" t="n">
        <x:v>5</x:v>
      </x:c>
      <x:c r="D1538" s="3" t="n">
        <x:v>37</x:v>
      </x:c>
      <x:c r="E1538" s="3" t="n">
        <x:v>6</x:v>
      </x:c>
      <x:c r="F1538" s="3" t="n">
        <x:v>1</x:v>
      </x:c>
      <x:c r="G1538" s="9" t="n">
        <x:v>0.1</x:v>
      </x:c>
      <x:c r="H1538" s="9" t="n">
        <x:v>1.020746</x:v>
      </x:c>
      <x:c r="I1538" s="9" t="n">
        <x:f>'Physical_Arcs'!R38</x:f>
        <x:v>6.305555555555555</x:v>
      </x:c>
      <x:c r="J1538" s="9" t="n">
        <x:f>I1538*'Parameters'!$C$18</x:f>
        <x:v>1.261111111111111</x:v>
      </x:c>
      <x:c r="K1538" s="9" t="n">
        <x:f>J1538*'Parameters'!$C$19</x:f>
        <x:v>1.5763888888888888</x:v>
      </x:c>
      <x:c r="L1538" s="9" t="n">
        <x:f>I1538*(1-0.40)-J1538</x:f>
        <x:v>2.522222222222222</x:v>
      </x:c>
      <x:c r="M1538" s="9" t="n">
        <x:f>'Physical_Arcs'!S38</x:f>
        <x:v>6.305555555555555</x:v>
      </x:c>
      <x:c r="N1538" s="9" t="n">
        <x:f>M1538*'Parameters'!$C$18</x:f>
        <x:v>1.261111111111111</x:v>
      </x:c>
      <x:c r="O1538" s="9" t="n">
        <x:f>N1538*'Parameters'!$C$19</x:f>
        <x:v>1.5763888888888888</x:v>
      </x:c>
      <x:c r="P1538" s="9" t="n">
        <x:f>M1538*(1-0.40)-N1538</x:f>
        <x:v>2.522222222222222</x:v>
      </x:c>
      <x:c r="Q1538" s="9" t="n">
        <x:f>'Physical_Arcs'!T38</x:f>
        <x:v>3.1666666666666665</x:v>
      </x:c>
      <x:c r="R1538" s="9" t="n">
        <x:f>Q1538*'Parameters'!$C$18</x:f>
        <x:v>0.6333333333333333</x:v>
      </x:c>
      <x:c r="S1538" s="9" t="n">
        <x:f>R1538*'Parameters'!$C$19</x:f>
        <x:v>0.7916666666666666</x:v>
      </x:c>
      <x:c r="T1538" s="9" t="n">
        <x:f>Q1538*(1-0.40)-R1538</x:f>
        <x:v>1.2666666666666666</x:v>
      </x:c>
    </x:row>
    <x:row r="1539" ht="21" customHeight="1">
      <x:c r="A1539" s="3" t="n">
        <x:v>25</x:v>
      </x:c>
      <x:c r="B1539" s="3" t="str">
        <x:v>04:10</x:v>
      </x:c>
      <x:c r="C1539" s="3" t="n">
        <x:v>5</x:v>
      </x:c>
      <x:c r="D1539" s="3" t="n">
        <x:v>38</x:v>
      </x:c>
      <x:c r="E1539" s="3" t="n">
        <x:v>6</x:v>
      </x:c>
      <x:c r="F1539" s="3" t="n">
        <x:v>3</x:v>
      </x:c>
      <x:c r="G1539" s="9" t="n">
        <x:v>0.1</x:v>
      </x:c>
      <x:c r="H1539" s="9" t="n">
        <x:v>1.149081</x:v>
      </x:c>
      <x:c r="I1539" s="9" t="n">
        <x:f>'Physical_Arcs'!R39</x:f>
        <x:v>1.9166666666666667</x:v>
      </x:c>
      <x:c r="J1539" s="9" t="n">
        <x:f>I1539*'Parameters'!$C$18</x:f>
        <x:v>0.38333333333333336</x:v>
      </x:c>
      <x:c r="K1539" s="9" t="n">
        <x:f>J1539*'Parameters'!$C$19</x:f>
        <x:v>0.4791666666666667</x:v>
      </x:c>
      <x:c r="L1539" s="9" t="n">
        <x:f>I1539*(1-0.40)-J1539</x:f>
        <x:v>0.7666666666666666</x:v>
      </x:c>
      <x:c r="M1539" s="9" t="n">
        <x:f>'Physical_Arcs'!S39</x:f>
        <x:v>1.9166666666666667</x:v>
      </x:c>
      <x:c r="N1539" s="9" t="n">
        <x:f>M1539*'Parameters'!$C$18</x:f>
        <x:v>0.38333333333333336</x:v>
      </x:c>
      <x:c r="O1539" s="9" t="n">
        <x:f>N1539*'Parameters'!$C$19</x:f>
        <x:v>0.4791666666666667</x:v>
      </x:c>
      <x:c r="P1539" s="9" t="n">
        <x:f>M1539*(1-0.40)-N1539</x:f>
        <x:v>0.7666666666666666</x:v>
      </x:c>
      <x:c r="Q1539" s="9" t="n">
        <x:f>'Physical_Arcs'!T39</x:f>
        <x:v>0.9722222222222222</x:v>
      </x:c>
      <x:c r="R1539" s="9" t="n">
        <x:f>Q1539*'Parameters'!$C$18</x:f>
        <x:v>0.19444444444444445</x:v>
      </x:c>
      <x:c r="S1539" s="9" t="n">
        <x:f>R1539*'Parameters'!$C$19</x:f>
        <x:v>0.24305555555555555</x:v>
      </x:c>
      <x:c r="T1539" s="9" t="n">
        <x:f>Q1539*(1-0.40)-R1539</x:f>
        <x:v>0.38888888888888884</x:v>
      </x:c>
    </x:row>
    <x:row r="1540" ht="21" customHeight="1">
      <x:c r="A1540" s="3" t="n">
        <x:v>25</x:v>
      </x:c>
      <x:c r="B1540" s="3" t="str">
        <x:v>04:10</x:v>
      </x:c>
      <x:c r="C1540" s="3" t="n">
        <x:v>5</x:v>
      </x:c>
      <x:c r="D1540" s="3" t="n">
        <x:v>39</x:v>
      </x:c>
      <x:c r="E1540" s="3" t="n">
        <x:v>7</x:v>
      </x:c>
      <x:c r="F1540" s="3" t="n">
        <x:v>8</x:v>
      </x:c>
      <x:c r="G1540" s="9" t="n">
        <x:v>0.1</x:v>
      </x:c>
      <x:c r="H1540" s="9" t="n">
        <x:v>1.003268</x:v>
      </x:c>
      <x:c r="I1540" s="9" t="n">
        <x:f>'Physical_Arcs'!R40</x:f>
        <x:v>17.02777777777778</x:v>
      </x:c>
      <x:c r="J1540" s="9" t="n">
        <x:f>I1540*'Parameters'!$C$18</x:f>
        <x:v>3.405555555555556</x:v>
      </x:c>
      <x:c r="K1540" s="9" t="n">
        <x:f>J1540*'Parameters'!$C$19</x:f>
        <x:v>4.256944444444445</x:v>
      </x:c>
      <x:c r="L1540" s="9" t="n">
        <x:f>I1540*(1-0.40)-J1540</x:f>
        <x:v>6.811111111111111</x:v>
      </x:c>
      <x:c r="M1540" s="9" t="n">
        <x:f>'Physical_Arcs'!S40</x:f>
        <x:v>17.02777777777778</x:v>
      </x:c>
      <x:c r="N1540" s="9" t="n">
        <x:f>M1540*'Parameters'!$C$18</x:f>
        <x:v>3.405555555555556</x:v>
      </x:c>
      <x:c r="O1540" s="9" t="n">
        <x:f>N1540*'Parameters'!$C$19</x:f>
        <x:v>4.256944444444445</x:v>
      </x:c>
      <x:c r="P1540" s="9" t="n">
        <x:f>M1540*(1-0.40)-N1540</x:f>
        <x:v>6.811111111111111</x:v>
      </x:c>
      <x:c r="Q1540" s="9" t="n">
        <x:f>'Physical_Arcs'!T40</x:f>
        <x:v>17.02777777777778</x:v>
      </x:c>
      <x:c r="R1540" s="9" t="n">
        <x:f>Q1540*'Parameters'!$C$18</x:f>
        <x:v>3.405555555555556</x:v>
      </x:c>
      <x:c r="S1540" s="9" t="n">
        <x:f>R1540*'Parameters'!$C$19</x:f>
        <x:v>4.256944444444445</x:v>
      </x:c>
      <x:c r="T1540" s="9" t="n">
        <x:f>Q1540*(1-0.40)-R1540</x:f>
        <x:v>6.811111111111111</x:v>
      </x:c>
    </x:row>
    <x:row r="1541" ht="21" customHeight="1">
      <x:c r="A1541" s="3" t="n">
        <x:v>25</x:v>
      </x:c>
      <x:c r="B1541" s="3" t="str">
        <x:v>04:10</x:v>
      </x:c>
      <x:c r="C1541" s="3" t="n">
        <x:v>5</x:v>
      </x:c>
      <x:c r="D1541" s="3" t="n">
        <x:v>40</x:v>
      </x:c>
      <x:c r="E1541" s="3" t="n">
        <x:v>7</x:v>
      </x:c>
      <x:c r="F1541" s="3" t="n">
        <x:v>1</x:v>
      </x:c>
      <x:c r="G1541" s="9" t="n">
        <x:v>0.1</x:v>
      </x:c>
      <x:c r="H1541" s="9" t="n">
        <x:v>1.057592</x:v>
      </x:c>
      <x:c r="I1541" s="9" t="n">
        <x:f>'Physical_Arcs'!R41</x:f>
        <x:v>7.972222222222222</x:v>
      </x:c>
      <x:c r="J1541" s="9" t="n">
        <x:f>I1541*'Parameters'!$C$18</x:f>
        <x:v>1.5944444444444446</x:v>
      </x:c>
      <x:c r="K1541" s="9" t="n">
        <x:f>J1541*'Parameters'!$C$19</x:f>
        <x:v>1.9930555555555558</x:v>
      </x:c>
      <x:c r="L1541" s="9" t="n">
        <x:f>I1541*(1-0.40)-J1541</x:f>
        <x:v>3.1888888888888887</x:v>
      </x:c>
      <x:c r="M1541" s="9" t="n">
        <x:f>'Physical_Arcs'!S41</x:f>
        <x:v>7.972222222222222</x:v>
      </x:c>
      <x:c r="N1541" s="9" t="n">
        <x:f>M1541*'Parameters'!$C$18</x:f>
        <x:v>1.5944444444444446</x:v>
      </x:c>
      <x:c r="O1541" s="9" t="n">
        <x:f>N1541*'Parameters'!$C$19</x:f>
        <x:v>1.9930555555555558</x:v>
      </x:c>
      <x:c r="P1541" s="9" t="n">
        <x:f>M1541*(1-0.40)-N1541</x:f>
        <x:v>3.1888888888888887</x:v>
      </x:c>
      <x:c r="Q1541" s="9" t="n">
        <x:f>'Physical_Arcs'!T41</x:f>
        <x:v>4</x:v>
      </x:c>
      <x:c r="R1541" s="9" t="n">
        <x:f>Q1541*'Parameters'!$C$18</x:f>
        <x:v>0.8</x:v>
      </x:c>
      <x:c r="S1541" s="9" t="n">
        <x:f>R1541*'Parameters'!$C$19</x:f>
        <x:v>1</x:v>
      </x:c>
      <x:c r="T1541" s="9" t="n">
        <x:f>Q1541*(1-0.40)-R1541</x:f>
        <x:v>1.5999999999999999</x:v>
      </x:c>
    </x:row>
    <x:row r="1542" ht="21" customHeight="1">
      <x:c r="A1542" s="3" t="n">
        <x:v>25</x:v>
      </x:c>
      <x:c r="B1542" s="3" t="str">
        <x:v>04:10</x:v>
      </x:c>
      <x:c r="C1542" s="3" t="n">
        <x:v>5</x:v>
      </x:c>
      <x:c r="D1542" s="3" t="n">
        <x:v>41</x:v>
      </x:c>
      <x:c r="E1542" s="3" t="n">
        <x:v>7</x:v>
      </x:c>
      <x:c r="F1542" s="3" t="n">
        <x:v>9</x:v>
      </x:c>
      <x:c r="G1542" s="9" t="n">
        <x:v>0.1</x:v>
      </x:c>
      <x:c r="H1542" s="9" t="n">
        <x:v>1.14801</x:v>
      </x:c>
      <x:c r="I1542" s="9" t="n">
        <x:f>'Physical_Arcs'!R42</x:f>
        <x:v>8.88888888888889</x:v>
      </x:c>
      <x:c r="J1542" s="9" t="n">
        <x:f>I1542*'Parameters'!$C$18</x:f>
        <x:v>1.777777777777778</x:v>
      </x:c>
      <x:c r="K1542" s="9" t="n">
        <x:f>J1542*'Parameters'!$C$19</x:f>
        <x:v>2.2222222222222223</x:v>
      </x:c>
      <x:c r="L1542" s="9" t="n">
        <x:f>I1542*(1-0.40)-J1542</x:f>
        <x:v>3.5555555555555554</x:v>
      </x:c>
      <x:c r="M1542" s="9" t="n">
        <x:f>'Physical_Arcs'!S42</x:f>
        <x:v>8.88888888888889</x:v>
      </x:c>
      <x:c r="N1542" s="9" t="n">
        <x:f>M1542*'Parameters'!$C$18</x:f>
        <x:v>1.777777777777778</x:v>
      </x:c>
      <x:c r="O1542" s="9" t="n">
        <x:f>N1542*'Parameters'!$C$19</x:f>
        <x:v>2.2222222222222223</x:v>
      </x:c>
      <x:c r="P1542" s="9" t="n">
        <x:f>M1542*(1-0.40)-N1542</x:f>
        <x:v>3.5555555555555554</x:v>
      </x:c>
      <x:c r="Q1542" s="9" t="n">
        <x:f>'Physical_Arcs'!T42</x:f>
        <x:v>4.444444444444445</x:v>
      </x:c>
      <x:c r="R1542" s="9" t="n">
        <x:f>Q1542*'Parameters'!$C$18</x:f>
        <x:v>0.888888888888889</x:v>
      </x:c>
      <x:c r="S1542" s="9" t="n">
        <x:f>R1542*'Parameters'!$C$19</x:f>
        <x:v>1.1111111111111112</x:v>
      </x:c>
      <x:c r="T1542" s="9" t="n">
        <x:f>Q1542*(1-0.40)-R1542</x:f>
        <x:v>1.7777777777777777</x:v>
      </x:c>
    </x:row>
    <x:row r="1543" ht="21" customHeight="1">
      <x:c r="A1543" s="3" t="n">
        <x:v>25</x:v>
      </x:c>
      <x:c r="B1543" s="3" t="str">
        <x:v>04:10</x:v>
      </x:c>
      <x:c r="C1543" s="3" t="n">
        <x:v>5</x:v>
      </x:c>
      <x:c r="D1543" s="3" t="n">
        <x:v>42</x:v>
      </x:c>
      <x:c r="E1543" s="3" t="n">
        <x:v>7</x:v>
      </x:c>
      <x:c r="F1543" s="3" t="n">
        <x:v>2</x:v>
      </x:c>
      <x:c r="G1543" s="9" t="n">
        <x:v>0.1</x:v>
      </x:c>
      <x:c r="H1543" s="9" t="n">
        <x:v>0.989237</x:v>
      </x:c>
      <x:c r="I1543" s="9" t="n">
        <x:f>'Physical_Arcs'!R43</x:f>
        <x:v>9</x:v>
      </x:c>
      <x:c r="J1543" s="9" t="n">
        <x:f>I1543*'Parameters'!$C$18</x:f>
        <x:v>1.8</x:v>
      </x:c>
      <x:c r="K1543" s="9" t="n">
        <x:f>J1543*'Parameters'!$C$19</x:f>
        <x:v>2.25</x:v>
      </x:c>
      <x:c r="L1543" s="9" t="n">
        <x:f>I1543*(1-0.40)-J1543</x:f>
        <x:v>3.5999999999999996</x:v>
      </x:c>
      <x:c r="M1543" s="9" t="n">
        <x:f>'Physical_Arcs'!S43</x:f>
        <x:v>9</x:v>
      </x:c>
      <x:c r="N1543" s="9" t="n">
        <x:f>M1543*'Parameters'!$C$18</x:f>
        <x:v>1.8</x:v>
      </x:c>
      <x:c r="O1543" s="9" t="n">
        <x:f>N1543*'Parameters'!$C$19</x:f>
        <x:v>2.25</x:v>
      </x:c>
      <x:c r="P1543" s="9" t="n">
        <x:f>M1543*(1-0.40)-N1543</x:f>
        <x:v>3.5999999999999996</x:v>
      </x:c>
      <x:c r="Q1543" s="9" t="n">
        <x:f>'Physical_Arcs'!T43</x:f>
        <x:v>4.5</x:v>
      </x:c>
      <x:c r="R1543" s="9" t="n">
        <x:f>Q1543*'Parameters'!$C$18</x:f>
        <x:v>0.9</x:v>
      </x:c>
      <x:c r="S1543" s="9" t="n">
        <x:f>R1543*'Parameters'!$C$19</x:f>
        <x:v>1.125</x:v>
      </x:c>
      <x:c r="T1543" s="9" t="n">
        <x:f>Q1543*(1-0.40)-R1543</x:f>
        <x:v>1.7999999999999998</x:v>
      </x:c>
    </x:row>
    <x:row r="1544" ht="21" customHeight="1">
      <x:c r="A1544" s="3" t="n">
        <x:v>25</x:v>
      </x:c>
      <x:c r="B1544" s="3" t="str">
        <x:v>04:10</x:v>
      </x:c>
      <x:c r="C1544" s="3" t="n">
        <x:v>5</x:v>
      </x:c>
      <x:c r="D1544" s="3" t="n">
        <x:v>43</x:v>
      </x:c>
      <x:c r="E1544" s="3" t="n">
        <x:v>7</x:v>
      </x:c>
      <x:c r="F1544" s="3" t="n">
        <x:v>3</x:v>
      </x:c>
      <x:c r="G1544" s="9" t="n">
        <x:v>0.1</x:v>
      </x:c>
      <x:c r="H1544" s="9" t="n">
        <x:v>1.050432</x:v>
      </x:c>
      <x:c r="I1544" s="9" t="n">
        <x:f>'Physical_Arcs'!R44</x:f>
        <x:v>7.638888888888889</x:v>
      </x:c>
      <x:c r="J1544" s="9" t="n">
        <x:f>I1544*'Parameters'!$C$18</x:f>
        <x:v>1.527777777777778</x:v>
      </x:c>
      <x:c r="K1544" s="9" t="n">
        <x:f>J1544*'Parameters'!$C$19</x:f>
        <x:v>1.9097222222222223</x:v>
      </x:c>
      <x:c r="L1544" s="9" t="n">
        <x:f>I1544*(1-0.40)-J1544</x:f>
        <x:v>3.0555555555555554</x:v>
      </x:c>
      <x:c r="M1544" s="9" t="n">
        <x:f>'Physical_Arcs'!S44</x:f>
        <x:v>7.638888888888889</x:v>
      </x:c>
      <x:c r="N1544" s="9" t="n">
        <x:f>M1544*'Parameters'!$C$18</x:f>
        <x:v>1.527777777777778</x:v>
      </x:c>
      <x:c r="O1544" s="9" t="n">
        <x:f>N1544*'Parameters'!$C$19</x:f>
        <x:v>1.9097222222222223</x:v>
      </x:c>
      <x:c r="P1544" s="9" t="n">
        <x:f>M1544*(1-0.40)-N1544</x:f>
        <x:v>3.0555555555555554</x:v>
      </x:c>
      <x:c r="Q1544" s="9" t="n">
        <x:f>'Physical_Arcs'!T44</x:f>
        <x:v>3.8333333333333335</x:v>
      </x:c>
      <x:c r="R1544" s="9" t="n">
        <x:f>Q1544*'Parameters'!$C$18</x:f>
        <x:v>0.7666666666666667</x:v>
      </x:c>
      <x:c r="S1544" s="9" t="n">
        <x:f>R1544*'Parameters'!$C$19</x:f>
        <x:v>0.9583333333333334</x:v>
      </x:c>
      <x:c r="T1544" s="9" t="n">
        <x:f>Q1544*(1-0.40)-R1544</x:f>
        <x:v>1.5333333333333332</x:v>
      </x:c>
    </x:row>
    <x:row r="1545" ht="21" customHeight="1">
      <x:c r="A1545" s="3" t="n">
        <x:v>25</x:v>
      </x:c>
      <x:c r="B1545" s="3" t="str">
        <x:v>04:10</x:v>
      </x:c>
      <x:c r="C1545" s="3" t="n">
        <x:v>5</x:v>
      </x:c>
      <x:c r="D1545" s="3" t="n">
        <x:v>44</x:v>
      </x:c>
      <x:c r="E1545" s="3" t="n">
        <x:v>8</x:v>
      </x:c>
      <x:c r="F1545" s="3" t="n">
        <x:v>9</x:v>
      </x:c>
      <x:c r="G1545" s="9" t="n">
        <x:v>0.1</x:v>
      </x:c>
      <x:c r="H1545" s="9" t="n">
        <x:v>0.868101</x:v>
      </x:c>
      <x:c r="I1545" s="9" t="n">
        <x:f>'Physical_Arcs'!R45</x:f>
        <x:v>17.02777777777778</x:v>
      </x:c>
      <x:c r="J1545" s="9" t="n">
        <x:f>I1545*'Parameters'!$C$18</x:f>
        <x:v>3.405555555555556</x:v>
      </x:c>
      <x:c r="K1545" s="9" t="n">
        <x:f>J1545*'Parameters'!$C$19</x:f>
        <x:v>4.256944444444445</x:v>
      </x:c>
      <x:c r="L1545" s="9" t="n">
        <x:f>I1545*(1-0.40)-J1545</x:f>
        <x:v>6.811111111111111</x:v>
      </x:c>
      <x:c r="M1545" s="9" t="n">
        <x:f>'Physical_Arcs'!S45</x:f>
        <x:v>17.02777777777778</x:v>
      </x:c>
      <x:c r="N1545" s="9" t="n">
        <x:f>M1545*'Parameters'!$C$18</x:f>
        <x:v>3.405555555555556</x:v>
      </x:c>
      <x:c r="O1545" s="9" t="n">
        <x:f>N1545*'Parameters'!$C$19</x:f>
        <x:v>4.256944444444445</x:v>
      </x:c>
      <x:c r="P1545" s="9" t="n">
        <x:f>M1545*(1-0.40)-N1545</x:f>
        <x:v>6.811111111111111</x:v>
      </x:c>
      <x:c r="Q1545" s="9" t="n">
        <x:f>'Physical_Arcs'!T45</x:f>
        <x:v>17.02777777777778</x:v>
      </x:c>
      <x:c r="R1545" s="9" t="n">
        <x:f>Q1545*'Parameters'!$C$18</x:f>
        <x:v>3.405555555555556</x:v>
      </x:c>
      <x:c r="S1545" s="9" t="n">
        <x:f>R1545*'Parameters'!$C$19</x:f>
        <x:v>4.256944444444445</x:v>
      </x:c>
      <x:c r="T1545" s="9" t="n">
        <x:f>Q1545*(1-0.40)-R1545</x:f>
        <x:v>6.811111111111111</x:v>
      </x:c>
    </x:row>
    <x:row r="1546" ht="21" customHeight="1">
      <x:c r="A1546" s="3" t="n">
        <x:v>25</x:v>
      </x:c>
      <x:c r="B1546" s="3" t="str">
        <x:v>04:10</x:v>
      </x:c>
      <x:c r="C1546" s="3" t="n">
        <x:v>5</x:v>
      </x:c>
      <x:c r="D1546" s="3" t="n">
        <x:v>45</x:v>
      </x:c>
      <x:c r="E1546" s="3" t="n">
        <x:v>8</x:v>
      </x:c>
      <x:c r="F1546" s="3" t="n">
        <x:v>3</x:v>
      </x:c>
      <x:c r="G1546" s="9" t="n">
        <x:v>0.1</x:v>
      </x:c>
      <x:c r="H1546" s="9" t="n">
        <x:v>0.944958</x:v>
      </x:c>
      <x:c r="I1546" s="9" t="n">
        <x:f>'Physical_Arcs'!R46</x:f>
        <x:v>5.388888888888889</x:v>
      </x:c>
      <x:c r="J1546" s="9" t="n">
        <x:f>I1546*'Parameters'!$C$18</x:f>
        <x:v>1.077777777777778</x:v>
      </x:c>
      <x:c r="K1546" s="9" t="n">
        <x:f>J1546*'Parameters'!$C$19</x:f>
        <x:v>1.3472222222222223</x:v>
      </x:c>
      <x:c r="L1546" s="9" t="n">
        <x:f>I1546*(1-0.40)-J1546</x:f>
        <x:v>2.1555555555555554</x:v>
      </x:c>
      <x:c r="M1546" s="9" t="n">
        <x:f>'Physical_Arcs'!S46</x:f>
        <x:v>5.388888888888889</x:v>
      </x:c>
      <x:c r="N1546" s="9" t="n">
        <x:f>M1546*'Parameters'!$C$18</x:f>
        <x:v>1.077777777777778</x:v>
      </x:c>
      <x:c r="O1546" s="9" t="n">
        <x:f>N1546*'Parameters'!$C$19</x:f>
        <x:v>1.3472222222222223</x:v>
      </x:c>
      <x:c r="P1546" s="9" t="n">
        <x:f>M1546*(1-0.40)-N1546</x:f>
        <x:v>2.1555555555555554</x:v>
      </x:c>
      <x:c r="Q1546" s="9" t="n">
        <x:f>'Physical_Arcs'!T46</x:f>
        <x:v>2.6944444444444446</x:v>
      </x:c>
      <x:c r="R1546" s="9" t="n">
        <x:f>Q1546*'Parameters'!$C$18</x:f>
        <x:v>0.538888888888889</x:v>
      </x:c>
      <x:c r="S1546" s="9" t="n">
        <x:f>R1546*'Parameters'!$C$19</x:f>
        <x:v>0.6736111111111112</x:v>
      </x:c>
      <x:c r="T1546" s="9" t="n">
        <x:f>Q1546*(1-0.40)-R1546</x:f>
        <x:v>1.0777777777777777</x:v>
      </x:c>
    </x:row>
    <x:row r="1547" ht="21" customHeight="1">
      <x:c r="A1547" s="3" t="n">
        <x:v>25</x:v>
      </x:c>
      <x:c r="B1547" s="3" t="str">
        <x:v>04:10</x:v>
      </x:c>
      <x:c r="C1547" s="3" t="n">
        <x:v>5</x:v>
      </x:c>
      <x:c r="D1547" s="3" t="n">
        <x:v>46</x:v>
      </x:c>
      <x:c r="E1547" s="3" t="n">
        <x:v>8</x:v>
      </x:c>
      <x:c r="F1547" s="3" t="n">
        <x:v>7</x:v>
      </x:c>
      <x:c r="G1547" s="9" t="n">
        <x:v>0.1</x:v>
      </x:c>
      <x:c r="H1547" s="9" t="n">
        <x:v>0.866232</x:v>
      </x:c>
      <x:c r="I1547" s="9" t="n">
        <x:f>'Physical_Arcs'!R47</x:f>
        <x:v>5.388888888888889</x:v>
      </x:c>
      <x:c r="J1547" s="9" t="n">
        <x:f>I1547*'Parameters'!$C$18</x:f>
        <x:v>1.077777777777778</x:v>
      </x:c>
      <x:c r="K1547" s="9" t="n">
        <x:f>J1547*'Parameters'!$C$19</x:f>
        <x:v>1.3472222222222223</x:v>
      </x:c>
      <x:c r="L1547" s="9" t="n">
        <x:f>I1547*(1-0.40)-J1547</x:f>
        <x:v>2.1555555555555554</x:v>
      </x:c>
      <x:c r="M1547" s="9" t="n">
        <x:f>'Physical_Arcs'!S47</x:f>
        <x:v>5.388888888888889</x:v>
      </x:c>
      <x:c r="N1547" s="9" t="n">
        <x:f>M1547*'Parameters'!$C$18</x:f>
        <x:v>1.077777777777778</x:v>
      </x:c>
      <x:c r="O1547" s="9" t="n">
        <x:f>N1547*'Parameters'!$C$19</x:f>
        <x:v>1.3472222222222223</x:v>
      </x:c>
      <x:c r="P1547" s="9" t="n">
        <x:f>M1547*(1-0.40)-N1547</x:f>
        <x:v>2.1555555555555554</x:v>
      </x:c>
      <x:c r="Q1547" s="9" t="n">
        <x:f>'Physical_Arcs'!T47</x:f>
        <x:v>2.6944444444444446</x:v>
      </x:c>
      <x:c r="R1547" s="9" t="n">
        <x:f>Q1547*'Parameters'!$C$18</x:f>
        <x:v>0.538888888888889</x:v>
      </x:c>
      <x:c r="S1547" s="9" t="n">
        <x:f>R1547*'Parameters'!$C$19</x:f>
        <x:v>0.6736111111111112</x:v>
      </x:c>
      <x:c r="T1547" s="9" t="n">
        <x:f>Q1547*(1-0.40)-R1547</x:f>
        <x:v>1.0777777777777777</x:v>
      </x:c>
    </x:row>
    <x:row r="1548" ht="21" customHeight="1">
      <x:c r="A1548" s="3" t="n">
        <x:v>25</x:v>
      </x:c>
      <x:c r="B1548" s="3" t="str">
        <x:v>04:10</x:v>
      </x:c>
      <x:c r="C1548" s="3" t="n">
        <x:v>5</x:v>
      </x:c>
      <x:c r="D1548" s="3" t="n">
        <x:v>47</x:v>
      </x:c>
      <x:c r="E1548" s="3" t="n">
        <x:v>8</x:v>
      </x:c>
      <x:c r="F1548" s="3" t="n">
        <x:v>2</x:v>
      </x:c>
      <x:c r="G1548" s="9" t="n">
        <x:v>0.1</x:v>
      </x:c>
      <x:c r="H1548" s="9" t="n">
        <x:v>1.135644</x:v>
      </x:c>
      <x:c r="I1548" s="9" t="n">
        <x:f>'Physical_Arcs'!R48</x:f>
        <x:v>8.083333333333334</x:v>
      </x:c>
      <x:c r="J1548" s="9" t="n">
        <x:f>I1548*'Parameters'!$C$18</x:f>
        <x:v>1.616666666666667</x:v>
      </x:c>
      <x:c r="K1548" s="9" t="n">
        <x:f>J1548*'Parameters'!$C$19</x:f>
        <x:v>2.0208333333333335</x:v>
      </x:c>
      <x:c r="L1548" s="9" t="n">
        <x:f>I1548*(1-0.40)-J1548</x:f>
        <x:v>3.2333333333333334</x:v>
      </x:c>
      <x:c r="M1548" s="9" t="n">
        <x:f>'Physical_Arcs'!S48</x:f>
        <x:v>8.083333333333334</x:v>
      </x:c>
      <x:c r="N1548" s="9" t="n">
        <x:f>M1548*'Parameters'!$C$18</x:f>
        <x:v>1.616666666666667</x:v>
      </x:c>
      <x:c r="O1548" s="9" t="n">
        <x:f>N1548*'Parameters'!$C$19</x:f>
        <x:v>2.0208333333333335</x:v>
      </x:c>
      <x:c r="P1548" s="9" t="n">
        <x:f>M1548*(1-0.40)-N1548</x:f>
        <x:v>3.2333333333333334</x:v>
      </x:c>
      <x:c r="Q1548" s="9" t="n">
        <x:f>'Physical_Arcs'!T48</x:f>
        <x:v>4.055555555555555</x:v>
      </x:c>
      <x:c r="R1548" s="9" t="n">
        <x:f>Q1548*'Parameters'!$C$18</x:f>
        <x:v>0.8111111111111111</x:v>
      </x:c>
      <x:c r="S1548" s="9" t="n">
        <x:f>R1548*'Parameters'!$C$19</x:f>
        <x:v>1.0138888888888888</x:v>
      </x:c>
      <x:c r="T1548" s="9" t="n">
        <x:f>Q1548*(1-0.40)-R1548</x:f>
        <x:v>1.622222222222222</x:v>
      </x:c>
    </x:row>
    <x:row r="1549" ht="21" customHeight="1">
      <x:c r="A1549" s="3" t="n">
        <x:v>25</x:v>
      </x:c>
      <x:c r="B1549" s="3" t="str">
        <x:v>04:10</x:v>
      </x:c>
      <x:c r="C1549" s="3" t="n">
        <x:v>5</x:v>
      </x:c>
      <x:c r="D1549" s="3" t="n">
        <x:v>48</x:v>
      </x:c>
      <x:c r="E1549" s="3" t="n">
        <x:v>8</x:v>
      </x:c>
      <x:c r="F1549" s="3" t="n">
        <x:v>6</x:v>
      </x:c>
      <x:c r="G1549" s="9" t="n">
        <x:v>0.1</x:v>
      </x:c>
      <x:c r="H1549" s="9" t="n">
        <x:v>0.850778</x:v>
      </x:c>
      <x:c r="I1549" s="9" t="n">
        <x:f>'Physical_Arcs'!R49</x:f>
        <x:v>10.555555555555555</x:v>
      </x:c>
      <x:c r="J1549" s="9" t="n">
        <x:f>I1549*'Parameters'!$C$18</x:f>
        <x:v>2.111111111111111</x:v>
      </x:c>
      <x:c r="K1549" s="9" t="n">
        <x:f>J1549*'Parameters'!$C$19</x:f>
        <x:v>2.638888888888889</x:v>
      </x:c>
      <x:c r="L1549" s="9" t="n">
        <x:f>I1549*(1-0.40)-J1549</x:f>
        <x:v>4.222222222222221</x:v>
      </x:c>
      <x:c r="M1549" s="9" t="n">
        <x:f>'Physical_Arcs'!S49</x:f>
        <x:v>10.555555555555555</x:v>
      </x:c>
      <x:c r="N1549" s="9" t="n">
        <x:f>M1549*'Parameters'!$C$18</x:f>
        <x:v>2.111111111111111</x:v>
      </x:c>
      <x:c r="O1549" s="9" t="n">
        <x:f>N1549*'Parameters'!$C$19</x:f>
        <x:v>2.638888888888889</x:v>
      </x:c>
      <x:c r="P1549" s="9" t="n">
        <x:f>M1549*(1-0.40)-N1549</x:f>
        <x:v>4.222222222222221</x:v>
      </x:c>
      <x:c r="Q1549" s="9" t="n">
        <x:f>'Physical_Arcs'!T49</x:f>
        <x:v>5.277777777777778</x:v>
      </x:c>
      <x:c r="R1549" s="9" t="n">
        <x:f>Q1549*'Parameters'!$C$18</x:f>
        <x:v>1.0555555555555556</x:v>
      </x:c>
      <x:c r="S1549" s="9" t="n">
        <x:f>R1549*'Parameters'!$C$19</x:f>
        <x:v>1.3194444444444444</x:v>
      </x:c>
      <x:c r="T1549" s="9" t="n">
        <x:f>Q1549*(1-0.40)-R1549</x:f>
        <x:v>2.1111111111111107</x:v>
      </x:c>
    </x:row>
    <x:row r="1550" ht="21" customHeight="1">
      <x:c r="A1550" s="3" t="n">
        <x:v>25</x:v>
      </x:c>
      <x:c r="B1550" s="3" t="str">
        <x:v>04:10</x:v>
      </x:c>
      <x:c r="C1550" s="3" t="n">
        <x:v>5</x:v>
      </x:c>
      <x:c r="D1550" s="3" t="n">
        <x:v>49</x:v>
      </x:c>
      <x:c r="E1550" s="3" t="n">
        <x:v>8</x:v>
      </x:c>
      <x:c r="F1550" s="3" t="n">
        <x:v>4</x:v>
      </x:c>
      <x:c r="G1550" s="9" t="n">
        <x:v>0.1</x:v>
      </x:c>
      <x:c r="H1550" s="9" t="n">
        <x:v>0.904949</x:v>
      </x:c>
      <x:c r="I1550" s="9" t="n">
        <x:f>'Physical_Arcs'!R50</x:f>
        <x:v>1.5833333333333333</x:v>
      </x:c>
      <x:c r="J1550" s="9" t="n">
        <x:f>I1550*'Parameters'!$C$18</x:f>
        <x:v>0.31666666666666665</x:v>
      </x:c>
      <x:c r="K1550" s="9" t="n">
        <x:f>J1550*'Parameters'!$C$19</x:f>
        <x:v>0.3958333333333333</x:v>
      </x:c>
      <x:c r="L1550" s="9" t="n">
        <x:f>I1550*(1-0.40)-J1550</x:f>
        <x:v>0.6333333333333333</x:v>
      </x:c>
      <x:c r="M1550" s="9" t="n">
        <x:f>'Physical_Arcs'!S50</x:f>
        <x:v>1.5833333333333333</x:v>
      </x:c>
      <x:c r="N1550" s="9" t="n">
        <x:f>M1550*'Parameters'!$C$18</x:f>
        <x:v>0.31666666666666665</x:v>
      </x:c>
      <x:c r="O1550" s="9" t="n">
        <x:f>N1550*'Parameters'!$C$19</x:f>
        <x:v>0.3958333333333333</x:v>
      </x:c>
      <x:c r="P1550" s="9" t="n">
        <x:f>M1550*(1-0.40)-N1550</x:f>
        <x:v>0.6333333333333333</x:v>
      </x:c>
      <x:c r="Q1550" s="9" t="n">
        <x:f>'Physical_Arcs'!T50</x:f>
        <x:v>0.8055555555555556</x:v>
      </x:c>
      <x:c r="R1550" s="9" t="n">
        <x:f>Q1550*'Parameters'!$C$18</x:f>
        <x:v>0.16111111111111112</x:v>
      </x:c>
      <x:c r="S1550" s="9" t="n">
        <x:f>R1550*'Parameters'!$C$19</x:f>
        <x:v>0.2013888888888889</x:v>
      </x:c>
      <x:c r="T1550" s="9" t="n">
        <x:f>Q1550*(1-0.40)-R1550</x:f>
        <x:v>0.3222222222222222</x:v>
      </x:c>
    </x:row>
    <x:row r="1551" ht="21" customHeight="1">
      <x:c r="A1551" s="3" t="n">
        <x:v>25</x:v>
      </x:c>
      <x:c r="B1551" s="3" t="str">
        <x:v>04:10</x:v>
      </x:c>
      <x:c r="C1551" s="3" t="n">
        <x:v>5</x:v>
      </x:c>
      <x:c r="D1551" s="3" t="n">
        <x:v>50</x:v>
      </x:c>
      <x:c r="E1551" s="3" t="n">
        <x:v>8</x:v>
      </x:c>
      <x:c r="F1551" s="3" t="n">
        <x:v>5</x:v>
      </x:c>
      <x:c r="G1551" s="9" t="n">
        <x:v>0.1</x:v>
      </x:c>
      <x:c r="H1551" s="9" t="n">
        <x:v>0.990416</x:v>
      </x:c>
      <x:c r="I1551" s="9" t="n">
        <x:f>'Physical_Arcs'!R51</x:f>
        <x:v>10.777777777777779</x:v>
      </x:c>
      <x:c r="J1551" s="9" t="n">
        <x:f>I1551*'Parameters'!$C$18</x:f>
        <x:v>2.155555555555556</x:v>
      </x:c>
      <x:c r="K1551" s="9" t="n">
        <x:f>J1551*'Parameters'!$C$19</x:f>
        <x:v>2.6944444444444446</x:v>
      </x:c>
      <x:c r="L1551" s="9" t="n">
        <x:f>I1551*(1-0.40)-J1551</x:f>
        <x:v>4.311111111111111</x:v>
      </x:c>
      <x:c r="M1551" s="9" t="n">
        <x:f>'Physical_Arcs'!S51</x:f>
        <x:v>10.777777777777779</x:v>
      </x:c>
      <x:c r="N1551" s="9" t="n">
        <x:f>M1551*'Parameters'!$C$18</x:f>
        <x:v>2.155555555555556</x:v>
      </x:c>
      <x:c r="O1551" s="9" t="n">
        <x:f>N1551*'Parameters'!$C$19</x:f>
        <x:v>2.6944444444444446</x:v>
      </x:c>
      <x:c r="P1551" s="9" t="n">
        <x:f>M1551*(1-0.40)-N1551</x:f>
        <x:v>4.311111111111111</x:v>
      </x:c>
      <x:c r="Q1551" s="9" t="n">
        <x:f>'Physical_Arcs'!T51</x:f>
        <x:v>5.388888888888889</x:v>
      </x:c>
      <x:c r="R1551" s="9" t="n">
        <x:f>Q1551*'Parameters'!$C$18</x:f>
        <x:v>1.077777777777778</x:v>
      </x:c>
      <x:c r="S1551" s="9" t="n">
        <x:f>R1551*'Parameters'!$C$19</x:f>
        <x:v>1.3472222222222223</x:v>
      </x:c>
      <x:c r="T1551" s="9" t="n">
        <x:f>Q1551*(1-0.40)-R1551</x:f>
        <x:v>2.1555555555555554</x:v>
      </x:c>
    </x:row>
    <x:row r="1552" ht="21" customHeight="1">
      <x:c r="A1552" s="3" t="n">
        <x:v>25</x:v>
      </x:c>
      <x:c r="B1552" s="3" t="str">
        <x:v>04:10</x:v>
      </x:c>
      <x:c r="C1552" s="3" t="n">
        <x:v>5</x:v>
      </x:c>
      <x:c r="D1552" s="3" t="n">
        <x:v>51</x:v>
      </x:c>
      <x:c r="E1552" s="3" t="n">
        <x:v>8</x:v>
      </x:c>
      <x:c r="F1552" s="3" t="n">
        <x:v>1</x:v>
      </x:c>
      <x:c r="G1552" s="9" t="n">
        <x:v>0.1</x:v>
      </x:c>
      <x:c r="H1552" s="9" t="n">
        <x:v>1.039066</x:v>
      </x:c>
      <x:c r="I1552" s="9" t="n">
        <x:f>'Physical_Arcs'!R52</x:f>
        <x:v>8.88888888888889</x:v>
      </x:c>
      <x:c r="J1552" s="9" t="n">
        <x:f>I1552*'Parameters'!$C$18</x:f>
        <x:v>1.777777777777778</x:v>
      </x:c>
      <x:c r="K1552" s="9" t="n">
        <x:f>J1552*'Parameters'!$C$19</x:f>
        <x:v>2.2222222222222223</x:v>
      </x:c>
      <x:c r="L1552" s="9" t="n">
        <x:f>I1552*(1-0.40)-J1552</x:f>
        <x:v>3.5555555555555554</x:v>
      </x:c>
      <x:c r="M1552" s="9" t="n">
        <x:f>'Physical_Arcs'!S52</x:f>
        <x:v>8.88888888888889</x:v>
      </x:c>
      <x:c r="N1552" s="9" t="n">
        <x:f>M1552*'Parameters'!$C$18</x:f>
        <x:v>1.777777777777778</x:v>
      </x:c>
      <x:c r="O1552" s="9" t="n">
        <x:f>N1552*'Parameters'!$C$19</x:f>
        <x:v>2.2222222222222223</x:v>
      </x:c>
      <x:c r="P1552" s="9" t="n">
        <x:f>M1552*(1-0.40)-N1552</x:f>
        <x:v>3.5555555555555554</x:v>
      </x:c>
      <x:c r="Q1552" s="9" t="n">
        <x:f>'Physical_Arcs'!T52</x:f>
        <x:v>4.444444444444445</x:v>
      </x:c>
      <x:c r="R1552" s="9" t="n">
        <x:f>Q1552*'Parameters'!$C$18</x:f>
        <x:v>0.888888888888889</x:v>
      </x:c>
      <x:c r="S1552" s="9" t="n">
        <x:f>R1552*'Parameters'!$C$19</x:f>
        <x:v>1.1111111111111112</x:v>
      </x:c>
      <x:c r="T1552" s="9" t="n">
        <x:f>Q1552*(1-0.40)-R1552</x:f>
        <x:v>1.7777777777777777</x:v>
      </x:c>
    </x:row>
    <x:row r="1553" ht="21" customHeight="1">
      <x:c r="A1553" s="3" t="n">
        <x:v>25</x:v>
      </x:c>
      <x:c r="B1553" s="3" t="str">
        <x:v>04:10</x:v>
      </x:c>
      <x:c r="C1553" s="3" t="n">
        <x:v>5</x:v>
      </x:c>
      <x:c r="D1553" s="3" t="n">
        <x:v>52</x:v>
      </x:c>
      <x:c r="E1553" s="3" t="n">
        <x:v>9</x:v>
      </x:c>
      <x:c r="F1553" s="3" t="n">
        <x:v>10</x:v>
      </x:c>
      <x:c r="G1553" s="9" t="n">
        <x:v>0.1</x:v>
      </x:c>
      <x:c r="H1553" s="9" t="n">
        <x:v>0.954096</x:v>
      </x:c>
      <x:c r="I1553" s="9" t="n">
        <x:f>'Physical_Arcs'!R53</x:f>
        <x:v>17.02777777777778</x:v>
      </x:c>
      <x:c r="J1553" s="9" t="n">
        <x:f>I1553*'Parameters'!$C$18</x:f>
        <x:v>3.405555555555556</x:v>
      </x:c>
      <x:c r="K1553" s="9" t="n">
        <x:f>J1553*'Parameters'!$C$19</x:f>
        <x:v>4.256944444444445</x:v>
      </x:c>
      <x:c r="L1553" s="9" t="n">
        <x:f>I1553*(1-0.40)-J1553</x:f>
        <x:v>6.811111111111111</x:v>
      </x:c>
      <x:c r="M1553" s="9" t="n">
        <x:f>'Physical_Arcs'!S53</x:f>
        <x:v>17.02777777777778</x:v>
      </x:c>
      <x:c r="N1553" s="9" t="n">
        <x:f>M1553*'Parameters'!$C$18</x:f>
        <x:v>3.405555555555556</x:v>
      </x:c>
      <x:c r="O1553" s="9" t="n">
        <x:f>N1553*'Parameters'!$C$19</x:f>
        <x:v>4.256944444444445</x:v>
      </x:c>
      <x:c r="P1553" s="9" t="n">
        <x:f>M1553*(1-0.40)-N1553</x:f>
        <x:v>6.811111111111111</x:v>
      </x:c>
      <x:c r="Q1553" s="9" t="n">
        <x:f>'Physical_Arcs'!T53</x:f>
        <x:v>17.02777777777778</x:v>
      </x:c>
      <x:c r="R1553" s="9" t="n">
        <x:f>Q1553*'Parameters'!$C$18</x:f>
        <x:v>3.405555555555556</x:v>
      </x:c>
      <x:c r="S1553" s="9" t="n">
        <x:f>R1553*'Parameters'!$C$19</x:f>
        <x:v>4.256944444444445</x:v>
      </x:c>
      <x:c r="T1553" s="9" t="n">
        <x:f>Q1553*(1-0.40)-R1553</x:f>
        <x:v>6.811111111111111</x:v>
      </x:c>
    </x:row>
    <x:row r="1554" ht="21" customHeight="1">
      <x:c r="A1554" s="3" t="n">
        <x:v>25</x:v>
      </x:c>
      <x:c r="B1554" s="3" t="str">
        <x:v>04:10</x:v>
      </x:c>
      <x:c r="C1554" s="3" t="n">
        <x:v>5</x:v>
      </x:c>
      <x:c r="D1554" s="3" t="n">
        <x:v>53</x:v>
      </x:c>
      <x:c r="E1554" s="3" t="n">
        <x:v>9</x:v>
      </x:c>
      <x:c r="F1554" s="3" t="n">
        <x:v>6</x:v>
      </x:c>
      <x:c r="G1554" s="9" t="n">
        <x:v>0.1</x:v>
      </x:c>
      <x:c r="H1554" s="9" t="n">
        <x:v>1.125574</x:v>
      </x:c>
      <x:c r="I1554" s="9" t="n">
        <x:f>'Physical_Arcs'!R54</x:f>
        <x:v>9.666666666666666</x:v>
      </x:c>
      <x:c r="J1554" s="9" t="n">
        <x:f>I1554*'Parameters'!$C$18</x:f>
        <x:v>1.9333333333333333</x:v>
      </x:c>
      <x:c r="K1554" s="9" t="n">
        <x:f>J1554*'Parameters'!$C$19</x:f>
        <x:v>2.4166666666666665</x:v>
      </x:c>
      <x:c r="L1554" s="9" t="n">
        <x:f>I1554*(1-0.40)-J1554</x:f>
        <x:v>3.8666666666666663</x:v>
      </x:c>
      <x:c r="M1554" s="9" t="n">
        <x:f>'Physical_Arcs'!S54</x:f>
        <x:v>9.666666666666666</x:v>
      </x:c>
      <x:c r="N1554" s="9" t="n">
        <x:f>M1554*'Parameters'!$C$18</x:f>
        <x:v>1.9333333333333333</x:v>
      </x:c>
      <x:c r="O1554" s="9" t="n">
        <x:f>N1554*'Parameters'!$C$19</x:f>
        <x:v>2.4166666666666665</x:v>
      </x:c>
      <x:c r="P1554" s="9" t="n">
        <x:f>M1554*(1-0.40)-N1554</x:f>
        <x:v>3.8666666666666663</x:v>
      </x:c>
      <x:c r="Q1554" s="9" t="n">
        <x:f>'Physical_Arcs'!T54</x:f>
        <x:v>4.833333333333333</x:v>
      </x:c>
      <x:c r="R1554" s="9" t="n">
        <x:f>Q1554*'Parameters'!$C$18</x:f>
        <x:v>0.9666666666666667</x:v>
      </x:c>
      <x:c r="S1554" s="9" t="n">
        <x:f>R1554*'Parameters'!$C$19</x:f>
        <x:v>1.2083333333333333</x:v>
      </x:c>
      <x:c r="T1554" s="9" t="n">
        <x:f>Q1554*(1-0.40)-R1554</x:f>
        <x:v>1.9333333333333331</x:v>
      </x:c>
    </x:row>
    <x:row r="1555" ht="21" customHeight="1">
      <x:c r="A1555" s="3" t="n">
        <x:v>25</x:v>
      </x:c>
      <x:c r="B1555" s="3" t="str">
        <x:v>04:10</x:v>
      </x:c>
      <x:c r="C1555" s="3" t="n">
        <x:v>5</x:v>
      </x:c>
      <x:c r="D1555" s="3" t="n">
        <x:v>54</x:v>
      </x:c>
      <x:c r="E1555" s="3" t="n">
        <x:v>9</x:v>
      </x:c>
      <x:c r="F1555" s="3" t="n">
        <x:v>2</x:v>
      </x:c>
      <x:c r="G1555" s="9" t="n">
        <x:v>0.1</x:v>
      </x:c>
      <x:c r="H1555" s="9" t="n">
        <x:v>0.854534</x:v>
      </x:c>
      <x:c r="I1555" s="9" t="n">
        <x:f>'Physical_Arcs'!R55</x:f>
        <x:v>9.88888888888889</x:v>
      </x:c>
      <x:c r="J1555" s="9" t="n">
        <x:f>I1555*'Parameters'!$C$18</x:f>
        <x:v>1.9777777777777779</x:v>
      </x:c>
      <x:c r="K1555" s="9" t="n">
        <x:f>J1555*'Parameters'!$C$19</x:f>
        <x:v>2.4722222222222223</x:v>
      </x:c>
      <x:c r="L1555" s="9" t="n">
        <x:f>I1555*(1-0.40)-J1555</x:f>
        <x:v>3.9555555555555557</x:v>
      </x:c>
      <x:c r="M1555" s="9" t="n">
        <x:f>'Physical_Arcs'!S55</x:f>
        <x:v>9.88888888888889</x:v>
      </x:c>
      <x:c r="N1555" s="9" t="n">
        <x:f>M1555*'Parameters'!$C$18</x:f>
        <x:v>1.9777777777777779</x:v>
      </x:c>
      <x:c r="O1555" s="9" t="n">
        <x:f>N1555*'Parameters'!$C$19</x:f>
        <x:v>2.4722222222222223</x:v>
      </x:c>
      <x:c r="P1555" s="9" t="n">
        <x:f>M1555*(1-0.40)-N1555</x:f>
        <x:v>3.9555555555555557</x:v>
      </x:c>
      <x:c r="Q1555" s="9" t="n">
        <x:f>'Physical_Arcs'!T55</x:f>
        <x:v>4.944444444444445</x:v>
      </x:c>
      <x:c r="R1555" s="9" t="n">
        <x:f>Q1555*'Parameters'!$C$18</x:f>
        <x:v>0.9888888888888889</x:v>
      </x:c>
      <x:c r="S1555" s="9" t="n">
        <x:f>R1555*'Parameters'!$C$19</x:f>
        <x:v>1.2361111111111112</x:v>
      </x:c>
      <x:c r="T1555" s="9" t="n">
        <x:f>Q1555*(1-0.40)-R1555</x:f>
        <x:v>1.9777777777777779</x:v>
      </x:c>
    </x:row>
    <x:row r="1556" ht="21" customHeight="1">
      <x:c r="A1556" s="3" t="n">
        <x:v>25</x:v>
      </x:c>
      <x:c r="B1556" s="3" t="str">
        <x:v>04:10</x:v>
      </x:c>
      <x:c r="C1556" s="3" t="n">
        <x:v>5</x:v>
      </x:c>
      <x:c r="D1556" s="3" t="n">
        <x:v>55</x:v>
      </x:c>
      <x:c r="E1556" s="3" t="n">
        <x:v>9</x:v>
      </x:c>
      <x:c r="F1556" s="3" t="n">
        <x:v>7</x:v>
      </x:c>
      <x:c r="G1556" s="9" t="n">
        <x:v>0.1</x:v>
      </x:c>
      <x:c r="H1556" s="9" t="n">
        <x:v>0.900033</x:v>
      </x:c>
      <x:c r="I1556" s="9" t="n">
        <x:f>'Physical_Arcs'!R56</x:f>
        <x:v>4.166666666666667</x:v>
      </x:c>
      <x:c r="J1556" s="9" t="n">
        <x:f>I1556*'Parameters'!$C$18</x:f>
        <x:v>0.8333333333333335</x:v>
      </x:c>
      <x:c r="K1556" s="9" t="n">
        <x:f>J1556*'Parameters'!$C$19</x:f>
        <x:v>1.041666666666667</x:v>
      </x:c>
      <x:c r="L1556" s="9" t="n">
        <x:f>I1556*(1-0.40)-J1556</x:f>
        <x:v>1.6666666666666665</x:v>
      </x:c>
      <x:c r="M1556" s="9" t="n">
        <x:f>'Physical_Arcs'!S56</x:f>
        <x:v>4.166666666666667</x:v>
      </x:c>
      <x:c r="N1556" s="9" t="n">
        <x:f>M1556*'Parameters'!$C$18</x:f>
        <x:v>0.8333333333333335</x:v>
      </x:c>
      <x:c r="O1556" s="9" t="n">
        <x:f>N1556*'Parameters'!$C$19</x:f>
        <x:v>1.041666666666667</x:v>
      </x:c>
      <x:c r="P1556" s="9" t="n">
        <x:f>M1556*(1-0.40)-N1556</x:f>
        <x:v>1.6666666666666665</x:v>
      </x:c>
      <x:c r="Q1556" s="9" t="n">
        <x:f>'Physical_Arcs'!T56</x:f>
        <x:v>2.0833333333333335</x:v>
      </x:c>
      <x:c r="R1556" s="9" t="n">
        <x:f>Q1556*'Parameters'!$C$18</x:f>
        <x:v>0.41666666666666674</x:v>
      </x:c>
      <x:c r="S1556" s="9" t="n">
        <x:f>R1556*'Parameters'!$C$19</x:f>
        <x:v>0.5208333333333335</x:v>
      </x:c>
      <x:c r="T1556" s="9" t="n">
        <x:f>Q1556*(1-0.40)-R1556</x:f>
        <x:v>0.8333333333333333</x:v>
      </x:c>
    </x:row>
    <x:row r="1557" ht="21" customHeight="1">
      <x:c r="A1557" s="3" t="n">
        <x:v>25</x:v>
      </x:c>
      <x:c r="B1557" s="3" t="str">
        <x:v>04:10</x:v>
      </x:c>
      <x:c r="C1557" s="3" t="n">
        <x:v>5</x:v>
      </x:c>
      <x:c r="D1557" s="3" t="n">
        <x:v>56</x:v>
      </x:c>
      <x:c r="E1557" s="3" t="n">
        <x:v>9</x:v>
      </x:c>
      <x:c r="F1557" s="3" t="n">
        <x:v>3</x:v>
      </x:c>
      <x:c r="G1557" s="9" t="n">
        <x:v>0.1</x:v>
      </x:c>
      <x:c r="H1557" s="9" t="n">
        <x:v>0.893428</x:v>
      </x:c>
      <x:c r="I1557" s="9" t="n">
        <x:f>'Physical_Arcs'!R57</x:f>
        <x:v>3.7222222222222223</x:v>
      </x:c>
      <x:c r="J1557" s="9" t="n">
        <x:f>I1557*'Parameters'!$C$18</x:f>
        <x:v>0.7444444444444445</x:v>
      </x:c>
      <x:c r="K1557" s="9" t="n">
        <x:f>J1557*'Parameters'!$C$19</x:f>
        <x:v>0.9305555555555556</x:v>
      </x:c>
      <x:c r="L1557" s="9" t="n">
        <x:f>I1557*(1-0.40)-J1557</x:f>
        <x:v>1.488888888888889</x:v>
      </x:c>
      <x:c r="M1557" s="9" t="n">
        <x:f>'Physical_Arcs'!S57</x:f>
        <x:v>3.7222222222222223</x:v>
      </x:c>
      <x:c r="N1557" s="9" t="n">
        <x:f>M1557*'Parameters'!$C$18</x:f>
        <x:v>0.7444444444444445</x:v>
      </x:c>
      <x:c r="O1557" s="9" t="n">
        <x:f>N1557*'Parameters'!$C$19</x:f>
        <x:v>0.9305555555555556</x:v>
      </x:c>
      <x:c r="P1557" s="9" t="n">
        <x:f>M1557*(1-0.40)-N1557</x:f>
        <x:v>1.488888888888889</x:v>
      </x:c>
      <x:c r="Q1557" s="9" t="n">
        <x:f>'Physical_Arcs'!T57</x:f>
        <x:v>1.8611111111111112</x:v>
      </x:c>
      <x:c r="R1557" s="9" t="n">
        <x:f>Q1557*'Parameters'!$C$18</x:f>
        <x:v>0.37222222222222223</x:v>
      </x:c>
      <x:c r="S1557" s="9" t="n">
        <x:f>R1557*'Parameters'!$C$19</x:f>
        <x:v>0.4652777777777778</x:v>
      </x:c>
      <x:c r="T1557" s="9" t="n">
        <x:f>Q1557*(1-0.40)-R1557</x:f>
        <x:v>0.7444444444444445</x:v>
      </x:c>
    </x:row>
    <x:row r="1558" ht="21" customHeight="1">
      <x:c r="A1558" s="3" t="n">
        <x:v>25</x:v>
      </x:c>
      <x:c r="B1558" s="3" t="str">
        <x:v>04:10</x:v>
      </x:c>
      <x:c r="C1558" s="3" t="n">
        <x:v>5</x:v>
      </x:c>
      <x:c r="D1558" s="3" t="n">
        <x:v>57</x:v>
      </x:c>
      <x:c r="E1558" s="3" t="n">
        <x:v>10</x:v>
      </x:c>
      <x:c r="F1558" s="3" t="n">
        <x:v>1</x:v>
      </x:c>
      <x:c r="G1558" s="9" t="n">
        <x:v>0.1</x:v>
      </x:c>
      <x:c r="H1558" s="9" t="n">
        <x:v>1.027979</x:v>
      </x:c>
      <x:c r="I1558" s="9" t="n">
        <x:f>'Physical_Arcs'!R58</x:f>
        <x:v>17.02777777777778</x:v>
      </x:c>
      <x:c r="J1558" s="9" t="n">
        <x:f>I1558*'Parameters'!$C$18</x:f>
        <x:v>3.405555555555556</x:v>
      </x:c>
      <x:c r="K1558" s="9" t="n">
        <x:f>J1558*'Parameters'!$C$19</x:f>
        <x:v>4.256944444444445</x:v>
      </x:c>
      <x:c r="L1558" s="9" t="n">
        <x:f>I1558*(1-0.40)-J1558</x:f>
        <x:v>6.811111111111111</x:v>
      </x:c>
      <x:c r="M1558" s="9" t="n">
        <x:f>'Physical_Arcs'!S58</x:f>
        <x:v>17.02777777777778</x:v>
      </x:c>
      <x:c r="N1558" s="9" t="n">
        <x:f>M1558*'Parameters'!$C$18</x:f>
        <x:v>3.405555555555556</x:v>
      </x:c>
      <x:c r="O1558" s="9" t="n">
        <x:f>N1558*'Parameters'!$C$19</x:f>
        <x:v>4.256944444444445</x:v>
      </x:c>
      <x:c r="P1558" s="9" t="n">
        <x:f>M1558*(1-0.40)-N1558</x:f>
        <x:v>6.811111111111111</x:v>
      </x:c>
      <x:c r="Q1558" s="9" t="n">
        <x:f>'Physical_Arcs'!T58</x:f>
        <x:v>17.02777777777778</x:v>
      </x:c>
      <x:c r="R1558" s="9" t="n">
        <x:f>Q1558*'Parameters'!$C$18</x:f>
        <x:v>3.405555555555556</x:v>
      </x:c>
      <x:c r="S1558" s="9" t="n">
        <x:f>R1558*'Parameters'!$C$19</x:f>
        <x:v>4.256944444444445</x:v>
      </x:c>
      <x:c r="T1558" s="9" t="n">
        <x:f>Q1558*(1-0.40)-R1558</x:f>
        <x:v>6.811111111111111</x:v>
      </x:c>
    </x:row>
    <x:row r="1559" ht="21" customHeight="1">
      <x:c r="A1559" s="3" t="n">
        <x:v>25</x:v>
      </x:c>
      <x:c r="B1559" s="3" t="str">
        <x:v>04:10</x:v>
      </x:c>
      <x:c r="C1559" s="3" t="n">
        <x:v>5</x:v>
      </x:c>
      <x:c r="D1559" s="3" t="n">
        <x:v>58</x:v>
      </x:c>
      <x:c r="E1559" s="3" t="n">
        <x:v>10</x:v>
      </x:c>
      <x:c r="F1559" s="3" t="n">
        <x:v>6</x:v>
      </x:c>
      <x:c r="G1559" s="9" t="n">
        <x:v>0.1</x:v>
      </x:c>
      <x:c r="H1559" s="9" t="n">
        <x:v>0.952676</x:v>
      </x:c>
      <x:c r="I1559" s="9" t="n">
        <x:f>'Physical_Arcs'!R59</x:f>
        <x:v>6.305555555555555</x:v>
      </x:c>
      <x:c r="J1559" s="9" t="n">
        <x:f>I1559*'Parameters'!$C$18</x:f>
        <x:v>1.261111111111111</x:v>
      </x:c>
      <x:c r="K1559" s="9" t="n">
        <x:f>J1559*'Parameters'!$C$19</x:f>
        <x:v>1.5763888888888888</x:v>
      </x:c>
      <x:c r="L1559" s="9" t="n">
        <x:f>I1559*(1-0.40)-J1559</x:f>
        <x:v>2.522222222222222</x:v>
      </x:c>
      <x:c r="M1559" s="9" t="n">
        <x:f>'Physical_Arcs'!S59</x:f>
        <x:v>6.305555555555555</x:v>
      </x:c>
      <x:c r="N1559" s="9" t="n">
        <x:f>M1559*'Parameters'!$C$18</x:f>
        <x:v>1.261111111111111</x:v>
      </x:c>
      <x:c r="O1559" s="9" t="n">
        <x:f>N1559*'Parameters'!$C$19</x:f>
        <x:v>1.5763888888888888</x:v>
      </x:c>
      <x:c r="P1559" s="9" t="n">
        <x:f>M1559*(1-0.40)-N1559</x:f>
        <x:v>2.522222222222222</x:v>
      </x:c>
      <x:c r="Q1559" s="9" t="n">
        <x:f>'Physical_Arcs'!T59</x:f>
        <x:v>3.1666666666666665</x:v>
      </x:c>
      <x:c r="R1559" s="9" t="n">
        <x:f>Q1559*'Parameters'!$C$18</x:f>
        <x:v>0.6333333333333333</x:v>
      </x:c>
      <x:c r="S1559" s="9" t="n">
        <x:f>R1559*'Parameters'!$C$19</x:f>
        <x:v>0.7916666666666666</x:v>
      </x:c>
      <x:c r="T1559" s="9" t="n">
        <x:f>Q1559*(1-0.40)-R1559</x:f>
        <x:v>1.2666666666666666</x:v>
      </x:c>
    </x:row>
    <x:row r="1560" ht="21" customHeight="1">
      <x:c r="A1560" s="3" t="n">
        <x:v>25</x:v>
      </x:c>
      <x:c r="B1560" s="3" t="str">
        <x:v>04:10</x:v>
      </x:c>
      <x:c r="C1560" s="3" t="n">
        <x:v>5</x:v>
      </x:c>
      <x:c r="D1560" s="3" t="n">
        <x:v>59</x:v>
      </x:c>
      <x:c r="E1560" s="3" t="n">
        <x:v>10</x:v>
      </x:c>
      <x:c r="F1560" s="3" t="n">
        <x:v>4</x:v>
      </x:c>
      <x:c r="G1560" s="9" t="n">
        <x:v>0.1</x:v>
      </x:c>
      <x:c r="H1560" s="9" t="n">
        <x:v>1.114542</x:v>
      </x:c>
      <x:c r="I1560" s="9" t="n">
        <x:f>'Physical_Arcs'!R60</x:f>
        <x:v>1.5833333333333333</x:v>
      </x:c>
      <x:c r="J1560" s="9" t="n">
        <x:f>I1560*'Parameters'!$C$18</x:f>
        <x:v>0.31666666666666665</x:v>
      </x:c>
      <x:c r="K1560" s="9" t="n">
        <x:f>J1560*'Parameters'!$C$19</x:f>
        <x:v>0.3958333333333333</x:v>
      </x:c>
      <x:c r="L1560" s="9" t="n">
        <x:f>I1560*(1-0.40)-J1560</x:f>
        <x:v>0.6333333333333333</x:v>
      </x:c>
      <x:c r="M1560" s="9" t="n">
        <x:f>'Physical_Arcs'!S60</x:f>
        <x:v>1.5833333333333333</x:v>
      </x:c>
      <x:c r="N1560" s="9" t="n">
        <x:f>M1560*'Parameters'!$C$18</x:f>
        <x:v>0.31666666666666665</x:v>
      </x:c>
      <x:c r="O1560" s="9" t="n">
        <x:f>N1560*'Parameters'!$C$19</x:f>
        <x:v>0.3958333333333333</x:v>
      </x:c>
      <x:c r="P1560" s="9" t="n">
        <x:f>M1560*(1-0.40)-N1560</x:f>
        <x:v>0.6333333333333333</x:v>
      </x:c>
      <x:c r="Q1560" s="9" t="n">
        <x:f>'Physical_Arcs'!T60</x:f>
        <x:v>0.8055555555555556</x:v>
      </x:c>
      <x:c r="R1560" s="9" t="n">
        <x:f>Q1560*'Parameters'!$C$18</x:f>
        <x:v>0.16111111111111112</x:v>
      </x:c>
      <x:c r="S1560" s="9" t="n">
        <x:f>R1560*'Parameters'!$C$19</x:f>
        <x:v>0.2013888888888889</x:v>
      </x:c>
      <x:c r="T1560" s="9" t="n">
        <x:f>Q1560*(1-0.40)-R1560</x:f>
        <x:v>0.3222222222222222</x:v>
      </x:c>
    </x:row>
    <x:row r="1561" ht="21" customHeight="1">
      <x:c r="A1561" s="3" t="n">
        <x:v>25</x:v>
      </x:c>
      <x:c r="B1561" s="3" t="str">
        <x:v>04:10</x:v>
      </x:c>
      <x:c r="C1561" s="3" t="n">
        <x:v>5</x:v>
      </x:c>
      <x:c r="D1561" s="3" t="n">
        <x:v>60</x:v>
      </x:c>
      <x:c r="E1561" s="3" t="n">
        <x:v>10</x:v>
      </x:c>
      <x:c r="F1561" s="3" t="n">
        <x:v>9</x:v>
      </x:c>
      <x:c r="G1561" s="9" t="n">
        <x:v>0.1</x:v>
      </x:c>
      <x:c r="H1561" s="9" t="n">
        <x:v>1.092245</x:v>
      </x:c>
      <x:c r="I1561" s="9" t="n">
        <x:f>'Physical_Arcs'!R61</x:f>
        <x:v>10.333333333333334</x:v>
      </x:c>
      <x:c r="J1561" s="9" t="n">
        <x:f>I1561*'Parameters'!$C$18</x:f>
        <x:v>2.066666666666667</x:v>
      </x:c>
      <x:c r="K1561" s="9" t="n">
        <x:f>J1561*'Parameters'!$C$19</x:f>
        <x:v>2.5833333333333335</x:v>
      </x:c>
      <x:c r="L1561" s="9" t="n">
        <x:f>I1561*(1-0.40)-J1561</x:f>
        <x:v>4.133333333333333</x:v>
      </x:c>
      <x:c r="M1561" s="9" t="n">
        <x:f>'Physical_Arcs'!S61</x:f>
        <x:v>10.333333333333334</x:v>
      </x:c>
      <x:c r="N1561" s="9" t="n">
        <x:f>M1561*'Parameters'!$C$18</x:f>
        <x:v>2.066666666666667</x:v>
      </x:c>
      <x:c r="O1561" s="9" t="n">
        <x:f>N1561*'Parameters'!$C$19</x:f>
        <x:v>2.5833333333333335</x:v>
      </x:c>
      <x:c r="P1561" s="9" t="n">
        <x:f>M1561*(1-0.40)-N1561</x:f>
        <x:v>4.133333333333333</x:v>
      </x:c>
      <x:c r="Q1561" s="9" t="n">
        <x:f>'Physical_Arcs'!T61</x:f>
        <x:v>5.166666666666667</x:v>
      </x:c>
      <x:c r="R1561" s="9" t="n">
        <x:f>Q1561*'Parameters'!$C$18</x:f>
        <x:v>1.0333333333333334</x:v>
      </x:c>
      <x:c r="S1561" s="9" t="n">
        <x:f>R1561*'Parameters'!$C$19</x:f>
        <x:v>1.2916666666666667</x:v>
      </x:c>
      <x:c r="T1561" s="9" t="n">
        <x:f>Q1561*(1-0.40)-R1561</x:f>
        <x:v>2.0666666666666664</x:v>
      </x:c>
    </x:row>
    <x:row r="1562" ht="21" customHeight="1">
      <x:c r="A1562" s="3" t="n">
        <x:v>26</x:v>
      </x:c>
      <x:c r="B1562" s="3" t="str">
        <x:v>04:20</x:v>
      </x:c>
      <x:c r="C1562" s="3" t="n">
        <x:v>5</x:v>
      </x:c>
      <x:c r="D1562" s="3" t="n">
        <x:v>1</x:v>
      </x:c>
      <x:c r="E1562" s="3" t="n">
        <x:v>1</x:v>
      </x:c>
      <x:c r="F1562" s="3" t="n">
        <x:v>2</x:v>
      </x:c>
      <x:c r="G1562" s="9" t="n">
        <x:v>0.1</x:v>
      </x:c>
      <x:c r="H1562" s="9" t="n">
        <x:v>0.914787</x:v>
      </x:c>
      <x:c r="I1562" s="9" t="n">
        <x:f>'Physical_Arcs'!R2</x:f>
        <x:v>17.02777777777778</x:v>
      </x:c>
      <x:c r="J1562" s="9" t="n">
        <x:f>I1562*'Parameters'!$C$18</x:f>
        <x:v>3.405555555555556</x:v>
      </x:c>
      <x:c r="K1562" s="9" t="n">
        <x:f>J1562*'Parameters'!$C$19</x:f>
        <x:v>4.256944444444445</x:v>
      </x:c>
      <x:c r="L1562" s="9" t="n">
        <x:f>I1562*(1-0.40)-J1562</x:f>
        <x:v>6.811111111111111</x:v>
      </x:c>
      <x:c r="M1562" s="9" t="n">
        <x:f>'Physical_Arcs'!S2</x:f>
        <x:v>17.02777777777778</x:v>
      </x:c>
      <x:c r="N1562" s="9" t="n">
        <x:f>M1562*'Parameters'!$C$18</x:f>
        <x:v>3.405555555555556</x:v>
      </x:c>
      <x:c r="O1562" s="9" t="n">
        <x:f>N1562*'Parameters'!$C$19</x:f>
        <x:v>4.256944444444445</x:v>
      </x:c>
      <x:c r="P1562" s="9" t="n">
        <x:f>M1562*(1-0.40)-N1562</x:f>
        <x:v>6.811111111111111</x:v>
      </x:c>
      <x:c r="Q1562" s="9" t="n">
        <x:f>'Physical_Arcs'!T2</x:f>
        <x:v>17.02777777777778</x:v>
      </x:c>
      <x:c r="R1562" s="9" t="n">
        <x:f>Q1562*'Parameters'!$C$18</x:f>
        <x:v>3.405555555555556</x:v>
      </x:c>
      <x:c r="S1562" s="9" t="n">
        <x:f>R1562*'Parameters'!$C$19</x:f>
        <x:v>4.256944444444445</x:v>
      </x:c>
      <x:c r="T1562" s="9" t="n">
        <x:f>Q1562*(1-0.40)-R1562</x:f>
        <x:v>6.811111111111111</x:v>
      </x:c>
    </x:row>
    <x:row r="1563" ht="21" customHeight="1">
      <x:c r="A1563" s="3" t="n">
        <x:v>26</x:v>
      </x:c>
      <x:c r="B1563" s="3" t="str">
        <x:v>04:20</x:v>
      </x:c>
      <x:c r="C1563" s="3" t="n">
        <x:v>5</x:v>
      </x:c>
      <x:c r="D1563" s="3" t="n">
        <x:v>2</x:v>
      </x:c>
      <x:c r="E1563" s="3" t="n">
        <x:v>1</x:v>
      </x:c>
      <x:c r="F1563" s="3" t="n">
        <x:v>10</x:v>
      </x:c>
      <x:c r="G1563" s="9" t="n">
        <x:v>0.1</x:v>
      </x:c>
      <x:c r="H1563" s="9" t="n">
        <x:v>1.003995</x:v>
      </x:c>
      <x:c r="I1563" s="9" t="n">
        <x:f>'Physical_Arcs'!R3</x:f>
        <x:v>3.2777777777777777</x:v>
      </x:c>
      <x:c r="J1563" s="9" t="n">
        <x:f>I1563*'Parameters'!$C$18</x:f>
        <x:v>0.6555555555555556</x:v>
      </x:c>
      <x:c r="K1563" s="9" t="n">
        <x:f>J1563*'Parameters'!$C$19</x:f>
        <x:v>0.8194444444444444</x:v>
      </x:c>
      <x:c r="L1563" s="9" t="n">
        <x:f>I1563*(1-0.40)-J1563</x:f>
        <x:v>1.311111111111111</x:v>
      </x:c>
      <x:c r="M1563" s="9" t="n">
        <x:f>'Physical_Arcs'!S3</x:f>
        <x:v>3.2777777777777777</x:v>
      </x:c>
      <x:c r="N1563" s="9" t="n">
        <x:f>M1563*'Parameters'!$C$18</x:f>
        <x:v>0.6555555555555556</x:v>
      </x:c>
      <x:c r="O1563" s="9" t="n">
        <x:f>N1563*'Parameters'!$C$19</x:f>
        <x:v>0.8194444444444444</x:v>
      </x:c>
      <x:c r="P1563" s="9" t="n">
        <x:f>M1563*(1-0.40)-N1563</x:f>
        <x:v>1.311111111111111</x:v>
      </x:c>
      <x:c r="Q1563" s="9" t="n">
        <x:f>'Physical_Arcs'!T3</x:f>
        <x:v>1.6388888888888888</x:v>
      </x:c>
      <x:c r="R1563" s="9" t="n">
        <x:f>Q1563*'Parameters'!$C$18</x:f>
        <x:v>0.3277777777777778</x:v>
      </x:c>
      <x:c r="S1563" s="9" t="n">
        <x:f>R1563*'Parameters'!$C$19</x:f>
        <x:v>0.4097222222222222</x:v>
      </x:c>
      <x:c r="T1563" s="9" t="n">
        <x:f>Q1563*(1-0.40)-R1563</x:f>
        <x:v>0.6555555555555554</x:v>
      </x:c>
    </x:row>
    <x:row r="1564" ht="21" customHeight="1">
      <x:c r="A1564" s="3" t="n">
        <x:v>26</x:v>
      </x:c>
      <x:c r="B1564" s="3" t="str">
        <x:v>04:20</x:v>
      </x:c>
      <x:c r="C1564" s="3" t="n">
        <x:v>5</x:v>
      </x:c>
      <x:c r="D1564" s="3" t="n">
        <x:v>3</x:v>
      </x:c>
      <x:c r="E1564" s="3" t="n">
        <x:v>1</x:v>
      </x:c>
      <x:c r="F1564" s="3" t="n">
        <x:v>8</x:v>
      </x:c>
      <x:c r="G1564" s="9" t="n">
        <x:v>0.1</x:v>
      </x:c>
      <x:c r="H1564" s="9" t="n">
        <x:v>0.923863</x:v>
      </x:c>
      <x:c r="I1564" s="9" t="n">
        <x:f>'Physical_Arcs'!R4</x:f>
        <x:v>6.083333333333333</x:v>
      </x:c>
      <x:c r="J1564" s="9" t="n">
        <x:f>I1564*'Parameters'!$C$18</x:f>
        <x:v>1.2166666666666668</x:v>
      </x:c>
      <x:c r="K1564" s="9" t="n">
        <x:f>J1564*'Parameters'!$C$19</x:f>
        <x:v>1.5208333333333335</x:v>
      </x:c>
      <x:c r="L1564" s="9" t="n">
        <x:f>I1564*(1-0.40)-J1564</x:f>
        <x:v>2.4333333333333327</x:v>
      </x:c>
      <x:c r="M1564" s="9" t="n">
        <x:f>'Physical_Arcs'!S4</x:f>
        <x:v>6.083333333333333</x:v>
      </x:c>
      <x:c r="N1564" s="9" t="n">
        <x:f>M1564*'Parameters'!$C$18</x:f>
        <x:v>1.2166666666666668</x:v>
      </x:c>
      <x:c r="O1564" s="9" t="n">
        <x:f>N1564*'Parameters'!$C$19</x:f>
        <x:v>1.5208333333333335</x:v>
      </x:c>
      <x:c r="P1564" s="9" t="n">
        <x:f>M1564*(1-0.40)-N1564</x:f>
        <x:v>2.4333333333333327</x:v>
      </x:c>
      <x:c r="Q1564" s="9" t="n">
        <x:f>'Physical_Arcs'!T4</x:f>
        <x:v>3.0555555555555554</x:v>
      </x:c>
      <x:c r="R1564" s="9" t="n">
        <x:f>Q1564*'Parameters'!$C$18</x:f>
        <x:v>0.6111111111111112</x:v>
      </x:c>
      <x:c r="S1564" s="9" t="n">
        <x:f>R1564*'Parameters'!$C$19</x:f>
        <x:v>0.763888888888889</x:v>
      </x:c>
      <x:c r="T1564" s="9" t="n">
        <x:f>Q1564*(1-0.40)-R1564</x:f>
        <x:v>1.2222222222222219</x:v>
      </x:c>
    </x:row>
    <x:row r="1565" ht="21" customHeight="1">
      <x:c r="A1565" s="3" t="n">
        <x:v>26</x:v>
      </x:c>
      <x:c r="B1565" s="3" t="str">
        <x:v>04:20</x:v>
      </x:c>
      <x:c r="C1565" s="3" t="n">
        <x:v>5</x:v>
      </x:c>
      <x:c r="D1565" s="3" t="n">
        <x:v>4</x:v>
      </x:c>
      <x:c r="E1565" s="3" t="n">
        <x:v>1</x:v>
      </x:c>
      <x:c r="F1565" s="3" t="n">
        <x:v>7</x:v>
      </x:c>
      <x:c r="G1565" s="9" t="n">
        <x:v>0.1</x:v>
      </x:c>
      <x:c r="H1565" s="9" t="n">
        <x:v>1.111072</x:v>
      </x:c>
      <x:c r="I1565" s="9" t="n">
        <x:f>'Physical_Arcs'!R5</x:f>
        <x:v>9</x:v>
      </x:c>
      <x:c r="J1565" s="9" t="n">
        <x:f>I1565*'Parameters'!$C$18</x:f>
        <x:v>1.8</x:v>
      </x:c>
      <x:c r="K1565" s="9" t="n">
        <x:f>J1565*'Parameters'!$C$19</x:f>
        <x:v>2.25</x:v>
      </x:c>
      <x:c r="L1565" s="9" t="n">
        <x:f>I1565*(1-0.40)-J1565</x:f>
        <x:v>3.5999999999999996</x:v>
      </x:c>
      <x:c r="M1565" s="9" t="n">
        <x:f>'Physical_Arcs'!S5</x:f>
        <x:v>9</x:v>
      </x:c>
      <x:c r="N1565" s="9" t="n">
        <x:f>M1565*'Parameters'!$C$18</x:f>
        <x:v>1.8</x:v>
      </x:c>
      <x:c r="O1565" s="9" t="n">
        <x:f>N1565*'Parameters'!$C$19</x:f>
        <x:v>2.25</x:v>
      </x:c>
      <x:c r="P1565" s="9" t="n">
        <x:f>M1565*(1-0.40)-N1565</x:f>
        <x:v>3.5999999999999996</x:v>
      </x:c>
      <x:c r="Q1565" s="9" t="n">
        <x:f>'Physical_Arcs'!T5</x:f>
        <x:v>4.5</x:v>
      </x:c>
      <x:c r="R1565" s="9" t="n">
        <x:f>Q1565*'Parameters'!$C$18</x:f>
        <x:v>0.9</x:v>
      </x:c>
      <x:c r="S1565" s="9" t="n">
        <x:f>R1565*'Parameters'!$C$19</x:f>
        <x:v>1.125</x:v>
      </x:c>
      <x:c r="T1565" s="9" t="n">
        <x:f>Q1565*(1-0.40)-R1565</x:f>
        <x:v>1.7999999999999998</x:v>
      </x:c>
    </x:row>
    <x:row r="1566" ht="21" customHeight="1">
      <x:c r="A1566" s="3" t="n">
        <x:v>26</x:v>
      </x:c>
      <x:c r="B1566" s="3" t="str">
        <x:v>04:20</x:v>
      </x:c>
      <x:c r="C1566" s="3" t="n">
        <x:v>5</x:v>
      </x:c>
      <x:c r="D1566" s="3" t="n">
        <x:v>5</x:v>
      </x:c>
      <x:c r="E1566" s="3" t="n">
        <x:v>1</x:v>
      </x:c>
      <x:c r="F1566" s="3" t="n">
        <x:v>4</x:v>
      </x:c>
      <x:c r="G1566" s="9" t="n">
        <x:v>0.1</x:v>
      </x:c>
      <x:c r="H1566" s="9" t="n">
        <x:v>1.001665</x:v>
      </x:c>
      <x:c r="I1566" s="9" t="n">
        <x:f>'Physical_Arcs'!R6</x:f>
        <x:v>4.166666666666667</x:v>
      </x:c>
      <x:c r="J1566" s="9" t="n">
        <x:f>I1566*'Parameters'!$C$18</x:f>
        <x:v>0.8333333333333335</x:v>
      </x:c>
      <x:c r="K1566" s="9" t="n">
        <x:f>J1566*'Parameters'!$C$19</x:f>
        <x:v>1.041666666666667</x:v>
      </x:c>
      <x:c r="L1566" s="9" t="n">
        <x:f>I1566*(1-0.40)-J1566</x:f>
        <x:v>1.6666666666666665</x:v>
      </x:c>
      <x:c r="M1566" s="9" t="n">
        <x:f>'Physical_Arcs'!S6</x:f>
        <x:v>4.166666666666667</x:v>
      </x:c>
      <x:c r="N1566" s="9" t="n">
        <x:f>M1566*'Parameters'!$C$18</x:f>
        <x:v>0.8333333333333335</x:v>
      </x:c>
      <x:c r="O1566" s="9" t="n">
        <x:f>N1566*'Parameters'!$C$19</x:f>
        <x:v>1.041666666666667</x:v>
      </x:c>
      <x:c r="P1566" s="9" t="n">
        <x:f>M1566*(1-0.40)-N1566</x:f>
        <x:v>1.6666666666666665</x:v>
      </x:c>
      <x:c r="Q1566" s="9" t="n">
        <x:f>'Physical_Arcs'!T6</x:f>
        <x:v>2.0833333333333335</x:v>
      </x:c>
      <x:c r="R1566" s="9" t="n">
        <x:f>Q1566*'Parameters'!$C$18</x:f>
        <x:v>0.41666666666666674</x:v>
      </x:c>
      <x:c r="S1566" s="9" t="n">
        <x:f>R1566*'Parameters'!$C$19</x:f>
        <x:v>0.5208333333333335</x:v>
      </x:c>
      <x:c r="T1566" s="9" t="n">
        <x:f>Q1566*(1-0.40)-R1566</x:f>
        <x:v>0.8333333333333333</x:v>
      </x:c>
    </x:row>
    <x:row r="1567" ht="21" customHeight="1">
      <x:c r="A1567" s="3" t="n">
        <x:v>26</x:v>
      </x:c>
      <x:c r="B1567" s="3" t="str">
        <x:v>04:20</x:v>
      </x:c>
      <x:c r="C1567" s="3" t="n">
        <x:v>5</x:v>
      </x:c>
      <x:c r="D1567" s="3" t="n">
        <x:v>6</x:v>
      </x:c>
      <x:c r="E1567" s="3" t="n">
        <x:v>1</x:v>
      </x:c>
      <x:c r="F1567" s="3" t="n">
        <x:v>9</x:v>
      </x:c>
      <x:c r="G1567" s="9" t="n">
        <x:v>0.1</x:v>
      </x:c>
      <x:c r="H1567" s="9" t="n">
        <x:v>0.942884</x:v>
      </x:c>
      <x:c r="I1567" s="9" t="n">
        <x:f>'Physical_Arcs'!R7</x:f>
        <x:v>11.027777777777779</x:v>
      </x:c>
      <x:c r="J1567" s="9" t="n">
        <x:f>I1567*'Parameters'!$C$18</x:f>
        <x:v>2.2055555555555557</x:v>
      </x:c>
      <x:c r="K1567" s="9" t="n">
        <x:f>J1567*'Parameters'!$C$19</x:f>
        <x:v>2.7569444444444446</x:v>
      </x:c>
      <x:c r="L1567" s="9" t="n">
        <x:f>I1567*(1-0.40)-J1567</x:f>
        <x:v>4.411111111111111</x:v>
      </x:c>
      <x:c r="M1567" s="9" t="n">
        <x:f>'Physical_Arcs'!S7</x:f>
        <x:v>11.027777777777779</x:v>
      </x:c>
      <x:c r="N1567" s="9" t="n">
        <x:f>M1567*'Parameters'!$C$18</x:f>
        <x:v>2.2055555555555557</x:v>
      </x:c>
      <x:c r="O1567" s="9" t="n">
        <x:f>N1567*'Parameters'!$C$19</x:f>
        <x:v>2.7569444444444446</x:v>
      </x:c>
      <x:c r="P1567" s="9" t="n">
        <x:f>M1567*(1-0.40)-N1567</x:f>
        <x:v>4.411111111111111</x:v>
      </x:c>
      <x:c r="Q1567" s="9" t="n">
        <x:f>'Physical_Arcs'!T7</x:f>
        <x:v>5.527777777777778</x:v>
      </x:c>
      <x:c r="R1567" s="9" t="n">
        <x:f>Q1567*'Parameters'!$C$18</x:f>
        <x:v>1.1055555555555556</x:v>
      </x:c>
      <x:c r="S1567" s="9" t="n">
        <x:f>R1567*'Parameters'!$C$19</x:f>
        <x:v>1.3819444444444446</x:v>
      </x:c>
      <x:c r="T1567" s="9" t="n">
        <x:f>Q1567*(1-0.40)-R1567</x:f>
        <x:v>2.211111111111111</x:v>
      </x:c>
    </x:row>
    <x:row r="1568" ht="21" customHeight="1">
      <x:c r="A1568" s="3" t="n">
        <x:v>26</x:v>
      </x:c>
      <x:c r="B1568" s="3" t="str">
        <x:v>04:20</x:v>
      </x:c>
      <x:c r="C1568" s="3" t="n">
        <x:v>5</x:v>
      </x:c>
      <x:c r="D1568" s="3" t="n">
        <x:v>7</x:v>
      </x:c>
      <x:c r="E1568" s="3" t="n">
        <x:v>1</x:v>
      </x:c>
      <x:c r="F1568" s="3" t="n">
        <x:v>5</x:v>
      </x:c>
      <x:c r="G1568" s="9" t="n">
        <x:v>0.1</x:v>
      </x:c>
      <x:c r="H1568" s="9" t="n">
        <x:v>1.038222</x:v>
      </x:c>
      <x:c r="I1568" s="9" t="n">
        <x:f>'Physical_Arcs'!R8</x:f>
        <x:v>7.972222222222222</x:v>
      </x:c>
      <x:c r="J1568" s="9" t="n">
        <x:f>I1568*'Parameters'!$C$18</x:f>
        <x:v>1.5944444444444446</x:v>
      </x:c>
      <x:c r="K1568" s="9" t="n">
        <x:f>J1568*'Parameters'!$C$19</x:f>
        <x:v>1.9930555555555558</x:v>
      </x:c>
      <x:c r="L1568" s="9" t="n">
        <x:f>I1568*(1-0.40)-J1568</x:f>
        <x:v>3.1888888888888887</x:v>
      </x:c>
      <x:c r="M1568" s="9" t="n">
        <x:f>'Physical_Arcs'!S8</x:f>
        <x:v>7.972222222222222</x:v>
      </x:c>
      <x:c r="N1568" s="9" t="n">
        <x:f>M1568*'Parameters'!$C$18</x:f>
        <x:v>1.5944444444444446</x:v>
      </x:c>
      <x:c r="O1568" s="9" t="n">
        <x:f>N1568*'Parameters'!$C$19</x:f>
        <x:v>1.9930555555555558</x:v>
      </x:c>
      <x:c r="P1568" s="9" t="n">
        <x:f>M1568*(1-0.40)-N1568</x:f>
        <x:v>3.1888888888888887</x:v>
      </x:c>
      <x:c r="Q1568" s="9" t="n">
        <x:f>'Physical_Arcs'!T8</x:f>
        <x:v>4</x:v>
      </x:c>
      <x:c r="R1568" s="9" t="n">
        <x:f>Q1568*'Parameters'!$C$18</x:f>
        <x:v>0.8</x:v>
      </x:c>
      <x:c r="S1568" s="9" t="n">
        <x:f>R1568*'Parameters'!$C$19</x:f>
        <x:v>1</x:v>
      </x:c>
      <x:c r="T1568" s="9" t="n">
        <x:f>Q1568*(1-0.40)-R1568</x:f>
        <x:v>1.5999999999999999</x:v>
      </x:c>
    </x:row>
    <x:row r="1569" ht="21" customHeight="1">
      <x:c r="A1569" s="3" t="n">
        <x:v>26</x:v>
      </x:c>
      <x:c r="B1569" s="3" t="str">
        <x:v>04:20</x:v>
      </x:c>
      <x:c r="C1569" s="3" t="n">
        <x:v>5</x:v>
      </x:c>
      <x:c r="D1569" s="3" t="n">
        <x:v>8</x:v>
      </x:c>
      <x:c r="E1569" s="3" t="n">
        <x:v>1</x:v>
      </x:c>
      <x:c r="F1569" s="3" t="n">
        <x:v>3</x:v>
      </x:c>
      <x:c r="G1569" s="9" t="n">
        <x:v>0.1</x:v>
      </x:c>
      <x:c r="H1569" s="9" t="n">
        <x:v>1.122297</x:v>
      </x:c>
      <x:c r="I1569" s="9" t="n">
        <x:f>'Physical_Arcs'!R9</x:f>
        <x:v>4.166666666666667</x:v>
      </x:c>
      <x:c r="J1569" s="9" t="n">
        <x:f>I1569*'Parameters'!$C$18</x:f>
        <x:v>0.8333333333333335</x:v>
      </x:c>
      <x:c r="K1569" s="9" t="n">
        <x:f>J1569*'Parameters'!$C$19</x:f>
        <x:v>1.041666666666667</x:v>
      </x:c>
      <x:c r="L1569" s="9" t="n">
        <x:f>I1569*(1-0.40)-J1569</x:f>
        <x:v>1.6666666666666665</x:v>
      </x:c>
      <x:c r="M1569" s="9" t="n">
        <x:f>'Physical_Arcs'!S9</x:f>
        <x:v>4.166666666666667</x:v>
      </x:c>
      <x:c r="N1569" s="9" t="n">
        <x:f>M1569*'Parameters'!$C$18</x:f>
        <x:v>0.8333333333333335</x:v>
      </x:c>
      <x:c r="O1569" s="9" t="n">
        <x:f>N1569*'Parameters'!$C$19</x:f>
        <x:v>1.041666666666667</x:v>
      </x:c>
      <x:c r="P1569" s="9" t="n">
        <x:f>M1569*(1-0.40)-N1569</x:f>
        <x:v>1.6666666666666665</x:v>
      </x:c>
      <x:c r="Q1569" s="9" t="n">
        <x:f>'Physical_Arcs'!T9</x:f>
        <x:v>2.0833333333333335</x:v>
      </x:c>
      <x:c r="R1569" s="9" t="n">
        <x:f>Q1569*'Parameters'!$C$18</x:f>
        <x:v>0.41666666666666674</x:v>
      </x:c>
      <x:c r="S1569" s="9" t="n">
        <x:f>R1569*'Parameters'!$C$19</x:f>
        <x:v>0.5208333333333335</x:v>
      </x:c>
      <x:c r="T1569" s="9" t="n">
        <x:f>Q1569*(1-0.40)-R1569</x:f>
        <x:v>0.8333333333333333</x:v>
      </x:c>
    </x:row>
    <x:row r="1570" ht="21" customHeight="1">
      <x:c r="A1570" s="3" t="n">
        <x:v>26</x:v>
      </x:c>
      <x:c r="B1570" s="3" t="str">
        <x:v>04:20</x:v>
      </x:c>
      <x:c r="C1570" s="3" t="n">
        <x:v>5</x:v>
      </x:c>
      <x:c r="D1570" s="3" t="n">
        <x:v>9</x:v>
      </x:c>
      <x:c r="E1570" s="3" t="n">
        <x:v>1</x:v>
      </x:c>
      <x:c r="F1570" s="3" t="n">
        <x:v>6</x:v>
      </x:c>
      <x:c r="G1570" s="9" t="n">
        <x:v>0.1</x:v>
      </x:c>
      <x:c r="H1570" s="9" t="n">
        <x:v>1.132682</x:v>
      </x:c>
      <x:c r="I1570" s="9" t="n">
        <x:f>'Physical_Arcs'!R10</x:f>
        <x:v>2.138888888888889</x:v>
      </x:c>
      <x:c r="J1570" s="9" t="n">
        <x:f>I1570*'Parameters'!$C$18</x:f>
        <x:v>0.4277777777777778</x:v>
      </x:c>
      <x:c r="K1570" s="9" t="n">
        <x:f>J1570*'Parameters'!$C$19</x:f>
        <x:v>0.5347222222222223</x:v>
      </x:c>
      <x:c r="L1570" s="9" t="n">
        <x:f>I1570*(1-0.40)-J1570</x:f>
        <x:v>0.8555555555555554</x:v>
      </x:c>
      <x:c r="M1570" s="9" t="n">
        <x:f>'Physical_Arcs'!S10</x:f>
        <x:v>2.138888888888889</x:v>
      </x:c>
      <x:c r="N1570" s="9" t="n">
        <x:f>M1570*'Parameters'!$C$18</x:f>
        <x:v>0.4277777777777778</x:v>
      </x:c>
      <x:c r="O1570" s="9" t="n">
        <x:f>N1570*'Parameters'!$C$19</x:f>
        <x:v>0.5347222222222223</x:v>
      </x:c>
      <x:c r="P1570" s="9" t="n">
        <x:f>M1570*(1-0.40)-N1570</x:f>
        <x:v>0.8555555555555554</x:v>
      </x:c>
      <x:c r="Q1570" s="9" t="n">
        <x:f>'Physical_Arcs'!T10</x:f>
        <x:v>1.0833333333333333</x:v>
      </x:c>
      <x:c r="R1570" s="9" t="n">
        <x:f>Q1570*'Parameters'!$C$18</x:f>
        <x:v>0.21666666666666667</x:v>
      </x:c>
      <x:c r="S1570" s="9" t="n">
        <x:f>R1570*'Parameters'!$C$19</x:f>
        <x:v>0.27083333333333337</x:v>
      </x:c>
      <x:c r="T1570" s="9" t="n">
        <x:f>Q1570*(1-0.40)-R1570</x:f>
        <x:v>0.43333333333333324</x:v>
      </x:c>
    </x:row>
    <x:row r="1571" ht="21" customHeight="1">
      <x:c r="A1571" s="3" t="n">
        <x:v>26</x:v>
      </x:c>
      <x:c r="B1571" s="3" t="str">
        <x:v>04:20</x:v>
      </x:c>
      <x:c r="C1571" s="3" t="n">
        <x:v>5</x:v>
      </x:c>
      <x:c r="D1571" s="3" t="n">
        <x:v>10</x:v>
      </x:c>
      <x:c r="E1571" s="3" t="n">
        <x:v>2</x:v>
      </x:c>
      <x:c r="F1571" s="3" t="n">
        <x:v>3</x:v>
      </x:c>
      <x:c r="G1571" s="9" t="n">
        <x:v>0.1</x:v>
      </x:c>
      <x:c r="H1571" s="9" t="n">
        <x:v>0.871154</x:v>
      </x:c>
      <x:c r="I1571" s="9" t="n">
        <x:f>'Physical_Arcs'!R11</x:f>
        <x:v>17.02777777777778</x:v>
      </x:c>
      <x:c r="J1571" s="9" t="n">
        <x:f>I1571*'Parameters'!$C$18</x:f>
        <x:v>3.405555555555556</x:v>
      </x:c>
      <x:c r="K1571" s="9" t="n">
        <x:f>J1571*'Parameters'!$C$19</x:f>
        <x:v>4.256944444444445</x:v>
      </x:c>
      <x:c r="L1571" s="9" t="n">
        <x:f>I1571*(1-0.40)-J1571</x:f>
        <x:v>6.811111111111111</x:v>
      </x:c>
      <x:c r="M1571" s="9" t="n">
        <x:f>'Physical_Arcs'!S11</x:f>
        <x:v>17.02777777777778</x:v>
      </x:c>
      <x:c r="N1571" s="9" t="n">
        <x:f>M1571*'Parameters'!$C$18</x:f>
        <x:v>3.405555555555556</x:v>
      </x:c>
      <x:c r="O1571" s="9" t="n">
        <x:f>N1571*'Parameters'!$C$19</x:f>
        <x:v>4.256944444444445</x:v>
      </x:c>
      <x:c r="P1571" s="9" t="n">
        <x:f>M1571*(1-0.40)-N1571</x:f>
        <x:v>6.811111111111111</x:v>
      </x:c>
      <x:c r="Q1571" s="9" t="n">
        <x:f>'Physical_Arcs'!T11</x:f>
        <x:v>17.02777777777778</x:v>
      </x:c>
      <x:c r="R1571" s="9" t="n">
        <x:f>Q1571*'Parameters'!$C$18</x:f>
        <x:v>3.405555555555556</x:v>
      </x:c>
      <x:c r="S1571" s="9" t="n">
        <x:f>R1571*'Parameters'!$C$19</x:f>
        <x:v>4.256944444444445</x:v>
      </x:c>
      <x:c r="T1571" s="9" t="n">
        <x:f>Q1571*(1-0.40)-R1571</x:f>
        <x:v>6.811111111111111</x:v>
      </x:c>
    </x:row>
    <x:row r="1572" ht="21" customHeight="1">
      <x:c r="A1572" s="3" t="n">
        <x:v>26</x:v>
      </x:c>
      <x:c r="B1572" s="3" t="str">
        <x:v>04:20</x:v>
      </x:c>
      <x:c r="C1572" s="3" t="n">
        <x:v>5</x:v>
      </x:c>
      <x:c r="D1572" s="3" t="n">
        <x:v>11</x:v>
      </x:c>
      <x:c r="E1572" s="3" t="n">
        <x:v>2</x:v>
      </x:c>
      <x:c r="F1572" s="3" t="n">
        <x:v>4</x:v>
      </x:c>
      <x:c r="G1572" s="9" t="n">
        <x:v>0.1</x:v>
      </x:c>
      <x:c r="H1572" s="9" t="n">
        <x:v>1.147412</x:v>
      </x:c>
      <x:c r="I1572" s="9" t="n">
        <x:f>'Physical_Arcs'!R12</x:f>
        <x:v>7.972222222222222</x:v>
      </x:c>
      <x:c r="J1572" s="9" t="n">
        <x:f>I1572*'Parameters'!$C$18</x:f>
        <x:v>1.5944444444444446</x:v>
      </x:c>
      <x:c r="K1572" s="9" t="n">
        <x:f>J1572*'Parameters'!$C$19</x:f>
        <x:v>1.9930555555555558</x:v>
      </x:c>
      <x:c r="L1572" s="9" t="n">
        <x:f>I1572*(1-0.40)-J1572</x:f>
        <x:v>3.1888888888888887</x:v>
      </x:c>
      <x:c r="M1572" s="9" t="n">
        <x:f>'Physical_Arcs'!S12</x:f>
        <x:v>7.972222222222222</x:v>
      </x:c>
      <x:c r="N1572" s="9" t="n">
        <x:f>M1572*'Parameters'!$C$18</x:f>
        <x:v>1.5944444444444446</x:v>
      </x:c>
      <x:c r="O1572" s="9" t="n">
        <x:f>N1572*'Parameters'!$C$19</x:f>
        <x:v>1.9930555555555558</x:v>
      </x:c>
      <x:c r="P1572" s="9" t="n">
        <x:f>M1572*(1-0.40)-N1572</x:f>
        <x:v>3.1888888888888887</x:v>
      </x:c>
      <x:c r="Q1572" s="9" t="n">
        <x:f>'Physical_Arcs'!T12</x:f>
        <x:v>4</x:v>
      </x:c>
      <x:c r="R1572" s="9" t="n">
        <x:f>Q1572*'Parameters'!$C$18</x:f>
        <x:v>0.8</x:v>
      </x:c>
      <x:c r="S1572" s="9" t="n">
        <x:f>R1572*'Parameters'!$C$19</x:f>
        <x:v>1</x:v>
      </x:c>
      <x:c r="T1572" s="9" t="n">
        <x:f>Q1572*(1-0.40)-R1572</x:f>
        <x:v>1.5999999999999999</x:v>
      </x:c>
    </x:row>
    <x:row r="1573" ht="21" customHeight="1">
      <x:c r="A1573" s="3" t="n">
        <x:v>26</x:v>
      </x:c>
      <x:c r="B1573" s="3" t="str">
        <x:v>04:20</x:v>
      </x:c>
      <x:c r="C1573" s="3" t="n">
        <x:v>5</x:v>
      </x:c>
      <x:c r="D1573" s="3" t="n">
        <x:v>12</x:v>
      </x:c>
      <x:c r="E1573" s="3" t="n">
        <x:v>2</x:v>
      </x:c>
      <x:c r="F1573" s="3" t="n">
        <x:v>7</x:v>
      </x:c>
      <x:c r="G1573" s="9" t="n">
        <x:v>0.1</x:v>
      </x:c>
      <x:c r="H1573" s="9" t="n">
        <x:v>0.96729</x:v>
      </x:c>
      <x:c r="I1573" s="9" t="n">
        <x:f>'Physical_Arcs'!R13</x:f>
        <x:v>4.611111111111111</x:v>
      </x:c>
      <x:c r="J1573" s="9" t="n">
        <x:f>I1573*'Parameters'!$C$18</x:f>
        <x:v>0.9222222222222222</x:v>
      </x:c>
      <x:c r="K1573" s="9" t="n">
        <x:f>J1573*'Parameters'!$C$19</x:f>
        <x:v>1.1527777777777777</x:v>
      </x:c>
      <x:c r="L1573" s="9" t="n">
        <x:f>I1573*(1-0.40)-J1573</x:f>
        <x:v>1.844444444444444</x:v>
      </x:c>
      <x:c r="M1573" s="9" t="n">
        <x:f>'Physical_Arcs'!S13</x:f>
        <x:v>4.611111111111111</x:v>
      </x:c>
      <x:c r="N1573" s="9" t="n">
        <x:f>M1573*'Parameters'!$C$18</x:f>
        <x:v>0.9222222222222222</x:v>
      </x:c>
      <x:c r="O1573" s="9" t="n">
        <x:f>N1573*'Parameters'!$C$19</x:f>
        <x:v>1.1527777777777777</x:v>
      </x:c>
      <x:c r="P1573" s="9" t="n">
        <x:f>M1573*(1-0.40)-N1573</x:f>
        <x:v>1.844444444444444</x:v>
      </x:c>
      <x:c r="Q1573" s="9" t="n">
        <x:f>'Physical_Arcs'!T13</x:f>
        <x:v>2.3055555555555554</x:v>
      </x:c>
      <x:c r="R1573" s="9" t="n">
        <x:f>Q1573*'Parameters'!$C$18</x:f>
        <x:v>0.4611111111111111</x:v>
      </x:c>
      <x:c r="S1573" s="9" t="n">
        <x:f>R1573*'Parameters'!$C$19</x:f>
        <x:v>0.5763888888888888</x:v>
      </x:c>
      <x:c r="T1573" s="9" t="n">
        <x:f>Q1573*(1-0.40)-R1573</x:f>
        <x:v>0.922222222222222</x:v>
      </x:c>
    </x:row>
    <x:row r="1574" ht="21" customHeight="1">
      <x:c r="A1574" s="3" t="n">
        <x:v>26</x:v>
      </x:c>
      <x:c r="B1574" s="3" t="str">
        <x:v>04:20</x:v>
      </x:c>
      <x:c r="C1574" s="3" t="n">
        <x:v>5</x:v>
      </x:c>
      <x:c r="D1574" s="3" t="n">
        <x:v>13</x:v>
      </x:c>
      <x:c r="E1574" s="3" t="n">
        <x:v>2</x:v>
      </x:c>
      <x:c r="F1574" s="3" t="n">
        <x:v>9</x:v>
      </x:c>
      <x:c r="G1574" s="9" t="n">
        <x:v>0.1</x:v>
      </x:c>
      <x:c r="H1574" s="9" t="n">
        <x:v>1.117625</x:v>
      </x:c>
      <x:c r="I1574" s="9" t="n">
        <x:f>'Physical_Arcs'!R14</x:f>
        <x:v>8.666666666666666</x:v>
      </x:c>
      <x:c r="J1574" s="9" t="n">
        <x:f>I1574*'Parameters'!$C$18</x:f>
        <x:v>1.7333333333333334</x:v>
      </x:c>
      <x:c r="K1574" s="9" t="n">
        <x:f>J1574*'Parameters'!$C$19</x:f>
        <x:v>2.166666666666667</x:v>
      </x:c>
      <x:c r="L1574" s="9" t="n">
        <x:f>I1574*(1-0.40)-J1574</x:f>
        <x:v>3.466666666666666</x:v>
      </x:c>
      <x:c r="M1574" s="9" t="n">
        <x:f>'Physical_Arcs'!S14</x:f>
        <x:v>8.666666666666666</x:v>
      </x:c>
      <x:c r="N1574" s="9" t="n">
        <x:f>M1574*'Parameters'!$C$18</x:f>
        <x:v>1.7333333333333334</x:v>
      </x:c>
      <x:c r="O1574" s="9" t="n">
        <x:f>N1574*'Parameters'!$C$19</x:f>
        <x:v>2.166666666666667</x:v>
      </x:c>
      <x:c r="P1574" s="9" t="n">
        <x:f>M1574*(1-0.40)-N1574</x:f>
        <x:v>3.466666666666666</x:v>
      </x:c>
      <x:c r="Q1574" s="9" t="n">
        <x:f>'Physical_Arcs'!T14</x:f>
        <x:v>4.333333333333333</x:v>
      </x:c>
      <x:c r="R1574" s="9" t="n">
        <x:f>Q1574*'Parameters'!$C$18</x:f>
        <x:v>0.8666666666666667</x:v>
      </x:c>
      <x:c r="S1574" s="9" t="n">
        <x:f>R1574*'Parameters'!$C$19</x:f>
        <x:v>1.0833333333333335</x:v>
      </x:c>
      <x:c r="T1574" s="9" t="n">
        <x:f>Q1574*(1-0.40)-R1574</x:f>
        <x:v>1.733333333333333</x:v>
      </x:c>
    </x:row>
    <x:row r="1575" ht="21" customHeight="1">
      <x:c r="A1575" s="3" t="n">
        <x:v>26</x:v>
      </x:c>
      <x:c r="B1575" s="3" t="str">
        <x:v>04:20</x:v>
      </x:c>
      <x:c r="C1575" s="3" t="n">
        <x:v>5</x:v>
      </x:c>
      <x:c r="D1575" s="3" t="n">
        <x:v>14</x:v>
      </x:c>
      <x:c r="E1575" s="3" t="n">
        <x:v>2</x:v>
      </x:c>
      <x:c r="F1575" s="3" t="n">
        <x:v>8</x:v>
      </x:c>
      <x:c r="G1575" s="9" t="n">
        <x:v>0.1</x:v>
      </x:c>
      <x:c r="H1575" s="9" t="n">
        <x:v>1.144902</x:v>
      </x:c>
      <x:c r="I1575" s="9" t="n">
        <x:f>'Physical_Arcs'!R15</x:f>
        <x:v>7.75</x:v>
      </x:c>
      <x:c r="J1575" s="9" t="n">
        <x:f>I1575*'Parameters'!$C$18</x:f>
        <x:v>1.55</x:v>
      </x:c>
      <x:c r="K1575" s="9" t="n">
        <x:f>J1575*'Parameters'!$C$19</x:f>
        <x:v>1.9375</x:v>
      </x:c>
      <x:c r="L1575" s="9" t="n">
        <x:f>I1575*(1-0.40)-J1575</x:f>
        <x:v>3.0999999999999996</x:v>
      </x:c>
      <x:c r="M1575" s="9" t="n">
        <x:f>'Physical_Arcs'!S15</x:f>
        <x:v>7.75</x:v>
      </x:c>
      <x:c r="N1575" s="9" t="n">
        <x:f>M1575*'Parameters'!$C$18</x:f>
        <x:v>1.55</x:v>
      </x:c>
      <x:c r="O1575" s="9" t="n">
        <x:f>N1575*'Parameters'!$C$19</x:f>
        <x:v>1.9375</x:v>
      </x:c>
      <x:c r="P1575" s="9" t="n">
        <x:f>M1575*(1-0.40)-N1575</x:f>
        <x:v>3.0999999999999996</x:v>
      </x:c>
      <x:c r="Q1575" s="9" t="n">
        <x:f>'Physical_Arcs'!T15</x:f>
        <x:v>3.888888888888889</x:v>
      </x:c>
      <x:c r="R1575" s="9" t="n">
        <x:f>Q1575*'Parameters'!$C$18</x:f>
        <x:v>0.7777777777777778</x:v>
      </x:c>
      <x:c r="S1575" s="9" t="n">
        <x:f>R1575*'Parameters'!$C$19</x:f>
        <x:v>0.9722222222222222</x:v>
      </x:c>
      <x:c r="T1575" s="9" t="n">
        <x:f>Q1575*(1-0.40)-R1575</x:f>
        <x:v>1.5555555555555554</x:v>
      </x:c>
    </x:row>
    <x:row r="1576" ht="21" customHeight="1">
      <x:c r="A1576" s="3" t="n">
        <x:v>26</x:v>
      </x:c>
      <x:c r="B1576" s="3" t="str">
        <x:v>04:20</x:v>
      </x:c>
      <x:c r="C1576" s="3" t="n">
        <x:v>5</x:v>
      </x:c>
      <x:c r="D1576" s="3" t="n">
        <x:v>15</x:v>
      </x:c>
      <x:c r="E1576" s="3" t="n">
        <x:v>2</x:v>
      </x:c>
      <x:c r="F1576" s="3" t="n">
        <x:v>10</x:v>
      </x:c>
      <x:c r="G1576" s="9" t="n">
        <x:v>0.1</x:v>
      </x:c>
      <x:c r="H1576" s="9" t="n">
        <x:v>1.146684</x:v>
      </x:c>
      <x:c r="I1576" s="9" t="n">
        <x:f>'Physical_Arcs'!R16</x:f>
        <x:v>7.416666666666667</x:v>
      </x:c>
      <x:c r="J1576" s="9" t="n">
        <x:f>I1576*'Parameters'!$C$18</x:f>
        <x:v>1.4833333333333334</x:v>
      </x:c>
      <x:c r="K1576" s="9" t="n">
        <x:f>J1576*'Parameters'!$C$19</x:f>
        <x:v>1.8541666666666667</x:v>
      </x:c>
      <x:c r="L1576" s="9" t="n">
        <x:f>I1576*(1-0.40)-J1576</x:f>
        <x:v>2.966666666666667</x:v>
      </x:c>
      <x:c r="M1576" s="9" t="n">
        <x:f>'Physical_Arcs'!S16</x:f>
        <x:v>7.416666666666667</x:v>
      </x:c>
      <x:c r="N1576" s="9" t="n">
        <x:f>M1576*'Parameters'!$C$18</x:f>
        <x:v>1.4833333333333334</x:v>
      </x:c>
      <x:c r="O1576" s="9" t="n">
        <x:f>N1576*'Parameters'!$C$19</x:f>
        <x:v>1.8541666666666667</x:v>
      </x:c>
      <x:c r="P1576" s="9" t="n">
        <x:f>M1576*(1-0.40)-N1576</x:f>
        <x:v>2.966666666666667</x:v>
      </x:c>
      <x:c r="Q1576" s="9" t="n">
        <x:f>'Physical_Arcs'!T16</x:f>
        <x:v>3.7222222222222223</x:v>
      </x:c>
      <x:c r="R1576" s="9" t="n">
        <x:f>Q1576*'Parameters'!$C$18</x:f>
        <x:v>0.7444444444444445</x:v>
      </x:c>
      <x:c r="S1576" s="9" t="n">
        <x:f>R1576*'Parameters'!$C$19</x:f>
        <x:v>0.9305555555555556</x:v>
      </x:c>
      <x:c r="T1576" s="9" t="n">
        <x:f>Q1576*(1-0.40)-R1576</x:f>
        <x:v>1.488888888888889</x:v>
      </x:c>
    </x:row>
    <x:row r="1577" ht="21" customHeight="1">
      <x:c r="A1577" s="3" t="n">
        <x:v>26</x:v>
      </x:c>
      <x:c r="B1577" s="3" t="str">
        <x:v>04:20</x:v>
      </x:c>
      <x:c r="C1577" s="3" t="n">
        <x:v>5</x:v>
      </x:c>
      <x:c r="D1577" s="3" t="n">
        <x:v>16</x:v>
      </x:c>
      <x:c r="E1577" s="3" t="n">
        <x:v>3</x:v>
      </x:c>
      <x:c r="F1577" s="3" t="n">
        <x:v>4</x:v>
      </x:c>
      <x:c r="G1577" s="9" t="n">
        <x:v>0.1</x:v>
      </x:c>
      <x:c r="H1577" s="9" t="n">
        <x:v>1.017658</x:v>
      </x:c>
      <x:c r="I1577" s="9" t="n">
        <x:f>'Physical_Arcs'!R17</x:f>
        <x:v>17.02777777777778</x:v>
      </x:c>
      <x:c r="J1577" s="9" t="n">
        <x:f>I1577*'Parameters'!$C$18</x:f>
        <x:v>3.405555555555556</x:v>
      </x:c>
      <x:c r="K1577" s="9" t="n">
        <x:f>J1577*'Parameters'!$C$19</x:f>
        <x:v>4.256944444444445</x:v>
      </x:c>
      <x:c r="L1577" s="9" t="n">
        <x:f>I1577*(1-0.40)-J1577</x:f>
        <x:v>6.811111111111111</x:v>
      </x:c>
      <x:c r="M1577" s="9" t="n">
        <x:f>'Physical_Arcs'!S17</x:f>
        <x:v>17.02777777777778</x:v>
      </x:c>
      <x:c r="N1577" s="9" t="n">
        <x:f>M1577*'Parameters'!$C$18</x:f>
        <x:v>3.405555555555556</x:v>
      </x:c>
      <x:c r="O1577" s="9" t="n">
        <x:f>N1577*'Parameters'!$C$19</x:f>
        <x:v>4.256944444444445</x:v>
      </x:c>
      <x:c r="P1577" s="9" t="n">
        <x:f>M1577*(1-0.40)-N1577</x:f>
        <x:v>6.811111111111111</x:v>
      </x:c>
      <x:c r="Q1577" s="9" t="n">
        <x:f>'Physical_Arcs'!T17</x:f>
        <x:v>17.02777777777778</x:v>
      </x:c>
      <x:c r="R1577" s="9" t="n">
        <x:f>Q1577*'Parameters'!$C$18</x:f>
        <x:v>3.405555555555556</x:v>
      </x:c>
      <x:c r="S1577" s="9" t="n">
        <x:f>R1577*'Parameters'!$C$19</x:f>
        <x:v>4.256944444444445</x:v>
      </x:c>
      <x:c r="T1577" s="9" t="n">
        <x:f>Q1577*(1-0.40)-R1577</x:f>
        <x:v>6.811111111111111</x:v>
      </x:c>
    </x:row>
    <x:row r="1578" ht="21" customHeight="1">
      <x:c r="A1578" s="3" t="n">
        <x:v>26</x:v>
      </x:c>
      <x:c r="B1578" s="3" t="str">
        <x:v>04:20</x:v>
      </x:c>
      <x:c r="C1578" s="3" t="n">
        <x:v>5</x:v>
      </x:c>
      <x:c r="D1578" s="3" t="n">
        <x:v>17</x:v>
      </x:c>
      <x:c r="E1578" s="3" t="n">
        <x:v>3</x:v>
      </x:c>
      <x:c r="F1578" s="3" t="n">
        <x:v>2</x:v>
      </x:c>
      <x:c r="G1578" s="9" t="n">
        <x:v>0.1</x:v>
      </x:c>
      <x:c r="H1578" s="9" t="n">
        <x:v>0.875995</x:v>
      </x:c>
      <x:c r="I1578" s="9" t="n">
        <x:f>'Physical_Arcs'!R18</x:f>
        <x:v>10.666666666666666</x:v>
      </x:c>
      <x:c r="J1578" s="9" t="n">
        <x:f>I1578*'Parameters'!$C$18</x:f>
        <x:v>2.1333333333333333</x:v>
      </x:c>
      <x:c r="K1578" s="9" t="n">
        <x:f>J1578*'Parameters'!$C$19</x:f>
        <x:v>2.6666666666666665</x:v>
      </x:c>
      <x:c r="L1578" s="9" t="n">
        <x:f>I1578*(1-0.40)-J1578</x:f>
        <x:v>4.266666666666666</x:v>
      </x:c>
      <x:c r="M1578" s="9" t="n">
        <x:f>'Physical_Arcs'!S18</x:f>
        <x:v>10.666666666666666</x:v>
      </x:c>
      <x:c r="N1578" s="9" t="n">
        <x:f>M1578*'Parameters'!$C$18</x:f>
        <x:v>2.1333333333333333</x:v>
      </x:c>
      <x:c r="O1578" s="9" t="n">
        <x:f>N1578*'Parameters'!$C$19</x:f>
        <x:v>2.6666666666666665</x:v>
      </x:c>
      <x:c r="P1578" s="9" t="n">
        <x:f>M1578*(1-0.40)-N1578</x:f>
        <x:v>4.266666666666666</x:v>
      </x:c>
      <x:c r="Q1578" s="9" t="n">
        <x:f>'Physical_Arcs'!T18</x:f>
        <x:v>5.333333333333333</x:v>
      </x:c>
      <x:c r="R1578" s="9" t="n">
        <x:f>Q1578*'Parameters'!$C$18</x:f>
        <x:v>1.0666666666666667</x:v>
      </x:c>
      <x:c r="S1578" s="9" t="n">
        <x:f>R1578*'Parameters'!$C$19</x:f>
        <x:v>1.3333333333333333</x:v>
      </x:c>
      <x:c r="T1578" s="9" t="n">
        <x:f>Q1578*(1-0.40)-R1578</x:f>
        <x:v>2.133333333333333</x:v>
      </x:c>
    </x:row>
    <x:row r="1579" ht="21" customHeight="1">
      <x:c r="A1579" s="3" t="n">
        <x:v>26</x:v>
      </x:c>
      <x:c r="B1579" s="3" t="str">
        <x:v>04:20</x:v>
      </x:c>
      <x:c r="C1579" s="3" t="n">
        <x:v>5</x:v>
      </x:c>
      <x:c r="D1579" s="3" t="n">
        <x:v>18</x:v>
      </x:c>
      <x:c r="E1579" s="3" t="n">
        <x:v>3</x:v>
      </x:c>
      <x:c r="F1579" s="3" t="n">
        <x:v>1</x:v>
      </x:c>
      <x:c r="G1579" s="9" t="n">
        <x:v>0.1</x:v>
      </x:c>
      <x:c r="H1579" s="9" t="n">
        <x:v>1.015397</x:v>
      </x:c>
      <x:c r="I1579" s="9" t="n">
        <x:f>'Physical_Arcs'!R19</x:f>
        <x:v>5.166666666666667</x:v>
      </x:c>
      <x:c r="J1579" s="9" t="n">
        <x:f>I1579*'Parameters'!$C$18</x:f>
        <x:v>1.0333333333333334</x:v>
      </x:c>
      <x:c r="K1579" s="9" t="n">
        <x:f>J1579*'Parameters'!$C$19</x:f>
        <x:v>1.2916666666666667</x:v>
      </x:c>
      <x:c r="L1579" s="9" t="n">
        <x:f>I1579*(1-0.40)-J1579</x:f>
        <x:v>2.0666666666666664</x:v>
      </x:c>
      <x:c r="M1579" s="9" t="n">
        <x:f>'Physical_Arcs'!S19</x:f>
        <x:v>5.166666666666667</x:v>
      </x:c>
      <x:c r="N1579" s="9" t="n">
        <x:f>M1579*'Parameters'!$C$18</x:f>
        <x:v>1.0333333333333334</x:v>
      </x:c>
      <x:c r="O1579" s="9" t="n">
        <x:f>N1579*'Parameters'!$C$19</x:f>
        <x:v>1.2916666666666667</x:v>
      </x:c>
      <x:c r="P1579" s="9" t="n">
        <x:f>M1579*(1-0.40)-N1579</x:f>
        <x:v>2.0666666666666664</x:v>
      </x:c>
      <x:c r="Q1579" s="9" t="n">
        <x:f>'Physical_Arcs'!T19</x:f>
        <x:v>2.5833333333333335</x:v>
      </x:c>
      <x:c r="R1579" s="9" t="n">
        <x:f>Q1579*'Parameters'!$C$18</x:f>
        <x:v>0.5166666666666667</x:v>
      </x:c>
      <x:c r="S1579" s="9" t="n">
        <x:f>R1579*'Parameters'!$C$19</x:f>
        <x:v>0.6458333333333334</x:v>
      </x:c>
      <x:c r="T1579" s="9" t="n">
        <x:f>Q1579*(1-0.40)-R1579</x:f>
        <x:v>1.0333333333333332</x:v>
      </x:c>
    </x:row>
    <x:row r="1580" ht="21" customHeight="1">
      <x:c r="A1580" s="3" t="n">
        <x:v>26</x:v>
      </x:c>
      <x:c r="B1580" s="3" t="str">
        <x:v>04:20</x:v>
      </x:c>
      <x:c r="C1580" s="3" t="n">
        <x:v>5</x:v>
      </x:c>
      <x:c r="D1580" s="3" t="n">
        <x:v>19</x:v>
      </x:c>
      <x:c r="E1580" s="3" t="n">
        <x:v>3</x:v>
      </x:c>
      <x:c r="F1580" s="3" t="n">
        <x:v>7</x:v>
      </x:c>
      <x:c r="G1580" s="9" t="n">
        <x:v>0.1</x:v>
      </x:c>
      <x:c r="H1580" s="9" t="n">
        <x:v>0.996008</x:v>
      </x:c>
      <x:c r="I1580" s="9" t="n">
        <x:f>'Physical_Arcs'!R20</x:f>
        <x:v>5.75</x:v>
      </x:c>
      <x:c r="J1580" s="9" t="n">
        <x:f>I1580*'Parameters'!$C$18</x:f>
        <x:v>1.1500000000000001</x:v>
      </x:c>
      <x:c r="K1580" s="9" t="n">
        <x:f>J1580*'Parameters'!$C$19</x:f>
        <x:v>1.4375000000000002</x:v>
      </x:c>
      <x:c r="L1580" s="9" t="n">
        <x:f>I1580*(1-0.40)-J1580</x:f>
        <x:v>2.3</x:v>
      </x:c>
      <x:c r="M1580" s="9" t="n">
        <x:f>'Physical_Arcs'!S20</x:f>
        <x:v>5.75</x:v>
      </x:c>
      <x:c r="N1580" s="9" t="n">
        <x:f>M1580*'Parameters'!$C$18</x:f>
        <x:v>1.1500000000000001</x:v>
      </x:c>
      <x:c r="O1580" s="9" t="n">
        <x:f>N1580*'Parameters'!$C$19</x:f>
        <x:v>1.4375000000000002</x:v>
      </x:c>
      <x:c r="P1580" s="9" t="n">
        <x:f>M1580*(1-0.40)-N1580</x:f>
        <x:v>2.3</x:v>
      </x:c>
      <x:c r="Q1580" s="9" t="n">
        <x:f>'Physical_Arcs'!T20</x:f>
        <x:v>2.888888888888889</x:v>
      </x:c>
      <x:c r="R1580" s="9" t="n">
        <x:f>Q1580*'Parameters'!$C$18</x:f>
        <x:v>0.5777777777777778</x:v>
      </x:c>
      <x:c r="S1580" s="9" t="n">
        <x:f>R1580*'Parameters'!$C$19</x:f>
        <x:v>0.7222222222222223</x:v>
      </x:c>
      <x:c r="T1580" s="9" t="n">
        <x:f>Q1580*(1-0.40)-R1580</x:f>
        <x:v>1.1555555555555554</x:v>
      </x:c>
    </x:row>
    <x:row r="1581" ht="21" customHeight="1">
      <x:c r="A1581" s="3" t="n">
        <x:v>26</x:v>
      </x:c>
      <x:c r="B1581" s="3" t="str">
        <x:v>04:20</x:v>
      </x:c>
      <x:c r="C1581" s="3" t="n">
        <x:v>5</x:v>
      </x:c>
      <x:c r="D1581" s="3" t="n">
        <x:v>20</x:v>
      </x:c>
      <x:c r="E1581" s="3" t="n">
        <x:v>3</x:v>
      </x:c>
      <x:c r="F1581" s="3" t="n">
        <x:v>10</x:v>
      </x:c>
      <x:c r="G1581" s="9" t="n">
        <x:v>0.1</x:v>
      </x:c>
      <x:c r="H1581" s="9" t="n">
        <x:v>1.118855</x:v>
      </x:c>
      <x:c r="I1581" s="9" t="n">
        <x:f>'Physical_Arcs'!R21</x:f>
        <x:v>5.166666666666667</x:v>
      </x:c>
      <x:c r="J1581" s="9" t="n">
        <x:f>I1581*'Parameters'!$C$18</x:f>
        <x:v>1.0333333333333334</x:v>
      </x:c>
      <x:c r="K1581" s="9" t="n">
        <x:f>J1581*'Parameters'!$C$19</x:f>
        <x:v>1.2916666666666667</x:v>
      </x:c>
      <x:c r="L1581" s="9" t="n">
        <x:f>I1581*(1-0.40)-J1581</x:f>
        <x:v>2.0666666666666664</x:v>
      </x:c>
      <x:c r="M1581" s="9" t="n">
        <x:f>'Physical_Arcs'!S21</x:f>
        <x:v>5.166666666666667</x:v>
      </x:c>
      <x:c r="N1581" s="9" t="n">
        <x:f>M1581*'Parameters'!$C$18</x:f>
        <x:v>1.0333333333333334</x:v>
      </x:c>
      <x:c r="O1581" s="9" t="n">
        <x:f>N1581*'Parameters'!$C$19</x:f>
        <x:v>1.2916666666666667</x:v>
      </x:c>
      <x:c r="P1581" s="9" t="n">
        <x:f>M1581*(1-0.40)-N1581</x:f>
        <x:v>2.0666666666666664</x:v>
      </x:c>
      <x:c r="Q1581" s="9" t="n">
        <x:f>'Physical_Arcs'!T21</x:f>
        <x:v>2.5833333333333335</x:v>
      </x:c>
      <x:c r="R1581" s="9" t="n">
        <x:f>Q1581*'Parameters'!$C$18</x:f>
        <x:v>0.5166666666666667</x:v>
      </x:c>
      <x:c r="S1581" s="9" t="n">
        <x:f>R1581*'Parameters'!$C$19</x:f>
        <x:v>0.6458333333333334</x:v>
      </x:c>
      <x:c r="T1581" s="9" t="n">
        <x:f>Q1581*(1-0.40)-R1581</x:f>
        <x:v>1.0333333333333332</x:v>
      </x:c>
    </x:row>
    <x:row r="1582" ht="21" customHeight="1">
      <x:c r="A1582" s="3" t="n">
        <x:v>26</x:v>
      </x:c>
      <x:c r="B1582" s="3" t="str">
        <x:v>04:20</x:v>
      </x:c>
      <x:c r="C1582" s="3" t="n">
        <x:v>5</x:v>
      </x:c>
      <x:c r="D1582" s="3" t="n">
        <x:v>21</x:v>
      </x:c>
      <x:c r="E1582" s="3" t="n">
        <x:v>3</x:v>
      </x:c>
      <x:c r="F1582" s="3" t="n">
        <x:v>9</x:v>
      </x:c>
      <x:c r="G1582" s="9" t="n">
        <x:v>0.1</x:v>
      </x:c>
      <x:c r="H1582" s="9" t="n">
        <x:v>0.947299</x:v>
      </x:c>
      <x:c r="I1582" s="9" t="n">
        <x:f>'Physical_Arcs'!R22</x:f>
        <x:v>9.333333333333334</x:v>
      </x:c>
      <x:c r="J1582" s="9" t="n">
        <x:f>I1582*'Parameters'!$C$18</x:f>
        <x:v>1.866666666666667</x:v>
      </x:c>
      <x:c r="K1582" s="9" t="n">
        <x:f>J1582*'Parameters'!$C$19</x:f>
        <x:v>2.3333333333333335</x:v>
      </x:c>
      <x:c r="L1582" s="9" t="n">
        <x:f>I1582*(1-0.40)-J1582</x:f>
        <x:v>3.7333333333333334</x:v>
      </x:c>
      <x:c r="M1582" s="9" t="n">
        <x:f>'Physical_Arcs'!S22</x:f>
        <x:v>9.333333333333334</x:v>
      </x:c>
      <x:c r="N1582" s="9" t="n">
        <x:f>M1582*'Parameters'!$C$18</x:f>
        <x:v>1.866666666666667</x:v>
      </x:c>
      <x:c r="O1582" s="9" t="n">
        <x:f>N1582*'Parameters'!$C$19</x:f>
        <x:v>2.3333333333333335</x:v>
      </x:c>
      <x:c r="P1582" s="9" t="n">
        <x:f>M1582*(1-0.40)-N1582</x:f>
        <x:v>3.7333333333333334</x:v>
      </x:c>
      <x:c r="Q1582" s="9" t="n">
        <x:f>'Physical_Arcs'!T22</x:f>
        <x:v>4.666666666666667</x:v>
      </x:c>
      <x:c r="R1582" s="9" t="n">
        <x:f>Q1582*'Parameters'!$C$18</x:f>
        <x:v>0.9333333333333335</x:v>
      </x:c>
      <x:c r="S1582" s="9" t="n">
        <x:f>R1582*'Parameters'!$C$19</x:f>
        <x:v>1.1666666666666667</x:v>
      </x:c>
      <x:c r="T1582" s="9" t="n">
        <x:f>Q1582*(1-0.40)-R1582</x:f>
        <x:v>1.8666666666666667</x:v>
      </x:c>
    </x:row>
    <x:row r="1583" ht="21" customHeight="1">
      <x:c r="A1583" s="3" t="n">
        <x:v>26</x:v>
      </x:c>
      <x:c r="B1583" s="3" t="str">
        <x:v>04:20</x:v>
      </x:c>
      <x:c r="C1583" s="3" t="n">
        <x:v>5</x:v>
      </x:c>
      <x:c r="D1583" s="3" t="n">
        <x:v>22</x:v>
      </x:c>
      <x:c r="E1583" s="3" t="n">
        <x:v>4</x:v>
      </x:c>
      <x:c r="F1583" s="3" t="n">
        <x:v>5</x:v>
      </x:c>
      <x:c r="G1583" s="9" t="n">
        <x:v>0.1</x:v>
      </x:c>
      <x:c r="H1583" s="9" t="n">
        <x:v>0.958485</x:v>
      </x:c>
      <x:c r="I1583" s="9" t="n">
        <x:f>'Physical_Arcs'!R23</x:f>
        <x:v>17.02777777777778</x:v>
      </x:c>
      <x:c r="J1583" s="9" t="n">
        <x:f>I1583*'Parameters'!$C$18</x:f>
        <x:v>3.405555555555556</x:v>
      </x:c>
      <x:c r="K1583" s="9" t="n">
        <x:f>J1583*'Parameters'!$C$19</x:f>
        <x:v>4.256944444444445</x:v>
      </x:c>
      <x:c r="L1583" s="9" t="n">
        <x:f>I1583*(1-0.40)-J1583</x:f>
        <x:v>6.811111111111111</x:v>
      </x:c>
      <x:c r="M1583" s="9" t="n">
        <x:f>'Physical_Arcs'!S23</x:f>
        <x:v>17.02777777777778</x:v>
      </x:c>
      <x:c r="N1583" s="9" t="n">
        <x:f>M1583*'Parameters'!$C$18</x:f>
        <x:v>3.405555555555556</x:v>
      </x:c>
      <x:c r="O1583" s="9" t="n">
        <x:f>N1583*'Parameters'!$C$19</x:f>
        <x:v>4.256944444444445</x:v>
      </x:c>
      <x:c r="P1583" s="9" t="n">
        <x:f>M1583*(1-0.40)-N1583</x:f>
        <x:v>6.811111111111111</x:v>
      </x:c>
      <x:c r="Q1583" s="9" t="n">
        <x:f>'Physical_Arcs'!T23</x:f>
        <x:v>17.02777777777778</x:v>
      </x:c>
      <x:c r="R1583" s="9" t="n">
        <x:f>Q1583*'Parameters'!$C$18</x:f>
        <x:v>3.405555555555556</x:v>
      </x:c>
      <x:c r="S1583" s="9" t="n">
        <x:f>R1583*'Parameters'!$C$19</x:f>
        <x:v>4.256944444444445</x:v>
      </x:c>
      <x:c r="T1583" s="9" t="n">
        <x:f>Q1583*(1-0.40)-R1583</x:f>
        <x:v>6.811111111111111</x:v>
      </x:c>
    </x:row>
    <x:row r="1584" ht="21" customHeight="1">
      <x:c r="A1584" s="3" t="n">
        <x:v>26</x:v>
      </x:c>
      <x:c r="B1584" s="3" t="str">
        <x:v>04:20</x:v>
      </x:c>
      <x:c r="C1584" s="3" t="n">
        <x:v>5</x:v>
      </x:c>
      <x:c r="D1584" s="3" t="n">
        <x:v>23</x:v>
      </x:c>
      <x:c r="E1584" s="3" t="n">
        <x:v>4</x:v>
      </x:c>
      <x:c r="F1584" s="3" t="n">
        <x:v>3</x:v>
      </x:c>
      <x:c r="G1584" s="9" t="n">
        <x:v>0.1</x:v>
      </x:c>
      <x:c r="H1584" s="9" t="n">
        <x:v>0.944916</x:v>
      </x:c>
      <x:c r="I1584" s="9" t="n">
        <x:f>'Physical_Arcs'!R24</x:f>
        <x:v>9.333333333333334</x:v>
      </x:c>
      <x:c r="J1584" s="9" t="n">
        <x:f>I1584*'Parameters'!$C$18</x:f>
        <x:v>1.866666666666667</x:v>
      </x:c>
      <x:c r="K1584" s="9" t="n">
        <x:f>J1584*'Parameters'!$C$19</x:f>
        <x:v>2.3333333333333335</x:v>
      </x:c>
      <x:c r="L1584" s="9" t="n">
        <x:f>I1584*(1-0.40)-J1584</x:f>
        <x:v>3.7333333333333334</x:v>
      </x:c>
      <x:c r="M1584" s="9" t="n">
        <x:f>'Physical_Arcs'!S24</x:f>
        <x:v>9.333333333333334</x:v>
      </x:c>
      <x:c r="N1584" s="9" t="n">
        <x:f>M1584*'Parameters'!$C$18</x:f>
        <x:v>1.866666666666667</x:v>
      </x:c>
      <x:c r="O1584" s="9" t="n">
        <x:f>N1584*'Parameters'!$C$19</x:f>
        <x:v>2.3333333333333335</x:v>
      </x:c>
      <x:c r="P1584" s="9" t="n">
        <x:f>M1584*(1-0.40)-N1584</x:f>
        <x:v>3.7333333333333334</x:v>
      </x:c>
      <x:c r="Q1584" s="9" t="n">
        <x:f>'Physical_Arcs'!T24</x:f>
        <x:v>4.666666666666667</x:v>
      </x:c>
      <x:c r="R1584" s="9" t="n">
        <x:f>Q1584*'Parameters'!$C$18</x:f>
        <x:v>0.9333333333333335</x:v>
      </x:c>
      <x:c r="S1584" s="9" t="n">
        <x:f>R1584*'Parameters'!$C$19</x:f>
        <x:v>1.1666666666666667</x:v>
      </x:c>
      <x:c r="T1584" s="9" t="n">
        <x:f>Q1584*(1-0.40)-R1584</x:f>
        <x:v>1.8666666666666667</x:v>
      </x:c>
    </x:row>
    <x:row r="1585" ht="21" customHeight="1">
      <x:c r="A1585" s="3" t="n">
        <x:v>26</x:v>
      </x:c>
      <x:c r="B1585" s="3" t="str">
        <x:v>04:20</x:v>
      </x:c>
      <x:c r="C1585" s="3" t="n">
        <x:v>5</x:v>
      </x:c>
      <x:c r="D1585" s="3" t="n">
        <x:v>24</x:v>
      </x:c>
      <x:c r="E1585" s="3" t="n">
        <x:v>4</x:v>
      </x:c>
      <x:c r="F1585" s="3" t="n">
        <x:v>10</x:v>
      </x:c>
      <x:c r="G1585" s="9" t="n">
        <x:v>0.1</x:v>
      </x:c>
      <x:c r="H1585" s="9" t="n">
        <x:v>0.875461</x:v>
      </x:c>
      <x:c r="I1585" s="9" t="n">
        <x:f>'Physical_Arcs'!R25</x:f>
        <x:v>7.194444444444445</x:v>
      </x:c>
      <x:c r="J1585" s="9" t="n">
        <x:f>I1585*'Parameters'!$C$18</x:f>
        <x:v>1.438888888888889</x:v>
      </x:c>
      <x:c r="K1585" s="9" t="n">
        <x:f>J1585*'Parameters'!$C$19</x:f>
        <x:v>1.7986111111111114</x:v>
      </x:c>
      <x:c r="L1585" s="9" t="n">
        <x:f>I1585*(1-0.40)-J1585</x:f>
        <x:v>2.8777777777777773</x:v>
      </x:c>
      <x:c r="M1585" s="9" t="n">
        <x:f>'Physical_Arcs'!S25</x:f>
        <x:v>7.194444444444445</x:v>
      </x:c>
      <x:c r="N1585" s="9" t="n">
        <x:f>M1585*'Parameters'!$C$18</x:f>
        <x:v>1.438888888888889</x:v>
      </x:c>
      <x:c r="O1585" s="9" t="n">
        <x:f>N1585*'Parameters'!$C$19</x:f>
        <x:v>1.7986111111111114</x:v>
      </x:c>
      <x:c r="P1585" s="9" t="n">
        <x:f>M1585*(1-0.40)-N1585</x:f>
        <x:v>2.8777777777777773</x:v>
      </x:c>
      <x:c r="Q1585" s="9" t="n">
        <x:f>'Physical_Arcs'!T25</x:f>
        <x:v>3.611111111111111</x:v>
      </x:c>
      <x:c r="R1585" s="9" t="n">
        <x:f>Q1585*'Parameters'!$C$18</x:f>
        <x:v>0.7222222222222223</x:v>
      </x:c>
      <x:c r="S1585" s="9" t="n">
        <x:f>R1585*'Parameters'!$C$19</x:f>
        <x:v>0.9027777777777779</x:v>
      </x:c>
      <x:c r="T1585" s="9" t="n">
        <x:f>Q1585*(1-0.40)-R1585</x:f>
        <x:v>1.4444444444444442</x:v>
      </x:c>
    </x:row>
    <x:row r="1586" ht="21" customHeight="1">
      <x:c r="A1586" s="3" t="n">
        <x:v>26</x:v>
      </x:c>
      <x:c r="B1586" s="3" t="str">
        <x:v>04:20</x:v>
      </x:c>
      <x:c r="C1586" s="3" t="n">
        <x:v>5</x:v>
      </x:c>
      <x:c r="D1586" s="3" t="n">
        <x:v>25</x:v>
      </x:c>
      <x:c r="E1586" s="3" t="n">
        <x:v>4</x:v>
      </x:c>
      <x:c r="F1586" s="3" t="n">
        <x:v>8</x:v>
      </x:c>
      <x:c r="G1586" s="9" t="n">
        <x:v>0.1</x:v>
      </x:c>
      <x:c r="H1586" s="9" t="n">
        <x:v>0.993326</x:v>
      </x:c>
      <x:c r="I1586" s="9" t="n">
        <x:f>'Physical_Arcs'!R26</x:f>
        <x:v>5.277777777777778</x:v>
      </x:c>
      <x:c r="J1586" s="9" t="n">
        <x:f>I1586*'Parameters'!$C$18</x:f>
        <x:v>1.0555555555555556</x:v>
      </x:c>
      <x:c r="K1586" s="9" t="n">
        <x:f>J1586*'Parameters'!$C$19</x:f>
        <x:v>1.3194444444444444</x:v>
      </x:c>
      <x:c r="L1586" s="9" t="n">
        <x:f>I1586*(1-0.40)-J1586</x:f>
        <x:v>2.1111111111111107</x:v>
      </x:c>
      <x:c r="M1586" s="9" t="n">
        <x:f>'Physical_Arcs'!S26</x:f>
        <x:v>5.277777777777778</x:v>
      </x:c>
      <x:c r="N1586" s="9" t="n">
        <x:f>M1586*'Parameters'!$C$18</x:f>
        <x:v>1.0555555555555556</x:v>
      </x:c>
      <x:c r="O1586" s="9" t="n">
        <x:f>N1586*'Parameters'!$C$19</x:f>
        <x:v>1.3194444444444444</x:v>
      </x:c>
      <x:c r="P1586" s="9" t="n">
        <x:f>M1586*(1-0.40)-N1586</x:f>
        <x:v>2.1111111111111107</x:v>
      </x:c>
      <x:c r="Q1586" s="9" t="n">
        <x:f>'Physical_Arcs'!T26</x:f>
        <x:v>2.638888888888889</x:v>
      </x:c>
      <x:c r="R1586" s="9" t="n">
        <x:f>Q1586*'Parameters'!$C$18</x:f>
        <x:v>0.5277777777777778</x:v>
      </x:c>
      <x:c r="S1586" s="9" t="n">
        <x:f>R1586*'Parameters'!$C$19</x:f>
        <x:v>0.6597222222222222</x:v>
      </x:c>
      <x:c r="T1586" s="9" t="n">
        <x:f>Q1586*(1-0.40)-R1586</x:f>
        <x:v>1.0555555555555554</x:v>
      </x:c>
    </x:row>
    <x:row r="1587" ht="21" customHeight="1">
      <x:c r="A1587" s="3" t="n">
        <x:v>26</x:v>
      </x:c>
      <x:c r="B1587" s="3" t="str">
        <x:v>04:20</x:v>
      </x:c>
      <x:c r="C1587" s="3" t="n">
        <x:v>5</x:v>
      </x:c>
      <x:c r="D1587" s="3" t="n">
        <x:v>26</x:v>
      </x:c>
      <x:c r="E1587" s="3" t="n">
        <x:v>4</x:v>
      </x:c>
      <x:c r="F1587" s="3" t="n">
        <x:v>7</x:v>
      </x:c>
      <x:c r="G1587" s="9" t="n">
        <x:v>0.1</x:v>
      </x:c>
      <x:c r="H1587" s="9" t="n">
        <x:v>1.099203</x:v>
      </x:c>
      <x:c r="I1587" s="9" t="n">
        <x:f>'Physical_Arcs'!R27</x:f>
        <x:v>6.527777777777778</x:v>
      </x:c>
      <x:c r="J1587" s="9" t="n">
        <x:f>I1587*'Parameters'!$C$18</x:f>
        <x:v>1.3055555555555556</x:v>
      </x:c>
      <x:c r="K1587" s="9" t="n">
        <x:f>J1587*'Parameters'!$C$19</x:f>
        <x:v>1.6319444444444444</x:v>
      </x:c>
      <x:c r="L1587" s="9" t="n">
        <x:f>I1587*(1-0.40)-J1587</x:f>
        <x:v>2.6111111111111107</x:v>
      </x:c>
      <x:c r="M1587" s="9" t="n">
        <x:f>'Physical_Arcs'!S27</x:f>
        <x:v>6.527777777777778</x:v>
      </x:c>
      <x:c r="N1587" s="9" t="n">
        <x:f>M1587*'Parameters'!$C$18</x:f>
        <x:v>1.3055555555555556</x:v>
      </x:c>
      <x:c r="O1587" s="9" t="n">
        <x:f>N1587*'Parameters'!$C$19</x:f>
        <x:v>1.6319444444444444</x:v>
      </x:c>
      <x:c r="P1587" s="9" t="n">
        <x:f>M1587*(1-0.40)-N1587</x:f>
        <x:v>2.6111111111111107</x:v>
      </x:c>
      <x:c r="Q1587" s="9" t="n">
        <x:f>'Physical_Arcs'!T27</x:f>
        <x:v>3.2777777777777777</x:v>
      </x:c>
      <x:c r="R1587" s="9" t="n">
        <x:f>Q1587*'Parameters'!$C$18</x:f>
        <x:v>0.6555555555555556</x:v>
      </x:c>
      <x:c r="S1587" s="9" t="n">
        <x:f>R1587*'Parameters'!$C$19</x:f>
        <x:v>0.8194444444444444</x:v>
      </x:c>
      <x:c r="T1587" s="9" t="n">
        <x:f>Q1587*(1-0.40)-R1587</x:f>
        <x:v>1.311111111111111</x:v>
      </x:c>
    </x:row>
    <x:row r="1588" ht="21" customHeight="1">
      <x:c r="A1588" s="3" t="n">
        <x:v>26</x:v>
      </x:c>
      <x:c r="B1588" s="3" t="str">
        <x:v>04:20</x:v>
      </x:c>
      <x:c r="C1588" s="3" t="n">
        <x:v>5</x:v>
      </x:c>
      <x:c r="D1588" s="3" t="n">
        <x:v>27</x:v>
      </x:c>
      <x:c r="E1588" s="3" t="n">
        <x:v>4</x:v>
      </x:c>
      <x:c r="F1588" s="3" t="n">
        <x:v>2</x:v>
      </x:c>
      <x:c r="G1588" s="9" t="n">
        <x:v>0.1</x:v>
      </x:c>
      <x:c r="H1588" s="9" t="n">
        <x:v>0.861111</x:v>
      </x:c>
      <x:c r="I1588" s="9" t="n">
        <x:f>'Physical_Arcs'!R28</x:f>
        <x:v>4.944444444444445</x:v>
      </x:c>
      <x:c r="J1588" s="9" t="n">
        <x:f>I1588*'Parameters'!$C$18</x:f>
        <x:v>0.9888888888888889</x:v>
      </x:c>
      <x:c r="K1588" s="9" t="n">
        <x:f>J1588*'Parameters'!$C$19</x:f>
        <x:v>1.2361111111111112</x:v>
      </x:c>
      <x:c r="L1588" s="9" t="n">
        <x:f>I1588*(1-0.40)-J1588</x:f>
        <x:v>1.9777777777777779</x:v>
      </x:c>
      <x:c r="M1588" s="9" t="n">
        <x:f>'Physical_Arcs'!S28</x:f>
        <x:v>4.944444444444445</x:v>
      </x:c>
      <x:c r="N1588" s="9" t="n">
        <x:f>M1588*'Parameters'!$C$18</x:f>
        <x:v>0.9888888888888889</x:v>
      </x:c>
      <x:c r="O1588" s="9" t="n">
        <x:f>N1588*'Parameters'!$C$19</x:f>
        <x:v>1.2361111111111112</x:v>
      </x:c>
      <x:c r="P1588" s="9" t="n">
        <x:f>M1588*(1-0.40)-N1588</x:f>
        <x:v>1.9777777777777779</x:v>
      </x:c>
      <x:c r="Q1588" s="9" t="n">
        <x:f>'Physical_Arcs'!T28</x:f>
        <x:v>2.4722222222222223</x:v>
      </x:c>
      <x:c r="R1588" s="9" t="n">
        <x:f>Q1588*'Parameters'!$C$18</x:f>
        <x:v>0.49444444444444446</x:v>
      </x:c>
      <x:c r="S1588" s="9" t="n">
        <x:f>R1588*'Parameters'!$C$19</x:f>
        <x:v>0.6180555555555556</x:v>
      </x:c>
      <x:c r="T1588" s="9" t="n">
        <x:f>Q1588*(1-0.40)-R1588</x:f>
        <x:v>0.9888888888888889</x:v>
      </x:c>
    </x:row>
    <x:row r="1589" ht="21" customHeight="1">
      <x:c r="A1589" s="3" t="n">
        <x:v>26</x:v>
      </x:c>
      <x:c r="B1589" s="3" t="str">
        <x:v>04:20</x:v>
      </x:c>
      <x:c r="C1589" s="3" t="n">
        <x:v>5</x:v>
      </x:c>
      <x:c r="D1589" s="3" t="n">
        <x:v>28</x:v>
      </x:c>
      <x:c r="E1589" s="3" t="n">
        <x:v>4</x:v>
      </x:c>
      <x:c r="F1589" s="3" t="n">
        <x:v>6</x:v>
      </x:c>
      <x:c r="G1589" s="9" t="n">
        <x:v>0.1</x:v>
      </x:c>
      <x:c r="H1589" s="9" t="n">
        <x:v>1.137214</x:v>
      </x:c>
      <x:c r="I1589" s="9" t="n">
        <x:f>'Physical_Arcs'!R29</x:f>
        <x:v>3.388888888888889</x:v>
      </x:c>
      <x:c r="J1589" s="9" t="n">
        <x:f>I1589*'Parameters'!$C$18</x:f>
        <x:v>0.6777777777777778</x:v>
      </x:c>
      <x:c r="K1589" s="9" t="n">
        <x:f>J1589*'Parameters'!$C$19</x:f>
        <x:v>0.8472222222222223</x:v>
      </x:c>
      <x:c r="L1589" s="9" t="n">
        <x:f>I1589*(1-0.40)-J1589</x:f>
        <x:v>1.3555555555555554</x:v>
      </x:c>
      <x:c r="M1589" s="9" t="n">
        <x:f>'Physical_Arcs'!S29</x:f>
        <x:v>3.388888888888889</x:v>
      </x:c>
      <x:c r="N1589" s="9" t="n">
        <x:f>M1589*'Parameters'!$C$18</x:f>
        <x:v>0.6777777777777778</x:v>
      </x:c>
      <x:c r="O1589" s="9" t="n">
        <x:f>N1589*'Parameters'!$C$19</x:f>
        <x:v>0.8472222222222223</x:v>
      </x:c>
      <x:c r="P1589" s="9" t="n">
        <x:f>M1589*(1-0.40)-N1589</x:f>
        <x:v>1.3555555555555554</x:v>
      </x:c>
      <x:c r="Q1589" s="9" t="n">
        <x:f>'Physical_Arcs'!T29</x:f>
        <x:v>1.6944444444444444</x:v>
      </x:c>
      <x:c r="R1589" s="9" t="n">
        <x:f>Q1589*'Parameters'!$C$18</x:f>
        <x:v>0.3388888888888889</x:v>
      </x:c>
      <x:c r="S1589" s="9" t="n">
        <x:f>R1589*'Parameters'!$C$19</x:f>
        <x:v>0.42361111111111116</x:v>
      </x:c>
      <x:c r="T1589" s="9" t="n">
        <x:f>Q1589*(1-0.40)-R1589</x:f>
        <x:v>0.6777777777777777</x:v>
      </x:c>
    </x:row>
    <x:row r="1590" ht="21" customHeight="1">
      <x:c r="A1590" s="3" t="n">
        <x:v>26</x:v>
      </x:c>
      <x:c r="B1590" s="3" t="str">
        <x:v>04:20</x:v>
      </x:c>
      <x:c r="C1590" s="3" t="n">
        <x:v>5</x:v>
      </x:c>
      <x:c r="D1590" s="3" t="n">
        <x:v>29</x:v>
      </x:c>
      <x:c r="E1590" s="3" t="n">
        <x:v>5</x:v>
      </x:c>
      <x:c r="F1590" s="3" t="n">
        <x:v>6</x:v>
      </x:c>
      <x:c r="G1590" s="9" t="n">
        <x:v>0.1</x:v>
      </x:c>
      <x:c r="H1590" s="9" t="n">
        <x:v>0.949994</x:v>
      </x:c>
      <x:c r="I1590" s="9" t="n">
        <x:f>'Physical_Arcs'!R30</x:f>
        <x:v>17.02777777777778</x:v>
      </x:c>
      <x:c r="J1590" s="9" t="n">
        <x:f>I1590*'Parameters'!$C$18</x:f>
        <x:v>3.405555555555556</x:v>
      </x:c>
      <x:c r="K1590" s="9" t="n">
        <x:f>J1590*'Parameters'!$C$19</x:f>
        <x:v>4.256944444444445</x:v>
      </x:c>
      <x:c r="L1590" s="9" t="n">
        <x:f>I1590*(1-0.40)-J1590</x:f>
        <x:v>6.811111111111111</x:v>
      </x:c>
      <x:c r="M1590" s="9" t="n">
        <x:f>'Physical_Arcs'!S30</x:f>
        <x:v>17.02777777777778</x:v>
      </x:c>
      <x:c r="N1590" s="9" t="n">
        <x:f>M1590*'Parameters'!$C$18</x:f>
        <x:v>3.405555555555556</x:v>
      </x:c>
      <x:c r="O1590" s="9" t="n">
        <x:f>N1590*'Parameters'!$C$19</x:f>
        <x:v>4.256944444444445</x:v>
      </x:c>
      <x:c r="P1590" s="9" t="n">
        <x:f>M1590*(1-0.40)-N1590</x:f>
        <x:v>6.811111111111111</x:v>
      </x:c>
      <x:c r="Q1590" s="9" t="n">
        <x:f>'Physical_Arcs'!T30</x:f>
        <x:v>17.02777777777778</x:v>
      </x:c>
      <x:c r="R1590" s="9" t="n">
        <x:f>Q1590*'Parameters'!$C$18</x:f>
        <x:v>3.405555555555556</x:v>
      </x:c>
      <x:c r="S1590" s="9" t="n">
        <x:f>R1590*'Parameters'!$C$19</x:f>
        <x:v>4.256944444444445</x:v>
      </x:c>
      <x:c r="T1590" s="9" t="n">
        <x:f>Q1590*(1-0.40)-R1590</x:f>
        <x:v>6.811111111111111</x:v>
      </x:c>
    </x:row>
    <x:row r="1591" ht="21" customHeight="1">
      <x:c r="A1591" s="3" t="n">
        <x:v>26</x:v>
      </x:c>
      <x:c r="B1591" s="3" t="str">
        <x:v>04:20</x:v>
      </x:c>
      <x:c r="C1591" s="3" t="n">
        <x:v>5</x:v>
      </x:c>
      <x:c r="D1591" s="3" t="n">
        <x:v>30</x:v>
      </x:c>
      <x:c r="E1591" s="3" t="n">
        <x:v>5</x:v>
      </x:c>
      <x:c r="F1591" s="3" t="n">
        <x:v>2</x:v>
      </x:c>
      <x:c r="G1591" s="9" t="n">
        <x:v>0.1</x:v>
      </x:c>
      <x:c r="H1591" s="9" t="n">
        <x:v>0.882396</x:v>
      </x:c>
      <x:c r="I1591" s="9" t="n">
        <x:f>'Physical_Arcs'!R31</x:f>
        <x:v>2.9444444444444446</x:v>
      </x:c>
      <x:c r="J1591" s="9" t="n">
        <x:f>I1591*'Parameters'!$C$18</x:f>
        <x:v>0.5888888888888889</x:v>
      </x:c>
      <x:c r="K1591" s="9" t="n">
        <x:f>J1591*'Parameters'!$C$19</x:f>
        <x:v>0.7361111111111112</x:v>
      </x:c>
      <x:c r="L1591" s="9" t="n">
        <x:f>I1591*(1-0.40)-J1591</x:f>
        <x:v>1.177777777777778</x:v>
      </x:c>
      <x:c r="M1591" s="9" t="n">
        <x:f>'Physical_Arcs'!S31</x:f>
        <x:v>2.9444444444444446</x:v>
      </x:c>
      <x:c r="N1591" s="9" t="n">
        <x:f>M1591*'Parameters'!$C$18</x:f>
        <x:v>0.5888888888888889</x:v>
      </x:c>
      <x:c r="O1591" s="9" t="n">
        <x:f>N1591*'Parameters'!$C$19</x:f>
        <x:v>0.7361111111111112</x:v>
      </x:c>
      <x:c r="P1591" s="9" t="n">
        <x:f>M1591*(1-0.40)-N1591</x:f>
        <x:v>1.177777777777778</x:v>
      </x:c>
      <x:c r="Q1591" s="9" t="n">
        <x:f>'Physical_Arcs'!T31</x:f>
        <x:v>1.4722222222222223</x:v>
      </x:c>
      <x:c r="R1591" s="9" t="n">
        <x:f>Q1591*'Parameters'!$C$18</x:f>
        <x:v>0.29444444444444445</x:v>
      </x:c>
      <x:c r="S1591" s="9" t="n">
        <x:f>R1591*'Parameters'!$C$19</x:f>
        <x:v>0.3680555555555556</x:v>
      </x:c>
      <x:c r="T1591" s="9" t="n">
        <x:f>Q1591*(1-0.40)-R1591</x:f>
        <x:v>0.588888888888889</x:v>
      </x:c>
    </x:row>
    <x:row r="1592" ht="21" customHeight="1">
      <x:c r="A1592" s="3" t="n">
        <x:v>26</x:v>
      </x:c>
      <x:c r="B1592" s="3" t="str">
        <x:v>04:20</x:v>
      </x:c>
      <x:c r="C1592" s="3" t="n">
        <x:v>5</x:v>
      </x:c>
      <x:c r="D1592" s="3" t="n">
        <x:v>31</x:v>
      </x:c>
      <x:c r="E1592" s="3" t="n">
        <x:v>5</x:v>
      </x:c>
      <x:c r="F1592" s="3" t="n">
        <x:v>8</x:v>
      </x:c>
      <x:c r="G1592" s="9" t="n">
        <x:v>0.1</x:v>
      </x:c>
      <x:c r="H1592" s="9" t="n">
        <x:v>0.986718</x:v>
      </x:c>
      <x:c r="I1592" s="9" t="n">
        <x:f>'Physical_Arcs'!R32</x:f>
        <x:v>9.333333333333334</x:v>
      </x:c>
      <x:c r="J1592" s="9" t="n">
        <x:f>I1592*'Parameters'!$C$18</x:f>
        <x:v>1.866666666666667</x:v>
      </x:c>
      <x:c r="K1592" s="9" t="n">
        <x:f>J1592*'Parameters'!$C$19</x:f>
        <x:v>2.3333333333333335</x:v>
      </x:c>
      <x:c r="L1592" s="9" t="n">
        <x:f>I1592*(1-0.40)-J1592</x:f>
        <x:v>3.7333333333333334</x:v>
      </x:c>
      <x:c r="M1592" s="9" t="n">
        <x:f>'Physical_Arcs'!S32</x:f>
        <x:v>9.333333333333334</x:v>
      </x:c>
      <x:c r="N1592" s="9" t="n">
        <x:f>M1592*'Parameters'!$C$18</x:f>
        <x:v>1.866666666666667</x:v>
      </x:c>
      <x:c r="O1592" s="9" t="n">
        <x:f>N1592*'Parameters'!$C$19</x:f>
        <x:v>2.3333333333333335</x:v>
      </x:c>
      <x:c r="P1592" s="9" t="n">
        <x:f>M1592*(1-0.40)-N1592</x:f>
        <x:v>3.7333333333333334</x:v>
      </x:c>
      <x:c r="Q1592" s="9" t="n">
        <x:f>'Physical_Arcs'!T32</x:f>
        <x:v>4.666666666666667</x:v>
      </x:c>
      <x:c r="R1592" s="9" t="n">
        <x:f>Q1592*'Parameters'!$C$18</x:f>
        <x:v>0.9333333333333335</x:v>
      </x:c>
      <x:c r="S1592" s="9" t="n">
        <x:f>R1592*'Parameters'!$C$19</x:f>
        <x:v>1.1666666666666667</x:v>
      </x:c>
      <x:c r="T1592" s="9" t="n">
        <x:f>Q1592*(1-0.40)-R1592</x:f>
        <x:v>1.8666666666666667</x:v>
      </x:c>
    </x:row>
    <x:row r="1593" ht="21" customHeight="1">
      <x:c r="A1593" s="3" t="n">
        <x:v>26</x:v>
      </x:c>
      <x:c r="B1593" s="3" t="str">
        <x:v>04:20</x:v>
      </x:c>
      <x:c r="C1593" s="3" t="n">
        <x:v>5</x:v>
      </x:c>
      <x:c r="D1593" s="3" t="n">
        <x:v>32</x:v>
      </x:c>
      <x:c r="E1593" s="3" t="n">
        <x:v>5</x:v>
      </x:c>
      <x:c r="F1593" s="3" t="n">
        <x:v>3</x:v>
      </x:c>
      <x:c r="G1593" s="9" t="n">
        <x:v>0.1</x:v>
      </x:c>
      <x:c r="H1593" s="9" t="n">
        <x:v>1.089544</x:v>
      </x:c>
      <x:c r="I1593" s="9" t="n">
        <x:f>'Physical_Arcs'!R33</x:f>
        <x:v>11.13888888888889</x:v>
      </x:c>
      <x:c r="J1593" s="9" t="n">
        <x:f>I1593*'Parameters'!$C$18</x:f>
        <x:v>2.227777777777778</x:v>
      </x:c>
      <x:c r="K1593" s="9" t="n">
        <x:f>J1593*'Parameters'!$C$19</x:f>
        <x:v>2.7847222222222223</x:v>
      </x:c>
      <x:c r="L1593" s="9" t="n">
        <x:f>I1593*(1-0.40)-J1593</x:f>
        <x:v>4.455555555555556</x:v>
      </x:c>
      <x:c r="M1593" s="9" t="n">
        <x:f>'Physical_Arcs'!S33</x:f>
        <x:v>11.13888888888889</x:v>
      </x:c>
      <x:c r="N1593" s="9" t="n">
        <x:f>M1593*'Parameters'!$C$18</x:f>
        <x:v>2.227777777777778</x:v>
      </x:c>
      <x:c r="O1593" s="9" t="n">
        <x:f>N1593*'Parameters'!$C$19</x:f>
        <x:v>2.7847222222222223</x:v>
      </x:c>
      <x:c r="P1593" s="9" t="n">
        <x:f>M1593*(1-0.40)-N1593</x:f>
        <x:v>4.455555555555556</x:v>
      </x:c>
      <x:c r="Q1593" s="9" t="n">
        <x:f>'Physical_Arcs'!T33</x:f>
        <x:v>5.583333333333333</x:v>
      </x:c>
      <x:c r="R1593" s="9" t="n">
        <x:f>Q1593*'Parameters'!$C$18</x:f>
        <x:v>1.1166666666666667</x:v>
      </x:c>
      <x:c r="S1593" s="9" t="n">
        <x:f>R1593*'Parameters'!$C$19</x:f>
        <x:v>1.3958333333333335</x:v>
      </x:c>
      <x:c r="T1593" s="9" t="n">
        <x:f>Q1593*(1-0.40)-R1593</x:f>
        <x:v>2.233333333333333</x:v>
      </x:c>
    </x:row>
    <x:row r="1594" ht="21" customHeight="1">
      <x:c r="A1594" s="3" t="n">
        <x:v>26</x:v>
      </x:c>
      <x:c r="B1594" s="3" t="str">
        <x:v>04:20</x:v>
      </x:c>
      <x:c r="C1594" s="3" t="n">
        <x:v>5</x:v>
      </x:c>
      <x:c r="D1594" s="3" t="n">
        <x:v>33</x:v>
      </x:c>
      <x:c r="E1594" s="3" t="n">
        <x:v>5</x:v>
      </x:c>
      <x:c r="F1594" s="3" t="n">
        <x:v>10</x:v>
      </x:c>
      <x:c r="G1594" s="9" t="n">
        <x:v>0.1</x:v>
      </x:c>
      <x:c r="H1594" s="9" t="n">
        <x:v>1.103596</x:v>
      </x:c>
      <x:c r="I1594" s="9" t="n">
        <x:f>'Physical_Arcs'!R34</x:f>
        <x:v>4.611111111111111</x:v>
      </x:c>
      <x:c r="J1594" s="9" t="n">
        <x:f>I1594*'Parameters'!$C$18</x:f>
        <x:v>0.9222222222222222</x:v>
      </x:c>
      <x:c r="K1594" s="9" t="n">
        <x:f>J1594*'Parameters'!$C$19</x:f>
        <x:v>1.1527777777777777</x:v>
      </x:c>
      <x:c r="L1594" s="9" t="n">
        <x:f>I1594*(1-0.40)-J1594</x:f>
        <x:v>1.844444444444444</x:v>
      </x:c>
      <x:c r="M1594" s="9" t="n">
        <x:f>'Physical_Arcs'!S34</x:f>
        <x:v>4.611111111111111</x:v>
      </x:c>
      <x:c r="N1594" s="9" t="n">
        <x:f>M1594*'Parameters'!$C$18</x:f>
        <x:v>0.9222222222222222</x:v>
      </x:c>
      <x:c r="O1594" s="9" t="n">
        <x:f>N1594*'Parameters'!$C$19</x:f>
        <x:v>1.1527777777777777</x:v>
      </x:c>
      <x:c r="P1594" s="9" t="n">
        <x:f>M1594*(1-0.40)-N1594</x:f>
        <x:v>1.844444444444444</x:v>
      </x:c>
      <x:c r="Q1594" s="9" t="n">
        <x:f>'Physical_Arcs'!T34</x:f>
        <x:v>2.3055555555555554</x:v>
      </x:c>
      <x:c r="R1594" s="9" t="n">
        <x:f>Q1594*'Parameters'!$C$18</x:f>
        <x:v>0.4611111111111111</x:v>
      </x:c>
      <x:c r="S1594" s="9" t="n">
        <x:f>R1594*'Parameters'!$C$19</x:f>
        <x:v>0.5763888888888888</x:v>
      </x:c>
      <x:c r="T1594" s="9" t="n">
        <x:f>Q1594*(1-0.40)-R1594</x:f>
        <x:v>0.922222222222222</x:v>
      </x:c>
    </x:row>
    <x:row r="1595" ht="21" customHeight="1">
      <x:c r="A1595" s="3" t="n">
        <x:v>26</x:v>
      </x:c>
      <x:c r="B1595" s="3" t="str">
        <x:v>04:20</x:v>
      </x:c>
      <x:c r="C1595" s="3" t="n">
        <x:v>5</x:v>
      </x:c>
      <x:c r="D1595" s="3" t="n">
        <x:v>34</x:v>
      </x:c>
      <x:c r="E1595" s="3" t="n">
        <x:v>6</x:v>
      </x:c>
      <x:c r="F1595" s="3" t="n">
        <x:v>7</x:v>
      </x:c>
      <x:c r="G1595" s="9" t="n">
        <x:v>0.1</x:v>
      </x:c>
      <x:c r="H1595" s="9" t="n">
        <x:v>0.973887</x:v>
      </x:c>
      <x:c r="I1595" s="9" t="n">
        <x:f>'Physical_Arcs'!R35</x:f>
        <x:v>17.02777777777778</x:v>
      </x:c>
      <x:c r="J1595" s="9" t="n">
        <x:f>I1595*'Parameters'!$C$18</x:f>
        <x:v>3.405555555555556</x:v>
      </x:c>
      <x:c r="K1595" s="9" t="n">
        <x:f>J1595*'Parameters'!$C$19</x:f>
        <x:v>4.256944444444445</x:v>
      </x:c>
      <x:c r="L1595" s="9" t="n">
        <x:f>I1595*(1-0.40)-J1595</x:f>
        <x:v>6.811111111111111</x:v>
      </x:c>
      <x:c r="M1595" s="9" t="n">
        <x:f>'Physical_Arcs'!S35</x:f>
        <x:v>17.02777777777778</x:v>
      </x:c>
      <x:c r="N1595" s="9" t="n">
        <x:f>M1595*'Parameters'!$C$18</x:f>
        <x:v>3.405555555555556</x:v>
      </x:c>
      <x:c r="O1595" s="9" t="n">
        <x:f>N1595*'Parameters'!$C$19</x:f>
        <x:v>4.256944444444445</x:v>
      </x:c>
      <x:c r="P1595" s="9" t="n">
        <x:f>M1595*(1-0.40)-N1595</x:f>
        <x:v>6.811111111111111</x:v>
      </x:c>
      <x:c r="Q1595" s="9" t="n">
        <x:f>'Physical_Arcs'!T35</x:f>
        <x:v>17.02777777777778</x:v>
      </x:c>
      <x:c r="R1595" s="9" t="n">
        <x:f>Q1595*'Parameters'!$C$18</x:f>
        <x:v>3.405555555555556</x:v>
      </x:c>
      <x:c r="S1595" s="9" t="n">
        <x:f>R1595*'Parameters'!$C$19</x:f>
        <x:v>4.256944444444445</x:v>
      </x:c>
      <x:c r="T1595" s="9" t="n">
        <x:f>Q1595*(1-0.40)-R1595</x:f>
        <x:v>6.811111111111111</x:v>
      </x:c>
    </x:row>
    <x:row r="1596" ht="21" customHeight="1">
      <x:c r="A1596" s="3" t="n">
        <x:v>26</x:v>
      </x:c>
      <x:c r="B1596" s="3" t="str">
        <x:v>04:20</x:v>
      </x:c>
      <x:c r="C1596" s="3" t="n">
        <x:v>5</x:v>
      </x:c>
      <x:c r="D1596" s="3" t="n">
        <x:v>35</x:v>
      </x:c>
      <x:c r="E1596" s="3" t="n">
        <x:v>6</x:v>
      </x:c>
      <x:c r="F1596" s="3" t="n">
        <x:v>10</x:v>
      </x:c>
      <x:c r="G1596" s="9" t="n">
        <x:v>0.1</x:v>
      </x:c>
      <x:c r="H1596" s="9" t="n">
        <x:v>1.009062</x:v>
      </x:c>
      <x:c r="I1596" s="9" t="n">
        <x:f>'Physical_Arcs'!R36</x:f>
        <x:v>4.055555555555555</x:v>
      </x:c>
      <x:c r="J1596" s="9" t="n">
        <x:f>I1596*'Parameters'!$C$18</x:f>
        <x:v>0.8111111111111111</x:v>
      </x:c>
      <x:c r="K1596" s="9" t="n">
        <x:f>J1596*'Parameters'!$C$19</x:f>
        <x:v>1.0138888888888888</x:v>
      </x:c>
      <x:c r="L1596" s="9" t="n">
        <x:f>I1596*(1-0.40)-J1596</x:f>
        <x:v>1.622222222222222</x:v>
      </x:c>
      <x:c r="M1596" s="9" t="n">
        <x:f>'Physical_Arcs'!S36</x:f>
        <x:v>4.055555555555555</x:v>
      </x:c>
      <x:c r="N1596" s="9" t="n">
        <x:f>M1596*'Parameters'!$C$18</x:f>
        <x:v>0.8111111111111111</x:v>
      </x:c>
      <x:c r="O1596" s="9" t="n">
        <x:f>N1596*'Parameters'!$C$19</x:f>
        <x:v>1.0138888888888888</x:v>
      </x:c>
      <x:c r="P1596" s="9" t="n">
        <x:f>M1596*(1-0.40)-N1596</x:f>
        <x:v>1.622222222222222</x:v>
      </x:c>
      <x:c r="Q1596" s="9" t="n">
        <x:f>'Physical_Arcs'!T36</x:f>
        <x:v>2.0277777777777777</x:v>
      </x:c>
      <x:c r="R1596" s="9" t="n">
        <x:f>Q1596*'Parameters'!$C$18</x:f>
        <x:v>0.40555555555555556</x:v>
      </x:c>
      <x:c r="S1596" s="9" t="n">
        <x:f>R1596*'Parameters'!$C$19</x:f>
        <x:v>0.5069444444444444</x:v>
      </x:c>
      <x:c r="T1596" s="9" t="n">
        <x:f>Q1596*(1-0.40)-R1596</x:f>
        <x:v>0.811111111111111</x:v>
      </x:c>
    </x:row>
    <x:row r="1597" ht="21" customHeight="1">
      <x:c r="A1597" s="3" t="n">
        <x:v>26</x:v>
      </x:c>
      <x:c r="B1597" s="3" t="str">
        <x:v>04:20</x:v>
      </x:c>
      <x:c r="C1597" s="3" t="n">
        <x:v>5</x:v>
      </x:c>
      <x:c r="D1597" s="3" t="n">
        <x:v>36</x:v>
      </x:c>
      <x:c r="E1597" s="3" t="n">
        <x:v>6</x:v>
      </x:c>
      <x:c r="F1597" s="3" t="n">
        <x:v>8</x:v>
      </x:c>
      <x:c r="G1597" s="9" t="n">
        <x:v>0.1</x:v>
      </x:c>
      <x:c r="H1597" s="9" t="n">
        <x:v>1.132129</x:v>
      </x:c>
      <x:c r="I1597" s="9" t="n">
        <x:f>'Physical_Arcs'!R37</x:f>
        <x:v>6.972222222222222</x:v>
      </x:c>
      <x:c r="J1597" s="9" t="n">
        <x:f>I1597*'Parameters'!$C$18</x:f>
        <x:v>1.3944444444444446</x:v>
      </x:c>
      <x:c r="K1597" s="9" t="n">
        <x:f>J1597*'Parameters'!$C$19</x:f>
        <x:v>1.7430555555555558</x:v>
      </x:c>
      <x:c r="L1597" s="9" t="n">
        <x:f>I1597*(1-0.40)-J1597</x:f>
        <x:v>2.7888888888888888</x:v>
      </x:c>
      <x:c r="M1597" s="9" t="n">
        <x:f>'Physical_Arcs'!S37</x:f>
        <x:v>6.972222222222222</x:v>
      </x:c>
      <x:c r="N1597" s="9" t="n">
        <x:f>M1597*'Parameters'!$C$18</x:f>
        <x:v>1.3944444444444446</x:v>
      </x:c>
      <x:c r="O1597" s="9" t="n">
        <x:f>N1597*'Parameters'!$C$19</x:f>
        <x:v>1.7430555555555558</x:v>
      </x:c>
      <x:c r="P1597" s="9" t="n">
        <x:f>M1597*(1-0.40)-N1597</x:f>
        <x:v>2.7888888888888888</x:v>
      </x:c>
      <x:c r="Q1597" s="9" t="n">
        <x:f>'Physical_Arcs'!T37</x:f>
        <x:v>3.5</x:v>
      </x:c>
      <x:c r="R1597" s="9" t="n">
        <x:f>Q1597*'Parameters'!$C$18</x:f>
        <x:v>0.7000000000000001</x:v>
      </x:c>
      <x:c r="S1597" s="9" t="n">
        <x:f>R1597*'Parameters'!$C$19</x:f>
        <x:v>0.8750000000000001</x:v>
      </x:c>
      <x:c r="T1597" s="9" t="n">
        <x:f>Q1597*(1-0.40)-R1597</x:f>
        <x:v>1.4</x:v>
      </x:c>
    </x:row>
    <x:row r="1598" ht="21" customHeight="1">
      <x:c r="A1598" s="3" t="n">
        <x:v>26</x:v>
      </x:c>
      <x:c r="B1598" s="3" t="str">
        <x:v>04:20</x:v>
      </x:c>
      <x:c r="C1598" s="3" t="n">
        <x:v>5</x:v>
      </x:c>
      <x:c r="D1598" s="3" t="n">
        <x:v>37</x:v>
      </x:c>
      <x:c r="E1598" s="3" t="n">
        <x:v>6</x:v>
      </x:c>
      <x:c r="F1598" s="3" t="n">
        <x:v>1</x:v>
      </x:c>
      <x:c r="G1598" s="9" t="n">
        <x:v>0.1</x:v>
      </x:c>
      <x:c r="H1598" s="9" t="n">
        <x:v>1.020746</x:v>
      </x:c>
      <x:c r="I1598" s="9" t="n">
        <x:f>'Physical_Arcs'!R38</x:f>
        <x:v>6.305555555555555</x:v>
      </x:c>
      <x:c r="J1598" s="9" t="n">
        <x:f>I1598*'Parameters'!$C$18</x:f>
        <x:v>1.261111111111111</x:v>
      </x:c>
      <x:c r="K1598" s="9" t="n">
        <x:f>J1598*'Parameters'!$C$19</x:f>
        <x:v>1.5763888888888888</x:v>
      </x:c>
      <x:c r="L1598" s="9" t="n">
        <x:f>I1598*(1-0.40)-J1598</x:f>
        <x:v>2.522222222222222</x:v>
      </x:c>
      <x:c r="M1598" s="9" t="n">
        <x:f>'Physical_Arcs'!S38</x:f>
        <x:v>6.305555555555555</x:v>
      </x:c>
      <x:c r="N1598" s="9" t="n">
        <x:f>M1598*'Parameters'!$C$18</x:f>
        <x:v>1.261111111111111</x:v>
      </x:c>
      <x:c r="O1598" s="9" t="n">
        <x:f>N1598*'Parameters'!$C$19</x:f>
        <x:v>1.5763888888888888</x:v>
      </x:c>
      <x:c r="P1598" s="9" t="n">
        <x:f>M1598*(1-0.40)-N1598</x:f>
        <x:v>2.522222222222222</x:v>
      </x:c>
      <x:c r="Q1598" s="9" t="n">
        <x:f>'Physical_Arcs'!T38</x:f>
        <x:v>3.1666666666666665</x:v>
      </x:c>
      <x:c r="R1598" s="9" t="n">
        <x:f>Q1598*'Parameters'!$C$18</x:f>
        <x:v>0.6333333333333333</x:v>
      </x:c>
      <x:c r="S1598" s="9" t="n">
        <x:f>R1598*'Parameters'!$C$19</x:f>
        <x:v>0.7916666666666666</x:v>
      </x:c>
      <x:c r="T1598" s="9" t="n">
        <x:f>Q1598*(1-0.40)-R1598</x:f>
        <x:v>1.2666666666666666</x:v>
      </x:c>
    </x:row>
    <x:row r="1599" ht="21" customHeight="1">
      <x:c r="A1599" s="3" t="n">
        <x:v>26</x:v>
      </x:c>
      <x:c r="B1599" s="3" t="str">
        <x:v>04:20</x:v>
      </x:c>
      <x:c r="C1599" s="3" t="n">
        <x:v>5</x:v>
      </x:c>
      <x:c r="D1599" s="3" t="n">
        <x:v>38</x:v>
      </x:c>
      <x:c r="E1599" s="3" t="n">
        <x:v>6</x:v>
      </x:c>
      <x:c r="F1599" s="3" t="n">
        <x:v>3</x:v>
      </x:c>
      <x:c r="G1599" s="9" t="n">
        <x:v>0.1</x:v>
      </x:c>
      <x:c r="H1599" s="9" t="n">
        <x:v>1.149081</x:v>
      </x:c>
      <x:c r="I1599" s="9" t="n">
        <x:f>'Physical_Arcs'!R39</x:f>
        <x:v>1.9166666666666667</x:v>
      </x:c>
      <x:c r="J1599" s="9" t="n">
        <x:f>I1599*'Parameters'!$C$18</x:f>
        <x:v>0.38333333333333336</x:v>
      </x:c>
      <x:c r="K1599" s="9" t="n">
        <x:f>J1599*'Parameters'!$C$19</x:f>
        <x:v>0.4791666666666667</x:v>
      </x:c>
      <x:c r="L1599" s="9" t="n">
        <x:f>I1599*(1-0.40)-J1599</x:f>
        <x:v>0.7666666666666666</x:v>
      </x:c>
      <x:c r="M1599" s="9" t="n">
        <x:f>'Physical_Arcs'!S39</x:f>
        <x:v>1.9166666666666667</x:v>
      </x:c>
      <x:c r="N1599" s="9" t="n">
        <x:f>M1599*'Parameters'!$C$18</x:f>
        <x:v>0.38333333333333336</x:v>
      </x:c>
      <x:c r="O1599" s="9" t="n">
        <x:f>N1599*'Parameters'!$C$19</x:f>
        <x:v>0.4791666666666667</x:v>
      </x:c>
      <x:c r="P1599" s="9" t="n">
        <x:f>M1599*(1-0.40)-N1599</x:f>
        <x:v>0.7666666666666666</x:v>
      </x:c>
      <x:c r="Q1599" s="9" t="n">
        <x:f>'Physical_Arcs'!T39</x:f>
        <x:v>0.9722222222222222</x:v>
      </x:c>
      <x:c r="R1599" s="9" t="n">
        <x:f>Q1599*'Parameters'!$C$18</x:f>
        <x:v>0.19444444444444445</x:v>
      </x:c>
      <x:c r="S1599" s="9" t="n">
        <x:f>R1599*'Parameters'!$C$19</x:f>
        <x:v>0.24305555555555555</x:v>
      </x:c>
      <x:c r="T1599" s="9" t="n">
        <x:f>Q1599*(1-0.40)-R1599</x:f>
        <x:v>0.38888888888888884</x:v>
      </x:c>
    </x:row>
    <x:row r="1600" ht="21" customHeight="1">
      <x:c r="A1600" s="3" t="n">
        <x:v>26</x:v>
      </x:c>
      <x:c r="B1600" s="3" t="str">
        <x:v>04:20</x:v>
      </x:c>
      <x:c r="C1600" s="3" t="n">
        <x:v>5</x:v>
      </x:c>
      <x:c r="D1600" s="3" t="n">
        <x:v>39</x:v>
      </x:c>
      <x:c r="E1600" s="3" t="n">
        <x:v>7</x:v>
      </x:c>
      <x:c r="F1600" s="3" t="n">
        <x:v>8</x:v>
      </x:c>
      <x:c r="G1600" s="9" t="n">
        <x:v>0.1</x:v>
      </x:c>
      <x:c r="H1600" s="9" t="n">
        <x:v>1.003268</x:v>
      </x:c>
      <x:c r="I1600" s="9" t="n">
        <x:f>'Physical_Arcs'!R40</x:f>
        <x:v>17.02777777777778</x:v>
      </x:c>
      <x:c r="J1600" s="9" t="n">
        <x:f>I1600*'Parameters'!$C$18</x:f>
        <x:v>3.405555555555556</x:v>
      </x:c>
      <x:c r="K1600" s="9" t="n">
        <x:f>J1600*'Parameters'!$C$19</x:f>
        <x:v>4.256944444444445</x:v>
      </x:c>
      <x:c r="L1600" s="9" t="n">
        <x:f>I1600*(1-0.40)-J1600</x:f>
        <x:v>6.811111111111111</x:v>
      </x:c>
      <x:c r="M1600" s="9" t="n">
        <x:f>'Physical_Arcs'!S40</x:f>
        <x:v>17.02777777777778</x:v>
      </x:c>
      <x:c r="N1600" s="9" t="n">
        <x:f>M1600*'Parameters'!$C$18</x:f>
        <x:v>3.405555555555556</x:v>
      </x:c>
      <x:c r="O1600" s="9" t="n">
        <x:f>N1600*'Parameters'!$C$19</x:f>
        <x:v>4.256944444444445</x:v>
      </x:c>
      <x:c r="P1600" s="9" t="n">
        <x:f>M1600*(1-0.40)-N1600</x:f>
        <x:v>6.811111111111111</x:v>
      </x:c>
      <x:c r="Q1600" s="9" t="n">
        <x:f>'Physical_Arcs'!T40</x:f>
        <x:v>17.02777777777778</x:v>
      </x:c>
      <x:c r="R1600" s="9" t="n">
        <x:f>Q1600*'Parameters'!$C$18</x:f>
        <x:v>3.405555555555556</x:v>
      </x:c>
      <x:c r="S1600" s="9" t="n">
        <x:f>R1600*'Parameters'!$C$19</x:f>
        <x:v>4.256944444444445</x:v>
      </x:c>
      <x:c r="T1600" s="9" t="n">
        <x:f>Q1600*(1-0.40)-R1600</x:f>
        <x:v>6.811111111111111</x:v>
      </x:c>
    </x:row>
    <x:row r="1601" ht="21" customHeight="1">
      <x:c r="A1601" s="3" t="n">
        <x:v>26</x:v>
      </x:c>
      <x:c r="B1601" s="3" t="str">
        <x:v>04:20</x:v>
      </x:c>
      <x:c r="C1601" s="3" t="n">
        <x:v>5</x:v>
      </x:c>
      <x:c r="D1601" s="3" t="n">
        <x:v>40</x:v>
      </x:c>
      <x:c r="E1601" s="3" t="n">
        <x:v>7</x:v>
      </x:c>
      <x:c r="F1601" s="3" t="n">
        <x:v>1</x:v>
      </x:c>
      <x:c r="G1601" s="9" t="n">
        <x:v>0.1</x:v>
      </x:c>
      <x:c r="H1601" s="9" t="n">
        <x:v>1.057592</x:v>
      </x:c>
      <x:c r="I1601" s="9" t="n">
        <x:f>'Physical_Arcs'!R41</x:f>
        <x:v>7.972222222222222</x:v>
      </x:c>
      <x:c r="J1601" s="9" t="n">
        <x:f>I1601*'Parameters'!$C$18</x:f>
        <x:v>1.5944444444444446</x:v>
      </x:c>
      <x:c r="K1601" s="9" t="n">
        <x:f>J1601*'Parameters'!$C$19</x:f>
        <x:v>1.9930555555555558</x:v>
      </x:c>
      <x:c r="L1601" s="9" t="n">
        <x:f>I1601*(1-0.40)-J1601</x:f>
        <x:v>3.1888888888888887</x:v>
      </x:c>
      <x:c r="M1601" s="9" t="n">
        <x:f>'Physical_Arcs'!S41</x:f>
        <x:v>7.972222222222222</x:v>
      </x:c>
      <x:c r="N1601" s="9" t="n">
        <x:f>M1601*'Parameters'!$C$18</x:f>
        <x:v>1.5944444444444446</x:v>
      </x:c>
      <x:c r="O1601" s="9" t="n">
        <x:f>N1601*'Parameters'!$C$19</x:f>
        <x:v>1.9930555555555558</x:v>
      </x:c>
      <x:c r="P1601" s="9" t="n">
        <x:f>M1601*(1-0.40)-N1601</x:f>
        <x:v>3.1888888888888887</x:v>
      </x:c>
      <x:c r="Q1601" s="9" t="n">
        <x:f>'Physical_Arcs'!T41</x:f>
        <x:v>4</x:v>
      </x:c>
      <x:c r="R1601" s="9" t="n">
        <x:f>Q1601*'Parameters'!$C$18</x:f>
        <x:v>0.8</x:v>
      </x:c>
      <x:c r="S1601" s="9" t="n">
        <x:f>R1601*'Parameters'!$C$19</x:f>
        <x:v>1</x:v>
      </x:c>
      <x:c r="T1601" s="9" t="n">
        <x:f>Q1601*(1-0.40)-R1601</x:f>
        <x:v>1.5999999999999999</x:v>
      </x:c>
    </x:row>
    <x:row r="1602" ht="21" customHeight="1">
      <x:c r="A1602" s="3" t="n">
        <x:v>26</x:v>
      </x:c>
      <x:c r="B1602" s="3" t="str">
        <x:v>04:20</x:v>
      </x:c>
      <x:c r="C1602" s="3" t="n">
        <x:v>5</x:v>
      </x:c>
      <x:c r="D1602" s="3" t="n">
        <x:v>41</x:v>
      </x:c>
      <x:c r="E1602" s="3" t="n">
        <x:v>7</x:v>
      </x:c>
      <x:c r="F1602" s="3" t="n">
        <x:v>9</x:v>
      </x:c>
      <x:c r="G1602" s="9" t="n">
        <x:v>0.1</x:v>
      </x:c>
      <x:c r="H1602" s="9" t="n">
        <x:v>1.14801</x:v>
      </x:c>
      <x:c r="I1602" s="9" t="n">
        <x:f>'Physical_Arcs'!R42</x:f>
        <x:v>8.88888888888889</x:v>
      </x:c>
      <x:c r="J1602" s="9" t="n">
        <x:f>I1602*'Parameters'!$C$18</x:f>
        <x:v>1.777777777777778</x:v>
      </x:c>
      <x:c r="K1602" s="9" t="n">
        <x:f>J1602*'Parameters'!$C$19</x:f>
        <x:v>2.2222222222222223</x:v>
      </x:c>
      <x:c r="L1602" s="9" t="n">
        <x:f>I1602*(1-0.40)-J1602</x:f>
        <x:v>3.5555555555555554</x:v>
      </x:c>
      <x:c r="M1602" s="9" t="n">
        <x:f>'Physical_Arcs'!S42</x:f>
        <x:v>8.88888888888889</x:v>
      </x:c>
      <x:c r="N1602" s="9" t="n">
        <x:f>M1602*'Parameters'!$C$18</x:f>
        <x:v>1.777777777777778</x:v>
      </x:c>
      <x:c r="O1602" s="9" t="n">
        <x:f>N1602*'Parameters'!$C$19</x:f>
        <x:v>2.2222222222222223</x:v>
      </x:c>
      <x:c r="P1602" s="9" t="n">
        <x:f>M1602*(1-0.40)-N1602</x:f>
        <x:v>3.5555555555555554</x:v>
      </x:c>
      <x:c r="Q1602" s="9" t="n">
        <x:f>'Physical_Arcs'!T42</x:f>
        <x:v>4.444444444444445</x:v>
      </x:c>
      <x:c r="R1602" s="9" t="n">
        <x:f>Q1602*'Parameters'!$C$18</x:f>
        <x:v>0.888888888888889</x:v>
      </x:c>
      <x:c r="S1602" s="9" t="n">
        <x:f>R1602*'Parameters'!$C$19</x:f>
        <x:v>1.1111111111111112</x:v>
      </x:c>
      <x:c r="T1602" s="9" t="n">
        <x:f>Q1602*(1-0.40)-R1602</x:f>
        <x:v>1.7777777777777777</x:v>
      </x:c>
    </x:row>
    <x:row r="1603" ht="21" customHeight="1">
      <x:c r="A1603" s="3" t="n">
        <x:v>26</x:v>
      </x:c>
      <x:c r="B1603" s="3" t="str">
        <x:v>04:20</x:v>
      </x:c>
      <x:c r="C1603" s="3" t="n">
        <x:v>5</x:v>
      </x:c>
      <x:c r="D1603" s="3" t="n">
        <x:v>42</x:v>
      </x:c>
      <x:c r="E1603" s="3" t="n">
        <x:v>7</x:v>
      </x:c>
      <x:c r="F1603" s="3" t="n">
        <x:v>2</x:v>
      </x:c>
      <x:c r="G1603" s="9" t="n">
        <x:v>0.1</x:v>
      </x:c>
      <x:c r="H1603" s="9" t="n">
        <x:v>0.989237</x:v>
      </x:c>
      <x:c r="I1603" s="9" t="n">
        <x:f>'Physical_Arcs'!R43</x:f>
        <x:v>9</x:v>
      </x:c>
      <x:c r="J1603" s="9" t="n">
        <x:f>I1603*'Parameters'!$C$18</x:f>
        <x:v>1.8</x:v>
      </x:c>
      <x:c r="K1603" s="9" t="n">
        <x:f>J1603*'Parameters'!$C$19</x:f>
        <x:v>2.25</x:v>
      </x:c>
      <x:c r="L1603" s="9" t="n">
        <x:f>I1603*(1-0.40)-J1603</x:f>
        <x:v>3.5999999999999996</x:v>
      </x:c>
      <x:c r="M1603" s="9" t="n">
        <x:f>'Physical_Arcs'!S43</x:f>
        <x:v>9</x:v>
      </x:c>
      <x:c r="N1603" s="9" t="n">
        <x:f>M1603*'Parameters'!$C$18</x:f>
        <x:v>1.8</x:v>
      </x:c>
      <x:c r="O1603" s="9" t="n">
        <x:f>N1603*'Parameters'!$C$19</x:f>
        <x:v>2.25</x:v>
      </x:c>
      <x:c r="P1603" s="9" t="n">
        <x:f>M1603*(1-0.40)-N1603</x:f>
        <x:v>3.5999999999999996</x:v>
      </x:c>
      <x:c r="Q1603" s="9" t="n">
        <x:f>'Physical_Arcs'!T43</x:f>
        <x:v>4.5</x:v>
      </x:c>
      <x:c r="R1603" s="9" t="n">
        <x:f>Q1603*'Parameters'!$C$18</x:f>
        <x:v>0.9</x:v>
      </x:c>
      <x:c r="S1603" s="9" t="n">
        <x:f>R1603*'Parameters'!$C$19</x:f>
        <x:v>1.125</x:v>
      </x:c>
      <x:c r="T1603" s="9" t="n">
        <x:f>Q1603*(1-0.40)-R1603</x:f>
        <x:v>1.7999999999999998</x:v>
      </x:c>
    </x:row>
    <x:row r="1604" ht="21" customHeight="1">
      <x:c r="A1604" s="3" t="n">
        <x:v>26</x:v>
      </x:c>
      <x:c r="B1604" s="3" t="str">
        <x:v>04:20</x:v>
      </x:c>
      <x:c r="C1604" s="3" t="n">
        <x:v>5</x:v>
      </x:c>
      <x:c r="D1604" s="3" t="n">
        <x:v>43</x:v>
      </x:c>
      <x:c r="E1604" s="3" t="n">
        <x:v>7</x:v>
      </x:c>
      <x:c r="F1604" s="3" t="n">
        <x:v>3</x:v>
      </x:c>
      <x:c r="G1604" s="9" t="n">
        <x:v>0.1</x:v>
      </x:c>
      <x:c r="H1604" s="9" t="n">
        <x:v>1.050432</x:v>
      </x:c>
      <x:c r="I1604" s="9" t="n">
        <x:f>'Physical_Arcs'!R44</x:f>
        <x:v>7.638888888888889</x:v>
      </x:c>
      <x:c r="J1604" s="9" t="n">
        <x:f>I1604*'Parameters'!$C$18</x:f>
        <x:v>1.527777777777778</x:v>
      </x:c>
      <x:c r="K1604" s="9" t="n">
        <x:f>J1604*'Parameters'!$C$19</x:f>
        <x:v>1.9097222222222223</x:v>
      </x:c>
      <x:c r="L1604" s="9" t="n">
        <x:f>I1604*(1-0.40)-J1604</x:f>
        <x:v>3.0555555555555554</x:v>
      </x:c>
      <x:c r="M1604" s="9" t="n">
        <x:f>'Physical_Arcs'!S44</x:f>
        <x:v>7.638888888888889</x:v>
      </x:c>
      <x:c r="N1604" s="9" t="n">
        <x:f>M1604*'Parameters'!$C$18</x:f>
        <x:v>1.527777777777778</x:v>
      </x:c>
      <x:c r="O1604" s="9" t="n">
        <x:f>N1604*'Parameters'!$C$19</x:f>
        <x:v>1.9097222222222223</x:v>
      </x:c>
      <x:c r="P1604" s="9" t="n">
        <x:f>M1604*(1-0.40)-N1604</x:f>
        <x:v>3.0555555555555554</x:v>
      </x:c>
      <x:c r="Q1604" s="9" t="n">
        <x:f>'Physical_Arcs'!T44</x:f>
        <x:v>3.8333333333333335</x:v>
      </x:c>
      <x:c r="R1604" s="9" t="n">
        <x:f>Q1604*'Parameters'!$C$18</x:f>
        <x:v>0.7666666666666667</x:v>
      </x:c>
      <x:c r="S1604" s="9" t="n">
        <x:f>R1604*'Parameters'!$C$19</x:f>
        <x:v>0.9583333333333334</x:v>
      </x:c>
      <x:c r="T1604" s="9" t="n">
        <x:f>Q1604*(1-0.40)-R1604</x:f>
        <x:v>1.5333333333333332</x:v>
      </x:c>
    </x:row>
    <x:row r="1605" ht="21" customHeight="1">
      <x:c r="A1605" s="3" t="n">
        <x:v>26</x:v>
      </x:c>
      <x:c r="B1605" s="3" t="str">
        <x:v>04:20</x:v>
      </x:c>
      <x:c r="C1605" s="3" t="n">
        <x:v>5</x:v>
      </x:c>
      <x:c r="D1605" s="3" t="n">
        <x:v>44</x:v>
      </x:c>
      <x:c r="E1605" s="3" t="n">
        <x:v>8</x:v>
      </x:c>
      <x:c r="F1605" s="3" t="n">
        <x:v>9</x:v>
      </x:c>
      <x:c r="G1605" s="9" t="n">
        <x:v>0.1</x:v>
      </x:c>
      <x:c r="H1605" s="9" t="n">
        <x:v>0.868101</x:v>
      </x:c>
      <x:c r="I1605" s="9" t="n">
        <x:f>'Physical_Arcs'!R45</x:f>
        <x:v>17.02777777777778</x:v>
      </x:c>
      <x:c r="J1605" s="9" t="n">
        <x:f>I1605*'Parameters'!$C$18</x:f>
        <x:v>3.405555555555556</x:v>
      </x:c>
      <x:c r="K1605" s="9" t="n">
        <x:f>J1605*'Parameters'!$C$19</x:f>
        <x:v>4.256944444444445</x:v>
      </x:c>
      <x:c r="L1605" s="9" t="n">
        <x:f>I1605*(1-0.40)-J1605</x:f>
        <x:v>6.811111111111111</x:v>
      </x:c>
      <x:c r="M1605" s="9" t="n">
        <x:f>'Physical_Arcs'!S45</x:f>
        <x:v>17.02777777777778</x:v>
      </x:c>
      <x:c r="N1605" s="9" t="n">
        <x:f>M1605*'Parameters'!$C$18</x:f>
        <x:v>3.405555555555556</x:v>
      </x:c>
      <x:c r="O1605" s="9" t="n">
        <x:f>N1605*'Parameters'!$C$19</x:f>
        <x:v>4.256944444444445</x:v>
      </x:c>
      <x:c r="P1605" s="9" t="n">
        <x:f>M1605*(1-0.40)-N1605</x:f>
        <x:v>6.811111111111111</x:v>
      </x:c>
      <x:c r="Q1605" s="9" t="n">
        <x:f>'Physical_Arcs'!T45</x:f>
        <x:v>17.02777777777778</x:v>
      </x:c>
      <x:c r="R1605" s="9" t="n">
        <x:f>Q1605*'Parameters'!$C$18</x:f>
        <x:v>3.405555555555556</x:v>
      </x:c>
      <x:c r="S1605" s="9" t="n">
        <x:f>R1605*'Parameters'!$C$19</x:f>
        <x:v>4.256944444444445</x:v>
      </x:c>
      <x:c r="T1605" s="9" t="n">
        <x:f>Q1605*(1-0.40)-R1605</x:f>
        <x:v>6.811111111111111</x:v>
      </x:c>
    </x:row>
    <x:row r="1606" ht="21" customHeight="1">
      <x:c r="A1606" s="3" t="n">
        <x:v>26</x:v>
      </x:c>
      <x:c r="B1606" s="3" t="str">
        <x:v>04:20</x:v>
      </x:c>
      <x:c r="C1606" s="3" t="n">
        <x:v>5</x:v>
      </x:c>
      <x:c r="D1606" s="3" t="n">
        <x:v>45</x:v>
      </x:c>
      <x:c r="E1606" s="3" t="n">
        <x:v>8</x:v>
      </x:c>
      <x:c r="F1606" s="3" t="n">
        <x:v>3</x:v>
      </x:c>
      <x:c r="G1606" s="9" t="n">
        <x:v>0.1</x:v>
      </x:c>
      <x:c r="H1606" s="9" t="n">
        <x:v>0.944958</x:v>
      </x:c>
      <x:c r="I1606" s="9" t="n">
        <x:f>'Physical_Arcs'!R46</x:f>
        <x:v>5.388888888888889</x:v>
      </x:c>
      <x:c r="J1606" s="9" t="n">
        <x:f>I1606*'Parameters'!$C$18</x:f>
        <x:v>1.077777777777778</x:v>
      </x:c>
      <x:c r="K1606" s="9" t="n">
        <x:f>J1606*'Parameters'!$C$19</x:f>
        <x:v>1.3472222222222223</x:v>
      </x:c>
      <x:c r="L1606" s="9" t="n">
        <x:f>I1606*(1-0.40)-J1606</x:f>
        <x:v>2.1555555555555554</x:v>
      </x:c>
      <x:c r="M1606" s="9" t="n">
        <x:f>'Physical_Arcs'!S46</x:f>
        <x:v>5.388888888888889</x:v>
      </x:c>
      <x:c r="N1606" s="9" t="n">
        <x:f>M1606*'Parameters'!$C$18</x:f>
        <x:v>1.077777777777778</x:v>
      </x:c>
      <x:c r="O1606" s="9" t="n">
        <x:f>N1606*'Parameters'!$C$19</x:f>
        <x:v>1.3472222222222223</x:v>
      </x:c>
      <x:c r="P1606" s="9" t="n">
        <x:f>M1606*(1-0.40)-N1606</x:f>
        <x:v>2.1555555555555554</x:v>
      </x:c>
      <x:c r="Q1606" s="9" t="n">
        <x:f>'Physical_Arcs'!T46</x:f>
        <x:v>2.6944444444444446</x:v>
      </x:c>
      <x:c r="R1606" s="9" t="n">
        <x:f>Q1606*'Parameters'!$C$18</x:f>
        <x:v>0.538888888888889</x:v>
      </x:c>
      <x:c r="S1606" s="9" t="n">
        <x:f>R1606*'Parameters'!$C$19</x:f>
        <x:v>0.6736111111111112</x:v>
      </x:c>
      <x:c r="T1606" s="9" t="n">
        <x:f>Q1606*(1-0.40)-R1606</x:f>
        <x:v>1.0777777777777777</x:v>
      </x:c>
    </x:row>
    <x:row r="1607" ht="21" customHeight="1">
      <x:c r="A1607" s="3" t="n">
        <x:v>26</x:v>
      </x:c>
      <x:c r="B1607" s="3" t="str">
        <x:v>04:20</x:v>
      </x:c>
      <x:c r="C1607" s="3" t="n">
        <x:v>5</x:v>
      </x:c>
      <x:c r="D1607" s="3" t="n">
        <x:v>46</x:v>
      </x:c>
      <x:c r="E1607" s="3" t="n">
        <x:v>8</x:v>
      </x:c>
      <x:c r="F1607" s="3" t="n">
        <x:v>7</x:v>
      </x:c>
      <x:c r="G1607" s="9" t="n">
        <x:v>0.1</x:v>
      </x:c>
      <x:c r="H1607" s="9" t="n">
        <x:v>0.866232</x:v>
      </x:c>
      <x:c r="I1607" s="9" t="n">
        <x:f>'Physical_Arcs'!R47</x:f>
        <x:v>5.388888888888889</x:v>
      </x:c>
      <x:c r="J1607" s="9" t="n">
        <x:f>I1607*'Parameters'!$C$18</x:f>
        <x:v>1.077777777777778</x:v>
      </x:c>
      <x:c r="K1607" s="9" t="n">
        <x:f>J1607*'Parameters'!$C$19</x:f>
        <x:v>1.3472222222222223</x:v>
      </x:c>
      <x:c r="L1607" s="9" t="n">
        <x:f>I1607*(1-0.40)-J1607</x:f>
        <x:v>2.1555555555555554</x:v>
      </x:c>
      <x:c r="M1607" s="9" t="n">
        <x:f>'Physical_Arcs'!S47</x:f>
        <x:v>5.388888888888889</x:v>
      </x:c>
      <x:c r="N1607" s="9" t="n">
        <x:f>M1607*'Parameters'!$C$18</x:f>
        <x:v>1.077777777777778</x:v>
      </x:c>
      <x:c r="O1607" s="9" t="n">
        <x:f>N1607*'Parameters'!$C$19</x:f>
        <x:v>1.3472222222222223</x:v>
      </x:c>
      <x:c r="P1607" s="9" t="n">
        <x:f>M1607*(1-0.40)-N1607</x:f>
        <x:v>2.1555555555555554</x:v>
      </x:c>
      <x:c r="Q1607" s="9" t="n">
        <x:f>'Physical_Arcs'!T47</x:f>
        <x:v>2.6944444444444446</x:v>
      </x:c>
      <x:c r="R1607" s="9" t="n">
        <x:f>Q1607*'Parameters'!$C$18</x:f>
        <x:v>0.538888888888889</x:v>
      </x:c>
      <x:c r="S1607" s="9" t="n">
        <x:f>R1607*'Parameters'!$C$19</x:f>
        <x:v>0.6736111111111112</x:v>
      </x:c>
      <x:c r="T1607" s="9" t="n">
        <x:f>Q1607*(1-0.40)-R1607</x:f>
        <x:v>1.0777777777777777</x:v>
      </x:c>
    </x:row>
    <x:row r="1608" ht="21" customHeight="1">
      <x:c r="A1608" s="3" t="n">
        <x:v>26</x:v>
      </x:c>
      <x:c r="B1608" s="3" t="str">
        <x:v>04:20</x:v>
      </x:c>
      <x:c r="C1608" s="3" t="n">
        <x:v>5</x:v>
      </x:c>
      <x:c r="D1608" s="3" t="n">
        <x:v>47</x:v>
      </x:c>
      <x:c r="E1608" s="3" t="n">
        <x:v>8</x:v>
      </x:c>
      <x:c r="F1608" s="3" t="n">
        <x:v>2</x:v>
      </x:c>
      <x:c r="G1608" s="9" t="n">
        <x:v>0.1</x:v>
      </x:c>
      <x:c r="H1608" s="9" t="n">
        <x:v>1.135644</x:v>
      </x:c>
      <x:c r="I1608" s="9" t="n">
        <x:f>'Physical_Arcs'!R48</x:f>
        <x:v>8.083333333333334</x:v>
      </x:c>
      <x:c r="J1608" s="9" t="n">
        <x:f>I1608*'Parameters'!$C$18</x:f>
        <x:v>1.616666666666667</x:v>
      </x:c>
      <x:c r="K1608" s="9" t="n">
        <x:f>J1608*'Parameters'!$C$19</x:f>
        <x:v>2.0208333333333335</x:v>
      </x:c>
      <x:c r="L1608" s="9" t="n">
        <x:f>I1608*(1-0.40)-J1608</x:f>
        <x:v>3.2333333333333334</x:v>
      </x:c>
      <x:c r="M1608" s="9" t="n">
        <x:f>'Physical_Arcs'!S48</x:f>
        <x:v>8.083333333333334</x:v>
      </x:c>
      <x:c r="N1608" s="9" t="n">
        <x:f>M1608*'Parameters'!$C$18</x:f>
        <x:v>1.616666666666667</x:v>
      </x:c>
      <x:c r="O1608" s="9" t="n">
        <x:f>N1608*'Parameters'!$C$19</x:f>
        <x:v>2.0208333333333335</x:v>
      </x:c>
      <x:c r="P1608" s="9" t="n">
        <x:f>M1608*(1-0.40)-N1608</x:f>
        <x:v>3.2333333333333334</x:v>
      </x:c>
      <x:c r="Q1608" s="9" t="n">
        <x:f>'Physical_Arcs'!T48</x:f>
        <x:v>4.055555555555555</x:v>
      </x:c>
      <x:c r="R1608" s="9" t="n">
        <x:f>Q1608*'Parameters'!$C$18</x:f>
        <x:v>0.8111111111111111</x:v>
      </x:c>
      <x:c r="S1608" s="9" t="n">
        <x:f>R1608*'Parameters'!$C$19</x:f>
        <x:v>1.0138888888888888</x:v>
      </x:c>
      <x:c r="T1608" s="9" t="n">
        <x:f>Q1608*(1-0.40)-R1608</x:f>
        <x:v>1.622222222222222</x:v>
      </x:c>
    </x:row>
    <x:row r="1609" ht="21" customHeight="1">
      <x:c r="A1609" s="3" t="n">
        <x:v>26</x:v>
      </x:c>
      <x:c r="B1609" s="3" t="str">
        <x:v>04:20</x:v>
      </x:c>
      <x:c r="C1609" s="3" t="n">
        <x:v>5</x:v>
      </x:c>
      <x:c r="D1609" s="3" t="n">
        <x:v>48</x:v>
      </x:c>
      <x:c r="E1609" s="3" t="n">
        <x:v>8</x:v>
      </x:c>
      <x:c r="F1609" s="3" t="n">
        <x:v>6</x:v>
      </x:c>
      <x:c r="G1609" s="9" t="n">
        <x:v>0.1</x:v>
      </x:c>
      <x:c r="H1609" s="9" t="n">
        <x:v>0.850778</x:v>
      </x:c>
      <x:c r="I1609" s="9" t="n">
        <x:f>'Physical_Arcs'!R49</x:f>
        <x:v>10.555555555555555</x:v>
      </x:c>
      <x:c r="J1609" s="9" t="n">
        <x:f>I1609*'Parameters'!$C$18</x:f>
        <x:v>2.111111111111111</x:v>
      </x:c>
      <x:c r="K1609" s="9" t="n">
        <x:f>J1609*'Parameters'!$C$19</x:f>
        <x:v>2.638888888888889</x:v>
      </x:c>
      <x:c r="L1609" s="9" t="n">
        <x:f>I1609*(1-0.40)-J1609</x:f>
        <x:v>4.222222222222221</x:v>
      </x:c>
      <x:c r="M1609" s="9" t="n">
        <x:f>'Physical_Arcs'!S49</x:f>
        <x:v>10.555555555555555</x:v>
      </x:c>
      <x:c r="N1609" s="9" t="n">
        <x:f>M1609*'Parameters'!$C$18</x:f>
        <x:v>2.111111111111111</x:v>
      </x:c>
      <x:c r="O1609" s="9" t="n">
        <x:f>N1609*'Parameters'!$C$19</x:f>
        <x:v>2.638888888888889</x:v>
      </x:c>
      <x:c r="P1609" s="9" t="n">
        <x:f>M1609*(1-0.40)-N1609</x:f>
        <x:v>4.222222222222221</x:v>
      </x:c>
      <x:c r="Q1609" s="9" t="n">
        <x:f>'Physical_Arcs'!T49</x:f>
        <x:v>5.277777777777778</x:v>
      </x:c>
      <x:c r="R1609" s="9" t="n">
        <x:f>Q1609*'Parameters'!$C$18</x:f>
        <x:v>1.0555555555555556</x:v>
      </x:c>
      <x:c r="S1609" s="9" t="n">
        <x:f>R1609*'Parameters'!$C$19</x:f>
        <x:v>1.3194444444444444</x:v>
      </x:c>
      <x:c r="T1609" s="9" t="n">
        <x:f>Q1609*(1-0.40)-R1609</x:f>
        <x:v>2.1111111111111107</x:v>
      </x:c>
    </x:row>
    <x:row r="1610" ht="21" customHeight="1">
      <x:c r="A1610" s="3" t="n">
        <x:v>26</x:v>
      </x:c>
      <x:c r="B1610" s="3" t="str">
        <x:v>04:20</x:v>
      </x:c>
      <x:c r="C1610" s="3" t="n">
        <x:v>5</x:v>
      </x:c>
      <x:c r="D1610" s="3" t="n">
        <x:v>49</x:v>
      </x:c>
      <x:c r="E1610" s="3" t="n">
        <x:v>8</x:v>
      </x:c>
      <x:c r="F1610" s="3" t="n">
        <x:v>4</x:v>
      </x:c>
      <x:c r="G1610" s="9" t="n">
        <x:v>0.1</x:v>
      </x:c>
      <x:c r="H1610" s="9" t="n">
        <x:v>0.904949</x:v>
      </x:c>
      <x:c r="I1610" s="9" t="n">
        <x:f>'Physical_Arcs'!R50</x:f>
        <x:v>1.5833333333333333</x:v>
      </x:c>
      <x:c r="J1610" s="9" t="n">
        <x:f>I1610*'Parameters'!$C$18</x:f>
        <x:v>0.31666666666666665</x:v>
      </x:c>
      <x:c r="K1610" s="9" t="n">
        <x:f>J1610*'Parameters'!$C$19</x:f>
        <x:v>0.3958333333333333</x:v>
      </x:c>
      <x:c r="L1610" s="9" t="n">
        <x:f>I1610*(1-0.40)-J1610</x:f>
        <x:v>0.6333333333333333</x:v>
      </x:c>
      <x:c r="M1610" s="9" t="n">
        <x:f>'Physical_Arcs'!S50</x:f>
        <x:v>1.5833333333333333</x:v>
      </x:c>
      <x:c r="N1610" s="9" t="n">
        <x:f>M1610*'Parameters'!$C$18</x:f>
        <x:v>0.31666666666666665</x:v>
      </x:c>
      <x:c r="O1610" s="9" t="n">
        <x:f>N1610*'Parameters'!$C$19</x:f>
        <x:v>0.3958333333333333</x:v>
      </x:c>
      <x:c r="P1610" s="9" t="n">
        <x:f>M1610*(1-0.40)-N1610</x:f>
        <x:v>0.6333333333333333</x:v>
      </x:c>
      <x:c r="Q1610" s="9" t="n">
        <x:f>'Physical_Arcs'!T50</x:f>
        <x:v>0.8055555555555556</x:v>
      </x:c>
      <x:c r="R1610" s="9" t="n">
        <x:f>Q1610*'Parameters'!$C$18</x:f>
        <x:v>0.16111111111111112</x:v>
      </x:c>
      <x:c r="S1610" s="9" t="n">
        <x:f>R1610*'Parameters'!$C$19</x:f>
        <x:v>0.2013888888888889</x:v>
      </x:c>
      <x:c r="T1610" s="9" t="n">
        <x:f>Q1610*(1-0.40)-R1610</x:f>
        <x:v>0.3222222222222222</x:v>
      </x:c>
    </x:row>
    <x:row r="1611" ht="21" customHeight="1">
      <x:c r="A1611" s="3" t="n">
        <x:v>26</x:v>
      </x:c>
      <x:c r="B1611" s="3" t="str">
        <x:v>04:20</x:v>
      </x:c>
      <x:c r="C1611" s="3" t="n">
        <x:v>5</x:v>
      </x:c>
      <x:c r="D1611" s="3" t="n">
        <x:v>50</x:v>
      </x:c>
      <x:c r="E1611" s="3" t="n">
        <x:v>8</x:v>
      </x:c>
      <x:c r="F1611" s="3" t="n">
        <x:v>5</x:v>
      </x:c>
      <x:c r="G1611" s="9" t="n">
        <x:v>0.1</x:v>
      </x:c>
      <x:c r="H1611" s="9" t="n">
        <x:v>0.990416</x:v>
      </x:c>
      <x:c r="I1611" s="9" t="n">
        <x:f>'Physical_Arcs'!R51</x:f>
        <x:v>10.777777777777779</x:v>
      </x:c>
      <x:c r="J1611" s="9" t="n">
        <x:f>I1611*'Parameters'!$C$18</x:f>
        <x:v>2.155555555555556</x:v>
      </x:c>
      <x:c r="K1611" s="9" t="n">
        <x:f>J1611*'Parameters'!$C$19</x:f>
        <x:v>2.6944444444444446</x:v>
      </x:c>
      <x:c r="L1611" s="9" t="n">
        <x:f>I1611*(1-0.40)-J1611</x:f>
        <x:v>4.311111111111111</x:v>
      </x:c>
      <x:c r="M1611" s="9" t="n">
        <x:f>'Physical_Arcs'!S51</x:f>
        <x:v>10.777777777777779</x:v>
      </x:c>
      <x:c r="N1611" s="9" t="n">
        <x:f>M1611*'Parameters'!$C$18</x:f>
        <x:v>2.155555555555556</x:v>
      </x:c>
      <x:c r="O1611" s="9" t="n">
        <x:f>N1611*'Parameters'!$C$19</x:f>
        <x:v>2.6944444444444446</x:v>
      </x:c>
      <x:c r="P1611" s="9" t="n">
        <x:f>M1611*(1-0.40)-N1611</x:f>
        <x:v>4.311111111111111</x:v>
      </x:c>
      <x:c r="Q1611" s="9" t="n">
        <x:f>'Physical_Arcs'!T51</x:f>
        <x:v>5.388888888888889</x:v>
      </x:c>
      <x:c r="R1611" s="9" t="n">
        <x:f>Q1611*'Parameters'!$C$18</x:f>
        <x:v>1.077777777777778</x:v>
      </x:c>
      <x:c r="S1611" s="9" t="n">
        <x:f>R1611*'Parameters'!$C$19</x:f>
        <x:v>1.3472222222222223</x:v>
      </x:c>
      <x:c r="T1611" s="9" t="n">
        <x:f>Q1611*(1-0.40)-R1611</x:f>
        <x:v>2.1555555555555554</x:v>
      </x:c>
    </x:row>
    <x:row r="1612" ht="21" customHeight="1">
      <x:c r="A1612" s="3" t="n">
        <x:v>26</x:v>
      </x:c>
      <x:c r="B1612" s="3" t="str">
        <x:v>04:20</x:v>
      </x:c>
      <x:c r="C1612" s="3" t="n">
        <x:v>5</x:v>
      </x:c>
      <x:c r="D1612" s="3" t="n">
        <x:v>51</x:v>
      </x:c>
      <x:c r="E1612" s="3" t="n">
        <x:v>8</x:v>
      </x:c>
      <x:c r="F1612" s="3" t="n">
        <x:v>1</x:v>
      </x:c>
      <x:c r="G1612" s="9" t="n">
        <x:v>0.1</x:v>
      </x:c>
      <x:c r="H1612" s="9" t="n">
        <x:v>1.039066</x:v>
      </x:c>
      <x:c r="I1612" s="9" t="n">
        <x:f>'Physical_Arcs'!R52</x:f>
        <x:v>8.88888888888889</x:v>
      </x:c>
      <x:c r="J1612" s="9" t="n">
        <x:f>I1612*'Parameters'!$C$18</x:f>
        <x:v>1.777777777777778</x:v>
      </x:c>
      <x:c r="K1612" s="9" t="n">
        <x:f>J1612*'Parameters'!$C$19</x:f>
        <x:v>2.2222222222222223</x:v>
      </x:c>
      <x:c r="L1612" s="9" t="n">
        <x:f>I1612*(1-0.40)-J1612</x:f>
        <x:v>3.5555555555555554</x:v>
      </x:c>
      <x:c r="M1612" s="9" t="n">
        <x:f>'Physical_Arcs'!S52</x:f>
        <x:v>8.88888888888889</x:v>
      </x:c>
      <x:c r="N1612" s="9" t="n">
        <x:f>M1612*'Parameters'!$C$18</x:f>
        <x:v>1.777777777777778</x:v>
      </x:c>
      <x:c r="O1612" s="9" t="n">
        <x:f>N1612*'Parameters'!$C$19</x:f>
        <x:v>2.2222222222222223</x:v>
      </x:c>
      <x:c r="P1612" s="9" t="n">
        <x:f>M1612*(1-0.40)-N1612</x:f>
        <x:v>3.5555555555555554</x:v>
      </x:c>
      <x:c r="Q1612" s="9" t="n">
        <x:f>'Physical_Arcs'!T52</x:f>
        <x:v>4.444444444444445</x:v>
      </x:c>
      <x:c r="R1612" s="9" t="n">
        <x:f>Q1612*'Parameters'!$C$18</x:f>
        <x:v>0.888888888888889</x:v>
      </x:c>
      <x:c r="S1612" s="9" t="n">
        <x:f>R1612*'Parameters'!$C$19</x:f>
        <x:v>1.1111111111111112</x:v>
      </x:c>
      <x:c r="T1612" s="9" t="n">
        <x:f>Q1612*(1-0.40)-R1612</x:f>
        <x:v>1.7777777777777777</x:v>
      </x:c>
    </x:row>
    <x:row r="1613" ht="21" customHeight="1">
      <x:c r="A1613" s="3" t="n">
        <x:v>26</x:v>
      </x:c>
      <x:c r="B1613" s="3" t="str">
        <x:v>04:20</x:v>
      </x:c>
      <x:c r="C1613" s="3" t="n">
        <x:v>5</x:v>
      </x:c>
      <x:c r="D1613" s="3" t="n">
        <x:v>52</x:v>
      </x:c>
      <x:c r="E1613" s="3" t="n">
        <x:v>9</x:v>
      </x:c>
      <x:c r="F1613" s="3" t="n">
        <x:v>10</x:v>
      </x:c>
      <x:c r="G1613" s="9" t="n">
        <x:v>0.1</x:v>
      </x:c>
      <x:c r="H1613" s="9" t="n">
        <x:v>0.954096</x:v>
      </x:c>
      <x:c r="I1613" s="9" t="n">
        <x:f>'Physical_Arcs'!R53</x:f>
        <x:v>17.02777777777778</x:v>
      </x:c>
      <x:c r="J1613" s="9" t="n">
        <x:f>I1613*'Parameters'!$C$18</x:f>
        <x:v>3.405555555555556</x:v>
      </x:c>
      <x:c r="K1613" s="9" t="n">
        <x:f>J1613*'Parameters'!$C$19</x:f>
        <x:v>4.256944444444445</x:v>
      </x:c>
      <x:c r="L1613" s="9" t="n">
        <x:f>I1613*(1-0.40)-J1613</x:f>
        <x:v>6.811111111111111</x:v>
      </x:c>
      <x:c r="M1613" s="9" t="n">
        <x:f>'Physical_Arcs'!S53</x:f>
        <x:v>17.02777777777778</x:v>
      </x:c>
      <x:c r="N1613" s="9" t="n">
        <x:f>M1613*'Parameters'!$C$18</x:f>
        <x:v>3.405555555555556</x:v>
      </x:c>
      <x:c r="O1613" s="9" t="n">
        <x:f>N1613*'Parameters'!$C$19</x:f>
        <x:v>4.256944444444445</x:v>
      </x:c>
      <x:c r="P1613" s="9" t="n">
        <x:f>M1613*(1-0.40)-N1613</x:f>
        <x:v>6.811111111111111</x:v>
      </x:c>
      <x:c r="Q1613" s="9" t="n">
        <x:f>'Physical_Arcs'!T53</x:f>
        <x:v>17.02777777777778</x:v>
      </x:c>
      <x:c r="R1613" s="9" t="n">
        <x:f>Q1613*'Parameters'!$C$18</x:f>
        <x:v>3.405555555555556</x:v>
      </x:c>
      <x:c r="S1613" s="9" t="n">
        <x:f>R1613*'Parameters'!$C$19</x:f>
        <x:v>4.256944444444445</x:v>
      </x:c>
      <x:c r="T1613" s="9" t="n">
        <x:f>Q1613*(1-0.40)-R1613</x:f>
        <x:v>6.811111111111111</x:v>
      </x:c>
    </x:row>
    <x:row r="1614" ht="21" customHeight="1">
      <x:c r="A1614" s="3" t="n">
        <x:v>26</x:v>
      </x:c>
      <x:c r="B1614" s="3" t="str">
        <x:v>04:20</x:v>
      </x:c>
      <x:c r="C1614" s="3" t="n">
        <x:v>5</x:v>
      </x:c>
      <x:c r="D1614" s="3" t="n">
        <x:v>53</x:v>
      </x:c>
      <x:c r="E1614" s="3" t="n">
        <x:v>9</x:v>
      </x:c>
      <x:c r="F1614" s="3" t="n">
        <x:v>6</x:v>
      </x:c>
      <x:c r="G1614" s="9" t="n">
        <x:v>0.1</x:v>
      </x:c>
      <x:c r="H1614" s="9" t="n">
        <x:v>1.125574</x:v>
      </x:c>
      <x:c r="I1614" s="9" t="n">
        <x:f>'Physical_Arcs'!R54</x:f>
        <x:v>9.666666666666666</x:v>
      </x:c>
      <x:c r="J1614" s="9" t="n">
        <x:f>I1614*'Parameters'!$C$18</x:f>
        <x:v>1.9333333333333333</x:v>
      </x:c>
      <x:c r="K1614" s="9" t="n">
        <x:f>J1614*'Parameters'!$C$19</x:f>
        <x:v>2.4166666666666665</x:v>
      </x:c>
      <x:c r="L1614" s="9" t="n">
        <x:f>I1614*(1-0.40)-J1614</x:f>
        <x:v>3.8666666666666663</x:v>
      </x:c>
      <x:c r="M1614" s="9" t="n">
        <x:f>'Physical_Arcs'!S54</x:f>
        <x:v>9.666666666666666</x:v>
      </x:c>
      <x:c r="N1614" s="9" t="n">
        <x:f>M1614*'Parameters'!$C$18</x:f>
        <x:v>1.9333333333333333</x:v>
      </x:c>
      <x:c r="O1614" s="9" t="n">
        <x:f>N1614*'Parameters'!$C$19</x:f>
        <x:v>2.4166666666666665</x:v>
      </x:c>
      <x:c r="P1614" s="9" t="n">
        <x:f>M1614*(1-0.40)-N1614</x:f>
        <x:v>3.8666666666666663</x:v>
      </x:c>
      <x:c r="Q1614" s="9" t="n">
        <x:f>'Physical_Arcs'!T54</x:f>
        <x:v>4.833333333333333</x:v>
      </x:c>
      <x:c r="R1614" s="9" t="n">
        <x:f>Q1614*'Parameters'!$C$18</x:f>
        <x:v>0.9666666666666667</x:v>
      </x:c>
      <x:c r="S1614" s="9" t="n">
        <x:f>R1614*'Parameters'!$C$19</x:f>
        <x:v>1.2083333333333333</x:v>
      </x:c>
      <x:c r="T1614" s="9" t="n">
        <x:f>Q1614*(1-0.40)-R1614</x:f>
        <x:v>1.9333333333333331</x:v>
      </x:c>
    </x:row>
    <x:row r="1615" ht="21" customHeight="1">
      <x:c r="A1615" s="3" t="n">
        <x:v>26</x:v>
      </x:c>
      <x:c r="B1615" s="3" t="str">
        <x:v>04:20</x:v>
      </x:c>
      <x:c r="C1615" s="3" t="n">
        <x:v>5</x:v>
      </x:c>
      <x:c r="D1615" s="3" t="n">
        <x:v>54</x:v>
      </x:c>
      <x:c r="E1615" s="3" t="n">
        <x:v>9</x:v>
      </x:c>
      <x:c r="F1615" s="3" t="n">
        <x:v>2</x:v>
      </x:c>
      <x:c r="G1615" s="9" t="n">
        <x:v>0.1</x:v>
      </x:c>
      <x:c r="H1615" s="9" t="n">
        <x:v>0.854534</x:v>
      </x:c>
      <x:c r="I1615" s="9" t="n">
        <x:f>'Physical_Arcs'!R55</x:f>
        <x:v>9.88888888888889</x:v>
      </x:c>
      <x:c r="J1615" s="9" t="n">
        <x:f>I1615*'Parameters'!$C$18</x:f>
        <x:v>1.9777777777777779</x:v>
      </x:c>
      <x:c r="K1615" s="9" t="n">
        <x:f>J1615*'Parameters'!$C$19</x:f>
        <x:v>2.4722222222222223</x:v>
      </x:c>
      <x:c r="L1615" s="9" t="n">
        <x:f>I1615*(1-0.40)-J1615</x:f>
        <x:v>3.9555555555555557</x:v>
      </x:c>
      <x:c r="M1615" s="9" t="n">
        <x:f>'Physical_Arcs'!S55</x:f>
        <x:v>9.88888888888889</x:v>
      </x:c>
      <x:c r="N1615" s="9" t="n">
        <x:f>M1615*'Parameters'!$C$18</x:f>
        <x:v>1.9777777777777779</x:v>
      </x:c>
      <x:c r="O1615" s="9" t="n">
        <x:f>N1615*'Parameters'!$C$19</x:f>
        <x:v>2.4722222222222223</x:v>
      </x:c>
      <x:c r="P1615" s="9" t="n">
        <x:f>M1615*(1-0.40)-N1615</x:f>
        <x:v>3.9555555555555557</x:v>
      </x:c>
      <x:c r="Q1615" s="9" t="n">
        <x:f>'Physical_Arcs'!T55</x:f>
        <x:v>4.944444444444445</x:v>
      </x:c>
      <x:c r="R1615" s="9" t="n">
        <x:f>Q1615*'Parameters'!$C$18</x:f>
        <x:v>0.9888888888888889</x:v>
      </x:c>
      <x:c r="S1615" s="9" t="n">
        <x:f>R1615*'Parameters'!$C$19</x:f>
        <x:v>1.2361111111111112</x:v>
      </x:c>
      <x:c r="T1615" s="9" t="n">
        <x:f>Q1615*(1-0.40)-R1615</x:f>
        <x:v>1.9777777777777779</x:v>
      </x:c>
    </x:row>
    <x:row r="1616" ht="21" customHeight="1">
      <x:c r="A1616" s="3" t="n">
        <x:v>26</x:v>
      </x:c>
      <x:c r="B1616" s="3" t="str">
        <x:v>04:20</x:v>
      </x:c>
      <x:c r="C1616" s="3" t="n">
        <x:v>5</x:v>
      </x:c>
      <x:c r="D1616" s="3" t="n">
        <x:v>55</x:v>
      </x:c>
      <x:c r="E1616" s="3" t="n">
        <x:v>9</x:v>
      </x:c>
      <x:c r="F1616" s="3" t="n">
        <x:v>7</x:v>
      </x:c>
      <x:c r="G1616" s="9" t="n">
        <x:v>0.1</x:v>
      </x:c>
      <x:c r="H1616" s="9" t="n">
        <x:v>0.900033</x:v>
      </x:c>
      <x:c r="I1616" s="9" t="n">
        <x:f>'Physical_Arcs'!R56</x:f>
        <x:v>4.166666666666667</x:v>
      </x:c>
      <x:c r="J1616" s="9" t="n">
        <x:f>I1616*'Parameters'!$C$18</x:f>
        <x:v>0.8333333333333335</x:v>
      </x:c>
      <x:c r="K1616" s="9" t="n">
        <x:f>J1616*'Parameters'!$C$19</x:f>
        <x:v>1.041666666666667</x:v>
      </x:c>
      <x:c r="L1616" s="9" t="n">
        <x:f>I1616*(1-0.40)-J1616</x:f>
        <x:v>1.6666666666666665</x:v>
      </x:c>
      <x:c r="M1616" s="9" t="n">
        <x:f>'Physical_Arcs'!S56</x:f>
        <x:v>4.166666666666667</x:v>
      </x:c>
      <x:c r="N1616" s="9" t="n">
        <x:f>M1616*'Parameters'!$C$18</x:f>
        <x:v>0.8333333333333335</x:v>
      </x:c>
      <x:c r="O1616" s="9" t="n">
        <x:f>N1616*'Parameters'!$C$19</x:f>
        <x:v>1.041666666666667</x:v>
      </x:c>
      <x:c r="P1616" s="9" t="n">
        <x:f>M1616*(1-0.40)-N1616</x:f>
        <x:v>1.6666666666666665</x:v>
      </x:c>
      <x:c r="Q1616" s="9" t="n">
        <x:f>'Physical_Arcs'!T56</x:f>
        <x:v>2.0833333333333335</x:v>
      </x:c>
      <x:c r="R1616" s="9" t="n">
        <x:f>Q1616*'Parameters'!$C$18</x:f>
        <x:v>0.41666666666666674</x:v>
      </x:c>
      <x:c r="S1616" s="9" t="n">
        <x:f>R1616*'Parameters'!$C$19</x:f>
        <x:v>0.5208333333333335</x:v>
      </x:c>
      <x:c r="T1616" s="9" t="n">
        <x:f>Q1616*(1-0.40)-R1616</x:f>
        <x:v>0.8333333333333333</x:v>
      </x:c>
    </x:row>
    <x:row r="1617" ht="21" customHeight="1">
      <x:c r="A1617" s="3" t="n">
        <x:v>26</x:v>
      </x:c>
      <x:c r="B1617" s="3" t="str">
        <x:v>04:20</x:v>
      </x:c>
      <x:c r="C1617" s="3" t="n">
        <x:v>5</x:v>
      </x:c>
      <x:c r="D1617" s="3" t="n">
        <x:v>56</x:v>
      </x:c>
      <x:c r="E1617" s="3" t="n">
        <x:v>9</x:v>
      </x:c>
      <x:c r="F1617" s="3" t="n">
        <x:v>3</x:v>
      </x:c>
      <x:c r="G1617" s="9" t="n">
        <x:v>0.1</x:v>
      </x:c>
      <x:c r="H1617" s="9" t="n">
        <x:v>0.893428</x:v>
      </x:c>
      <x:c r="I1617" s="9" t="n">
        <x:f>'Physical_Arcs'!R57</x:f>
        <x:v>3.7222222222222223</x:v>
      </x:c>
      <x:c r="J1617" s="9" t="n">
        <x:f>I1617*'Parameters'!$C$18</x:f>
        <x:v>0.7444444444444445</x:v>
      </x:c>
      <x:c r="K1617" s="9" t="n">
        <x:f>J1617*'Parameters'!$C$19</x:f>
        <x:v>0.9305555555555556</x:v>
      </x:c>
      <x:c r="L1617" s="9" t="n">
        <x:f>I1617*(1-0.40)-J1617</x:f>
        <x:v>1.488888888888889</x:v>
      </x:c>
      <x:c r="M1617" s="9" t="n">
        <x:f>'Physical_Arcs'!S57</x:f>
        <x:v>3.7222222222222223</x:v>
      </x:c>
      <x:c r="N1617" s="9" t="n">
        <x:f>M1617*'Parameters'!$C$18</x:f>
        <x:v>0.7444444444444445</x:v>
      </x:c>
      <x:c r="O1617" s="9" t="n">
        <x:f>N1617*'Parameters'!$C$19</x:f>
        <x:v>0.9305555555555556</x:v>
      </x:c>
      <x:c r="P1617" s="9" t="n">
        <x:f>M1617*(1-0.40)-N1617</x:f>
        <x:v>1.488888888888889</x:v>
      </x:c>
      <x:c r="Q1617" s="9" t="n">
        <x:f>'Physical_Arcs'!T57</x:f>
        <x:v>1.8611111111111112</x:v>
      </x:c>
      <x:c r="R1617" s="9" t="n">
        <x:f>Q1617*'Parameters'!$C$18</x:f>
        <x:v>0.37222222222222223</x:v>
      </x:c>
      <x:c r="S1617" s="9" t="n">
        <x:f>R1617*'Parameters'!$C$19</x:f>
        <x:v>0.4652777777777778</x:v>
      </x:c>
      <x:c r="T1617" s="9" t="n">
        <x:f>Q1617*(1-0.40)-R1617</x:f>
        <x:v>0.7444444444444445</x:v>
      </x:c>
    </x:row>
    <x:row r="1618" ht="21" customHeight="1">
      <x:c r="A1618" s="3" t="n">
        <x:v>26</x:v>
      </x:c>
      <x:c r="B1618" s="3" t="str">
        <x:v>04:20</x:v>
      </x:c>
      <x:c r="C1618" s="3" t="n">
        <x:v>5</x:v>
      </x:c>
      <x:c r="D1618" s="3" t="n">
        <x:v>57</x:v>
      </x:c>
      <x:c r="E1618" s="3" t="n">
        <x:v>10</x:v>
      </x:c>
      <x:c r="F1618" s="3" t="n">
        <x:v>1</x:v>
      </x:c>
      <x:c r="G1618" s="9" t="n">
        <x:v>0.1</x:v>
      </x:c>
      <x:c r="H1618" s="9" t="n">
        <x:v>1.027979</x:v>
      </x:c>
      <x:c r="I1618" s="9" t="n">
        <x:f>'Physical_Arcs'!R58</x:f>
        <x:v>17.02777777777778</x:v>
      </x:c>
      <x:c r="J1618" s="9" t="n">
        <x:f>I1618*'Parameters'!$C$18</x:f>
        <x:v>3.405555555555556</x:v>
      </x:c>
      <x:c r="K1618" s="9" t="n">
        <x:f>J1618*'Parameters'!$C$19</x:f>
        <x:v>4.256944444444445</x:v>
      </x:c>
      <x:c r="L1618" s="9" t="n">
        <x:f>I1618*(1-0.40)-J1618</x:f>
        <x:v>6.811111111111111</x:v>
      </x:c>
      <x:c r="M1618" s="9" t="n">
        <x:f>'Physical_Arcs'!S58</x:f>
        <x:v>17.02777777777778</x:v>
      </x:c>
      <x:c r="N1618" s="9" t="n">
        <x:f>M1618*'Parameters'!$C$18</x:f>
        <x:v>3.405555555555556</x:v>
      </x:c>
      <x:c r="O1618" s="9" t="n">
        <x:f>N1618*'Parameters'!$C$19</x:f>
        <x:v>4.256944444444445</x:v>
      </x:c>
      <x:c r="P1618" s="9" t="n">
        <x:f>M1618*(1-0.40)-N1618</x:f>
        <x:v>6.811111111111111</x:v>
      </x:c>
      <x:c r="Q1618" s="9" t="n">
        <x:f>'Physical_Arcs'!T58</x:f>
        <x:v>17.02777777777778</x:v>
      </x:c>
      <x:c r="R1618" s="9" t="n">
        <x:f>Q1618*'Parameters'!$C$18</x:f>
        <x:v>3.405555555555556</x:v>
      </x:c>
      <x:c r="S1618" s="9" t="n">
        <x:f>R1618*'Parameters'!$C$19</x:f>
        <x:v>4.256944444444445</x:v>
      </x:c>
      <x:c r="T1618" s="9" t="n">
        <x:f>Q1618*(1-0.40)-R1618</x:f>
        <x:v>6.811111111111111</x:v>
      </x:c>
    </x:row>
    <x:row r="1619" ht="21" customHeight="1">
      <x:c r="A1619" s="3" t="n">
        <x:v>26</x:v>
      </x:c>
      <x:c r="B1619" s="3" t="str">
        <x:v>04:20</x:v>
      </x:c>
      <x:c r="C1619" s="3" t="n">
        <x:v>5</x:v>
      </x:c>
      <x:c r="D1619" s="3" t="n">
        <x:v>58</x:v>
      </x:c>
      <x:c r="E1619" s="3" t="n">
        <x:v>10</x:v>
      </x:c>
      <x:c r="F1619" s="3" t="n">
        <x:v>6</x:v>
      </x:c>
      <x:c r="G1619" s="9" t="n">
        <x:v>0.1</x:v>
      </x:c>
      <x:c r="H1619" s="9" t="n">
        <x:v>0.952676</x:v>
      </x:c>
      <x:c r="I1619" s="9" t="n">
        <x:f>'Physical_Arcs'!R59</x:f>
        <x:v>6.305555555555555</x:v>
      </x:c>
      <x:c r="J1619" s="9" t="n">
        <x:f>I1619*'Parameters'!$C$18</x:f>
        <x:v>1.261111111111111</x:v>
      </x:c>
      <x:c r="K1619" s="9" t="n">
        <x:f>J1619*'Parameters'!$C$19</x:f>
        <x:v>1.5763888888888888</x:v>
      </x:c>
      <x:c r="L1619" s="9" t="n">
        <x:f>I1619*(1-0.40)-J1619</x:f>
        <x:v>2.522222222222222</x:v>
      </x:c>
      <x:c r="M1619" s="9" t="n">
        <x:f>'Physical_Arcs'!S59</x:f>
        <x:v>6.305555555555555</x:v>
      </x:c>
      <x:c r="N1619" s="9" t="n">
        <x:f>M1619*'Parameters'!$C$18</x:f>
        <x:v>1.261111111111111</x:v>
      </x:c>
      <x:c r="O1619" s="9" t="n">
        <x:f>N1619*'Parameters'!$C$19</x:f>
        <x:v>1.5763888888888888</x:v>
      </x:c>
      <x:c r="P1619" s="9" t="n">
        <x:f>M1619*(1-0.40)-N1619</x:f>
        <x:v>2.522222222222222</x:v>
      </x:c>
      <x:c r="Q1619" s="9" t="n">
        <x:f>'Physical_Arcs'!T59</x:f>
        <x:v>3.1666666666666665</x:v>
      </x:c>
      <x:c r="R1619" s="9" t="n">
        <x:f>Q1619*'Parameters'!$C$18</x:f>
        <x:v>0.6333333333333333</x:v>
      </x:c>
      <x:c r="S1619" s="9" t="n">
        <x:f>R1619*'Parameters'!$C$19</x:f>
        <x:v>0.7916666666666666</x:v>
      </x:c>
      <x:c r="T1619" s="9" t="n">
        <x:f>Q1619*(1-0.40)-R1619</x:f>
        <x:v>1.2666666666666666</x:v>
      </x:c>
    </x:row>
    <x:row r="1620" ht="21" customHeight="1">
      <x:c r="A1620" s="3" t="n">
        <x:v>26</x:v>
      </x:c>
      <x:c r="B1620" s="3" t="str">
        <x:v>04:20</x:v>
      </x:c>
      <x:c r="C1620" s="3" t="n">
        <x:v>5</x:v>
      </x:c>
      <x:c r="D1620" s="3" t="n">
        <x:v>59</x:v>
      </x:c>
      <x:c r="E1620" s="3" t="n">
        <x:v>10</x:v>
      </x:c>
      <x:c r="F1620" s="3" t="n">
        <x:v>4</x:v>
      </x:c>
      <x:c r="G1620" s="9" t="n">
        <x:v>0.1</x:v>
      </x:c>
      <x:c r="H1620" s="9" t="n">
        <x:v>1.114542</x:v>
      </x:c>
      <x:c r="I1620" s="9" t="n">
        <x:f>'Physical_Arcs'!R60</x:f>
        <x:v>1.5833333333333333</x:v>
      </x:c>
      <x:c r="J1620" s="9" t="n">
        <x:f>I1620*'Parameters'!$C$18</x:f>
        <x:v>0.31666666666666665</x:v>
      </x:c>
      <x:c r="K1620" s="9" t="n">
        <x:f>J1620*'Parameters'!$C$19</x:f>
        <x:v>0.3958333333333333</x:v>
      </x:c>
      <x:c r="L1620" s="9" t="n">
        <x:f>I1620*(1-0.40)-J1620</x:f>
        <x:v>0.6333333333333333</x:v>
      </x:c>
      <x:c r="M1620" s="9" t="n">
        <x:f>'Physical_Arcs'!S60</x:f>
        <x:v>1.5833333333333333</x:v>
      </x:c>
      <x:c r="N1620" s="9" t="n">
        <x:f>M1620*'Parameters'!$C$18</x:f>
        <x:v>0.31666666666666665</x:v>
      </x:c>
      <x:c r="O1620" s="9" t="n">
        <x:f>N1620*'Parameters'!$C$19</x:f>
        <x:v>0.3958333333333333</x:v>
      </x:c>
      <x:c r="P1620" s="9" t="n">
        <x:f>M1620*(1-0.40)-N1620</x:f>
        <x:v>0.6333333333333333</x:v>
      </x:c>
      <x:c r="Q1620" s="9" t="n">
        <x:f>'Physical_Arcs'!T60</x:f>
        <x:v>0.8055555555555556</x:v>
      </x:c>
      <x:c r="R1620" s="9" t="n">
        <x:f>Q1620*'Parameters'!$C$18</x:f>
        <x:v>0.16111111111111112</x:v>
      </x:c>
      <x:c r="S1620" s="9" t="n">
        <x:f>R1620*'Parameters'!$C$19</x:f>
        <x:v>0.2013888888888889</x:v>
      </x:c>
      <x:c r="T1620" s="9" t="n">
        <x:f>Q1620*(1-0.40)-R1620</x:f>
        <x:v>0.3222222222222222</x:v>
      </x:c>
    </x:row>
    <x:row r="1621" ht="21" customHeight="1">
      <x:c r="A1621" s="3" t="n">
        <x:v>26</x:v>
      </x:c>
      <x:c r="B1621" s="3" t="str">
        <x:v>04:20</x:v>
      </x:c>
      <x:c r="C1621" s="3" t="n">
        <x:v>5</x:v>
      </x:c>
      <x:c r="D1621" s="3" t="n">
        <x:v>60</x:v>
      </x:c>
      <x:c r="E1621" s="3" t="n">
        <x:v>10</x:v>
      </x:c>
      <x:c r="F1621" s="3" t="n">
        <x:v>9</x:v>
      </x:c>
      <x:c r="G1621" s="9" t="n">
        <x:v>0.1</x:v>
      </x:c>
      <x:c r="H1621" s="9" t="n">
        <x:v>1.092245</x:v>
      </x:c>
      <x:c r="I1621" s="9" t="n">
        <x:f>'Physical_Arcs'!R61</x:f>
        <x:v>10.333333333333334</x:v>
      </x:c>
      <x:c r="J1621" s="9" t="n">
        <x:f>I1621*'Parameters'!$C$18</x:f>
        <x:v>2.066666666666667</x:v>
      </x:c>
      <x:c r="K1621" s="9" t="n">
        <x:f>J1621*'Parameters'!$C$19</x:f>
        <x:v>2.5833333333333335</x:v>
      </x:c>
      <x:c r="L1621" s="9" t="n">
        <x:f>I1621*(1-0.40)-J1621</x:f>
        <x:v>4.133333333333333</x:v>
      </x:c>
      <x:c r="M1621" s="9" t="n">
        <x:f>'Physical_Arcs'!S61</x:f>
        <x:v>10.333333333333334</x:v>
      </x:c>
      <x:c r="N1621" s="9" t="n">
        <x:f>M1621*'Parameters'!$C$18</x:f>
        <x:v>2.066666666666667</x:v>
      </x:c>
      <x:c r="O1621" s="9" t="n">
        <x:f>N1621*'Parameters'!$C$19</x:f>
        <x:v>2.5833333333333335</x:v>
      </x:c>
      <x:c r="P1621" s="9" t="n">
        <x:f>M1621*(1-0.40)-N1621</x:f>
        <x:v>4.133333333333333</x:v>
      </x:c>
      <x:c r="Q1621" s="9" t="n">
        <x:f>'Physical_Arcs'!T61</x:f>
        <x:v>5.166666666666667</x:v>
      </x:c>
      <x:c r="R1621" s="9" t="n">
        <x:f>Q1621*'Parameters'!$C$18</x:f>
        <x:v>1.0333333333333334</x:v>
      </x:c>
      <x:c r="S1621" s="9" t="n">
        <x:f>R1621*'Parameters'!$C$19</x:f>
        <x:v>1.2916666666666667</x:v>
      </x:c>
      <x:c r="T1621" s="9" t="n">
        <x:f>Q1621*(1-0.40)-R1621</x:f>
        <x:v>2.0666666666666664</x:v>
      </x:c>
    </x:row>
    <x:row r="1622" ht="21" customHeight="1">
      <x:c r="A1622" s="3" t="n">
        <x:v>27</x:v>
      </x:c>
      <x:c r="B1622" s="3" t="str">
        <x:v>04:30</x:v>
      </x:c>
      <x:c r="C1622" s="3" t="n">
        <x:v>5</x:v>
      </x:c>
      <x:c r="D1622" s="3" t="n">
        <x:v>1</x:v>
      </x:c>
      <x:c r="E1622" s="3" t="n">
        <x:v>1</x:v>
      </x:c>
      <x:c r="F1622" s="3" t="n">
        <x:v>2</x:v>
      </x:c>
      <x:c r="G1622" s="9" t="n">
        <x:v>0.1</x:v>
      </x:c>
      <x:c r="H1622" s="9" t="n">
        <x:v>0.914787</x:v>
      </x:c>
      <x:c r="I1622" s="9" t="n">
        <x:f>'Physical_Arcs'!R2</x:f>
        <x:v>17.02777777777778</x:v>
      </x:c>
      <x:c r="J1622" s="9" t="n">
        <x:f>I1622*'Parameters'!$C$18</x:f>
        <x:v>3.405555555555556</x:v>
      </x:c>
      <x:c r="K1622" s="9" t="n">
        <x:f>J1622*'Parameters'!$C$19</x:f>
        <x:v>4.256944444444445</x:v>
      </x:c>
      <x:c r="L1622" s="9" t="n">
        <x:f>I1622*(1-0.40)-J1622</x:f>
        <x:v>6.811111111111111</x:v>
      </x:c>
      <x:c r="M1622" s="9" t="n">
        <x:f>'Physical_Arcs'!S2</x:f>
        <x:v>17.02777777777778</x:v>
      </x:c>
      <x:c r="N1622" s="9" t="n">
        <x:f>M1622*'Parameters'!$C$18</x:f>
        <x:v>3.405555555555556</x:v>
      </x:c>
      <x:c r="O1622" s="9" t="n">
        <x:f>N1622*'Parameters'!$C$19</x:f>
        <x:v>4.256944444444445</x:v>
      </x:c>
      <x:c r="P1622" s="9" t="n">
        <x:f>M1622*(1-0.40)-N1622</x:f>
        <x:v>6.811111111111111</x:v>
      </x:c>
      <x:c r="Q1622" s="9" t="n">
        <x:f>'Physical_Arcs'!T2</x:f>
        <x:v>17.02777777777778</x:v>
      </x:c>
      <x:c r="R1622" s="9" t="n">
        <x:f>Q1622*'Parameters'!$C$18</x:f>
        <x:v>3.405555555555556</x:v>
      </x:c>
      <x:c r="S1622" s="9" t="n">
        <x:f>R1622*'Parameters'!$C$19</x:f>
        <x:v>4.256944444444445</x:v>
      </x:c>
      <x:c r="T1622" s="9" t="n">
        <x:f>Q1622*(1-0.40)-R1622</x:f>
        <x:v>6.811111111111111</x:v>
      </x:c>
    </x:row>
    <x:row r="1623" ht="21" customHeight="1">
      <x:c r="A1623" s="3" t="n">
        <x:v>27</x:v>
      </x:c>
      <x:c r="B1623" s="3" t="str">
        <x:v>04:30</x:v>
      </x:c>
      <x:c r="C1623" s="3" t="n">
        <x:v>5</x:v>
      </x:c>
      <x:c r="D1623" s="3" t="n">
        <x:v>2</x:v>
      </x:c>
      <x:c r="E1623" s="3" t="n">
        <x:v>1</x:v>
      </x:c>
      <x:c r="F1623" s="3" t="n">
        <x:v>10</x:v>
      </x:c>
      <x:c r="G1623" s="9" t="n">
        <x:v>0.1</x:v>
      </x:c>
      <x:c r="H1623" s="9" t="n">
        <x:v>1.003995</x:v>
      </x:c>
      <x:c r="I1623" s="9" t="n">
        <x:f>'Physical_Arcs'!R3</x:f>
        <x:v>3.2777777777777777</x:v>
      </x:c>
      <x:c r="J1623" s="9" t="n">
        <x:f>I1623*'Parameters'!$C$18</x:f>
        <x:v>0.6555555555555556</x:v>
      </x:c>
      <x:c r="K1623" s="9" t="n">
        <x:f>J1623*'Parameters'!$C$19</x:f>
        <x:v>0.8194444444444444</x:v>
      </x:c>
      <x:c r="L1623" s="9" t="n">
        <x:f>I1623*(1-0.40)-J1623</x:f>
        <x:v>1.311111111111111</x:v>
      </x:c>
      <x:c r="M1623" s="9" t="n">
        <x:f>'Physical_Arcs'!S3</x:f>
        <x:v>3.2777777777777777</x:v>
      </x:c>
      <x:c r="N1623" s="9" t="n">
        <x:f>M1623*'Parameters'!$C$18</x:f>
        <x:v>0.6555555555555556</x:v>
      </x:c>
      <x:c r="O1623" s="9" t="n">
        <x:f>N1623*'Parameters'!$C$19</x:f>
        <x:v>0.8194444444444444</x:v>
      </x:c>
      <x:c r="P1623" s="9" t="n">
        <x:f>M1623*(1-0.40)-N1623</x:f>
        <x:v>1.311111111111111</x:v>
      </x:c>
      <x:c r="Q1623" s="9" t="n">
        <x:f>'Physical_Arcs'!T3</x:f>
        <x:v>1.6388888888888888</x:v>
      </x:c>
      <x:c r="R1623" s="9" t="n">
        <x:f>Q1623*'Parameters'!$C$18</x:f>
        <x:v>0.3277777777777778</x:v>
      </x:c>
      <x:c r="S1623" s="9" t="n">
        <x:f>R1623*'Parameters'!$C$19</x:f>
        <x:v>0.4097222222222222</x:v>
      </x:c>
      <x:c r="T1623" s="9" t="n">
        <x:f>Q1623*(1-0.40)-R1623</x:f>
        <x:v>0.6555555555555554</x:v>
      </x:c>
    </x:row>
    <x:row r="1624" ht="21" customHeight="1">
      <x:c r="A1624" s="3" t="n">
        <x:v>27</x:v>
      </x:c>
      <x:c r="B1624" s="3" t="str">
        <x:v>04:30</x:v>
      </x:c>
      <x:c r="C1624" s="3" t="n">
        <x:v>5</x:v>
      </x:c>
      <x:c r="D1624" s="3" t="n">
        <x:v>3</x:v>
      </x:c>
      <x:c r="E1624" s="3" t="n">
        <x:v>1</x:v>
      </x:c>
      <x:c r="F1624" s="3" t="n">
        <x:v>8</x:v>
      </x:c>
      <x:c r="G1624" s="9" t="n">
        <x:v>0.1</x:v>
      </x:c>
      <x:c r="H1624" s="9" t="n">
        <x:v>0.923863</x:v>
      </x:c>
      <x:c r="I1624" s="9" t="n">
        <x:f>'Physical_Arcs'!R4</x:f>
        <x:v>6.083333333333333</x:v>
      </x:c>
      <x:c r="J1624" s="9" t="n">
        <x:f>I1624*'Parameters'!$C$18</x:f>
        <x:v>1.2166666666666668</x:v>
      </x:c>
      <x:c r="K1624" s="9" t="n">
        <x:f>J1624*'Parameters'!$C$19</x:f>
        <x:v>1.5208333333333335</x:v>
      </x:c>
      <x:c r="L1624" s="9" t="n">
        <x:f>I1624*(1-0.40)-J1624</x:f>
        <x:v>2.4333333333333327</x:v>
      </x:c>
      <x:c r="M1624" s="9" t="n">
        <x:f>'Physical_Arcs'!S4</x:f>
        <x:v>6.083333333333333</x:v>
      </x:c>
      <x:c r="N1624" s="9" t="n">
        <x:f>M1624*'Parameters'!$C$18</x:f>
        <x:v>1.2166666666666668</x:v>
      </x:c>
      <x:c r="O1624" s="9" t="n">
        <x:f>N1624*'Parameters'!$C$19</x:f>
        <x:v>1.5208333333333335</x:v>
      </x:c>
      <x:c r="P1624" s="9" t="n">
        <x:f>M1624*(1-0.40)-N1624</x:f>
        <x:v>2.4333333333333327</x:v>
      </x:c>
      <x:c r="Q1624" s="9" t="n">
        <x:f>'Physical_Arcs'!T4</x:f>
        <x:v>3.0555555555555554</x:v>
      </x:c>
      <x:c r="R1624" s="9" t="n">
        <x:f>Q1624*'Parameters'!$C$18</x:f>
        <x:v>0.6111111111111112</x:v>
      </x:c>
      <x:c r="S1624" s="9" t="n">
        <x:f>R1624*'Parameters'!$C$19</x:f>
        <x:v>0.763888888888889</x:v>
      </x:c>
      <x:c r="T1624" s="9" t="n">
        <x:f>Q1624*(1-0.40)-R1624</x:f>
        <x:v>1.2222222222222219</x:v>
      </x:c>
    </x:row>
    <x:row r="1625" ht="21" customHeight="1">
      <x:c r="A1625" s="3" t="n">
        <x:v>27</x:v>
      </x:c>
      <x:c r="B1625" s="3" t="str">
        <x:v>04:30</x:v>
      </x:c>
      <x:c r="C1625" s="3" t="n">
        <x:v>5</x:v>
      </x:c>
      <x:c r="D1625" s="3" t="n">
        <x:v>4</x:v>
      </x:c>
      <x:c r="E1625" s="3" t="n">
        <x:v>1</x:v>
      </x:c>
      <x:c r="F1625" s="3" t="n">
        <x:v>7</x:v>
      </x:c>
      <x:c r="G1625" s="9" t="n">
        <x:v>0.1</x:v>
      </x:c>
      <x:c r="H1625" s="9" t="n">
        <x:v>1.111072</x:v>
      </x:c>
      <x:c r="I1625" s="9" t="n">
        <x:f>'Physical_Arcs'!R5</x:f>
        <x:v>9</x:v>
      </x:c>
      <x:c r="J1625" s="9" t="n">
        <x:f>I1625*'Parameters'!$C$18</x:f>
        <x:v>1.8</x:v>
      </x:c>
      <x:c r="K1625" s="9" t="n">
        <x:f>J1625*'Parameters'!$C$19</x:f>
        <x:v>2.25</x:v>
      </x:c>
      <x:c r="L1625" s="9" t="n">
        <x:f>I1625*(1-0.40)-J1625</x:f>
        <x:v>3.5999999999999996</x:v>
      </x:c>
      <x:c r="M1625" s="9" t="n">
        <x:f>'Physical_Arcs'!S5</x:f>
        <x:v>9</x:v>
      </x:c>
      <x:c r="N1625" s="9" t="n">
        <x:f>M1625*'Parameters'!$C$18</x:f>
        <x:v>1.8</x:v>
      </x:c>
      <x:c r="O1625" s="9" t="n">
        <x:f>N1625*'Parameters'!$C$19</x:f>
        <x:v>2.25</x:v>
      </x:c>
      <x:c r="P1625" s="9" t="n">
        <x:f>M1625*(1-0.40)-N1625</x:f>
        <x:v>3.5999999999999996</x:v>
      </x:c>
      <x:c r="Q1625" s="9" t="n">
        <x:f>'Physical_Arcs'!T5</x:f>
        <x:v>4.5</x:v>
      </x:c>
      <x:c r="R1625" s="9" t="n">
        <x:f>Q1625*'Parameters'!$C$18</x:f>
        <x:v>0.9</x:v>
      </x:c>
      <x:c r="S1625" s="9" t="n">
        <x:f>R1625*'Parameters'!$C$19</x:f>
        <x:v>1.125</x:v>
      </x:c>
      <x:c r="T1625" s="9" t="n">
        <x:f>Q1625*(1-0.40)-R1625</x:f>
        <x:v>1.7999999999999998</x:v>
      </x:c>
    </x:row>
    <x:row r="1626" ht="21" customHeight="1">
      <x:c r="A1626" s="3" t="n">
        <x:v>27</x:v>
      </x:c>
      <x:c r="B1626" s="3" t="str">
        <x:v>04:30</x:v>
      </x:c>
      <x:c r="C1626" s="3" t="n">
        <x:v>5</x:v>
      </x:c>
      <x:c r="D1626" s="3" t="n">
        <x:v>5</x:v>
      </x:c>
      <x:c r="E1626" s="3" t="n">
        <x:v>1</x:v>
      </x:c>
      <x:c r="F1626" s="3" t="n">
        <x:v>4</x:v>
      </x:c>
      <x:c r="G1626" s="9" t="n">
        <x:v>0.1</x:v>
      </x:c>
      <x:c r="H1626" s="9" t="n">
        <x:v>1.001665</x:v>
      </x:c>
      <x:c r="I1626" s="9" t="n">
        <x:f>'Physical_Arcs'!R6</x:f>
        <x:v>4.166666666666667</x:v>
      </x:c>
      <x:c r="J1626" s="9" t="n">
        <x:f>I1626*'Parameters'!$C$18</x:f>
        <x:v>0.8333333333333335</x:v>
      </x:c>
      <x:c r="K1626" s="9" t="n">
        <x:f>J1626*'Parameters'!$C$19</x:f>
        <x:v>1.041666666666667</x:v>
      </x:c>
      <x:c r="L1626" s="9" t="n">
        <x:f>I1626*(1-0.40)-J1626</x:f>
        <x:v>1.6666666666666665</x:v>
      </x:c>
      <x:c r="M1626" s="9" t="n">
        <x:f>'Physical_Arcs'!S6</x:f>
        <x:v>4.166666666666667</x:v>
      </x:c>
      <x:c r="N1626" s="9" t="n">
        <x:f>M1626*'Parameters'!$C$18</x:f>
        <x:v>0.8333333333333335</x:v>
      </x:c>
      <x:c r="O1626" s="9" t="n">
        <x:f>N1626*'Parameters'!$C$19</x:f>
        <x:v>1.041666666666667</x:v>
      </x:c>
      <x:c r="P1626" s="9" t="n">
        <x:f>M1626*(1-0.40)-N1626</x:f>
        <x:v>1.6666666666666665</x:v>
      </x:c>
      <x:c r="Q1626" s="9" t="n">
        <x:f>'Physical_Arcs'!T6</x:f>
        <x:v>2.0833333333333335</x:v>
      </x:c>
      <x:c r="R1626" s="9" t="n">
        <x:f>Q1626*'Parameters'!$C$18</x:f>
        <x:v>0.41666666666666674</x:v>
      </x:c>
      <x:c r="S1626" s="9" t="n">
        <x:f>R1626*'Parameters'!$C$19</x:f>
        <x:v>0.5208333333333335</x:v>
      </x:c>
      <x:c r="T1626" s="9" t="n">
        <x:f>Q1626*(1-0.40)-R1626</x:f>
        <x:v>0.8333333333333333</x:v>
      </x:c>
    </x:row>
    <x:row r="1627" ht="21" customHeight="1">
      <x:c r="A1627" s="3" t="n">
        <x:v>27</x:v>
      </x:c>
      <x:c r="B1627" s="3" t="str">
        <x:v>04:30</x:v>
      </x:c>
      <x:c r="C1627" s="3" t="n">
        <x:v>5</x:v>
      </x:c>
      <x:c r="D1627" s="3" t="n">
        <x:v>6</x:v>
      </x:c>
      <x:c r="E1627" s="3" t="n">
        <x:v>1</x:v>
      </x:c>
      <x:c r="F1627" s="3" t="n">
        <x:v>9</x:v>
      </x:c>
      <x:c r="G1627" s="9" t="n">
        <x:v>0.1</x:v>
      </x:c>
      <x:c r="H1627" s="9" t="n">
        <x:v>0.942884</x:v>
      </x:c>
      <x:c r="I1627" s="9" t="n">
        <x:f>'Physical_Arcs'!R7</x:f>
        <x:v>11.027777777777779</x:v>
      </x:c>
      <x:c r="J1627" s="9" t="n">
        <x:f>I1627*'Parameters'!$C$18</x:f>
        <x:v>2.2055555555555557</x:v>
      </x:c>
      <x:c r="K1627" s="9" t="n">
        <x:f>J1627*'Parameters'!$C$19</x:f>
        <x:v>2.7569444444444446</x:v>
      </x:c>
      <x:c r="L1627" s="9" t="n">
        <x:f>I1627*(1-0.40)-J1627</x:f>
        <x:v>4.411111111111111</x:v>
      </x:c>
      <x:c r="M1627" s="9" t="n">
        <x:f>'Physical_Arcs'!S7</x:f>
        <x:v>11.027777777777779</x:v>
      </x:c>
      <x:c r="N1627" s="9" t="n">
        <x:f>M1627*'Parameters'!$C$18</x:f>
        <x:v>2.2055555555555557</x:v>
      </x:c>
      <x:c r="O1627" s="9" t="n">
        <x:f>N1627*'Parameters'!$C$19</x:f>
        <x:v>2.7569444444444446</x:v>
      </x:c>
      <x:c r="P1627" s="9" t="n">
        <x:f>M1627*(1-0.40)-N1627</x:f>
        <x:v>4.411111111111111</x:v>
      </x:c>
      <x:c r="Q1627" s="9" t="n">
        <x:f>'Physical_Arcs'!T7</x:f>
        <x:v>5.527777777777778</x:v>
      </x:c>
      <x:c r="R1627" s="9" t="n">
        <x:f>Q1627*'Parameters'!$C$18</x:f>
        <x:v>1.1055555555555556</x:v>
      </x:c>
      <x:c r="S1627" s="9" t="n">
        <x:f>R1627*'Parameters'!$C$19</x:f>
        <x:v>1.3819444444444446</x:v>
      </x:c>
      <x:c r="T1627" s="9" t="n">
        <x:f>Q1627*(1-0.40)-R1627</x:f>
        <x:v>2.211111111111111</x:v>
      </x:c>
    </x:row>
    <x:row r="1628" ht="21" customHeight="1">
      <x:c r="A1628" s="3" t="n">
        <x:v>27</x:v>
      </x:c>
      <x:c r="B1628" s="3" t="str">
        <x:v>04:30</x:v>
      </x:c>
      <x:c r="C1628" s="3" t="n">
        <x:v>5</x:v>
      </x:c>
      <x:c r="D1628" s="3" t="n">
        <x:v>7</x:v>
      </x:c>
      <x:c r="E1628" s="3" t="n">
        <x:v>1</x:v>
      </x:c>
      <x:c r="F1628" s="3" t="n">
        <x:v>5</x:v>
      </x:c>
      <x:c r="G1628" s="9" t="n">
        <x:v>0.1</x:v>
      </x:c>
      <x:c r="H1628" s="9" t="n">
        <x:v>1.038222</x:v>
      </x:c>
      <x:c r="I1628" s="9" t="n">
        <x:f>'Physical_Arcs'!R8</x:f>
        <x:v>7.972222222222222</x:v>
      </x:c>
      <x:c r="J1628" s="9" t="n">
        <x:f>I1628*'Parameters'!$C$18</x:f>
        <x:v>1.5944444444444446</x:v>
      </x:c>
      <x:c r="K1628" s="9" t="n">
        <x:f>J1628*'Parameters'!$C$19</x:f>
        <x:v>1.9930555555555558</x:v>
      </x:c>
      <x:c r="L1628" s="9" t="n">
        <x:f>I1628*(1-0.40)-J1628</x:f>
        <x:v>3.1888888888888887</x:v>
      </x:c>
      <x:c r="M1628" s="9" t="n">
        <x:f>'Physical_Arcs'!S8</x:f>
        <x:v>7.972222222222222</x:v>
      </x:c>
      <x:c r="N1628" s="9" t="n">
        <x:f>M1628*'Parameters'!$C$18</x:f>
        <x:v>1.5944444444444446</x:v>
      </x:c>
      <x:c r="O1628" s="9" t="n">
        <x:f>N1628*'Parameters'!$C$19</x:f>
        <x:v>1.9930555555555558</x:v>
      </x:c>
      <x:c r="P1628" s="9" t="n">
        <x:f>M1628*(1-0.40)-N1628</x:f>
        <x:v>3.1888888888888887</x:v>
      </x:c>
      <x:c r="Q1628" s="9" t="n">
        <x:f>'Physical_Arcs'!T8</x:f>
        <x:v>4</x:v>
      </x:c>
      <x:c r="R1628" s="9" t="n">
        <x:f>Q1628*'Parameters'!$C$18</x:f>
        <x:v>0.8</x:v>
      </x:c>
      <x:c r="S1628" s="9" t="n">
        <x:f>R1628*'Parameters'!$C$19</x:f>
        <x:v>1</x:v>
      </x:c>
      <x:c r="T1628" s="9" t="n">
        <x:f>Q1628*(1-0.40)-R1628</x:f>
        <x:v>1.5999999999999999</x:v>
      </x:c>
    </x:row>
    <x:row r="1629" ht="21" customHeight="1">
      <x:c r="A1629" s="3" t="n">
        <x:v>27</x:v>
      </x:c>
      <x:c r="B1629" s="3" t="str">
        <x:v>04:30</x:v>
      </x:c>
      <x:c r="C1629" s="3" t="n">
        <x:v>5</x:v>
      </x:c>
      <x:c r="D1629" s="3" t="n">
        <x:v>8</x:v>
      </x:c>
      <x:c r="E1629" s="3" t="n">
        <x:v>1</x:v>
      </x:c>
      <x:c r="F1629" s="3" t="n">
        <x:v>3</x:v>
      </x:c>
      <x:c r="G1629" s="9" t="n">
        <x:v>0.1</x:v>
      </x:c>
      <x:c r="H1629" s="9" t="n">
        <x:v>1.122297</x:v>
      </x:c>
      <x:c r="I1629" s="9" t="n">
        <x:f>'Physical_Arcs'!R9</x:f>
        <x:v>4.166666666666667</x:v>
      </x:c>
      <x:c r="J1629" s="9" t="n">
        <x:f>I1629*'Parameters'!$C$18</x:f>
        <x:v>0.8333333333333335</x:v>
      </x:c>
      <x:c r="K1629" s="9" t="n">
        <x:f>J1629*'Parameters'!$C$19</x:f>
        <x:v>1.041666666666667</x:v>
      </x:c>
      <x:c r="L1629" s="9" t="n">
        <x:f>I1629*(1-0.40)-J1629</x:f>
        <x:v>1.6666666666666665</x:v>
      </x:c>
      <x:c r="M1629" s="9" t="n">
        <x:f>'Physical_Arcs'!S9</x:f>
        <x:v>4.166666666666667</x:v>
      </x:c>
      <x:c r="N1629" s="9" t="n">
        <x:f>M1629*'Parameters'!$C$18</x:f>
        <x:v>0.8333333333333335</x:v>
      </x:c>
      <x:c r="O1629" s="9" t="n">
        <x:f>N1629*'Parameters'!$C$19</x:f>
        <x:v>1.041666666666667</x:v>
      </x:c>
      <x:c r="P1629" s="9" t="n">
        <x:f>M1629*(1-0.40)-N1629</x:f>
        <x:v>1.6666666666666665</x:v>
      </x:c>
      <x:c r="Q1629" s="9" t="n">
        <x:f>'Physical_Arcs'!T9</x:f>
        <x:v>2.0833333333333335</x:v>
      </x:c>
      <x:c r="R1629" s="9" t="n">
        <x:f>Q1629*'Parameters'!$C$18</x:f>
        <x:v>0.41666666666666674</x:v>
      </x:c>
      <x:c r="S1629" s="9" t="n">
        <x:f>R1629*'Parameters'!$C$19</x:f>
        <x:v>0.5208333333333335</x:v>
      </x:c>
      <x:c r="T1629" s="9" t="n">
        <x:f>Q1629*(1-0.40)-R1629</x:f>
        <x:v>0.8333333333333333</x:v>
      </x:c>
    </x:row>
    <x:row r="1630" ht="21" customHeight="1">
      <x:c r="A1630" s="3" t="n">
        <x:v>27</x:v>
      </x:c>
      <x:c r="B1630" s="3" t="str">
        <x:v>04:30</x:v>
      </x:c>
      <x:c r="C1630" s="3" t="n">
        <x:v>5</x:v>
      </x:c>
      <x:c r="D1630" s="3" t="n">
        <x:v>9</x:v>
      </x:c>
      <x:c r="E1630" s="3" t="n">
        <x:v>1</x:v>
      </x:c>
      <x:c r="F1630" s="3" t="n">
        <x:v>6</x:v>
      </x:c>
      <x:c r="G1630" s="9" t="n">
        <x:v>0.1</x:v>
      </x:c>
      <x:c r="H1630" s="9" t="n">
        <x:v>1.132682</x:v>
      </x:c>
      <x:c r="I1630" s="9" t="n">
        <x:f>'Physical_Arcs'!R10</x:f>
        <x:v>2.138888888888889</x:v>
      </x:c>
      <x:c r="J1630" s="9" t="n">
        <x:f>I1630*'Parameters'!$C$18</x:f>
        <x:v>0.4277777777777778</x:v>
      </x:c>
      <x:c r="K1630" s="9" t="n">
        <x:f>J1630*'Parameters'!$C$19</x:f>
        <x:v>0.5347222222222223</x:v>
      </x:c>
      <x:c r="L1630" s="9" t="n">
        <x:f>I1630*(1-0.40)-J1630</x:f>
        <x:v>0.8555555555555554</x:v>
      </x:c>
      <x:c r="M1630" s="9" t="n">
        <x:f>'Physical_Arcs'!S10</x:f>
        <x:v>2.138888888888889</x:v>
      </x:c>
      <x:c r="N1630" s="9" t="n">
        <x:f>M1630*'Parameters'!$C$18</x:f>
        <x:v>0.4277777777777778</x:v>
      </x:c>
      <x:c r="O1630" s="9" t="n">
        <x:f>N1630*'Parameters'!$C$19</x:f>
        <x:v>0.5347222222222223</x:v>
      </x:c>
      <x:c r="P1630" s="9" t="n">
        <x:f>M1630*(1-0.40)-N1630</x:f>
        <x:v>0.8555555555555554</x:v>
      </x:c>
      <x:c r="Q1630" s="9" t="n">
        <x:f>'Physical_Arcs'!T10</x:f>
        <x:v>1.0833333333333333</x:v>
      </x:c>
      <x:c r="R1630" s="9" t="n">
        <x:f>Q1630*'Parameters'!$C$18</x:f>
        <x:v>0.21666666666666667</x:v>
      </x:c>
      <x:c r="S1630" s="9" t="n">
        <x:f>R1630*'Parameters'!$C$19</x:f>
        <x:v>0.27083333333333337</x:v>
      </x:c>
      <x:c r="T1630" s="9" t="n">
        <x:f>Q1630*(1-0.40)-R1630</x:f>
        <x:v>0.43333333333333324</x:v>
      </x:c>
    </x:row>
    <x:row r="1631" ht="21" customHeight="1">
      <x:c r="A1631" s="3" t="n">
        <x:v>27</x:v>
      </x:c>
      <x:c r="B1631" s="3" t="str">
        <x:v>04:30</x:v>
      </x:c>
      <x:c r="C1631" s="3" t="n">
        <x:v>5</x:v>
      </x:c>
      <x:c r="D1631" s="3" t="n">
        <x:v>10</x:v>
      </x:c>
      <x:c r="E1631" s="3" t="n">
        <x:v>2</x:v>
      </x:c>
      <x:c r="F1631" s="3" t="n">
        <x:v>3</x:v>
      </x:c>
      <x:c r="G1631" s="9" t="n">
        <x:v>0.1</x:v>
      </x:c>
      <x:c r="H1631" s="9" t="n">
        <x:v>0.871154</x:v>
      </x:c>
      <x:c r="I1631" s="9" t="n">
        <x:f>'Physical_Arcs'!R11</x:f>
        <x:v>17.02777777777778</x:v>
      </x:c>
      <x:c r="J1631" s="9" t="n">
        <x:f>I1631*'Parameters'!$C$18</x:f>
        <x:v>3.405555555555556</x:v>
      </x:c>
      <x:c r="K1631" s="9" t="n">
        <x:f>J1631*'Parameters'!$C$19</x:f>
        <x:v>4.256944444444445</x:v>
      </x:c>
      <x:c r="L1631" s="9" t="n">
        <x:f>I1631*(1-0.40)-J1631</x:f>
        <x:v>6.811111111111111</x:v>
      </x:c>
      <x:c r="M1631" s="9" t="n">
        <x:f>'Physical_Arcs'!S11</x:f>
        <x:v>17.02777777777778</x:v>
      </x:c>
      <x:c r="N1631" s="9" t="n">
        <x:f>M1631*'Parameters'!$C$18</x:f>
        <x:v>3.405555555555556</x:v>
      </x:c>
      <x:c r="O1631" s="9" t="n">
        <x:f>N1631*'Parameters'!$C$19</x:f>
        <x:v>4.256944444444445</x:v>
      </x:c>
      <x:c r="P1631" s="9" t="n">
        <x:f>M1631*(1-0.40)-N1631</x:f>
        <x:v>6.811111111111111</x:v>
      </x:c>
      <x:c r="Q1631" s="9" t="n">
        <x:f>'Physical_Arcs'!T11</x:f>
        <x:v>17.02777777777778</x:v>
      </x:c>
      <x:c r="R1631" s="9" t="n">
        <x:f>Q1631*'Parameters'!$C$18</x:f>
        <x:v>3.405555555555556</x:v>
      </x:c>
      <x:c r="S1631" s="9" t="n">
        <x:f>R1631*'Parameters'!$C$19</x:f>
        <x:v>4.256944444444445</x:v>
      </x:c>
      <x:c r="T1631" s="9" t="n">
        <x:f>Q1631*(1-0.40)-R1631</x:f>
        <x:v>6.811111111111111</x:v>
      </x:c>
    </x:row>
    <x:row r="1632" ht="21" customHeight="1">
      <x:c r="A1632" s="3" t="n">
        <x:v>27</x:v>
      </x:c>
      <x:c r="B1632" s="3" t="str">
        <x:v>04:30</x:v>
      </x:c>
      <x:c r="C1632" s="3" t="n">
        <x:v>5</x:v>
      </x:c>
      <x:c r="D1632" s="3" t="n">
        <x:v>11</x:v>
      </x:c>
      <x:c r="E1632" s="3" t="n">
        <x:v>2</x:v>
      </x:c>
      <x:c r="F1632" s="3" t="n">
        <x:v>4</x:v>
      </x:c>
      <x:c r="G1632" s="9" t="n">
        <x:v>0.1</x:v>
      </x:c>
      <x:c r="H1632" s="9" t="n">
        <x:v>1.147412</x:v>
      </x:c>
      <x:c r="I1632" s="9" t="n">
        <x:f>'Physical_Arcs'!R12</x:f>
        <x:v>7.972222222222222</x:v>
      </x:c>
      <x:c r="J1632" s="9" t="n">
        <x:f>I1632*'Parameters'!$C$18</x:f>
        <x:v>1.5944444444444446</x:v>
      </x:c>
      <x:c r="K1632" s="9" t="n">
        <x:f>J1632*'Parameters'!$C$19</x:f>
        <x:v>1.9930555555555558</x:v>
      </x:c>
      <x:c r="L1632" s="9" t="n">
        <x:f>I1632*(1-0.40)-J1632</x:f>
        <x:v>3.1888888888888887</x:v>
      </x:c>
      <x:c r="M1632" s="9" t="n">
        <x:f>'Physical_Arcs'!S12</x:f>
        <x:v>7.972222222222222</x:v>
      </x:c>
      <x:c r="N1632" s="9" t="n">
        <x:f>M1632*'Parameters'!$C$18</x:f>
        <x:v>1.5944444444444446</x:v>
      </x:c>
      <x:c r="O1632" s="9" t="n">
        <x:f>N1632*'Parameters'!$C$19</x:f>
        <x:v>1.9930555555555558</x:v>
      </x:c>
      <x:c r="P1632" s="9" t="n">
        <x:f>M1632*(1-0.40)-N1632</x:f>
        <x:v>3.1888888888888887</x:v>
      </x:c>
      <x:c r="Q1632" s="9" t="n">
        <x:f>'Physical_Arcs'!T12</x:f>
        <x:v>4</x:v>
      </x:c>
      <x:c r="R1632" s="9" t="n">
        <x:f>Q1632*'Parameters'!$C$18</x:f>
        <x:v>0.8</x:v>
      </x:c>
      <x:c r="S1632" s="9" t="n">
        <x:f>R1632*'Parameters'!$C$19</x:f>
        <x:v>1</x:v>
      </x:c>
      <x:c r="T1632" s="9" t="n">
        <x:f>Q1632*(1-0.40)-R1632</x:f>
        <x:v>1.5999999999999999</x:v>
      </x:c>
    </x:row>
    <x:row r="1633" ht="21" customHeight="1">
      <x:c r="A1633" s="3" t="n">
        <x:v>27</x:v>
      </x:c>
      <x:c r="B1633" s="3" t="str">
        <x:v>04:30</x:v>
      </x:c>
      <x:c r="C1633" s="3" t="n">
        <x:v>5</x:v>
      </x:c>
      <x:c r="D1633" s="3" t="n">
        <x:v>12</x:v>
      </x:c>
      <x:c r="E1633" s="3" t="n">
        <x:v>2</x:v>
      </x:c>
      <x:c r="F1633" s="3" t="n">
        <x:v>7</x:v>
      </x:c>
      <x:c r="G1633" s="9" t="n">
        <x:v>0.1</x:v>
      </x:c>
      <x:c r="H1633" s="9" t="n">
        <x:v>0.96729</x:v>
      </x:c>
      <x:c r="I1633" s="9" t="n">
        <x:f>'Physical_Arcs'!R13</x:f>
        <x:v>4.611111111111111</x:v>
      </x:c>
      <x:c r="J1633" s="9" t="n">
        <x:f>I1633*'Parameters'!$C$18</x:f>
        <x:v>0.9222222222222222</x:v>
      </x:c>
      <x:c r="K1633" s="9" t="n">
        <x:f>J1633*'Parameters'!$C$19</x:f>
        <x:v>1.1527777777777777</x:v>
      </x:c>
      <x:c r="L1633" s="9" t="n">
        <x:f>I1633*(1-0.40)-J1633</x:f>
        <x:v>1.844444444444444</x:v>
      </x:c>
      <x:c r="M1633" s="9" t="n">
        <x:f>'Physical_Arcs'!S13</x:f>
        <x:v>4.611111111111111</x:v>
      </x:c>
      <x:c r="N1633" s="9" t="n">
        <x:f>M1633*'Parameters'!$C$18</x:f>
        <x:v>0.9222222222222222</x:v>
      </x:c>
      <x:c r="O1633" s="9" t="n">
        <x:f>N1633*'Parameters'!$C$19</x:f>
        <x:v>1.1527777777777777</x:v>
      </x:c>
      <x:c r="P1633" s="9" t="n">
        <x:f>M1633*(1-0.40)-N1633</x:f>
        <x:v>1.844444444444444</x:v>
      </x:c>
      <x:c r="Q1633" s="9" t="n">
        <x:f>'Physical_Arcs'!T13</x:f>
        <x:v>2.3055555555555554</x:v>
      </x:c>
      <x:c r="R1633" s="9" t="n">
        <x:f>Q1633*'Parameters'!$C$18</x:f>
        <x:v>0.4611111111111111</x:v>
      </x:c>
      <x:c r="S1633" s="9" t="n">
        <x:f>R1633*'Parameters'!$C$19</x:f>
        <x:v>0.5763888888888888</x:v>
      </x:c>
      <x:c r="T1633" s="9" t="n">
        <x:f>Q1633*(1-0.40)-R1633</x:f>
        <x:v>0.922222222222222</x:v>
      </x:c>
    </x:row>
    <x:row r="1634" ht="21" customHeight="1">
      <x:c r="A1634" s="3" t="n">
        <x:v>27</x:v>
      </x:c>
      <x:c r="B1634" s="3" t="str">
        <x:v>04:30</x:v>
      </x:c>
      <x:c r="C1634" s="3" t="n">
        <x:v>5</x:v>
      </x:c>
      <x:c r="D1634" s="3" t="n">
        <x:v>13</x:v>
      </x:c>
      <x:c r="E1634" s="3" t="n">
        <x:v>2</x:v>
      </x:c>
      <x:c r="F1634" s="3" t="n">
        <x:v>9</x:v>
      </x:c>
      <x:c r="G1634" s="9" t="n">
        <x:v>0.1</x:v>
      </x:c>
      <x:c r="H1634" s="9" t="n">
        <x:v>1.117625</x:v>
      </x:c>
      <x:c r="I1634" s="9" t="n">
        <x:f>'Physical_Arcs'!R14</x:f>
        <x:v>8.666666666666666</x:v>
      </x:c>
      <x:c r="J1634" s="9" t="n">
        <x:f>I1634*'Parameters'!$C$18</x:f>
        <x:v>1.7333333333333334</x:v>
      </x:c>
      <x:c r="K1634" s="9" t="n">
        <x:f>J1634*'Parameters'!$C$19</x:f>
        <x:v>2.166666666666667</x:v>
      </x:c>
      <x:c r="L1634" s="9" t="n">
        <x:f>I1634*(1-0.40)-J1634</x:f>
        <x:v>3.466666666666666</x:v>
      </x:c>
      <x:c r="M1634" s="9" t="n">
        <x:f>'Physical_Arcs'!S14</x:f>
        <x:v>8.666666666666666</x:v>
      </x:c>
      <x:c r="N1634" s="9" t="n">
        <x:f>M1634*'Parameters'!$C$18</x:f>
        <x:v>1.7333333333333334</x:v>
      </x:c>
      <x:c r="O1634" s="9" t="n">
        <x:f>N1634*'Parameters'!$C$19</x:f>
        <x:v>2.166666666666667</x:v>
      </x:c>
      <x:c r="P1634" s="9" t="n">
        <x:f>M1634*(1-0.40)-N1634</x:f>
        <x:v>3.466666666666666</x:v>
      </x:c>
      <x:c r="Q1634" s="9" t="n">
        <x:f>'Physical_Arcs'!T14</x:f>
        <x:v>4.333333333333333</x:v>
      </x:c>
      <x:c r="R1634" s="9" t="n">
        <x:f>Q1634*'Parameters'!$C$18</x:f>
        <x:v>0.8666666666666667</x:v>
      </x:c>
      <x:c r="S1634" s="9" t="n">
        <x:f>R1634*'Parameters'!$C$19</x:f>
        <x:v>1.0833333333333335</x:v>
      </x:c>
      <x:c r="T1634" s="9" t="n">
        <x:f>Q1634*(1-0.40)-R1634</x:f>
        <x:v>1.733333333333333</x:v>
      </x:c>
    </x:row>
    <x:row r="1635" ht="21" customHeight="1">
      <x:c r="A1635" s="3" t="n">
        <x:v>27</x:v>
      </x:c>
      <x:c r="B1635" s="3" t="str">
        <x:v>04:30</x:v>
      </x:c>
      <x:c r="C1635" s="3" t="n">
        <x:v>5</x:v>
      </x:c>
      <x:c r="D1635" s="3" t="n">
        <x:v>14</x:v>
      </x:c>
      <x:c r="E1635" s="3" t="n">
        <x:v>2</x:v>
      </x:c>
      <x:c r="F1635" s="3" t="n">
        <x:v>8</x:v>
      </x:c>
      <x:c r="G1635" s="9" t="n">
        <x:v>0.1</x:v>
      </x:c>
      <x:c r="H1635" s="9" t="n">
        <x:v>1.144902</x:v>
      </x:c>
      <x:c r="I1635" s="9" t="n">
        <x:f>'Physical_Arcs'!R15</x:f>
        <x:v>7.75</x:v>
      </x:c>
      <x:c r="J1635" s="9" t="n">
        <x:f>I1635*'Parameters'!$C$18</x:f>
        <x:v>1.55</x:v>
      </x:c>
      <x:c r="K1635" s="9" t="n">
        <x:f>J1635*'Parameters'!$C$19</x:f>
        <x:v>1.9375</x:v>
      </x:c>
      <x:c r="L1635" s="9" t="n">
        <x:f>I1635*(1-0.40)-J1635</x:f>
        <x:v>3.0999999999999996</x:v>
      </x:c>
      <x:c r="M1635" s="9" t="n">
        <x:f>'Physical_Arcs'!S15</x:f>
        <x:v>7.75</x:v>
      </x:c>
      <x:c r="N1635" s="9" t="n">
        <x:f>M1635*'Parameters'!$C$18</x:f>
        <x:v>1.55</x:v>
      </x:c>
      <x:c r="O1635" s="9" t="n">
        <x:f>N1635*'Parameters'!$C$19</x:f>
        <x:v>1.9375</x:v>
      </x:c>
      <x:c r="P1635" s="9" t="n">
        <x:f>M1635*(1-0.40)-N1635</x:f>
        <x:v>3.0999999999999996</x:v>
      </x:c>
      <x:c r="Q1635" s="9" t="n">
        <x:f>'Physical_Arcs'!T15</x:f>
        <x:v>3.888888888888889</x:v>
      </x:c>
      <x:c r="R1635" s="9" t="n">
        <x:f>Q1635*'Parameters'!$C$18</x:f>
        <x:v>0.7777777777777778</x:v>
      </x:c>
      <x:c r="S1635" s="9" t="n">
        <x:f>R1635*'Parameters'!$C$19</x:f>
        <x:v>0.9722222222222222</x:v>
      </x:c>
      <x:c r="T1635" s="9" t="n">
        <x:f>Q1635*(1-0.40)-R1635</x:f>
        <x:v>1.5555555555555554</x:v>
      </x:c>
    </x:row>
    <x:row r="1636" ht="21" customHeight="1">
      <x:c r="A1636" s="3" t="n">
        <x:v>27</x:v>
      </x:c>
      <x:c r="B1636" s="3" t="str">
        <x:v>04:30</x:v>
      </x:c>
      <x:c r="C1636" s="3" t="n">
        <x:v>5</x:v>
      </x:c>
      <x:c r="D1636" s="3" t="n">
        <x:v>15</x:v>
      </x:c>
      <x:c r="E1636" s="3" t="n">
        <x:v>2</x:v>
      </x:c>
      <x:c r="F1636" s="3" t="n">
        <x:v>10</x:v>
      </x:c>
      <x:c r="G1636" s="9" t="n">
        <x:v>0.1</x:v>
      </x:c>
      <x:c r="H1636" s="9" t="n">
        <x:v>1.146684</x:v>
      </x:c>
      <x:c r="I1636" s="9" t="n">
        <x:f>'Physical_Arcs'!R16</x:f>
        <x:v>7.416666666666667</x:v>
      </x:c>
      <x:c r="J1636" s="9" t="n">
        <x:f>I1636*'Parameters'!$C$18</x:f>
        <x:v>1.4833333333333334</x:v>
      </x:c>
      <x:c r="K1636" s="9" t="n">
        <x:f>J1636*'Parameters'!$C$19</x:f>
        <x:v>1.8541666666666667</x:v>
      </x:c>
      <x:c r="L1636" s="9" t="n">
        <x:f>I1636*(1-0.40)-J1636</x:f>
        <x:v>2.966666666666667</x:v>
      </x:c>
      <x:c r="M1636" s="9" t="n">
        <x:f>'Physical_Arcs'!S16</x:f>
        <x:v>7.416666666666667</x:v>
      </x:c>
      <x:c r="N1636" s="9" t="n">
        <x:f>M1636*'Parameters'!$C$18</x:f>
        <x:v>1.4833333333333334</x:v>
      </x:c>
      <x:c r="O1636" s="9" t="n">
        <x:f>N1636*'Parameters'!$C$19</x:f>
        <x:v>1.8541666666666667</x:v>
      </x:c>
      <x:c r="P1636" s="9" t="n">
        <x:f>M1636*(1-0.40)-N1636</x:f>
        <x:v>2.966666666666667</x:v>
      </x:c>
      <x:c r="Q1636" s="9" t="n">
        <x:f>'Physical_Arcs'!T16</x:f>
        <x:v>3.7222222222222223</x:v>
      </x:c>
      <x:c r="R1636" s="9" t="n">
        <x:f>Q1636*'Parameters'!$C$18</x:f>
        <x:v>0.7444444444444445</x:v>
      </x:c>
      <x:c r="S1636" s="9" t="n">
        <x:f>R1636*'Parameters'!$C$19</x:f>
        <x:v>0.9305555555555556</x:v>
      </x:c>
      <x:c r="T1636" s="9" t="n">
        <x:f>Q1636*(1-0.40)-R1636</x:f>
        <x:v>1.488888888888889</x:v>
      </x:c>
    </x:row>
    <x:row r="1637" ht="21" customHeight="1">
      <x:c r="A1637" s="3" t="n">
        <x:v>27</x:v>
      </x:c>
      <x:c r="B1637" s="3" t="str">
        <x:v>04:30</x:v>
      </x:c>
      <x:c r="C1637" s="3" t="n">
        <x:v>5</x:v>
      </x:c>
      <x:c r="D1637" s="3" t="n">
        <x:v>16</x:v>
      </x:c>
      <x:c r="E1637" s="3" t="n">
        <x:v>3</x:v>
      </x:c>
      <x:c r="F1637" s="3" t="n">
        <x:v>4</x:v>
      </x:c>
      <x:c r="G1637" s="9" t="n">
        <x:v>0.1</x:v>
      </x:c>
      <x:c r="H1637" s="9" t="n">
        <x:v>1.017658</x:v>
      </x:c>
      <x:c r="I1637" s="9" t="n">
        <x:f>'Physical_Arcs'!R17</x:f>
        <x:v>17.02777777777778</x:v>
      </x:c>
      <x:c r="J1637" s="9" t="n">
        <x:f>I1637*'Parameters'!$C$18</x:f>
        <x:v>3.405555555555556</x:v>
      </x:c>
      <x:c r="K1637" s="9" t="n">
        <x:f>J1637*'Parameters'!$C$19</x:f>
        <x:v>4.256944444444445</x:v>
      </x:c>
      <x:c r="L1637" s="9" t="n">
        <x:f>I1637*(1-0.40)-J1637</x:f>
        <x:v>6.811111111111111</x:v>
      </x:c>
      <x:c r="M1637" s="9" t="n">
        <x:f>'Physical_Arcs'!S17</x:f>
        <x:v>17.02777777777778</x:v>
      </x:c>
      <x:c r="N1637" s="9" t="n">
        <x:f>M1637*'Parameters'!$C$18</x:f>
        <x:v>3.405555555555556</x:v>
      </x:c>
      <x:c r="O1637" s="9" t="n">
        <x:f>N1637*'Parameters'!$C$19</x:f>
        <x:v>4.256944444444445</x:v>
      </x:c>
      <x:c r="P1637" s="9" t="n">
        <x:f>M1637*(1-0.40)-N1637</x:f>
        <x:v>6.811111111111111</x:v>
      </x:c>
      <x:c r="Q1637" s="9" t="n">
        <x:f>'Physical_Arcs'!T17</x:f>
        <x:v>17.02777777777778</x:v>
      </x:c>
      <x:c r="R1637" s="9" t="n">
        <x:f>Q1637*'Parameters'!$C$18</x:f>
        <x:v>3.405555555555556</x:v>
      </x:c>
      <x:c r="S1637" s="9" t="n">
        <x:f>R1637*'Parameters'!$C$19</x:f>
        <x:v>4.256944444444445</x:v>
      </x:c>
      <x:c r="T1637" s="9" t="n">
        <x:f>Q1637*(1-0.40)-R1637</x:f>
        <x:v>6.811111111111111</x:v>
      </x:c>
    </x:row>
    <x:row r="1638" ht="21" customHeight="1">
      <x:c r="A1638" s="3" t="n">
        <x:v>27</x:v>
      </x:c>
      <x:c r="B1638" s="3" t="str">
        <x:v>04:30</x:v>
      </x:c>
      <x:c r="C1638" s="3" t="n">
        <x:v>5</x:v>
      </x:c>
      <x:c r="D1638" s="3" t="n">
        <x:v>17</x:v>
      </x:c>
      <x:c r="E1638" s="3" t="n">
        <x:v>3</x:v>
      </x:c>
      <x:c r="F1638" s="3" t="n">
        <x:v>2</x:v>
      </x:c>
      <x:c r="G1638" s="9" t="n">
        <x:v>0.1</x:v>
      </x:c>
      <x:c r="H1638" s="9" t="n">
        <x:v>0.875995</x:v>
      </x:c>
      <x:c r="I1638" s="9" t="n">
        <x:f>'Physical_Arcs'!R18</x:f>
        <x:v>10.666666666666666</x:v>
      </x:c>
      <x:c r="J1638" s="9" t="n">
        <x:f>I1638*'Parameters'!$C$18</x:f>
        <x:v>2.1333333333333333</x:v>
      </x:c>
      <x:c r="K1638" s="9" t="n">
        <x:f>J1638*'Parameters'!$C$19</x:f>
        <x:v>2.6666666666666665</x:v>
      </x:c>
      <x:c r="L1638" s="9" t="n">
        <x:f>I1638*(1-0.40)-J1638</x:f>
        <x:v>4.266666666666666</x:v>
      </x:c>
      <x:c r="M1638" s="9" t="n">
        <x:f>'Physical_Arcs'!S18</x:f>
        <x:v>10.666666666666666</x:v>
      </x:c>
      <x:c r="N1638" s="9" t="n">
        <x:f>M1638*'Parameters'!$C$18</x:f>
        <x:v>2.1333333333333333</x:v>
      </x:c>
      <x:c r="O1638" s="9" t="n">
        <x:f>N1638*'Parameters'!$C$19</x:f>
        <x:v>2.6666666666666665</x:v>
      </x:c>
      <x:c r="P1638" s="9" t="n">
        <x:f>M1638*(1-0.40)-N1638</x:f>
        <x:v>4.266666666666666</x:v>
      </x:c>
      <x:c r="Q1638" s="9" t="n">
        <x:f>'Physical_Arcs'!T18</x:f>
        <x:v>5.333333333333333</x:v>
      </x:c>
      <x:c r="R1638" s="9" t="n">
        <x:f>Q1638*'Parameters'!$C$18</x:f>
        <x:v>1.0666666666666667</x:v>
      </x:c>
      <x:c r="S1638" s="9" t="n">
        <x:f>R1638*'Parameters'!$C$19</x:f>
        <x:v>1.3333333333333333</x:v>
      </x:c>
      <x:c r="T1638" s="9" t="n">
        <x:f>Q1638*(1-0.40)-R1638</x:f>
        <x:v>2.133333333333333</x:v>
      </x:c>
    </x:row>
    <x:row r="1639" ht="21" customHeight="1">
      <x:c r="A1639" s="3" t="n">
        <x:v>27</x:v>
      </x:c>
      <x:c r="B1639" s="3" t="str">
        <x:v>04:30</x:v>
      </x:c>
      <x:c r="C1639" s="3" t="n">
        <x:v>5</x:v>
      </x:c>
      <x:c r="D1639" s="3" t="n">
        <x:v>18</x:v>
      </x:c>
      <x:c r="E1639" s="3" t="n">
        <x:v>3</x:v>
      </x:c>
      <x:c r="F1639" s="3" t="n">
        <x:v>1</x:v>
      </x:c>
      <x:c r="G1639" s="9" t="n">
        <x:v>0.1</x:v>
      </x:c>
      <x:c r="H1639" s="9" t="n">
        <x:v>1.015397</x:v>
      </x:c>
      <x:c r="I1639" s="9" t="n">
        <x:f>'Physical_Arcs'!R19</x:f>
        <x:v>5.166666666666667</x:v>
      </x:c>
      <x:c r="J1639" s="9" t="n">
        <x:f>I1639*'Parameters'!$C$18</x:f>
        <x:v>1.0333333333333334</x:v>
      </x:c>
      <x:c r="K1639" s="9" t="n">
        <x:f>J1639*'Parameters'!$C$19</x:f>
        <x:v>1.2916666666666667</x:v>
      </x:c>
      <x:c r="L1639" s="9" t="n">
        <x:f>I1639*(1-0.40)-J1639</x:f>
        <x:v>2.0666666666666664</x:v>
      </x:c>
      <x:c r="M1639" s="9" t="n">
        <x:f>'Physical_Arcs'!S19</x:f>
        <x:v>5.166666666666667</x:v>
      </x:c>
      <x:c r="N1639" s="9" t="n">
        <x:f>M1639*'Parameters'!$C$18</x:f>
        <x:v>1.0333333333333334</x:v>
      </x:c>
      <x:c r="O1639" s="9" t="n">
        <x:f>N1639*'Parameters'!$C$19</x:f>
        <x:v>1.2916666666666667</x:v>
      </x:c>
      <x:c r="P1639" s="9" t="n">
        <x:f>M1639*(1-0.40)-N1639</x:f>
        <x:v>2.0666666666666664</x:v>
      </x:c>
      <x:c r="Q1639" s="9" t="n">
        <x:f>'Physical_Arcs'!T19</x:f>
        <x:v>2.5833333333333335</x:v>
      </x:c>
      <x:c r="R1639" s="9" t="n">
        <x:f>Q1639*'Parameters'!$C$18</x:f>
        <x:v>0.5166666666666667</x:v>
      </x:c>
      <x:c r="S1639" s="9" t="n">
        <x:f>R1639*'Parameters'!$C$19</x:f>
        <x:v>0.6458333333333334</x:v>
      </x:c>
      <x:c r="T1639" s="9" t="n">
        <x:f>Q1639*(1-0.40)-R1639</x:f>
        <x:v>1.0333333333333332</x:v>
      </x:c>
    </x:row>
    <x:row r="1640" ht="21" customHeight="1">
      <x:c r="A1640" s="3" t="n">
        <x:v>27</x:v>
      </x:c>
      <x:c r="B1640" s="3" t="str">
        <x:v>04:30</x:v>
      </x:c>
      <x:c r="C1640" s="3" t="n">
        <x:v>5</x:v>
      </x:c>
      <x:c r="D1640" s="3" t="n">
        <x:v>19</x:v>
      </x:c>
      <x:c r="E1640" s="3" t="n">
        <x:v>3</x:v>
      </x:c>
      <x:c r="F1640" s="3" t="n">
        <x:v>7</x:v>
      </x:c>
      <x:c r="G1640" s="9" t="n">
        <x:v>0.1</x:v>
      </x:c>
      <x:c r="H1640" s="9" t="n">
        <x:v>0.996008</x:v>
      </x:c>
      <x:c r="I1640" s="9" t="n">
        <x:f>'Physical_Arcs'!R20</x:f>
        <x:v>5.75</x:v>
      </x:c>
      <x:c r="J1640" s="9" t="n">
        <x:f>I1640*'Parameters'!$C$18</x:f>
        <x:v>1.1500000000000001</x:v>
      </x:c>
      <x:c r="K1640" s="9" t="n">
        <x:f>J1640*'Parameters'!$C$19</x:f>
        <x:v>1.4375000000000002</x:v>
      </x:c>
      <x:c r="L1640" s="9" t="n">
        <x:f>I1640*(1-0.40)-J1640</x:f>
        <x:v>2.3</x:v>
      </x:c>
      <x:c r="M1640" s="9" t="n">
        <x:f>'Physical_Arcs'!S20</x:f>
        <x:v>5.75</x:v>
      </x:c>
      <x:c r="N1640" s="9" t="n">
        <x:f>M1640*'Parameters'!$C$18</x:f>
        <x:v>1.1500000000000001</x:v>
      </x:c>
      <x:c r="O1640" s="9" t="n">
        <x:f>N1640*'Parameters'!$C$19</x:f>
        <x:v>1.4375000000000002</x:v>
      </x:c>
      <x:c r="P1640" s="9" t="n">
        <x:f>M1640*(1-0.40)-N1640</x:f>
        <x:v>2.3</x:v>
      </x:c>
      <x:c r="Q1640" s="9" t="n">
        <x:f>'Physical_Arcs'!T20</x:f>
        <x:v>2.888888888888889</x:v>
      </x:c>
      <x:c r="R1640" s="9" t="n">
        <x:f>Q1640*'Parameters'!$C$18</x:f>
        <x:v>0.5777777777777778</x:v>
      </x:c>
      <x:c r="S1640" s="9" t="n">
        <x:f>R1640*'Parameters'!$C$19</x:f>
        <x:v>0.7222222222222223</x:v>
      </x:c>
      <x:c r="T1640" s="9" t="n">
        <x:f>Q1640*(1-0.40)-R1640</x:f>
        <x:v>1.1555555555555554</x:v>
      </x:c>
    </x:row>
    <x:row r="1641" ht="21" customHeight="1">
      <x:c r="A1641" s="3" t="n">
        <x:v>27</x:v>
      </x:c>
      <x:c r="B1641" s="3" t="str">
        <x:v>04:30</x:v>
      </x:c>
      <x:c r="C1641" s="3" t="n">
        <x:v>5</x:v>
      </x:c>
      <x:c r="D1641" s="3" t="n">
        <x:v>20</x:v>
      </x:c>
      <x:c r="E1641" s="3" t="n">
        <x:v>3</x:v>
      </x:c>
      <x:c r="F1641" s="3" t="n">
        <x:v>10</x:v>
      </x:c>
      <x:c r="G1641" s="9" t="n">
        <x:v>0.1</x:v>
      </x:c>
      <x:c r="H1641" s="9" t="n">
        <x:v>1.118855</x:v>
      </x:c>
      <x:c r="I1641" s="9" t="n">
        <x:f>'Physical_Arcs'!R21</x:f>
        <x:v>5.166666666666667</x:v>
      </x:c>
      <x:c r="J1641" s="9" t="n">
        <x:f>I1641*'Parameters'!$C$18</x:f>
        <x:v>1.0333333333333334</x:v>
      </x:c>
      <x:c r="K1641" s="9" t="n">
        <x:f>J1641*'Parameters'!$C$19</x:f>
        <x:v>1.2916666666666667</x:v>
      </x:c>
      <x:c r="L1641" s="9" t="n">
        <x:f>I1641*(1-0.40)-J1641</x:f>
        <x:v>2.0666666666666664</x:v>
      </x:c>
      <x:c r="M1641" s="9" t="n">
        <x:f>'Physical_Arcs'!S21</x:f>
        <x:v>5.166666666666667</x:v>
      </x:c>
      <x:c r="N1641" s="9" t="n">
        <x:f>M1641*'Parameters'!$C$18</x:f>
        <x:v>1.0333333333333334</x:v>
      </x:c>
      <x:c r="O1641" s="9" t="n">
        <x:f>N1641*'Parameters'!$C$19</x:f>
        <x:v>1.2916666666666667</x:v>
      </x:c>
      <x:c r="P1641" s="9" t="n">
        <x:f>M1641*(1-0.40)-N1641</x:f>
        <x:v>2.0666666666666664</x:v>
      </x:c>
      <x:c r="Q1641" s="9" t="n">
        <x:f>'Physical_Arcs'!T21</x:f>
        <x:v>2.5833333333333335</x:v>
      </x:c>
      <x:c r="R1641" s="9" t="n">
        <x:f>Q1641*'Parameters'!$C$18</x:f>
        <x:v>0.5166666666666667</x:v>
      </x:c>
      <x:c r="S1641" s="9" t="n">
        <x:f>R1641*'Parameters'!$C$19</x:f>
        <x:v>0.6458333333333334</x:v>
      </x:c>
      <x:c r="T1641" s="9" t="n">
        <x:f>Q1641*(1-0.40)-R1641</x:f>
        <x:v>1.0333333333333332</x:v>
      </x:c>
    </x:row>
    <x:row r="1642" ht="21" customHeight="1">
      <x:c r="A1642" s="3" t="n">
        <x:v>27</x:v>
      </x:c>
      <x:c r="B1642" s="3" t="str">
        <x:v>04:30</x:v>
      </x:c>
      <x:c r="C1642" s="3" t="n">
        <x:v>5</x:v>
      </x:c>
      <x:c r="D1642" s="3" t="n">
        <x:v>21</x:v>
      </x:c>
      <x:c r="E1642" s="3" t="n">
        <x:v>3</x:v>
      </x:c>
      <x:c r="F1642" s="3" t="n">
        <x:v>9</x:v>
      </x:c>
      <x:c r="G1642" s="9" t="n">
        <x:v>0.1</x:v>
      </x:c>
      <x:c r="H1642" s="9" t="n">
        <x:v>0.947299</x:v>
      </x:c>
      <x:c r="I1642" s="9" t="n">
        <x:f>'Physical_Arcs'!R22</x:f>
        <x:v>9.333333333333334</x:v>
      </x:c>
      <x:c r="J1642" s="9" t="n">
        <x:f>I1642*'Parameters'!$C$18</x:f>
        <x:v>1.866666666666667</x:v>
      </x:c>
      <x:c r="K1642" s="9" t="n">
        <x:f>J1642*'Parameters'!$C$19</x:f>
        <x:v>2.3333333333333335</x:v>
      </x:c>
      <x:c r="L1642" s="9" t="n">
        <x:f>I1642*(1-0.40)-J1642</x:f>
        <x:v>3.7333333333333334</x:v>
      </x:c>
      <x:c r="M1642" s="9" t="n">
        <x:f>'Physical_Arcs'!S22</x:f>
        <x:v>9.333333333333334</x:v>
      </x:c>
      <x:c r="N1642" s="9" t="n">
        <x:f>M1642*'Parameters'!$C$18</x:f>
        <x:v>1.866666666666667</x:v>
      </x:c>
      <x:c r="O1642" s="9" t="n">
        <x:f>N1642*'Parameters'!$C$19</x:f>
        <x:v>2.3333333333333335</x:v>
      </x:c>
      <x:c r="P1642" s="9" t="n">
        <x:f>M1642*(1-0.40)-N1642</x:f>
        <x:v>3.7333333333333334</x:v>
      </x:c>
      <x:c r="Q1642" s="9" t="n">
        <x:f>'Physical_Arcs'!T22</x:f>
        <x:v>4.666666666666667</x:v>
      </x:c>
      <x:c r="R1642" s="9" t="n">
        <x:f>Q1642*'Parameters'!$C$18</x:f>
        <x:v>0.9333333333333335</x:v>
      </x:c>
      <x:c r="S1642" s="9" t="n">
        <x:f>R1642*'Parameters'!$C$19</x:f>
        <x:v>1.1666666666666667</x:v>
      </x:c>
      <x:c r="T1642" s="9" t="n">
        <x:f>Q1642*(1-0.40)-R1642</x:f>
        <x:v>1.8666666666666667</x:v>
      </x:c>
    </x:row>
    <x:row r="1643" ht="21" customHeight="1">
      <x:c r="A1643" s="3" t="n">
        <x:v>27</x:v>
      </x:c>
      <x:c r="B1643" s="3" t="str">
        <x:v>04:30</x:v>
      </x:c>
      <x:c r="C1643" s="3" t="n">
        <x:v>5</x:v>
      </x:c>
      <x:c r="D1643" s="3" t="n">
        <x:v>22</x:v>
      </x:c>
      <x:c r="E1643" s="3" t="n">
        <x:v>4</x:v>
      </x:c>
      <x:c r="F1643" s="3" t="n">
        <x:v>5</x:v>
      </x:c>
      <x:c r="G1643" s="9" t="n">
        <x:v>0.1</x:v>
      </x:c>
      <x:c r="H1643" s="9" t="n">
        <x:v>0.958485</x:v>
      </x:c>
      <x:c r="I1643" s="9" t="n">
        <x:f>'Physical_Arcs'!R23</x:f>
        <x:v>17.02777777777778</x:v>
      </x:c>
      <x:c r="J1643" s="9" t="n">
        <x:f>I1643*'Parameters'!$C$18</x:f>
        <x:v>3.405555555555556</x:v>
      </x:c>
      <x:c r="K1643" s="9" t="n">
        <x:f>J1643*'Parameters'!$C$19</x:f>
        <x:v>4.256944444444445</x:v>
      </x:c>
      <x:c r="L1643" s="9" t="n">
        <x:f>I1643*(1-0.40)-J1643</x:f>
        <x:v>6.811111111111111</x:v>
      </x:c>
      <x:c r="M1643" s="9" t="n">
        <x:f>'Physical_Arcs'!S23</x:f>
        <x:v>17.02777777777778</x:v>
      </x:c>
      <x:c r="N1643" s="9" t="n">
        <x:f>M1643*'Parameters'!$C$18</x:f>
        <x:v>3.405555555555556</x:v>
      </x:c>
      <x:c r="O1643" s="9" t="n">
        <x:f>N1643*'Parameters'!$C$19</x:f>
        <x:v>4.256944444444445</x:v>
      </x:c>
      <x:c r="P1643" s="9" t="n">
        <x:f>M1643*(1-0.40)-N1643</x:f>
        <x:v>6.811111111111111</x:v>
      </x:c>
      <x:c r="Q1643" s="9" t="n">
        <x:f>'Physical_Arcs'!T23</x:f>
        <x:v>17.02777777777778</x:v>
      </x:c>
      <x:c r="R1643" s="9" t="n">
        <x:f>Q1643*'Parameters'!$C$18</x:f>
        <x:v>3.405555555555556</x:v>
      </x:c>
      <x:c r="S1643" s="9" t="n">
        <x:f>R1643*'Parameters'!$C$19</x:f>
        <x:v>4.256944444444445</x:v>
      </x:c>
      <x:c r="T1643" s="9" t="n">
        <x:f>Q1643*(1-0.40)-R1643</x:f>
        <x:v>6.811111111111111</x:v>
      </x:c>
    </x:row>
    <x:row r="1644" ht="21" customHeight="1">
      <x:c r="A1644" s="3" t="n">
        <x:v>27</x:v>
      </x:c>
      <x:c r="B1644" s="3" t="str">
        <x:v>04:30</x:v>
      </x:c>
      <x:c r="C1644" s="3" t="n">
        <x:v>5</x:v>
      </x:c>
      <x:c r="D1644" s="3" t="n">
        <x:v>23</x:v>
      </x:c>
      <x:c r="E1644" s="3" t="n">
        <x:v>4</x:v>
      </x:c>
      <x:c r="F1644" s="3" t="n">
        <x:v>3</x:v>
      </x:c>
      <x:c r="G1644" s="9" t="n">
        <x:v>0.1</x:v>
      </x:c>
      <x:c r="H1644" s="9" t="n">
        <x:v>0.944916</x:v>
      </x:c>
      <x:c r="I1644" s="9" t="n">
        <x:f>'Physical_Arcs'!R24</x:f>
        <x:v>9.333333333333334</x:v>
      </x:c>
      <x:c r="J1644" s="9" t="n">
        <x:f>I1644*'Parameters'!$C$18</x:f>
        <x:v>1.866666666666667</x:v>
      </x:c>
      <x:c r="K1644" s="9" t="n">
        <x:f>J1644*'Parameters'!$C$19</x:f>
        <x:v>2.3333333333333335</x:v>
      </x:c>
      <x:c r="L1644" s="9" t="n">
        <x:f>I1644*(1-0.40)-J1644</x:f>
        <x:v>3.7333333333333334</x:v>
      </x:c>
      <x:c r="M1644" s="9" t="n">
        <x:f>'Physical_Arcs'!S24</x:f>
        <x:v>9.333333333333334</x:v>
      </x:c>
      <x:c r="N1644" s="9" t="n">
        <x:f>M1644*'Parameters'!$C$18</x:f>
        <x:v>1.866666666666667</x:v>
      </x:c>
      <x:c r="O1644" s="9" t="n">
        <x:f>N1644*'Parameters'!$C$19</x:f>
        <x:v>2.3333333333333335</x:v>
      </x:c>
      <x:c r="P1644" s="9" t="n">
        <x:f>M1644*(1-0.40)-N1644</x:f>
        <x:v>3.7333333333333334</x:v>
      </x:c>
      <x:c r="Q1644" s="9" t="n">
        <x:f>'Physical_Arcs'!T24</x:f>
        <x:v>4.666666666666667</x:v>
      </x:c>
      <x:c r="R1644" s="9" t="n">
        <x:f>Q1644*'Parameters'!$C$18</x:f>
        <x:v>0.9333333333333335</x:v>
      </x:c>
      <x:c r="S1644" s="9" t="n">
        <x:f>R1644*'Parameters'!$C$19</x:f>
        <x:v>1.1666666666666667</x:v>
      </x:c>
      <x:c r="T1644" s="9" t="n">
        <x:f>Q1644*(1-0.40)-R1644</x:f>
        <x:v>1.8666666666666667</x:v>
      </x:c>
    </x:row>
    <x:row r="1645" ht="21" customHeight="1">
      <x:c r="A1645" s="3" t="n">
        <x:v>27</x:v>
      </x:c>
      <x:c r="B1645" s="3" t="str">
        <x:v>04:30</x:v>
      </x:c>
      <x:c r="C1645" s="3" t="n">
        <x:v>5</x:v>
      </x:c>
      <x:c r="D1645" s="3" t="n">
        <x:v>24</x:v>
      </x:c>
      <x:c r="E1645" s="3" t="n">
        <x:v>4</x:v>
      </x:c>
      <x:c r="F1645" s="3" t="n">
        <x:v>10</x:v>
      </x:c>
      <x:c r="G1645" s="9" t="n">
        <x:v>0.1</x:v>
      </x:c>
      <x:c r="H1645" s="9" t="n">
        <x:v>0.875461</x:v>
      </x:c>
      <x:c r="I1645" s="9" t="n">
        <x:f>'Physical_Arcs'!R25</x:f>
        <x:v>7.194444444444445</x:v>
      </x:c>
      <x:c r="J1645" s="9" t="n">
        <x:f>I1645*'Parameters'!$C$18</x:f>
        <x:v>1.438888888888889</x:v>
      </x:c>
      <x:c r="K1645" s="9" t="n">
        <x:f>J1645*'Parameters'!$C$19</x:f>
        <x:v>1.7986111111111114</x:v>
      </x:c>
      <x:c r="L1645" s="9" t="n">
        <x:f>I1645*(1-0.40)-J1645</x:f>
        <x:v>2.8777777777777773</x:v>
      </x:c>
      <x:c r="M1645" s="9" t="n">
        <x:f>'Physical_Arcs'!S25</x:f>
        <x:v>7.194444444444445</x:v>
      </x:c>
      <x:c r="N1645" s="9" t="n">
        <x:f>M1645*'Parameters'!$C$18</x:f>
        <x:v>1.438888888888889</x:v>
      </x:c>
      <x:c r="O1645" s="9" t="n">
        <x:f>N1645*'Parameters'!$C$19</x:f>
        <x:v>1.7986111111111114</x:v>
      </x:c>
      <x:c r="P1645" s="9" t="n">
        <x:f>M1645*(1-0.40)-N1645</x:f>
        <x:v>2.8777777777777773</x:v>
      </x:c>
      <x:c r="Q1645" s="9" t="n">
        <x:f>'Physical_Arcs'!T25</x:f>
        <x:v>3.611111111111111</x:v>
      </x:c>
      <x:c r="R1645" s="9" t="n">
        <x:f>Q1645*'Parameters'!$C$18</x:f>
        <x:v>0.7222222222222223</x:v>
      </x:c>
      <x:c r="S1645" s="9" t="n">
        <x:f>R1645*'Parameters'!$C$19</x:f>
        <x:v>0.9027777777777779</x:v>
      </x:c>
      <x:c r="T1645" s="9" t="n">
        <x:f>Q1645*(1-0.40)-R1645</x:f>
        <x:v>1.4444444444444442</x:v>
      </x:c>
    </x:row>
    <x:row r="1646" ht="21" customHeight="1">
      <x:c r="A1646" s="3" t="n">
        <x:v>27</x:v>
      </x:c>
      <x:c r="B1646" s="3" t="str">
        <x:v>04:30</x:v>
      </x:c>
      <x:c r="C1646" s="3" t="n">
        <x:v>5</x:v>
      </x:c>
      <x:c r="D1646" s="3" t="n">
        <x:v>25</x:v>
      </x:c>
      <x:c r="E1646" s="3" t="n">
        <x:v>4</x:v>
      </x:c>
      <x:c r="F1646" s="3" t="n">
        <x:v>8</x:v>
      </x:c>
      <x:c r="G1646" s="9" t="n">
        <x:v>0.1</x:v>
      </x:c>
      <x:c r="H1646" s="9" t="n">
        <x:v>0.993326</x:v>
      </x:c>
      <x:c r="I1646" s="9" t="n">
        <x:f>'Physical_Arcs'!R26</x:f>
        <x:v>5.277777777777778</x:v>
      </x:c>
      <x:c r="J1646" s="9" t="n">
        <x:f>I1646*'Parameters'!$C$18</x:f>
        <x:v>1.0555555555555556</x:v>
      </x:c>
      <x:c r="K1646" s="9" t="n">
        <x:f>J1646*'Parameters'!$C$19</x:f>
        <x:v>1.3194444444444444</x:v>
      </x:c>
      <x:c r="L1646" s="9" t="n">
        <x:f>I1646*(1-0.40)-J1646</x:f>
        <x:v>2.1111111111111107</x:v>
      </x:c>
      <x:c r="M1646" s="9" t="n">
        <x:f>'Physical_Arcs'!S26</x:f>
        <x:v>5.277777777777778</x:v>
      </x:c>
      <x:c r="N1646" s="9" t="n">
        <x:f>M1646*'Parameters'!$C$18</x:f>
        <x:v>1.0555555555555556</x:v>
      </x:c>
      <x:c r="O1646" s="9" t="n">
        <x:f>N1646*'Parameters'!$C$19</x:f>
        <x:v>1.3194444444444444</x:v>
      </x:c>
      <x:c r="P1646" s="9" t="n">
        <x:f>M1646*(1-0.40)-N1646</x:f>
        <x:v>2.1111111111111107</x:v>
      </x:c>
      <x:c r="Q1646" s="9" t="n">
        <x:f>'Physical_Arcs'!T26</x:f>
        <x:v>2.638888888888889</x:v>
      </x:c>
      <x:c r="R1646" s="9" t="n">
        <x:f>Q1646*'Parameters'!$C$18</x:f>
        <x:v>0.5277777777777778</x:v>
      </x:c>
      <x:c r="S1646" s="9" t="n">
        <x:f>R1646*'Parameters'!$C$19</x:f>
        <x:v>0.6597222222222222</x:v>
      </x:c>
      <x:c r="T1646" s="9" t="n">
        <x:f>Q1646*(1-0.40)-R1646</x:f>
        <x:v>1.0555555555555554</x:v>
      </x:c>
    </x:row>
    <x:row r="1647" ht="21" customHeight="1">
      <x:c r="A1647" s="3" t="n">
        <x:v>27</x:v>
      </x:c>
      <x:c r="B1647" s="3" t="str">
        <x:v>04:30</x:v>
      </x:c>
      <x:c r="C1647" s="3" t="n">
        <x:v>5</x:v>
      </x:c>
      <x:c r="D1647" s="3" t="n">
        <x:v>26</x:v>
      </x:c>
      <x:c r="E1647" s="3" t="n">
        <x:v>4</x:v>
      </x:c>
      <x:c r="F1647" s="3" t="n">
        <x:v>7</x:v>
      </x:c>
      <x:c r="G1647" s="9" t="n">
        <x:v>0.1</x:v>
      </x:c>
      <x:c r="H1647" s="9" t="n">
        <x:v>1.099203</x:v>
      </x:c>
      <x:c r="I1647" s="9" t="n">
        <x:f>'Physical_Arcs'!R27</x:f>
        <x:v>6.527777777777778</x:v>
      </x:c>
      <x:c r="J1647" s="9" t="n">
        <x:f>I1647*'Parameters'!$C$18</x:f>
        <x:v>1.3055555555555556</x:v>
      </x:c>
      <x:c r="K1647" s="9" t="n">
        <x:f>J1647*'Parameters'!$C$19</x:f>
        <x:v>1.6319444444444444</x:v>
      </x:c>
      <x:c r="L1647" s="9" t="n">
        <x:f>I1647*(1-0.40)-J1647</x:f>
        <x:v>2.6111111111111107</x:v>
      </x:c>
      <x:c r="M1647" s="9" t="n">
        <x:f>'Physical_Arcs'!S27</x:f>
        <x:v>6.527777777777778</x:v>
      </x:c>
      <x:c r="N1647" s="9" t="n">
        <x:f>M1647*'Parameters'!$C$18</x:f>
        <x:v>1.3055555555555556</x:v>
      </x:c>
      <x:c r="O1647" s="9" t="n">
        <x:f>N1647*'Parameters'!$C$19</x:f>
        <x:v>1.6319444444444444</x:v>
      </x:c>
      <x:c r="P1647" s="9" t="n">
        <x:f>M1647*(1-0.40)-N1647</x:f>
        <x:v>2.6111111111111107</x:v>
      </x:c>
      <x:c r="Q1647" s="9" t="n">
        <x:f>'Physical_Arcs'!T27</x:f>
        <x:v>3.2777777777777777</x:v>
      </x:c>
      <x:c r="R1647" s="9" t="n">
        <x:f>Q1647*'Parameters'!$C$18</x:f>
        <x:v>0.6555555555555556</x:v>
      </x:c>
      <x:c r="S1647" s="9" t="n">
        <x:f>R1647*'Parameters'!$C$19</x:f>
        <x:v>0.8194444444444444</x:v>
      </x:c>
      <x:c r="T1647" s="9" t="n">
        <x:f>Q1647*(1-0.40)-R1647</x:f>
        <x:v>1.311111111111111</x:v>
      </x:c>
    </x:row>
    <x:row r="1648" ht="21" customHeight="1">
      <x:c r="A1648" s="3" t="n">
        <x:v>27</x:v>
      </x:c>
      <x:c r="B1648" s="3" t="str">
        <x:v>04:30</x:v>
      </x:c>
      <x:c r="C1648" s="3" t="n">
        <x:v>5</x:v>
      </x:c>
      <x:c r="D1648" s="3" t="n">
        <x:v>27</x:v>
      </x:c>
      <x:c r="E1648" s="3" t="n">
        <x:v>4</x:v>
      </x:c>
      <x:c r="F1648" s="3" t="n">
        <x:v>2</x:v>
      </x:c>
      <x:c r="G1648" s="9" t="n">
        <x:v>0.1</x:v>
      </x:c>
      <x:c r="H1648" s="9" t="n">
        <x:v>0.861111</x:v>
      </x:c>
      <x:c r="I1648" s="9" t="n">
        <x:f>'Physical_Arcs'!R28</x:f>
        <x:v>4.944444444444445</x:v>
      </x:c>
      <x:c r="J1648" s="9" t="n">
        <x:f>I1648*'Parameters'!$C$18</x:f>
        <x:v>0.9888888888888889</x:v>
      </x:c>
      <x:c r="K1648" s="9" t="n">
        <x:f>J1648*'Parameters'!$C$19</x:f>
        <x:v>1.2361111111111112</x:v>
      </x:c>
      <x:c r="L1648" s="9" t="n">
        <x:f>I1648*(1-0.40)-J1648</x:f>
        <x:v>1.9777777777777779</x:v>
      </x:c>
      <x:c r="M1648" s="9" t="n">
        <x:f>'Physical_Arcs'!S28</x:f>
        <x:v>4.944444444444445</x:v>
      </x:c>
      <x:c r="N1648" s="9" t="n">
        <x:f>M1648*'Parameters'!$C$18</x:f>
        <x:v>0.9888888888888889</x:v>
      </x:c>
      <x:c r="O1648" s="9" t="n">
        <x:f>N1648*'Parameters'!$C$19</x:f>
        <x:v>1.2361111111111112</x:v>
      </x:c>
      <x:c r="P1648" s="9" t="n">
        <x:f>M1648*(1-0.40)-N1648</x:f>
        <x:v>1.9777777777777779</x:v>
      </x:c>
      <x:c r="Q1648" s="9" t="n">
        <x:f>'Physical_Arcs'!T28</x:f>
        <x:v>2.4722222222222223</x:v>
      </x:c>
      <x:c r="R1648" s="9" t="n">
        <x:f>Q1648*'Parameters'!$C$18</x:f>
        <x:v>0.49444444444444446</x:v>
      </x:c>
      <x:c r="S1648" s="9" t="n">
        <x:f>R1648*'Parameters'!$C$19</x:f>
        <x:v>0.6180555555555556</x:v>
      </x:c>
      <x:c r="T1648" s="9" t="n">
        <x:f>Q1648*(1-0.40)-R1648</x:f>
        <x:v>0.9888888888888889</x:v>
      </x:c>
    </x:row>
    <x:row r="1649" ht="21" customHeight="1">
      <x:c r="A1649" s="3" t="n">
        <x:v>27</x:v>
      </x:c>
      <x:c r="B1649" s="3" t="str">
        <x:v>04:30</x:v>
      </x:c>
      <x:c r="C1649" s="3" t="n">
        <x:v>5</x:v>
      </x:c>
      <x:c r="D1649" s="3" t="n">
        <x:v>28</x:v>
      </x:c>
      <x:c r="E1649" s="3" t="n">
        <x:v>4</x:v>
      </x:c>
      <x:c r="F1649" s="3" t="n">
        <x:v>6</x:v>
      </x:c>
      <x:c r="G1649" s="9" t="n">
        <x:v>0.1</x:v>
      </x:c>
      <x:c r="H1649" s="9" t="n">
        <x:v>1.137214</x:v>
      </x:c>
      <x:c r="I1649" s="9" t="n">
        <x:f>'Physical_Arcs'!R29</x:f>
        <x:v>3.388888888888889</x:v>
      </x:c>
      <x:c r="J1649" s="9" t="n">
        <x:f>I1649*'Parameters'!$C$18</x:f>
        <x:v>0.6777777777777778</x:v>
      </x:c>
      <x:c r="K1649" s="9" t="n">
        <x:f>J1649*'Parameters'!$C$19</x:f>
        <x:v>0.8472222222222223</x:v>
      </x:c>
      <x:c r="L1649" s="9" t="n">
        <x:f>I1649*(1-0.40)-J1649</x:f>
        <x:v>1.3555555555555554</x:v>
      </x:c>
      <x:c r="M1649" s="9" t="n">
        <x:f>'Physical_Arcs'!S29</x:f>
        <x:v>3.388888888888889</x:v>
      </x:c>
      <x:c r="N1649" s="9" t="n">
        <x:f>M1649*'Parameters'!$C$18</x:f>
        <x:v>0.6777777777777778</x:v>
      </x:c>
      <x:c r="O1649" s="9" t="n">
        <x:f>N1649*'Parameters'!$C$19</x:f>
        <x:v>0.8472222222222223</x:v>
      </x:c>
      <x:c r="P1649" s="9" t="n">
        <x:f>M1649*(1-0.40)-N1649</x:f>
        <x:v>1.3555555555555554</x:v>
      </x:c>
      <x:c r="Q1649" s="9" t="n">
        <x:f>'Physical_Arcs'!T29</x:f>
        <x:v>1.6944444444444444</x:v>
      </x:c>
      <x:c r="R1649" s="9" t="n">
        <x:f>Q1649*'Parameters'!$C$18</x:f>
        <x:v>0.3388888888888889</x:v>
      </x:c>
      <x:c r="S1649" s="9" t="n">
        <x:f>R1649*'Parameters'!$C$19</x:f>
        <x:v>0.42361111111111116</x:v>
      </x:c>
      <x:c r="T1649" s="9" t="n">
        <x:f>Q1649*(1-0.40)-R1649</x:f>
        <x:v>0.6777777777777777</x:v>
      </x:c>
    </x:row>
    <x:row r="1650" ht="21" customHeight="1">
      <x:c r="A1650" s="3" t="n">
        <x:v>27</x:v>
      </x:c>
      <x:c r="B1650" s="3" t="str">
        <x:v>04:30</x:v>
      </x:c>
      <x:c r="C1650" s="3" t="n">
        <x:v>5</x:v>
      </x:c>
      <x:c r="D1650" s="3" t="n">
        <x:v>29</x:v>
      </x:c>
      <x:c r="E1650" s="3" t="n">
        <x:v>5</x:v>
      </x:c>
      <x:c r="F1650" s="3" t="n">
        <x:v>6</x:v>
      </x:c>
      <x:c r="G1650" s="9" t="n">
        <x:v>0.1</x:v>
      </x:c>
      <x:c r="H1650" s="9" t="n">
        <x:v>0.949994</x:v>
      </x:c>
      <x:c r="I1650" s="9" t="n">
        <x:f>'Physical_Arcs'!R30</x:f>
        <x:v>17.02777777777778</x:v>
      </x:c>
      <x:c r="J1650" s="9" t="n">
        <x:f>I1650*'Parameters'!$C$18</x:f>
        <x:v>3.405555555555556</x:v>
      </x:c>
      <x:c r="K1650" s="9" t="n">
        <x:f>J1650*'Parameters'!$C$19</x:f>
        <x:v>4.256944444444445</x:v>
      </x:c>
      <x:c r="L1650" s="9" t="n">
        <x:f>I1650*(1-0.40)-J1650</x:f>
        <x:v>6.811111111111111</x:v>
      </x:c>
      <x:c r="M1650" s="9" t="n">
        <x:f>'Physical_Arcs'!S30</x:f>
        <x:v>17.02777777777778</x:v>
      </x:c>
      <x:c r="N1650" s="9" t="n">
        <x:f>M1650*'Parameters'!$C$18</x:f>
        <x:v>3.405555555555556</x:v>
      </x:c>
      <x:c r="O1650" s="9" t="n">
        <x:f>N1650*'Parameters'!$C$19</x:f>
        <x:v>4.256944444444445</x:v>
      </x:c>
      <x:c r="P1650" s="9" t="n">
        <x:f>M1650*(1-0.40)-N1650</x:f>
        <x:v>6.811111111111111</x:v>
      </x:c>
      <x:c r="Q1650" s="9" t="n">
        <x:f>'Physical_Arcs'!T30</x:f>
        <x:v>17.02777777777778</x:v>
      </x:c>
      <x:c r="R1650" s="9" t="n">
        <x:f>Q1650*'Parameters'!$C$18</x:f>
        <x:v>3.405555555555556</x:v>
      </x:c>
      <x:c r="S1650" s="9" t="n">
        <x:f>R1650*'Parameters'!$C$19</x:f>
        <x:v>4.256944444444445</x:v>
      </x:c>
      <x:c r="T1650" s="9" t="n">
        <x:f>Q1650*(1-0.40)-R1650</x:f>
        <x:v>6.811111111111111</x:v>
      </x:c>
    </x:row>
    <x:row r="1651" ht="21" customHeight="1">
      <x:c r="A1651" s="3" t="n">
        <x:v>27</x:v>
      </x:c>
      <x:c r="B1651" s="3" t="str">
        <x:v>04:30</x:v>
      </x:c>
      <x:c r="C1651" s="3" t="n">
        <x:v>5</x:v>
      </x:c>
      <x:c r="D1651" s="3" t="n">
        <x:v>30</x:v>
      </x:c>
      <x:c r="E1651" s="3" t="n">
        <x:v>5</x:v>
      </x:c>
      <x:c r="F1651" s="3" t="n">
        <x:v>2</x:v>
      </x:c>
      <x:c r="G1651" s="9" t="n">
        <x:v>0.1</x:v>
      </x:c>
      <x:c r="H1651" s="9" t="n">
        <x:v>0.882396</x:v>
      </x:c>
      <x:c r="I1651" s="9" t="n">
        <x:f>'Physical_Arcs'!R31</x:f>
        <x:v>2.9444444444444446</x:v>
      </x:c>
      <x:c r="J1651" s="9" t="n">
        <x:f>I1651*'Parameters'!$C$18</x:f>
        <x:v>0.5888888888888889</x:v>
      </x:c>
      <x:c r="K1651" s="9" t="n">
        <x:f>J1651*'Parameters'!$C$19</x:f>
        <x:v>0.7361111111111112</x:v>
      </x:c>
      <x:c r="L1651" s="9" t="n">
        <x:f>I1651*(1-0.40)-J1651</x:f>
        <x:v>1.177777777777778</x:v>
      </x:c>
      <x:c r="M1651" s="9" t="n">
        <x:f>'Physical_Arcs'!S31</x:f>
        <x:v>2.9444444444444446</x:v>
      </x:c>
      <x:c r="N1651" s="9" t="n">
        <x:f>M1651*'Parameters'!$C$18</x:f>
        <x:v>0.5888888888888889</x:v>
      </x:c>
      <x:c r="O1651" s="9" t="n">
        <x:f>N1651*'Parameters'!$C$19</x:f>
        <x:v>0.7361111111111112</x:v>
      </x:c>
      <x:c r="P1651" s="9" t="n">
        <x:f>M1651*(1-0.40)-N1651</x:f>
        <x:v>1.177777777777778</x:v>
      </x:c>
      <x:c r="Q1651" s="9" t="n">
        <x:f>'Physical_Arcs'!T31</x:f>
        <x:v>1.4722222222222223</x:v>
      </x:c>
      <x:c r="R1651" s="9" t="n">
        <x:f>Q1651*'Parameters'!$C$18</x:f>
        <x:v>0.29444444444444445</x:v>
      </x:c>
      <x:c r="S1651" s="9" t="n">
        <x:f>R1651*'Parameters'!$C$19</x:f>
        <x:v>0.3680555555555556</x:v>
      </x:c>
      <x:c r="T1651" s="9" t="n">
        <x:f>Q1651*(1-0.40)-R1651</x:f>
        <x:v>0.588888888888889</x:v>
      </x:c>
    </x:row>
    <x:row r="1652" ht="21" customHeight="1">
      <x:c r="A1652" s="3" t="n">
        <x:v>27</x:v>
      </x:c>
      <x:c r="B1652" s="3" t="str">
        <x:v>04:30</x:v>
      </x:c>
      <x:c r="C1652" s="3" t="n">
        <x:v>5</x:v>
      </x:c>
      <x:c r="D1652" s="3" t="n">
        <x:v>31</x:v>
      </x:c>
      <x:c r="E1652" s="3" t="n">
        <x:v>5</x:v>
      </x:c>
      <x:c r="F1652" s="3" t="n">
        <x:v>8</x:v>
      </x:c>
      <x:c r="G1652" s="9" t="n">
        <x:v>0.1</x:v>
      </x:c>
      <x:c r="H1652" s="9" t="n">
        <x:v>0.986718</x:v>
      </x:c>
      <x:c r="I1652" s="9" t="n">
        <x:f>'Physical_Arcs'!R32</x:f>
        <x:v>9.333333333333334</x:v>
      </x:c>
      <x:c r="J1652" s="9" t="n">
        <x:f>I1652*'Parameters'!$C$18</x:f>
        <x:v>1.866666666666667</x:v>
      </x:c>
      <x:c r="K1652" s="9" t="n">
        <x:f>J1652*'Parameters'!$C$19</x:f>
        <x:v>2.3333333333333335</x:v>
      </x:c>
      <x:c r="L1652" s="9" t="n">
        <x:f>I1652*(1-0.40)-J1652</x:f>
        <x:v>3.7333333333333334</x:v>
      </x:c>
      <x:c r="M1652" s="9" t="n">
        <x:f>'Physical_Arcs'!S32</x:f>
        <x:v>9.333333333333334</x:v>
      </x:c>
      <x:c r="N1652" s="9" t="n">
        <x:f>M1652*'Parameters'!$C$18</x:f>
        <x:v>1.866666666666667</x:v>
      </x:c>
      <x:c r="O1652" s="9" t="n">
        <x:f>N1652*'Parameters'!$C$19</x:f>
        <x:v>2.3333333333333335</x:v>
      </x:c>
      <x:c r="P1652" s="9" t="n">
        <x:f>M1652*(1-0.40)-N1652</x:f>
        <x:v>3.7333333333333334</x:v>
      </x:c>
      <x:c r="Q1652" s="9" t="n">
        <x:f>'Physical_Arcs'!T32</x:f>
        <x:v>4.666666666666667</x:v>
      </x:c>
      <x:c r="R1652" s="9" t="n">
        <x:f>Q1652*'Parameters'!$C$18</x:f>
        <x:v>0.9333333333333335</x:v>
      </x:c>
      <x:c r="S1652" s="9" t="n">
        <x:f>R1652*'Parameters'!$C$19</x:f>
        <x:v>1.1666666666666667</x:v>
      </x:c>
      <x:c r="T1652" s="9" t="n">
        <x:f>Q1652*(1-0.40)-R1652</x:f>
        <x:v>1.8666666666666667</x:v>
      </x:c>
    </x:row>
    <x:row r="1653" ht="21" customHeight="1">
      <x:c r="A1653" s="3" t="n">
        <x:v>27</x:v>
      </x:c>
      <x:c r="B1653" s="3" t="str">
        <x:v>04:30</x:v>
      </x:c>
      <x:c r="C1653" s="3" t="n">
        <x:v>5</x:v>
      </x:c>
      <x:c r="D1653" s="3" t="n">
        <x:v>32</x:v>
      </x:c>
      <x:c r="E1653" s="3" t="n">
        <x:v>5</x:v>
      </x:c>
      <x:c r="F1653" s="3" t="n">
        <x:v>3</x:v>
      </x:c>
      <x:c r="G1653" s="9" t="n">
        <x:v>0.1</x:v>
      </x:c>
      <x:c r="H1653" s="9" t="n">
        <x:v>1.089544</x:v>
      </x:c>
      <x:c r="I1653" s="9" t="n">
        <x:f>'Physical_Arcs'!R33</x:f>
        <x:v>11.13888888888889</x:v>
      </x:c>
      <x:c r="J1653" s="9" t="n">
        <x:f>I1653*'Parameters'!$C$18</x:f>
        <x:v>2.227777777777778</x:v>
      </x:c>
      <x:c r="K1653" s="9" t="n">
        <x:f>J1653*'Parameters'!$C$19</x:f>
        <x:v>2.7847222222222223</x:v>
      </x:c>
      <x:c r="L1653" s="9" t="n">
        <x:f>I1653*(1-0.40)-J1653</x:f>
        <x:v>4.455555555555556</x:v>
      </x:c>
      <x:c r="M1653" s="9" t="n">
        <x:f>'Physical_Arcs'!S33</x:f>
        <x:v>11.13888888888889</x:v>
      </x:c>
      <x:c r="N1653" s="9" t="n">
        <x:f>M1653*'Parameters'!$C$18</x:f>
        <x:v>2.227777777777778</x:v>
      </x:c>
      <x:c r="O1653" s="9" t="n">
        <x:f>N1653*'Parameters'!$C$19</x:f>
        <x:v>2.7847222222222223</x:v>
      </x:c>
      <x:c r="P1653" s="9" t="n">
        <x:f>M1653*(1-0.40)-N1653</x:f>
        <x:v>4.455555555555556</x:v>
      </x:c>
      <x:c r="Q1653" s="9" t="n">
        <x:f>'Physical_Arcs'!T33</x:f>
        <x:v>5.583333333333333</x:v>
      </x:c>
      <x:c r="R1653" s="9" t="n">
        <x:f>Q1653*'Parameters'!$C$18</x:f>
        <x:v>1.1166666666666667</x:v>
      </x:c>
      <x:c r="S1653" s="9" t="n">
        <x:f>R1653*'Parameters'!$C$19</x:f>
        <x:v>1.3958333333333335</x:v>
      </x:c>
      <x:c r="T1653" s="9" t="n">
        <x:f>Q1653*(1-0.40)-R1653</x:f>
        <x:v>2.233333333333333</x:v>
      </x:c>
    </x:row>
    <x:row r="1654" ht="21" customHeight="1">
      <x:c r="A1654" s="3" t="n">
        <x:v>27</x:v>
      </x:c>
      <x:c r="B1654" s="3" t="str">
        <x:v>04:30</x:v>
      </x:c>
      <x:c r="C1654" s="3" t="n">
        <x:v>5</x:v>
      </x:c>
      <x:c r="D1654" s="3" t="n">
        <x:v>33</x:v>
      </x:c>
      <x:c r="E1654" s="3" t="n">
        <x:v>5</x:v>
      </x:c>
      <x:c r="F1654" s="3" t="n">
        <x:v>10</x:v>
      </x:c>
      <x:c r="G1654" s="9" t="n">
        <x:v>0.1</x:v>
      </x:c>
      <x:c r="H1654" s="9" t="n">
        <x:v>1.103596</x:v>
      </x:c>
      <x:c r="I1654" s="9" t="n">
        <x:f>'Physical_Arcs'!R34</x:f>
        <x:v>4.611111111111111</x:v>
      </x:c>
      <x:c r="J1654" s="9" t="n">
        <x:f>I1654*'Parameters'!$C$18</x:f>
        <x:v>0.9222222222222222</x:v>
      </x:c>
      <x:c r="K1654" s="9" t="n">
        <x:f>J1654*'Parameters'!$C$19</x:f>
        <x:v>1.1527777777777777</x:v>
      </x:c>
      <x:c r="L1654" s="9" t="n">
        <x:f>I1654*(1-0.40)-J1654</x:f>
        <x:v>1.844444444444444</x:v>
      </x:c>
      <x:c r="M1654" s="9" t="n">
        <x:f>'Physical_Arcs'!S34</x:f>
        <x:v>4.611111111111111</x:v>
      </x:c>
      <x:c r="N1654" s="9" t="n">
        <x:f>M1654*'Parameters'!$C$18</x:f>
        <x:v>0.9222222222222222</x:v>
      </x:c>
      <x:c r="O1654" s="9" t="n">
        <x:f>N1654*'Parameters'!$C$19</x:f>
        <x:v>1.1527777777777777</x:v>
      </x:c>
      <x:c r="P1654" s="9" t="n">
        <x:f>M1654*(1-0.40)-N1654</x:f>
        <x:v>1.844444444444444</x:v>
      </x:c>
      <x:c r="Q1654" s="9" t="n">
        <x:f>'Physical_Arcs'!T34</x:f>
        <x:v>2.3055555555555554</x:v>
      </x:c>
      <x:c r="R1654" s="9" t="n">
        <x:f>Q1654*'Parameters'!$C$18</x:f>
        <x:v>0.4611111111111111</x:v>
      </x:c>
      <x:c r="S1654" s="9" t="n">
        <x:f>R1654*'Parameters'!$C$19</x:f>
        <x:v>0.5763888888888888</x:v>
      </x:c>
      <x:c r="T1654" s="9" t="n">
        <x:f>Q1654*(1-0.40)-R1654</x:f>
        <x:v>0.922222222222222</x:v>
      </x:c>
    </x:row>
    <x:row r="1655" ht="21" customHeight="1">
      <x:c r="A1655" s="3" t="n">
        <x:v>27</x:v>
      </x:c>
      <x:c r="B1655" s="3" t="str">
        <x:v>04:30</x:v>
      </x:c>
      <x:c r="C1655" s="3" t="n">
        <x:v>5</x:v>
      </x:c>
      <x:c r="D1655" s="3" t="n">
        <x:v>34</x:v>
      </x:c>
      <x:c r="E1655" s="3" t="n">
        <x:v>6</x:v>
      </x:c>
      <x:c r="F1655" s="3" t="n">
        <x:v>7</x:v>
      </x:c>
      <x:c r="G1655" s="9" t="n">
        <x:v>0.1</x:v>
      </x:c>
      <x:c r="H1655" s="9" t="n">
        <x:v>0.973887</x:v>
      </x:c>
      <x:c r="I1655" s="9" t="n">
        <x:f>'Physical_Arcs'!R35</x:f>
        <x:v>17.02777777777778</x:v>
      </x:c>
      <x:c r="J1655" s="9" t="n">
        <x:f>I1655*'Parameters'!$C$18</x:f>
        <x:v>3.405555555555556</x:v>
      </x:c>
      <x:c r="K1655" s="9" t="n">
        <x:f>J1655*'Parameters'!$C$19</x:f>
        <x:v>4.256944444444445</x:v>
      </x:c>
      <x:c r="L1655" s="9" t="n">
        <x:f>I1655*(1-0.40)-J1655</x:f>
        <x:v>6.811111111111111</x:v>
      </x:c>
      <x:c r="M1655" s="9" t="n">
        <x:f>'Physical_Arcs'!S35</x:f>
        <x:v>17.02777777777778</x:v>
      </x:c>
      <x:c r="N1655" s="9" t="n">
        <x:f>M1655*'Parameters'!$C$18</x:f>
        <x:v>3.405555555555556</x:v>
      </x:c>
      <x:c r="O1655" s="9" t="n">
        <x:f>N1655*'Parameters'!$C$19</x:f>
        <x:v>4.256944444444445</x:v>
      </x:c>
      <x:c r="P1655" s="9" t="n">
        <x:f>M1655*(1-0.40)-N1655</x:f>
        <x:v>6.811111111111111</x:v>
      </x:c>
      <x:c r="Q1655" s="9" t="n">
        <x:f>'Physical_Arcs'!T35</x:f>
        <x:v>17.02777777777778</x:v>
      </x:c>
      <x:c r="R1655" s="9" t="n">
        <x:f>Q1655*'Parameters'!$C$18</x:f>
        <x:v>3.405555555555556</x:v>
      </x:c>
      <x:c r="S1655" s="9" t="n">
        <x:f>R1655*'Parameters'!$C$19</x:f>
        <x:v>4.256944444444445</x:v>
      </x:c>
      <x:c r="T1655" s="9" t="n">
        <x:f>Q1655*(1-0.40)-R1655</x:f>
        <x:v>6.811111111111111</x:v>
      </x:c>
    </x:row>
    <x:row r="1656" ht="21" customHeight="1">
      <x:c r="A1656" s="3" t="n">
        <x:v>27</x:v>
      </x:c>
      <x:c r="B1656" s="3" t="str">
        <x:v>04:30</x:v>
      </x:c>
      <x:c r="C1656" s="3" t="n">
        <x:v>5</x:v>
      </x:c>
      <x:c r="D1656" s="3" t="n">
        <x:v>35</x:v>
      </x:c>
      <x:c r="E1656" s="3" t="n">
        <x:v>6</x:v>
      </x:c>
      <x:c r="F1656" s="3" t="n">
        <x:v>10</x:v>
      </x:c>
      <x:c r="G1656" s="9" t="n">
        <x:v>0.1</x:v>
      </x:c>
      <x:c r="H1656" s="9" t="n">
        <x:v>1.009062</x:v>
      </x:c>
      <x:c r="I1656" s="9" t="n">
        <x:f>'Physical_Arcs'!R36</x:f>
        <x:v>4.055555555555555</x:v>
      </x:c>
      <x:c r="J1656" s="9" t="n">
        <x:f>I1656*'Parameters'!$C$18</x:f>
        <x:v>0.8111111111111111</x:v>
      </x:c>
      <x:c r="K1656" s="9" t="n">
        <x:f>J1656*'Parameters'!$C$19</x:f>
        <x:v>1.0138888888888888</x:v>
      </x:c>
      <x:c r="L1656" s="9" t="n">
        <x:f>I1656*(1-0.40)-J1656</x:f>
        <x:v>1.622222222222222</x:v>
      </x:c>
      <x:c r="M1656" s="9" t="n">
        <x:f>'Physical_Arcs'!S36</x:f>
        <x:v>4.055555555555555</x:v>
      </x:c>
      <x:c r="N1656" s="9" t="n">
        <x:f>M1656*'Parameters'!$C$18</x:f>
        <x:v>0.8111111111111111</x:v>
      </x:c>
      <x:c r="O1656" s="9" t="n">
        <x:f>N1656*'Parameters'!$C$19</x:f>
        <x:v>1.0138888888888888</x:v>
      </x:c>
      <x:c r="P1656" s="9" t="n">
        <x:f>M1656*(1-0.40)-N1656</x:f>
        <x:v>1.622222222222222</x:v>
      </x:c>
      <x:c r="Q1656" s="9" t="n">
        <x:f>'Physical_Arcs'!T36</x:f>
        <x:v>2.0277777777777777</x:v>
      </x:c>
      <x:c r="R1656" s="9" t="n">
        <x:f>Q1656*'Parameters'!$C$18</x:f>
        <x:v>0.40555555555555556</x:v>
      </x:c>
      <x:c r="S1656" s="9" t="n">
        <x:f>R1656*'Parameters'!$C$19</x:f>
        <x:v>0.5069444444444444</x:v>
      </x:c>
      <x:c r="T1656" s="9" t="n">
        <x:f>Q1656*(1-0.40)-R1656</x:f>
        <x:v>0.811111111111111</x:v>
      </x:c>
    </x:row>
    <x:row r="1657" ht="21" customHeight="1">
      <x:c r="A1657" s="3" t="n">
        <x:v>27</x:v>
      </x:c>
      <x:c r="B1657" s="3" t="str">
        <x:v>04:30</x:v>
      </x:c>
      <x:c r="C1657" s="3" t="n">
        <x:v>5</x:v>
      </x:c>
      <x:c r="D1657" s="3" t="n">
        <x:v>36</x:v>
      </x:c>
      <x:c r="E1657" s="3" t="n">
        <x:v>6</x:v>
      </x:c>
      <x:c r="F1657" s="3" t="n">
        <x:v>8</x:v>
      </x:c>
      <x:c r="G1657" s="9" t="n">
        <x:v>0.1</x:v>
      </x:c>
      <x:c r="H1657" s="9" t="n">
        <x:v>1.132129</x:v>
      </x:c>
      <x:c r="I1657" s="9" t="n">
        <x:f>'Physical_Arcs'!R37</x:f>
        <x:v>6.972222222222222</x:v>
      </x:c>
      <x:c r="J1657" s="9" t="n">
        <x:f>I1657*'Parameters'!$C$18</x:f>
        <x:v>1.3944444444444446</x:v>
      </x:c>
      <x:c r="K1657" s="9" t="n">
        <x:f>J1657*'Parameters'!$C$19</x:f>
        <x:v>1.7430555555555558</x:v>
      </x:c>
      <x:c r="L1657" s="9" t="n">
        <x:f>I1657*(1-0.40)-J1657</x:f>
        <x:v>2.7888888888888888</x:v>
      </x:c>
      <x:c r="M1657" s="9" t="n">
        <x:f>'Physical_Arcs'!S37</x:f>
        <x:v>6.972222222222222</x:v>
      </x:c>
      <x:c r="N1657" s="9" t="n">
        <x:f>M1657*'Parameters'!$C$18</x:f>
        <x:v>1.3944444444444446</x:v>
      </x:c>
      <x:c r="O1657" s="9" t="n">
        <x:f>N1657*'Parameters'!$C$19</x:f>
        <x:v>1.7430555555555558</x:v>
      </x:c>
      <x:c r="P1657" s="9" t="n">
        <x:f>M1657*(1-0.40)-N1657</x:f>
        <x:v>2.7888888888888888</x:v>
      </x:c>
      <x:c r="Q1657" s="9" t="n">
        <x:f>'Physical_Arcs'!T37</x:f>
        <x:v>3.5</x:v>
      </x:c>
      <x:c r="R1657" s="9" t="n">
        <x:f>Q1657*'Parameters'!$C$18</x:f>
        <x:v>0.7000000000000001</x:v>
      </x:c>
      <x:c r="S1657" s="9" t="n">
        <x:f>R1657*'Parameters'!$C$19</x:f>
        <x:v>0.8750000000000001</x:v>
      </x:c>
      <x:c r="T1657" s="9" t="n">
        <x:f>Q1657*(1-0.40)-R1657</x:f>
        <x:v>1.4</x:v>
      </x:c>
    </x:row>
    <x:row r="1658" ht="21" customHeight="1">
      <x:c r="A1658" s="3" t="n">
        <x:v>27</x:v>
      </x:c>
      <x:c r="B1658" s="3" t="str">
        <x:v>04:30</x:v>
      </x:c>
      <x:c r="C1658" s="3" t="n">
        <x:v>5</x:v>
      </x:c>
      <x:c r="D1658" s="3" t="n">
        <x:v>37</x:v>
      </x:c>
      <x:c r="E1658" s="3" t="n">
        <x:v>6</x:v>
      </x:c>
      <x:c r="F1658" s="3" t="n">
        <x:v>1</x:v>
      </x:c>
      <x:c r="G1658" s="9" t="n">
        <x:v>0.1</x:v>
      </x:c>
      <x:c r="H1658" s="9" t="n">
        <x:v>1.020746</x:v>
      </x:c>
      <x:c r="I1658" s="9" t="n">
        <x:f>'Physical_Arcs'!R38</x:f>
        <x:v>6.305555555555555</x:v>
      </x:c>
      <x:c r="J1658" s="9" t="n">
        <x:f>I1658*'Parameters'!$C$18</x:f>
        <x:v>1.261111111111111</x:v>
      </x:c>
      <x:c r="K1658" s="9" t="n">
        <x:f>J1658*'Parameters'!$C$19</x:f>
        <x:v>1.5763888888888888</x:v>
      </x:c>
      <x:c r="L1658" s="9" t="n">
        <x:f>I1658*(1-0.40)-J1658</x:f>
        <x:v>2.522222222222222</x:v>
      </x:c>
      <x:c r="M1658" s="9" t="n">
        <x:f>'Physical_Arcs'!S38</x:f>
        <x:v>6.305555555555555</x:v>
      </x:c>
      <x:c r="N1658" s="9" t="n">
        <x:f>M1658*'Parameters'!$C$18</x:f>
        <x:v>1.261111111111111</x:v>
      </x:c>
      <x:c r="O1658" s="9" t="n">
        <x:f>N1658*'Parameters'!$C$19</x:f>
        <x:v>1.5763888888888888</x:v>
      </x:c>
      <x:c r="P1658" s="9" t="n">
        <x:f>M1658*(1-0.40)-N1658</x:f>
        <x:v>2.522222222222222</x:v>
      </x:c>
      <x:c r="Q1658" s="9" t="n">
        <x:f>'Physical_Arcs'!T38</x:f>
        <x:v>3.1666666666666665</x:v>
      </x:c>
      <x:c r="R1658" s="9" t="n">
        <x:f>Q1658*'Parameters'!$C$18</x:f>
        <x:v>0.6333333333333333</x:v>
      </x:c>
      <x:c r="S1658" s="9" t="n">
        <x:f>R1658*'Parameters'!$C$19</x:f>
        <x:v>0.7916666666666666</x:v>
      </x:c>
      <x:c r="T1658" s="9" t="n">
        <x:f>Q1658*(1-0.40)-R1658</x:f>
        <x:v>1.2666666666666666</x:v>
      </x:c>
    </x:row>
    <x:row r="1659" ht="21" customHeight="1">
      <x:c r="A1659" s="3" t="n">
        <x:v>27</x:v>
      </x:c>
      <x:c r="B1659" s="3" t="str">
        <x:v>04:30</x:v>
      </x:c>
      <x:c r="C1659" s="3" t="n">
        <x:v>5</x:v>
      </x:c>
      <x:c r="D1659" s="3" t="n">
        <x:v>38</x:v>
      </x:c>
      <x:c r="E1659" s="3" t="n">
        <x:v>6</x:v>
      </x:c>
      <x:c r="F1659" s="3" t="n">
        <x:v>3</x:v>
      </x:c>
      <x:c r="G1659" s="9" t="n">
        <x:v>0.1</x:v>
      </x:c>
      <x:c r="H1659" s="9" t="n">
        <x:v>1.149081</x:v>
      </x:c>
      <x:c r="I1659" s="9" t="n">
        <x:f>'Physical_Arcs'!R39</x:f>
        <x:v>1.9166666666666667</x:v>
      </x:c>
      <x:c r="J1659" s="9" t="n">
        <x:f>I1659*'Parameters'!$C$18</x:f>
        <x:v>0.38333333333333336</x:v>
      </x:c>
      <x:c r="K1659" s="9" t="n">
        <x:f>J1659*'Parameters'!$C$19</x:f>
        <x:v>0.4791666666666667</x:v>
      </x:c>
      <x:c r="L1659" s="9" t="n">
        <x:f>I1659*(1-0.40)-J1659</x:f>
        <x:v>0.7666666666666666</x:v>
      </x:c>
      <x:c r="M1659" s="9" t="n">
        <x:f>'Physical_Arcs'!S39</x:f>
        <x:v>1.9166666666666667</x:v>
      </x:c>
      <x:c r="N1659" s="9" t="n">
        <x:f>M1659*'Parameters'!$C$18</x:f>
        <x:v>0.38333333333333336</x:v>
      </x:c>
      <x:c r="O1659" s="9" t="n">
        <x:f>N1659*'Parameters'!$C$19</x:f>
        <x:v>0.4791666666666667</x:v>
      </x:c>
      <x:c r="P1659" s="9" t="n">
        <x:f>M1659*(1-0.40)-N1659</x:f>
        <x:v>0.7666666666666666</x:v>
      </x:c>
      <x:c r="Q1659" s="9" t="n">
        <x:f>'Physical_Arcs'!T39</x:f>
        <x:v>0.9722222222222222</x:v>
      </x:c>
      <x:c r="R1659" s="9" t="n">
        <x:f>Q1659*'Parameters'!$C$18</x:f>
        <x:v>0.19444444444444445</x:v>
      </x:c>
      <x:c r="S1659" s="9" t="n">
        <x:f>R1659*'Parameters'!$C$19</x:f>
        <x:v>0.24305555555555555</x:v>
      </x:c>
      <x:c r="T1659" s="9" t="n">
        <x:f>Q1659*(1-0.40)-R1659</x:f>
        <x:v>0.38888888888888884</x:v>
      </x:c>
    </x:row>
    <x:row r="1660" ht="21" customHeight="1">
      <x:c r="A1660" s="3" t="n">
        <x:v>27</x:v>
      </x:c>
      <x:c r="B1660" s="3" t="str">
        <x:v>04:30</x:v>
      </x:c>
      <x:c r="C1660" s="3" t="n">
        <x:v>5</x:v>
      </x:c>
      <x:c r="D1660" s="3" t="n">
        <x:v>39</x:v>
      </x:c>
      <x:c r="E1660" s="3" t="n">
        <x:v>7</x:v>
      </x:c>
      <x:c r="F1660" s="3" t="n">
        <x:v>8</x:v>
      </x:c>
      <x:c r="G1660" s="9" t="n">
        <x:v>0.1</x:v>
      </x:c>
      <x:c r="H1660" s="9" t="n">
        <x:v>1.003268</x:v>
      </x:c>
      <x:c r="I1660" s="9" t="n">
        <x:f>'Physical_Arcs'!R40</x:f>
        <x:v>17.02777777777778</x:v>
      </x:c>
      <x:c r="J1660" s="9" t="n">
        <x:f>I1660*'Parameters'!$C$18</x:f>
        <x:v>3.405555555555556</x:v>
      </x:c>
      <x:c r="K1660" s="9" t="n">
        <x:f>J1660*'Parameters'!$C$19</x:f>
        <x:v>4.256944444444445</x:v>
      </x:c>
      <x:c r="L1660" s="9" t="n">
        <x:f>I1660*(1-0.40)-J1660</x:f>
        <x:v>6.811111111111111</x:v>
      </x:c>
      <x:c r="M1660" s="9" t="n">
        <x:f>'Physical_Arcs'!S40</x:f>
        <x:v>17.02777777777778</x:v>
      </x:c>
      <x:c r="N1660" s="9" t="n">
        <x:f>M1660*'Parameters'!$C$18</x:f>
        <x:v>3.405555555555556</x:v>
      </x:c>
      <x:c r="O1660" s="9" t="n">
        <x:f>N1660*'Parameters'!$C$19</x:f>
        <x:v>4.256944444444445</x:v>
      </x:c>
      <x:c r="P1660" s="9" t="n">
        <x:f>M1660*(1-0.40)-N1660</x:f>
        <x:v>6.811111111111111</x:v>
      </x:c>
      <x:c r="Q1660" s="9" t="n">
        <x:f>'Physical_Arcs'!T40</x:f>
        <x:v>17.02777777777778</x:v>
      </x:c>
      <x:c r="R1660" s="9" t="n">
        <x:f>Q1660*'Parameters'!$C$18</x:f>
        <x:v>3.405555555555556</x:v>
      </x:c>
      <x:c r="S1660" s="9" t="n">
        <x:f>R1660*'Parameters'!$C$19</x:f>
        <x:v>4.256944444444445</x:v>
      </x:c>
      <x:c r="T1660" s="9" t="n">
        <x:f>Q1660*(1-0.40)-R1660</x:f>
        <x:v>6.811111111111111</x:v>
      </x:c>
    </x:row>
    <x:row r="1661" ht="21" customHeight="1">
      <x:c r="A1661" s="3" t="n">
        <x:v>27</x:v>
      </x:c>
      <x:c r="B1661" s="3" t="str">
        <x:v>04:30</x:v>
      </x:c>
      <x:c r="C1661" s="3" t="n">
        <x:v>5</x:v>
      </x:c>
      <x:c r="D1661" s="3" t="n">
        <x:v>40</x:v>
      </x:c>
      <x:c r="E1661" s="3" t="n">
        <x:v>7</x:v>
      </x:c>
      <x:c r="F1661" s="3" t="n">
        <x:v>1</x:v>
      </x:c>
      <x:c r="G1661" s="9" t="n">
        <x:v>0.1</x:v>
      </x:c>
      <x:c r="H1661" s="9" t="n">
        <x:v>1.057592</x:v>
      </x:c>
      <x:c r="I1661" s="9" t="n">
        <x:f>'Physical_Arcs'!R41</x:f>
        <x:v>7.972222222222222</x:v>
      </x:c>
      <x:c r="J1661" s="9" t="n">
        <x:f>I1661*'Parameters'!$C$18</x:f>
        <x:v>1.5944444444444446</x:v>
      </x:c>
      <x:c r="K1661" s="9" t="n">
        <x:f>J1661*'Parameters'!$C$19</x:f>
        <x:v>1.9930555555555558</x:v>
      </x:c>
      <x:c r="L1661" s="9" t="n">
        <x:f>I1661*(1-0.40)-J1661</x:f>
        <x:v>3.1888888888888887</x:v>
      </x:c>
      <x:c r="M1661" s="9" t="n">
        <x:f>'Physical_Arcs'!S41</x:f>
        <x:v>7.972222222222222</x:v>
      </x:c>
      <x:c r="N1661" s="9" t="n">
        <x:f>M1661*'Parameters'!$C$18</x:f>
        <x:v>1.5944444444444446</x:v>
      </x:c>
      <x:c r="O1661" s="9" t="n">
        <x:f>N1661*'Parameters'!$C$19</x:f>
        <x:v>1.9930555555555558</x:v>
      </x:c>
      <x:c r="P1661" s="9" t="n">
        <x:f>M1661*(1-0.40)-N1661</x:f>
        <x:v>3.1888888888888887</x:v>
      </x:c>
      <x:c r="Q1661" s="9" t="n">
        <x:f>'Physical_Arcs'!T41</x:f>
        <x:v>4</x:v>
      </x:c>
      <x:c r="R1661" s="9" t="n">
        <x:f>Q1661*'Parameters'!$C$18</x:f>
        <x:v>0.8</x:v>
      </x:c>
      <x:c r="S1661" s="9" t="n">
        <x:f>R1661*'Parameters'!$C$19</x:f>
        <x:v>1</x:v>
      </x:c>
      <x:c r="T1661" s="9" t="n">
        <x:f>Q1661*(1-0.40)-R1661</x:f>
        <x:v>1.5999999999999999</x:v>
      </x:c>
    </x:row>
    <x:row r="1662" ht="21" customHeight="1">
      <x:c r="A1662" s="3" t="n">
        <x:v>27</x:v>
      </x:c>
      <x:c r="B1662" s="3" t="str">
        <x:v>04:30</x:v>
      </x:c>
      <x:c r="C1662" s="3" t="n">
        <x:v>5</x:v>
      </x:c>
      <x:c r="D1662" s="3" t="n">
        <x:v>41</x:v>
      </x:c>
      <x:c r="E1662" s="3" t="n">
        <x:v>7</x:v>
      </x:c>
      <x:c r="F1662" s="3" t="n">
        <x:v>9</x:v>
      </x:c>
      <x:c r="G1662" s="9" t="n">
        <x:v>0.1</x:v>
      </x:c>
      <x:c r="H1662" s="9" t="n">
        <x:v>1.14801</x:v>
      </x:c>
      <x:c r="I1662" s="9" t="n">
        <x:f>'Physical_Arcs'!R42</x:f>
        <x:v>8.88888888888889</x:v>
      </x:c>
      <x:c r="J1662" s="9" t="n">
        <x:f>I1662*'Parameters'!$C$18</x:f>
        <x:v>1.777777777777778</x:v>
      </x:c>
      <x:c r="K1662" s="9" t="n">
        <x:f>J1662*'Parameters'!$C$19</x:f>
        <x:v>2.2222222222222223</x:v>
      </x:c>
      <x:c r="L1662" s="9" t="n">
        <x:f>I1662*(1-0.40)-J1662</x:f>
        <x:v>3.5555555555555554</x:v>
      </x:c>
      <x:c r="M1662" s="9" t="n">
        <x:f>'Physical_Arcs'!S42</x:f>
        <x:v>8.88888888888889</x:v>
      </x:c>
      <x:c r="N1662" s="9" t="n">
        <x:f>M1662*'Parameters'!$C$18</x:f>
        <x:v>1.777777777777778</x:v>
      </x:c>
      <x:c r="O1662" s="9" t="n">
        <x:f>N1662*'Parameters'!$C$19</x:f>
        <x:v>2.2222222222222223</x:v>
      </x:c>
      <x:c r="P1662" s="9" t="n">
        <x:f>M1662*(1-0.40)-N1662</x:f>
        <x:v>3.5555555555555554</x:v>
      </x:c>
      <x:c r="Q1662" s="9" t="n">
        <x:f>'Physical_Arcs'!T42</x:f>
        <x:v>4.444444444444445</x:v>
      </x:c>
      <x:c r="R1662" s="9" t="n">
        <x:f>Q1662*'Parameters'!$C$18</x:f>
        <x:v>0.888888888888889</x:v>
      </x:c>
      <x:c r="S1662" s="9" t="n">
        <x:f>R1662*'Parameters'!$C$19</x:f>
        <x:v>1.1111111111111112</x:v>
      </x:c>
      <x:c r="T1662" s="9" t="n">
        <x:f>Q1662*(1-0.40)-R1662</x:f>
        <x:v>1.7777777777777777</x:v>
      </x:c>
    </x:row>
    <x:row r="1663" ht="21" customHeight="1">
      <x:c r="A1663" s="3" t="n">
        <x:v>27</x:v>
      </x:c>
      <x:c r="B1663" s="3" t="str">
        <x:v>04:30</x:v>
      </x:c>
      <x:c r="C1663" s="3" t="n">
        <x:v>5</x:v>
      </x:c>
      <x:c r="D1663" s="3" t="n">
        <x:v>42</x:v>
      </x:c>
      <x:c r="E1663" s="3" t="n">
        <x:v>7</x:v>
      </x:c>
      <x:c r="F1663" s="3" t="n">
        <x:v>2</x:v>
      </x:c>
      <x:c r="G1663" s="9" t="n">
        <x:v>0.1</x:v>
      </x:c>
      <x:c r="H1663" s="9" t="n">
        <x:v>0.989237</x:v>
      </x:c>
      <x:c r="I1663" s="9" t="n">
        <x:f>'Physical_Arcs'!R43</x:f>
        <x:v>9</x:v>
      </x:c>
      <x:c r="J1663" s="9" t="n">
        <x:f>I1663*'Parameters'!$C$18</x:f>
        <x:v>1.8</x:v>
      </x:c>
      <x:c r="K1663" s="9" t="n">
        <x:f>J1663*'Parameters'!$C$19</x:f>
        <x:v>2.25</x:v>
      </x:c>
      <x:c r="L1663" s="9" t="n">
        <x:f>I1663*(1-0.40)-J1663</x:f>
        <x:v>3.5999999999999996</x:v>
      </x:c>
      <x:c r="M1663" s="9" t="n">
        <x:f>'Physical_Arcs'!S43</x:f>
        <x:v>9</x:v>
      </x:c>
      <x:c r="N1663" s="9" t="n">
        <x:f>M1663*'Parameters'!$C$18</x:f>
        <x:v>1.8</x:v>
      </x:c>
      <x:c r="O1663" s="9" t="n">
        <x:f>N1663*'Parameters'!$C$19</x:f>
        <x:v>2.25</x:v>
      </x:c>
      <x:c r="P1663" s="9" t="n">
        <x:f>M1663*(1-0.40)-N1663</x:f>
        <x:v>3.5999999999999996</x:v>
      </x:c>
      <x:c r="Q1663" s="9" t="n">
        <x:f>'Physical_Arcs'!T43</x:f>
        <x:v>4.5</x:v>
      </x:c>
      <x:c r="R1663" s="9" t="n">
        <x:f>Q1663*'Parameters'!$C$18</x:f>
        <x:v>0.9</x:v>
      </x:c>
      <x:c r="S1663" s="9" t="n">
        <x:f>R1663*'Parameters'!$C$19</x:f>
        <x:v>1.125</x:v>
      </x:c>
      <x:c r="T1663" s="9" t="n">
        <x:f>Q1663*(1-0.40)-R1663</x:f>
        <x:v>1.7999999999999998</x:v>
      </x:c>
    </x:row>
    <x:row r="1664" ht="21" customHeight="1">
      <x:c r="A1664" s="3" t="n">
        <x:v>27</x:v>
      </x:c>
      <x:c r="B1664" s="3" t="str">
        <x:v>04:30</x:v>
      </x:c>
      <x:c r="C1664" s="3" t="n">
        <x:v>5</x:v>
      </x:c>
      <x:c r="D1664" s="3" t="n">
        <x:v>43</x:v>
      </x:c>
      <x:c r="E1664" s="3" t="n">
        <x:v>7</x:v>
      </x:c>
      <x:c r="F1664" s="3" t="n">
        <x:v>3</x:v>
      </x:c>
      <x:c r="G1664" s="9" t="n">
        <x:v>0.1</x:v>
      </x:c>
      <x:c r="H1664" s="9" t="n">
        <x:v>1.050432</x:v>
      </x:c>
      <x:c r="I1664" s="9" t="n">
        <x:f>'Physical_Arcs'!R44</x:f>
        <x:v>7.638888888888889</x:v>
      </x:c>
      <x:c r="J1664" s="9" t="n">
        <x:f>I1664*'Parameters'!$C$18</x:f>
        <x:v>1.527777777777778</x:v>
      </x:c>
      <x:c r="K1664" s="9" t="n">
        <x:f>J1664*'Parameters'!$C$19</x:f>
        <x:v>1.9097222222222223</x:v>
      </x:c>
      <x:c r="L1664" s="9" t="n">
        <x:f>I1664*(1-0.40)-J1664</x:f>
        <x:v>3.0555555555555554</x:v>
      </x:c>
      <x:c r="M1664" s="9" t="n">
        <x:f>'Physical_Arcs'!S44</x:f>
        <x:v>7.638888888888889</x:v>
      </x:c>
      <x:c r="N1664" s="9" t="n">
        <x:f>M1664*'Parameters'!$C$18</x:f>
        <x:v>1.527777777777778</x:v>
      </x:c>
      <x:c r="O1664" s="9" t="n">
        <x:f>N1664*'Parameters'!$C$19</x:f>
        <x:v>1.9097222222222223</x:v>
      </x:c>
      <x:c r="P1664" s="9" t="n">
        <x:f>M1664*(1-0.40)-N1664</x:f>
        <x:v>3.0555555555555554</x:v>
      </x:c>
      <x:c r="Q1664" s="9" t="n">
        <x:f>'Physical_Arcs'!T44</x:f>
        <x:v>3.8333333333333335</x:v>
      </x:c>
      <x:c r="R1664" s="9" t="n">
        <x:f>Q1664*'Parameters'!$C$18</x:f>
        <x:v>0.7666666666666667</x:v>
      </x:c>
      <x:c r="S1664" s="9" t="n">
        <x:f>R1664*'Parameters'!$C$19</x:f>
        <x:v>0.9583333333333334</x:v>
      </x:c>
      <x:c r="T1664" s="9" t="n">
        <x:f>Q1664*(1-0.40)-R1664</x:f>
        <x:v>1.5333333333333332</x:v>
      </x:c>
    </x:row>
    <x:row r="1665" ht="21" customHeight="1">
      <x:c r="A1665" s="3" t="n">
        <x:v>27</x:v>
      </x:c>
      <x:c r="B1665" s="3" t="str">
        <x:v>04:30</x:v>
      </x:c>
      <x:c r="C1665" s="3" t="n">
        <x:v>5</x:v>
      </x:c>
      <x:c r="D1665" s="3" t="n">
        <x:v>44</x:v>
      </x:c>
      <x:c r="E1665" s="3" t="n">
        <x:v>8</x:v>
      </x:c>
      <x:c r="F1665" s="3" t="n">
        <x:v>9</x:v>
      </x:c>
      <x:c r="G1665" s="9" t="n">
        <x:v>0.1</x:v>
      </x:c>
      <x:c r="H1665" s="9" t="n">
        <x:v>0.868101</x:v>
      </x:c>
      <x:c r="I1665" s="9" t="n">
        <x:f>'Physical_Arcs'!R45</x:f>
        <x:v>17.02777777777778</x:v>
      </x:c>
      <x:c r="J1665" s="9" t="n">
        <x:f>I1665*'Parameters'!$C$18</x:f>
        <x:v>3.405555555555556</x:v>
      </x:c>
      <x:c r="K1665" s="9" t="n">
        <x:f>J1665*'Parameters'!$C$19</x:f>
        <x:v>4.256944444444445</x:v>
      </x:c>
      <x:c r="L1665" s="9" t="n">
        <x:f>I1665*(1-0.40)-J1665</x:f>
        <x:v>6.811111111111111</x:v>
      </x:c>
      <x:c r="M1665" s="9" t="n">
        <x:f>'Physical_Arcs'!S45</x:f>
        <x:v>17.02777777777778</x:v>
      </x:c>
      <x:c r="N1665" s="9" t="n">
        <x:f>M1665*'Parameters'!$C$18</x:f>
        <x:v>3.405555555555556</x:v>
      </x:c>
      <x:c r="O1665" s="9" t="n">
        <x:f>N1665*'Parameters'!$C$19</x:f>
        <x:v>4.256944444444445</x:v>
      </x:c>
      <x:c r="P1665" s="9" t="n">
        <x:f>M1665*(1-0.40)-N1665</x:f>
        <x:v>6.811111111111111</x:v>
      </x:c>
      <x:c r="Q1665" s="9" t="n">
        <x:f>'Physical_Arcs'!T45</x:f>
        <x:v>17.02777777777778</x:v>
      </x:c>
      <x:c r="R1665" s="9" t="n">
        <x:f>Q1665*'Parameters'!$C$18</x:f>
        <x:v>3.405555555555556</x:v>
      </x:c>
      <x:c r="S1665" s="9" t="n">
        <x:f>R1665*'Parameters'!$C$19</x:f>
        <x:v>4.256944444444445</x:v>
      </x:c>
      <x:c r="T1665" s="9" t="n">
        <x:f>Q1665*(1-0.40)-R1665</x:f>
        <x:v>6.811111111111111</x:v>
      </x:c>
    </x:row>
    <x:row r="1666" ht="21" customHeight="1">
      <x:c r="A1666" s="3" t="n">
        <x:v>27</x:v>
      </x:c>
      <x:c r="B1666" s="3" t="str">
        <x:v>04:30</x:v>
      </x:c>
      <x:c r="C1666" s="3" t="n">
        <x:v>5</x:v>
      </x:c>
      <x:c r="D1666" s="3" t="n">
        <x:v>45</x:v>
      </x:c>
      <x:c r="E1666" s="3" t="n">
        <x:v>8</x:v>
      </x:c>
      <x:c r="F1666" s="3" t="n">
        <x:v>3</x:v>
      </x:c>
      <x:c r="G1666" s="9" t="n">
        <x:v>0.1</x:v>
      </x:c>
      <x:c r="H1666" s="9" t="n">
        <x:v>0.944958</x:v>
      </x:c>
      <x:c r="I1666" s="9" t="n">
        <x:f>'Physical_Arcs'!R46</x:f>
        <x:v>5.388888888888889</x:v>
      </x:c>
      <x:c r="J1666" s="9" t="n">
        <x:f>I1666*'Parameters'!$C$18</x:f>
        <x:v>1.077777777777778</x:v>
      </x:c>
      <x:c r="K1666" s="9" t="n">
        <x:f>J1666*'Parameters'!$C$19</x:f>
        <x:v>1.3472222222222223</x:v>
      </x:c>
      <x:c r="L1666" s="9" t="n">
        <x:f>I1666*(1-0.40)-J1666</x:f>
        <x:v>2.1555555555555554</x:v>
      </x:c>
      <x:c r="M1666" s="9" t="n">
        <x:f>'Physical_Arcs'!S46</x:f>
        <x:v>5.388888888888889</x:v>
      </x:c>
      <x:c r="N1666" s="9" t="n">
        <x:f>M1666*'Parameters'!$C$18</x:f>
        <x:v>1.077777777777778</x:v>
      </x:c>
      <x:c r="O1666" s="9" t="n">
        <x:f>N1666*'Parameters'!$C$19</x:f>
        <x:v>1.3472222222222223</x:v>
      </x:c>
      <x:c r="P1666" s="9" t="n">
        <x:f>M1666*(1-0.40)-N1666</x:f>
        <x:v>2.1555555555555554</x:v>
      </x:c>
      <x:c r="Q1666" s="9" t="n">
        <x:f>'Physical_Arcs'!T46</x:f>
        <x:v>2.6944444444444446</x:v>
      </x:c>
      <x:c r="R1666" s="9" t="n">
        <x:f>Q1666*'Parameters'!$C$18</x:f>
        <x:v>0.538888888888889</x:v>
      </x:c>
      <x:c r="S1666" s="9" t="n">
        <x:f>R1666*'Parameters'!$C$19</x:f>
        <x:v>0.6736111111111112</x:v>
      </x:c>
      <x:c r="T1666" s="9" t="n">
        <x:f>Q1666*(1-0.40)-R1666</x:f>
        <x:v>1.0777777777777777</x:v>
      </x:c>
    </x:row>
    <x:row r="1667" ht="21" customHeight="1">
      <x:c r="A1667" s="3" t="n">
        <x:v>27</x:v>
      </x:c>
      <x:c r="B1667" s="3" t="str">
        <x:v>04:30</x:v>
      </x:c>
      <x:c r="C1667" s="3" t="n">
        <x:v>5</x:v>
      </x:c>
      <x:c r="D1667" s="3" t="n">
        <x:v>46</x:v>
      </x:c>
      <x:c r="E1667" s="3" t="n">
        <x:v>8</x:v>
      </x:c>
      <x:c r="F1667" s="3" t="n">
        <x:v>7</x:v>
      </x:c>
      <x:c r="G1667" s="9" t="n">
        <x:v>0.1</x:v>
      </x:c>
      <x:c r="H1667" s="9" t="n">
        <x:v>0.866232</x:v>
      </x:c>
      <x:c r="I1667" s="9" t="n">
        <x:f>'Physical_Arcs'!R47</x:f>
        <x:v>5.388888888888889</x:v>
      </x:c>
      <x:c r="J1667" s="9" t="n">
        <x:f>I1667*'Parameters'!$C$18</x:f>
        <x:v>1.077777777777778</x:v>
      </x:c>
      <x:c r="K1667" s="9" t="n">
        <x:f>J1667*'Parameters'!$C$19</x:f>
        <x:v>1.3472222222222223</x:v>
      </x:c>
      <x:c r="L1667" s="9" t="n">
        <x:f>I1667*(1-0.40)-J1667</x:f>
        <x:v>2.1555555555555554</x:v>
      </x:c>
      <x:c r="M1667" s="9" t="n">
        <x:f>'Physical_Arcs'!S47</x:f>
        <x:v>5.388888888888889</x:v>
      </x:c>
      <x:c r="N1667" s="9" t="n">
        <x:f>M1667*'Parameters'!$C$18</x:f>
        <x:v>1.077777777777778</x:v>
      </x:c>
      <x:c r="O1667" s="9" t="n">
        <x:f>N1667*'Parameters'!$C$19</x:f>
        <x:v>1.3472222222222223</x:v>
      </x:c>
      <x:c r="P1667" s="9" t="n">
        <x:f>M1667*(1-0.40)-N1667</x:f>
        <x:v>2.1555555555555554</x:v>
      </x:c>
      <x:c r="Q1667" s="9" t="n">
        <x:f>'Physical_Arcs'!T47</x:f>
        <x:v>2.6944444444444446</x:v>
      </x:c>
      <x:c r="R1667" s="9" t="n">
        <x:f>Q1667*'Parameters'!$C$18</x:f>
        <x:v>0.538888888888889</x:v>
      </x:c>
      <x:c r="S1667" s="9" t="n">
        <x:f>R1667*'Parameters'!$C$19</x:f>
        <x:v>0.6736111111111112</x:v>
      </x:c>
      <x:c r="T1667" s="9" t="n">
        <x:f>Q1667*(1-0.40)-R1667</x:f>
        <x:v>1.0777777777777777</x:v>
      </x:c>
    </x:row>
    <x:row r="1668" ht="21" customHeight="1">
      <x:c r="A1668" s="3" t="n">
        <x:v>27</x:v>
      </x:c>
      <x:c r="B1668" s="3" t="str">
        <x:v>04:30</x:v>
      </x:c>
      <x:c r="C1668" s="3" t="n">
        <x:v>5</x:v>
      </x:c>
      <x:c r="D1668" s="3" t="n">
        <x:v>47</x:v>
      </x:c>
      <x:c r="E1668" s="3" t="n">
        <x:v>8</x:v>
      </x:c>
      <x:c r="F1668" s="3" t="n">
        <x:v>2</x:v>
      </x:c>
      <x:c r="G1668" s="9" t="n">
        <x:v>0.1</x:v>
      </x:c>
      <x:c r="H1668" s="9" t="n">
        <x:v>1.135644</x:v>
      </x:c>
      <x:c r="I1668" s="9" t="n">
        <x:f>'Physical_Arcs'!R48</x:f>
        <x:v>8.083333333333334</x:v>
      </x:c>
      <x:c r="J1668" s="9" t="n">
        <x:f>I1668*'Parameters'!$C$18</x:f>
        <x:v>1.616666666666667</x:v>
      </x:c>
      <x:c r="K1668" s="9" t="n">
        <x:f>J1668*'Parameters'!$C$19</x:f>
        <x:v>2.0208333333333335</x:v>
      </x:c>
      <x:c r="L1668" s="9" t="n">
        <x:f>I1668*(1-0.40)-J1668</x:f>
        <x:v>3.2333333333333334</x:v>
      </x:c>
      <x:c r="M1668" s="9" t="n">
        <x:f>'Physical_Arcs'!S48</x:f>
        <x:v>8.083333333333334</x:v>
      </x:c>
      <x:c r="N1668" s="9" t="n">
        <x:f>M1668*'Parameters'!$C$18</x:f>
        <x:v>1.616666666666667</x:v>
      </x:c>
      <x:c r="O1668" s="9" t="n">
        <x:f>N1668*'Parameters'!$C$19</x:f>
        <x:v>2.0208333333333335</x:v>
      </x:c>
      <x:c r="P1668" s="9" t="n">
        <x:f>M1668*(1-0.40)-N1668</x:f>
        <x:v>3.2333333333333334</x:v>
      </x:c>
      <x:c r="Q1668" s="9" t="n">
        <x:f>'Physical_Arcs'!T48</x:f>
        <x:v>4.055555555555555</x:v>
      </x:c>
      <x:c r="R1668" s="9" t="n">
        <x:f>Q1668*'Parameters'!$C$18</x:f>
        <x:v>0.8111111111111111</x:v>
      </x:c>
      <x:c r="S1668" s="9" t="n">
        <x:f>R1668*'Parameters'!$C$19</x:f>
        <x:v>1.0138888888888888</x:v>
      </x:c>
      <x:c r="T1668" s="9" t="n">
        <x:f>Q1668*(1-0.40)-R1668</x:f>
        <x:v>1.622222222222222</x:v>
      </x:c>
    </x:row>
    <x:row r="1669" ht="21" customHeight="1">
      <x:c r="A1669" s="3" t="n">
        <x:v>27</x:v>
      </x:c>
      <x:c r="B1669" s="3" t="str">
        <x:v>04:30</x:v>
      </x:c>
      <x:c r="C1669" s="3" t="n">
        <x:v>5</x:v>
      </x:c>
      <x:c r="D1669" s="3" t="n">
        <x:v>48</x:v>
      </x:c>
      <x:c r="E1669" s="3" t="n">
        <x:v>8</x:v>
      </x:c>
      <x:c r="F1669" s="3" t="n">
        <x:v>6</x:v>
      </x:c>
      <x:c r="G1669" s="9" t="n">
        <x:v>0.1</x:v>
      </x:c>
      <x:c r="H1669" s="9" t="n">
        <x:v>0.850778</x:v>
      </x:c>
      <x:c r="I1669" s="9" t="n">
        <x:f>'Physical_Arcs'!R49</x:f>
        <x:v>10.555555555555555</x:v>
      </x:c>
      <x:c r="J1669" s="9" t="n">
        <x:f>I1669*'Parameters'!$C$18</x:f>
        <x:v>2.111111111111111</x:v>
      </x:c>
      <x:c r="K1669" s="9" t="n">
        <x:f>J1669*'Parameters'!$C$19</x:f>
        <x:v>2.638888888888889</x:v>
      </x:c>
      <x:c r="L1669" s="9" t="n">
        <x:f>I1669*(1-0.40)-J1669</x:f>
        <x:v>4.222222222222221</x:v>
      </x:c>
      <x:c r="M1669" s="9" t="n">
        <x:f>'Physical_Arcs'!S49</x:f>
        <x:v>10.555555555555555</x:v>
      </x:c>
      <x:c r="N1669" s="9" t="n">
        <x:f>M1669*'Parameters'!$C$18</x:f>
        <x:v>2.111111111111111</x:v>
      </x:c>
      <x:c r="O1669" s="9" t="n">
        <x:f>N1669*'Parameters'!$C$19</x:f>
        <x:v>2.638888888888889</x:v>
      </x:c>
      <x:c r="P1669" s="9" t="n">
        <x:f>M1669*(1-0.40)-N1669</x:f>
        <x:v>4.222222222222221</x:v>
      </x:c>
      <x:c r="Q1669" s="9" t="n">
        <x:f>'Physical_Arcs'!T49</x:f>
        <x:v>5.277777777777778</x:v>
      </x:c>
      <x:c r="R1669" s="9" t="n">
        <x:f>Q1669*'Parameters'!$C$18</x:f>
        <x:v>1.0555555555555556</x:v>
      </x:c>
      <x:c r="S1669" s="9" t="n">
        <x:f>R1669*'Parameters'!$C$19</x:f>
        <x:v>1.3194444444444444</x:v>
      </x:c>
      <x:c r="T1669" s="9" t="n">
        <x:f>Q1669*(1-0.40)-R1669</x:f>
        <x:v>2.1111111111111107</x:v>
      </x:c>
    </x:row>
    <x:row r="1670" ht="21" customHeight="1">
      <x:c r="A1670" s="3" t="n">
        <x:v>27</x:v>
      </x:c>
      <x:c r="B1670" s="3" t="str">
        <x:v>04:30</x:v>
      </x:c>
      <x:c r="C1670" s="3" t="n">
        <x:v>5</x:v>
      </x:c>
      <x:c r="D1670" s="3" t="n">
        <x:v>49</x:v>
      </x:c>
      <x:c r="E1670" s="3" t="n">
        <x:v>8</x:v>
      </x:c>
      <x:c r="F1670" s="3" t="n">
        <x:v>4</x:v>
      </x:c>
      <x:c r="G1670" s="9" t="n">
        <x:v>0.1</x:v>
      </x:c>
      <x:c r="H1670" s="9" t="n">
        <x:v>0.904949</x:v>
      </x:c>
      <x:c r="I1670" s="9" t="n">
        <x:f>'Physical_Arcs'!R50</x:f>
        <x:v>1.5833333333333333</x:v>
      </x:c>
      <x:c r="J1670" s="9" t="n">
        <x:f>I1670*'Parameters'!$C$18</x:f>
        <x:v>0.31666666666666665</x:v>
      </x:c>
      <x:c r="K1670" s="9" t="n">
        <x:f>J1670*'Parameters'!$C$19</x:f>
        <x:v>0.3958333333333333</x:v>
      </x:c>
      <x:c r="L1670" s="9" t="n">
        <x:f>I1670*(1-0.40)-J1670</x:f>
        <x:v>0.6333333333333333</x:v>
      </x:c>
      <x:c r="M1670" s="9" t="n">
        <x:f>'Physical_Arcs'!S50</x:f>
        <x:v>1.5833333333333333</x:v>
      </x:c>
      <x:c r="N1670" s="9" t="n">
        <x:f>M1670*'Parameters'!$C$18</x:f>
        <x:v>0.31666666666666665</x:v>
      </x:c>
      <x:c r="O1670" s="9" t="n">
        <x:f>N1670*'Parameters'!$C$19</x:f>
        <x:v>0.3958333333333333</x:v>
      </x:c>
      <x:c r="P1670" s="9" t="n">
        <x:f>M1670*(1-0.40)-N1670</x:f>
        <x:v>0.6333333333333333</x:v>
      </x:c>
      <x:c r="Q1670" s="9" t="n">
        <x:f>'Physical_Arcs'!T50</x:f>
        <x:v>0.8055555555555556</x:v>
      </x:c>
      <x:c r="R1670" s="9" t="n">
        <x:f>Q1670*'Parameters'!$C$18</x:f>
        <x:v>0.16111111111111112</x:v>
      </x:c>
      <x:c r="S1670" s="9" t="n">
        <x:f>R1670*'Parameters'!$C$19</x:f>
        <x:v>0.2013888888888889</x:v>
      </x:c>
      <x:c r="T1670" s="9" t="n">
        <x:f>Q1670*(1-0.40)-R1670</x:f>
        <x:v>0.3222222222222222</x:v>
      </x:c>
    </x:row>
    <x:row r="1671" ht="21" customHeight="1">
      <x:c r="A1671" s="3" t="n">
        <x:v>27</x:v>
      </x:c>
      <x:c r="B1671" s="3" t="str">
        <x:v>04:30</x:v>
      </x:c>
      <x:c r="C1671" s="3" t="n">
        <x:v>5</x:v>
      </x:c>
      <x:c r="D1671" s="3" t="n">
        <x:v>50</x:v>
      </x:c>
      <x:c r="E1671" s="3" t="n">
        <x:v>8</x:v>
      </x:c>
      <x:c r="F1671" s="3" t="n">
        <x:v>5</x:v>
      </x:c>
      <x:c r="G1671" s="9" t="n">
        <x:v>0.1</x:v>
      </x:c>
      <x:c r="H1671" s="9" t="n">
        <x:v>0.990416</x:v>
      </x:c>
      <x:c r="I1671" s="9" t="n">
        <x:f>'Physical_Arcs'!R51</x:f>
        <x:v>10.777777777777779</x:v>
      </x:c>
      <x:c r="J1671" s="9" t="n">
        <x:f>I1671*'Parameters'!$C$18</x:f>
        <x:v>2.155555555555556</x:v>
      </x:c>
      <x:c r="K1671" s="9" t="n">
        <x:f>J1671*'Parameters'!$C$19</x:f>
        <x:v>2.6944444444444446</x:v>
      </x:c>
      <x:c r="L1671" s="9" t="n">
        <x:f>I1671*(1-0.40)-J1671</x:f>
        <x:v>4.311111111111111</x:v>
      </x:c>
      <x:c r="M1671" s="9" t="n">
        <x:f>'Physical_Arcs'!S51</x:f>
        <x:v>10.777777777777779</x:v>
      </x:c>
      <x:c r="N1671" s="9" t="n">
        <x:f>M1671*'Parameters'!$C$18</x:f>
        <x:v>2.155555555555556</x:v>
      </x:c>
      <x:c r="O1671" s="9" t="n">
        <x:f>N1671*'Parameters'!$C$19</x:f>
        <x:v>2.6944444444444446</x:v>
      </x:c>
      <x:c r="P1671" s="9" t="n">
        <x:f>M1671*(1-0.40)-N1671</x:f>
        <x:v>4.311111111111111</x:v>
      </x:c>
      <x:c r="Q1671" s="9" t="n">
        <x:f>'Physical_Arcs'!T51</x:f>
        <x:v>5.388888888888889</x:v>
      </x:c>
      <x:c r="R1671" s="9" t="n">
        <x:f>Q1671*'Parameters'!$C$18</x:f>
        <x:v>1.077777777777778</x:v>
      </x:c>
      <x:c r="S1671" s="9" t="n">
        <x:f>R1671*'Parameters'!$C$19</x:f>
        <x:v>1.3472222222222223</x:v>
      </x:c>
      <x:c r="T1671" s="9" t="n">
        <x:f>Q1671*(1-0.40)-R1671</x:f>
        <x:v>2.1555555555555554</x:v>
      </x:c>
    </x:row>
    <x:row r="1672" ht="21" customHeight="1">
      <x:c r="A1672" s="3" t="n">
        <x:v>27</x:v>
      </x:c>
      <x:c r="B1672" s="3" t="str">
        <x:v>04:30</x:v>
      </x:c>
      <x:c r="C1672" s="3" t="n">
        <x:v>5</x:v>
      </x:c>
      <x:c r="D1672" s="3" t="n">
        <x:v>51</x:v>
      </x:c>
      <x:c r="E1672" s="3" t="n">
        <x:v>8</x:v>
      </x:c>
      <x:c r="F1672" s="3" t="n">
        <x:v>1</x:v>
      </x:c>
      <x:c r="G1672" s="9" t="n">
        <x:v>0.1</x:v>
      </x:c>
      <x:c r="H1672" s="9" t="n">
        <x:v>1.039066</x:v>
      </x:c>
      <x:c r="I1672" s="9" t="n">
        <x:f>'Physical_Arcs'!R52</x:f>
        <x:v>8.88888888888889</x:v>
      </x:c>
      <x:c r="J1672" s="9" t="n">
        <x:f>I1672*'Parameters'!$C$18</x:f>
        <x:v>1.777777777777778</x:v>
      </x:c>
      <x:c r="K1672" s="9" t="n">
        <x:f>J1672*'Parameters'!$C$19</x:f>
        <x:v>2.2222222222222223</x:v>
      </x:c>
      <x:c r="L1672" s="9" t="n">
        <x:f>I1672*(1-0.40)-J1672</x:f>
        <x:v>3.5555555555555554</x:v>
      </x:c>
      <x:c r="M1672" s="9" t="n">
        <x:f>'Physical_Arcs'!S52</x:f>
        <x:v>8.88888888888889</x:v>
      </x:c>
      <x:c r="N1672" s="9" t="n">
        <x:f>M1672*'Parameters'!$C$18</x:f>
        <x:v>1.777777777777778</x:v>
      </x:c>
      <x:c r="O1672" s="9" t="n">
        <x:f>N1672*'Parameters'!$C$19</x:f>
        <x:v>2.2222222222222223</x:v>
      </x:c>
      <x:c r="P1672" s="9" t="n">
        <x:f>M1672*(1-0.40)-N1672</x:f>
        <x:v>3.5555555555555554</x:v>
      </x:c>
      <x:c r="Q1672" s="9" t="n">
        <x:f>'Physical_Arcs'!T52</x:f>
        <x:v>4.444444444444445</x:v>
      </x:c>
      <x:c r="R1672" s="9" t="n">
        <x:f>Q1672*'Parameters'!$C$18</x:f>
        <x:v>0.888888888888889</x:v>
      </x:c>
      <x:c r="S1672" s="9" t="n">
        <x:f>R1672*'Parameters'!$C$19</x:f>
        <x:v>1.1111111111111112</x:v>
      </x:c>
      <x:c r="T1672" s="9" t="n">
        <x:f>Q1672*(1-0.40)-R1672</x:f>
        <x:v>1.7777777777777777</x:v>
      </x:c>
    </x:row>
    <x:row r="1673" ht="21" customHeight="1">
      <x:c r="A1673" s="3" t="n">
        <x:v>27</x:v>
      </x:c>
      <x:c r="B1673" s="3" t="str">
        <x:v>04:30</x:v>
      </x:c>
      <x:c r="C1673" s="3" t="n">
        <x:v>5</x:v>
      </x:c>
      <x:c r="D1673" s="3" t="n">
        <x:v>52</x:v>
      </x:c>
      <x:c r="E1673" s="3" t="n">
        <x:v>9</x:v>
      </x:c>
      <x:c r="F1673" s="3" t="n">
        <x:v>10</x:v>
      </x:c>
      <x:c r="G1673" s="9" t="n">
        <x:v>0.1</x:v>
      </x:c>
      <x:c r="H1673" s="9" t="n">
        <x:v>0.954096</x:v>
      </x:c>
      <x:c r="I1673" s="9" t="n">
        <x:f>'Physical_Arcs'!R53</x:f>
        <x:v>17.02777777777778</x:v>
      </x:c>
      <x:c r="J1673" s="9" t="n">
        <x:f>I1673*'Parameters'!$C$18</x:f>
        <x:v>3.405555555555556</x:v>
      </x:c>
      <x:c r="K1673" s="9" t="n">
        <x:f>J1673*'Parameters'!$C$19</x:f>
        <x:v>4.256944444444445</x:v>
      </x:c>
      <x:c r="L1673" s="9" t="n">
        <x:f>I1673*(1-0.40)-J1673</x:f>
        <x:v>6.811111111111111</x:v>
      </x:c>
      <x:c r="M1673" s="9" t="n">
        <x:f>'Physical_Arcs'!S53</x:f>
        <x:v>17.02777777777778</x:v>
      </x:c>
      <x:c r="N1673" s="9" t="n">
        <x:f>M1673*'Parameters'!$C$18</x:f>
        <x:v>3.405555555555556</x:v>
      </x:c>
      <x:c r="O1673" s="9" t="n">
        <x:f>N1673*'Parameters'!$C$19</x:f>
        <x:v>4.256944444444445</x:v>
      </x:c>
      <x:c r="P1673" s="9" t="n">
        <x:f>M1673*(1-0.40)-N1673</x:f>
        <x:v>6.811111111111111</x:v>
      </x:c>
      <x:c r="Q1673" s="9" t="n">
        <x:f>'Physical_Arcs'!T53</x:f>
        <x:v>17.02777777777778</x:v>
      </x:c>
      <x:c r="R1673" s="9" t="n">
        <x:f>Q1673*'Parameters'!$C$18</x:f>
        <x:v>3.405555555555556</x:v>
      </x:c>
      <x:c r="S1673" s="9" t="n">
        <x:f>R1673*'Parameters'!$C$19</x:f>
        <x:v>4.256944444444445</x:v>
      </x:c>
      <x:c r="T1673" s="9" t="n">
        <x:f>Q1673*(1-0.40)-R1673</x:f>
        <x:v>6.811111111111111</x:v>
      </x:c>
    </x:row>
    <x:row r="1674" ht="21" customHeight="1">
      <x:c r="A1674" s="3" t="n">
        <x:v>27</x:v>
      </x:c>
      <x:c r="B1674" s="3" t="str">
        <x:v>04:30</x:v>
      </x:c>
      <x:c r="C1674" s="3" t="n">
        <x:v>5</x:v>
      </x:c>
      <x:c r="D1674" s="3" t="n">
        <x:v>53</x:v>
      </x:c>
      <x:c r="E1674" s="3" t="n">
        <x:v>9</x:v>
      </x:c>
      <x:c r="F1674" s="3" t="n">
        <x:v>6</x:v>
      </x:c>
      <x:c r="G1674" s="9" t="n">
        <x:v>0.1</x:v>
      </x:c>
      <x:c r="H1674" s="9" t="n">
        <x:v>1.125574</x:v>
      </x:c>
      <x:c r="I1674" s="9" t="n">
        <x:f>'Physical_Arcs'!R54</x:f>
        <x:v>9.666666666666666</x:v>
      </x:c>
      <x:c r="J1674" s="9" t="n">
        <x:f>I1674*'Parameters'!$C$18</x:f>
        <x:v>1.9333333333333333</x:v>
      </x:c>
      <x:c r="K1674" s="9" t="n">
        <x:f>J1674*'Parameters'!$C$19</x:f>
        <x:v>2.4166666666666665</x:v>
      </x:c>
      <x:c r="L1674" s="9" t="n">
        <x:f>I1674*(1-0.40)-J1674</x:f>
        <x:v>3.8666666666666663</x:v>
      </x:c>
      <x:c r="M1674" s="9" t="n">
        <x:f>'Physical_Arcs'!S54</x:f>
        <x:v>9.666666666666666</x:v>
      </x:c>
      <x:c r="N1674" s="9" t="n">
        <x:f>M1674*'Parameters'!$C$18</x:f>
        <x:v>1.9333333333333333</x:v>
      </x:c>
      <x:c r="O1674" s="9" t="n">
        <x:f>N1674*'Parameters'!$C$19</x:f>
        <x:v>2.4166666666666665</x:v>
      </x:c>
      <x:c r="P1674" s="9" t="n">
        <x:f>M1674*(1-0.40)-N1674</x:f>
        <x:v>3.8666666666666663</x:v>
      </x:c>
      <x:c r="Q1674" s="9" t="n">
        <x:f>'Physical_Arcs'!T54</x:f>
        <x:v>4.833333333333333</x:v>
      </x:c>
      <x:c r="R1674" s="9" t="n">
        <x:f>Q1674*'Parameters'!$C$18</x:f>
        <x:v>0.9666666666666667</x:v>
      </x:c>
      <x:c r="S1674" s="9" t="n">
        <x:f>R1674*'Parameters'!$C$19</x:f>
        <x:v>1.2083333333333333</x:v>
      </x:c>
      <x:c r="T1674" s="9" t="n">
        <x:f>Q1674*(1-0.40)-R1674</x:f>
        <x:v>1.9333333333333331</x:v>
      </x:c>
    </x:row>
    <x:row r="1675" ht="21" customHeight="1">
      <x:c r="A1675" s="3" t="n">
        <x:v>27</x:v>
      </x:c>
      <x:c r="B1675" s="3" t="str">
        <x:v>04:30</x:v>
      </x:c>
      <x:c r="C1675" s="3" t="n">
        <x:v>5</x:v>
      </x:c>
      <x:c r="D1675" s="3" t="n">
        <x:v>54</x:v>
      </x:c>
      <x:c r="E1675" s="3" t="n">
        <x:v>9</x:v>
      </x:c>
      <x:c r="F1675" s="3" t="n">
        <x:v>2</x:v>
      </x:c>
      <x:c r="G1675" s="9" t="n">
        <x:v>0.1</x:v>
      </x:c>
      <x:c r="H1675" s="9" t="n">
        <x:v>0.854534</x:v>
      </x:c>
      <x:c r="I1675" s="9" t="n">
        <x:f>'Physical_Arcs'!R55</x:f>
        <x:v>9.88888888888889</x:v>
      </x:c>
      <x:c r="J1675" s="9" t="n">
        <x:f>I1675*'Parameters'!$C$18</x:f>
        <x:v>1.9777777777777779</x:v>
      </x:c>
      <x:c r="K1675" s="9" t="n">
        <x:f>J1675*'Parameters'!$C$19</x:f>
        <x:v>2.4722222222222223</x:v>
      </x:c>
      <x:c r="L1675" s="9" t="n">
        <x:f>I1675*(1-0.40)-J1675</x:f>
        <x:v>3.9555555555555557</x:v>
      </x:c>
      <x:c r="M1675" s="9" t="n">
        <x:f>'Physical_Arcs'!S55</x:f>
        <x:v>9.88888888888889</x:v>
      </x:c>
      <x:c r="N1675" s="9" t="n">
        <x:f>M1675*'Parameters'!$C$18</x:f>
        <x:v>1.9777777777777779</x:v>
      </x:c>
      <x:c r="O1675" s="9" t="n">
        <x:f>N1675*'Parameters'!$C$19</x:f>
        <x:v>2.4722222222222223</x:v>
      </x:c>
      <x:c r="P1675" s="9" t="n">
        <x:f>M1675*(1-0.40)-N1675</x:f>
        <x:v>3.9555555555555557</x:v>
      </x:c>
      <x:c r="Q1675" s="9" t="n">
        <x:f>'Physical_Arcs'!T55</x:f>
        <x:v>4.944444444444445</x:v>
      </x:c>
      <x:c r="R1675" s="9" t="n">
        <x:f>Q1675*'Parameters'!$C$18</x:f>
        <x:v>0.9888888888888889</x:v>
      </x:c>
      <x:c r="S1675" s="9" t="n">
        <x:f>R1675*'Parameters'!$C$19</x:f>
        <x:v>1.2361111111111112</x:v>
      </x:c>
      <x:c r="T1675" s="9" t="n">
        <x:f>Q1675*(1-0.40)-R1675</x:f>
        <x:v>1.9777777777777779</x:v>
      </x:c>
    </x:row>
    <x:row r="1676" ht="21" customHeight="1">
      <x:c r="A1676" s="3" t="n">
        <x:v>27</x:v>
      </x:c>
      <x:c r="B1676" s="3" t="str">
        <x:v>04:30</x:v>
      </x:c>
      <x:c r="C1676" s="3" t="n">
        <x:v>5</x:v>
      </x:c>
      <x:c r="D1676" s="3" t="n">
        <x:v>55</x:v>
      </x:c>
      <x:c r="E1676" s="3" t="n">
        <x:v>9</x:v>
      </x:c>
      <x:c r="F1676" s="3" t="n">
        <x:v>7</x:v>
      </x:c>
      <x:c r="G1676" s="9" t="n">
        <x:v>0.1</x:v>
      </x:c>
      <x:c r="H1676" s="9" t="n">
        <x:v>0.900033</x:v>
      </x:c>
      <x:c r="I1676" s="9" t="n">
        <x:f>'Physical_Arcs'!R56</x:f>
        <x:v>4.166666666666667</x:v>
      </x:c>
      <x:c r="J1676" s="9" t="n">
        <x:f>I1676*'Parameters'!$C$18</x:f>
        <x:v>0.8333333333333335</x:v>
      </x:c>
      <x:c r="K1676" s="9" t="n">
        <x:f>J1676*'Parameters'!$C$19</x:f>
        <x:v>1.041666666666667</x:v>
      </x:c>
      <x:c r="L1676" s="9" t="n">
        <x:f>I1676*(1-0.40)-J1676</x:f>
        <x:v>1.6666666666666665</x:v>
      </x:c>
      <x:c r="M1676" s="9" t="n">
        <x:f>'Physical_Arcs'!S56</x:f>
        <x:v>4.166666666666667</x:v>
      </x:c>
      <x:c r="N1676" s="9" t="n">
        <x:f>M1676*'Parameters'!$C$18</x:f>
        <x:v>0.8333333333333335</x:v>
      </x:c>
      <x:c r="O1676" s="9" t="n">
        <x:f>N1676*'Parameters'!$C$19</x:f>
        <x:v>1.041666666666667</x:v>
      </x:c>
      <x:c r="P1676" s="9" t="n">
        <x:f>M1676*(1-0.40)-N1676</x:f>
        <x:v>1.6666666666666665</x:v>
      </x:c>
      <x:c r="Q1676" s="9" t="n">
        <x:f>'Physical_Arcs'!T56</x:f>
        <x:v>2.0833333333333335</x:v>
      </x:c>
      <x:c r="R1676" s="9" t="n">
        <x:f>Q1676*'Parameters'!$C$18</x:f>
        <x:v>0.41666666666666674</x:v>
      </x:c>
      <x:c r="S1676" s="9" t="n">
        <x:f>R1676*'Parameters'!$C$19</x:f>
        <x:v>0.5208333333333335</x:v>
      </x:c>
      <x:c r="T1676" s="9" t="n">
        <x:f>Q1676*(1-0.40)-R1676</x:f>
        <x:v>0.8333333333333333</x:v>
      </x:c>
    </x:row>
    <x:row r="1677" ht="21" customHeight="1">
      <x:c r="A1677" s="3" t="n">
        <x:v>27</x:v>
      </x:c>
      <x:c r="B1677" s="3" t="str">
        <x:v>04:30</x:v>
      </x:c>
      <x:c r="C1677" s="3" t="n">
        <x:v>5</x:v>
      </x:c>
      <x:c r="D1677" s="3" t="n">
        <x:v>56</x:v>
      </x:c>
      <x:c r="E1677" s="3" t="n">
        <x:v>9</x:v>
      </x:c>
      <x:c r="F1677" s="3" t="n">
        <x:v>3</x:v>
      </x:c>
      <x:c r="G1677" s="9" t="n">
        <x:v>0.1</x:v>
      </x:c>
      <x:c r="H1677" s="9" t="n">
        <x:v>0.893428</x:v>
      </x:c>
      <x:c r="I1677" s="9" t="n">
        <x:f>'Physical_Arcs'!R57</x:f>
        <x:v>3.7222222222222223</x:v>
      </x:c>
      <x:c r="J1677" s="9" t="n">
        <x:f>I1677*'Parameters'!$C$18</x:f>
        <x:v>0.7444444444444445</x:v>
      </x:c>
      <x:c r="K1677" s="9" t="n">
        <x:f>J1677*'Parameters'!$C$19</x:f>
        <x:v>0.9305555555555556</x:v>
      </x:c>
      <x:c r="L1677" s="9" t="n">
        <x:f>I1677*(1-0.40)-J1677</x:f>
        <x:v>1.488888888888889</x:v>
      </x:c>
      <x:c r="M1677" s="9" t="n">
        <x:f>'Physical_Arcs'!S57</x:f>
        <x:v>3.7222222222222223</x:v>
      </x:c>
      <x:c r="N1677" s="9" t="n">
        <x:f>M1677*'Parameters'!$C$18</x:f>
        <x:v>0.7444444444444445</x:v>
      </x:c>
      <x:c r="O1677" s="9" t="n">
        <x:f>N1677*'Parameters'!$C$19</x:f>
        <x:v>0.9305555555555556</x:v>
      </x:c>
      <x:c r="P1677" s="9" t="n">
        <x:f>M1677*(1-0.40)-N1677</x:f>
        <x:v>1.488888888888889</x:v>
      </x:c>
      <x:c r="Q1677" s="9" t="n">
        <x:f>'Physical_Arcs'!T57</x:f>
        <x:v>1.8611111111111112</x:v>
      </x:c>
      <x:c r="R1677" s="9" t="n">
        <x:f>Q1677*'Parameters'!$C$18</x:f>
        <x:v>0.37222222222222223</x:v>
      </x:c>
      <x:c r="S1677" s="9" t="n">
        <x:f>R1677*'Parameters'!$C$19</x:f>
        <x:v>0.4652777777777778</x:v>
      </x:c>
      <x:c r="T1677" s="9" t="n">
        <x:f>Q1677*(1-0.40)-R1677</x:f>
        <x:v>0.7444444444444445</x:v>
      </x:c>
    </x:row>
    <x:row r="1678" ht="21" customHeight="1">
      <x:c r="A1678" s="3" t="n">
        <x:v>27</x:v>
      </x:c>
      <x:c r="B1678" s="3" t="str">
        <x:v>04:30</x:v>
      </x:c>
      <x:c r="C1678" s="3" t="n">
        <x:v>5</x:v>
      </x:c>
      <x:c r="D1678" s="3" t="n">
        <x:v>57</x:v>
      </x:c>
      <x:c r="E1678" s="3" t="n">
        <x:v>10</x:v>
      </x:c>
      <x:c r="F1678" s="3" t="n">
        <x:v>1</x:v>
      </x:c>
      <x:c r="G1678" s="9" t="n">
        <x:v>0.1</x:v>
      </x:c>
      <x:c r="H1678" s="9" t="n">
        <x:v>1.027979</x:v>
      </x:c>
      <x:c r="I1678" s="9" t="n">
        <x:f>'Physical_Arcs'!R58</x:f>
        <x:v>17.02777777777778</x:v>
      </x:c>
      <x:c r="J1678" s="9" t="n">
        <x:f>I1678*'Parameters'!$C$18</x:f>
        <x:v>3.405555555555556</x:v>
      </x:c>
      <x:c r="K1678" s="9" t="n">
        <x:f>J1678*'Parameters'!$C$19</x:f>
        <x:v>4.256944444444445</x:v>
      </x:c>
      <x:c r="L1678" s="9" t="n">
        <x:f>I1678*(1-0.40)-J1678</x:f>
        <x:v>6.811111111111111</x:v>
      </x:c>
      <x:c r="M1678" s="9" t="n">
        <x:f>'Physical_Arcs'!S58</x:f>
        <x:v>17.02777777777778</x:v>
      </x:c>
      <x:c r="N1678" s="9" t="n">
        <x:f>M1678*'Parameters'!$C$18</x:f>
        <x:v>3.405555555555556</x:v>
      </x:c>
      <x:c r="O1678" s="9" t="n">
        <x:f>N1678*'Parameters'!$C$19</x:f>
        <x:v>4.256944444444445</x:v>
      </x:c>
      <x:c r="P1678" s="9" t="n">
        <x:f>M1678*(1-0.40)-N1678</x:f>
        <x:v>6.811111111111111</x:v>
      </x:c>
      <x:c r="Q1678" s="9" t="n">
        <x:f>'Physical_Arcs'!T58</x:f>
        <x:v>17.02777777777778</x:v>
      </x:c>
      <x:c r="R1678" s="9" t="n">
        <x:f>Q1678*'Parameters'!$C$18</x:f>
        <x:v>3.405555555555556</x:v>
      </x:c>
      <x:c r="S1678" s="9" t="n">
        <x:f>R1678*'Parameters'!$C$19</x:f>
        <x:v>4.256944444444445</x:v>
      </x:c>
      <x:c r="T1678" s="9" t="n">
        <x:f>Q1678*(1-0.40)-R1678</x:f>
        <x:v>6.811111111111111</x:v>
      </x:c>
    </x:row>
    <x:row r="1679" ht="21" customHeight="1">
      <x:c r="A1679" s="3" t="n">
        <x:v>27</x:v>
      </x:c>
      <x:c r="B1679" s="3" t="str">
        <x:v>04:30</x:v>
      </x:c>
      <x:c r="C1679" s="3" t="n">
        <x:v>5</x:v>
      </x:c>
      <x:c r="D1679" s="3" t="n">
        <x:v>58</x:v>
      </x:c>
      <x:c r="E1679" s="3" t="n">
        <x:v>10</x:v>
      </x:c>
      <x:c r="F1679" s="3" t="n">
        <x:v>6</x:v>
      </x:c>
      <x:c r="G1679" s="9" t="n">
        <x:v>0.1</x:v>
      </x:c>
      <x:c r="H1679" s="9" t="n">
        <x:v>0.952676</x:v>
      </x:c>
      <x:c r="I1679" s="9" t="n">
        <x:f>'Physical_Arcs'!R59</x:f>
        <x:v>6.305555555555555</x:v>
      </x:c>
      <x:c r="J1679" s="9" t="n">
        <x:f>I1679*'Parameters'!$C$18</x:f>
        <x:v>1.261111111111111</x:v>
      </x:c>
      <x:c r="K1679" s="9" t="n">
        <x:f>J1679*'Parameters'!$C$19</x:f>
        <x:v>1.5763888888888888</x:v>
      </x:c>
      <x:c r="L1679" s="9" t="n">
        <x:f>I1679*(1-0.40)-J1679</x:f>
        <x:v>2.522222222222222</x:v>
      </x:c>
      <x:c r="M1679" s="9" t="n">
        <x:f>'Physical_Arcs'!S59</x:f>
        <x:v>6.305555555555555</x:v>
      </x:c>
      <x:c r="N1679" s="9" t="n">
        <x:f>M1679*'Parameters'!$C$18</x:f>
        <x:v>1.261111111111111</x:v>
      </x:c>
      <x:c r="O1679" s="9" t="n">
        <x:f>N1679*'Parameters'!$C$19</x:f>
        <x:v>1.5763888888888888</x:v>
      </x:c>
      <x:c r="P1679" s="9" t="n">
        <x:f>M1679*(1-0.40)-N1679</x:f>
        <x:v>2.522222222222222</x:v>
      </x:c>
      <x:c r="Q1679" s="9" t="n">
        <x:f>'Physical_Arcs'!T59</x:f>
        <x:v>3.1666666666666665</x:v>
      </x:c>
      <x:c r="R1679" s="9" t="n">
        <x:f>Q1679*'Parameters'!$C$18</x:f>
        <x:v>0.6333333333333333</x:v>
      </x:c>
      <x:c r="S1679" s="9" t="n">
        <x:f>R1679*'Parameters'!$C$19</x:f>
        <x:v>0.7916666666666666</x:v>
      </x:c>
      <x:c r="T1679" s="9" t="n">
        <x:f>Q1679*(1-0.40)-R1679</x:f>
        <x:v>1.2666666666666666</x:v>
      </x:c>
    </x:row>
    <x:row r="1680" ht="21" customHeight="1">
      <x:c r="A1680" s="3" t="n">
        <x:v>27</x:v>
      </x:c>
      <x:c r="B1680" s="3" t="str">
        <x:v>04:30</x:v>
      </x:c>
      <x:c r="C1680" s="3" t="n">
        <x:v>5</x:v>
      </x:c>
      <x:c r="D1680" s="3" t="n">
        <x:v>59</x:v>
      </x:c>
      <x:c r="E1680" s="3" t="n">
        <x:v>10</x:v>
      </x:c>
      <x:c r="F1680" s="3" t="n">
        <x:v>4</x:v>
      </x:c>
      <x:c r="G1680" s="9" t="n">
        <x:v>0.1</x:v>
      </x:c>
      <x:c r="H1680" s="9" t="n">
        <x:v>1.114542</x:v>
      </x:c>
      <x:c r="I1680" s="9" t="n">
        <x:f>'Physical_Arcs'!R60</x:f>
        <x:v>1.5833333333333333</x:v>
      </x:c>
      <x:c r="J1680" s="9" t="n">
        <x:f>I1680*'Parameters'!$C$18</x:f>
        <x:v>0.31666666666666665</x:v>
      </x:c>
      <x:c r="K1680" s="9" t="n">
        <x:f>J1680*'Parameters'!$C$19</x:f>
        <x:v>0.3958333333333333</x:v>
      </x:c>
      <x:c r="L1680" s="9" t="n">
        <x:f>I1680*(1-0.40)-J1680</x:f>
        <x:v>0.6333333333333333</x:v>
      </x:c>
      <x:c r="M1680" s="9" t="n">
        <x:f>'Physical_Arcs'!S60</x:f>
        <x:v>1.5833333333333333</x:v>
      </x:c>
      <x:c r="N1680" s="9" t="n">
        <x:f>M1680*'Parameters'!$C$18</x:f>
        <x:v>0.31666666666666665</x:v>
      </x:c>
      <x:c r="O1680" s="9" t="n">
        <x:f>N1680*'Parameters'!$C$19</x:f>
        <x:v>0.3958333333333333</x:v>
      </x:c>
      <x:c r="P1680" s="9" t="n">
        <x:f>M1680*(1-0.40)-N1680</x:f>
        <x:v>0.6333333333333333</x:v>
      </x:c>
      <x:c r="Q1680" s="9" t="n">
        <x:f>'Physical_Arcs'!T60</x:f>
        <x:v>0.8055555555555556</x:v>
      </x:c>
      <x:c r="R1680" s="9" t="n">
        <x:f>Q1680*'Parameters'!$C$18</x:f>
        <x:v>0.16111111111111112</x:v>
      </x:c>
      <x:c r="S1680" s="9" t="n">
        <x:f>R1680*'Parameters'!$C$19</x:f>
        <x:v>0.2013888888888889</x:v>
      </x:c>
      <x:c r="T1680" s="9" t="n">
        <x:f>Q1680*(1-0.40)-R1680</x:f>
        <x:v>0.3222222222222222</x:v>
      </x:c>
    </x:row>
    <x:row r="1681" ht="21" customHeight="1">
      <x:c r="A1681" s="3" t="n">
        <x:v>27</x:v>
      </x:c>
      <x:c r="B1681" s="3" t="str">
        <x:v>04:30</x:v>
      </x:c>
      <x:c r="C1681" s="3" t="n">
        <x:v>5</x:v>
      </x:c>
      <x:c r="D1681" s="3" t="n">
        <x:v>60</x:v>
      </x:c>
      <x:c r="E1681" s="3" t="n">
        <x:v>10</x:v>
      </x:c>
      <x:c r="F1681" s="3" t="n">
        <x:v>9</x:v>
      </x:c>
      <x:c r="G1681" s="9" t="n">
        <x:v>0.1</x:v>
      </x:c>
      <x:c r="H1681" s="9" t="n">
        <x:v>1.092245</x:v>
      </x:c>
      <x:c r="I1681" s="9" t="n">
        <x:f>'Physical_Arcs'!R61</x:f>
        <x:v>10.333333333333334</x:v>
      </x:c>
      <x:c r="J1681" s="9" t="n">
        <x:f>I1681*'Parameters'!$C$18</x:f>
        <x:v>2.066666666666667</x:v>
      </x:c>
      <x:c r="K1681" s="9" t="n">
        <x:f>J1681*'Parameters'!$C$19</x:f>
        <x:v>2.5833333333333335</x:v>
      </x:c>
      <x:c r="L1681" s="9" t="n">
        <x:f>I1681*(1-0.40)-J1681</x:f>
        <x:v>4.133333333333333</x:v>
      </x:c>
      <x:c r="M1681" s="9" t="n">
        <x:f>'Physical_Arcs'!S61</x:f>
        <x:v>10.333333333333334</x:v>
      </x:c>
      <x:c r="N1681" s="9" t="n">
        <x:f>M1681*'Parameters'!$C$18</x:f>
        <x:v>2.066666666666667</x:v>
      </x:c>
      <x:c r="O1681" s="9" t="n">
        <x:f>N1681*'Parameters'!$C$19</x:f>
        <x:v>2.5833333333333335</x:v>
      </x:c>
      <x:c r="P1681" s="9" t="n">
        <x:f>M1681*(1-0.40)-N1681</x:f>
        <x:v>4.133333333333333</x:v>
      </x:c>
      <x:c r="Q1681" s="9" t="n">
        <x:f>'Physical_Arcs'!T61</x:f>
        <x:v>5.166666666666667</x:v>
      </x:c>
      <x:c r="R1681" s="9" t="n">
        <x:f>Q1681*'Parameters'!$C$18</x:f>
        <x:v>1.0333333333333334</x:v>
      </x:c>
      <x:c r="S1681" s="9" t="n">
        <x:f>R1681*'Parameters'!$C$19</x:f>
        <x:v>1.2916666666666667</x:v>
      </x:c>
      <x:c r="T1681" s="9" t="n">
        <x:f>Q1681*(1-0.40)-R1681</x:f>
        <x:v>2.0666666666666664</x:v>
      </x:c>
    </x:row>
    <x:row r="1682" ht="21" customHeight="1">
      <x:c r="A1682" s="3" t="n">
        <x:v>28</x:v>
      </x:c>
      <x:c r="B1682" s="3" t="str">
        <x:v>04:40</x:v>
      </x:c>
      <x:c r="C1682" s="3" t="n">
        <x:v>5</x:v>
      </x:c>
      <x:c r="D1682" s="3" t="n">
        <x:v>1</x:v>
      </x:c>
      <x:c r="E1682" s="3" t="n">
        <x:v>1</x:v>
      </x:c>
      <x:c r="F1682" s="3" t="n">
        <x:v>2</x:v>
      </x:c>
      <x:c r="G1682" s="9" t="n">
        <x:v>0.1</x:v>
      </x:c>
      <x:c r="H1682" s="9" t="n">
        <x:v>0.914787</x:v>
      </x:c>
      <x:c r="I1682" s="9" t="n">
        <x:f>'Physical_Arcs'!R2</x:f>
        <x:v>17.02777777777778</x:v>
      </x:c>
      <x:c r="J1682" s="9" t="n">
        <x:f>I1682*'Parameters'!$C$18</x:f>
        <x:v>3.405555555555556</x:v>
      </x:c>
      <x:c r="K1682" s="9" t="n">
        <x:f>J1682*'Parameters'!$C$19</x:f>
        <x:v>4.256944444444445</x:v>
      </x:c>
      <x:c r="L1682" s="9" t="n">
        <x:f>I1682*(1-0.40)-J1682</x:f>
        <x:v>6.811111111111111</x:v>
      </x:c>
      <x:c r="M1682" s="9" t="n">
        <x:f>'Physical_Arcs'!S2</x:f>
        <x:v>17.02777777777778</x:v>
      </x:c>
      <x:c r="N1682" s="9" t="n">
        <x:f>M1682*'Parameters'!$C$18</x:f>
        <x:v>3.405555555555556</x:v>
      </x:c>
      <x:c r="O1682" s="9" t="n">
        <x:f>N1682*'Parameters'!$C$19</x:f>
        <x:v>4.256944444444445</x:v>
      </x:c>
      <x:c r="P1682" s="9" t="n">
        <x:f>M1682*(1-0.40)-N1682</x:f>
        <x:v>6.811111111111111</x:v>
      </x:c>
      <x:c r="Q1682" s="9" t="n">
        <x:f>'Physical_Arcs'!T2</x:f>
        <x:v>17.02777777777778</x:v>
      </x:c>
      <x:c r="R1682" s="9" t="n">
        <x:f>Q1682*'Parameters'!$C$18</x:f>
        <x:v>3.405555555555556</x:v>
      </x:c>
      <x:c r="S1682" s="9" t="n">
        <x:f>R1682*'Parameters'!$C$19</x:f>
        <x:v>4.256944444444445</x:v>
      </x:c>
      <x:c r="T1682" s="9" t="n">
        <x:f>Q1682*(1-0.40)-R1682</x:f>
        <x:v>6.811111111111111</x:v>
      </x:c>
    </x:row>
    <x:row r="1683" ht="21" customHeight="1">
      <x:c r="A1683" s="3" t="n">
        <x:v>28</x:v>
      </x:c>
      <x:c r="B1683" s="3" t="str">
        <x:v>04:40</x:v>
      </x:c>
      <x:c r="C1683" s="3" t="n">
        <x:v>5</x:v>
      </x:c>
      <x:c r="D1683" s="3" t="n">
        <x:v>2</x:v>
      </x:c>
      <x:c r="E1683" s="3" t="n">
        <x:v>1</x:v>
      </x:c>
      <x:c r="F1683" s="3" t="n">
        <x:v>10</x:v>
      </x:c>
      <x:c r="G1683" s="9" t="n">
        <x:v>0.1</x:v>
      </x:c>
      <x:c r="H1683" s="9" t="n">
        <x:v>1.003995</x:v>
      </x:c>
      <x:c r="I1683" s="9" t="n">
        <x:f>'Physical_Arcs'!R3</x:f>
        <x:v>3.2777777777777777</x:v>
      </x:c>
      <x:c r="J1683" s="9" t="n">
        <x:f>I1683*'Parameters'!$C$18</x:f>
        <x:v>0.6555555555555556</x:v>
      </x:c>
      <x:c r="K1683" s="9" t="n">
        <x:f>J1683*'Parameters'!$C$19</x:f>
        <x:v>0.8194444444444444</x:v>
      </x:c>
      <x:c r="L1683" s="9" t="n">
        <x:f>I1683*(1-0.40)-J1683</x:f>
        <x:v>1.311111111111111</x:v>
      </x:c>
      <x:c r="M1683" s="9" t="n">
        <x:f>'Physical_Arcs'!S3</x:f>
        <x:v>3.2777777777777777</x:v>
      </x:c>
      <x:c r="N1683" s="9" t="n">
        <x:f>M1683*'Parameters'!$C$18</x:f>
        <x:v>0.6555555555555556</x:v>
      </x:c>
      <x:c r="O1683" s="9" t="n">
        <x:f>N1683*'Parameters'!$C$19</x:f>
        <x:v>0.8194444444444444</x:v>
      </x:c>
      <x:c r="P1683" s="9" t="n">
        <x:f>M1683*(1-0.40)-N1683</x:f>
        <x:v>1.311111111111111</x:v>
      </x:c>
      <x:c r="Q1683" s="9" t="n">
        <x:f>'Physical_Arcs'!T3</x:f>
        <x:v>1.6388888888888888</x:v>
      </x:c>
      <x:c r="R1683" s="9" t="n">
        <x:f>Q1683*'Parameters'!$C$18</x:f>
        <x:v>0.3277777777777778</x:v>
      </x:c>
      <x:c r="S1683" s="9" t="n">
        <x:f>R1683*'Parameters'!$C$19</x:f>
        <x:v>0.4097222222222222</x:v>
      </x:c>
      <x:c r="T1683" s="9" t="n">
        <x:f>Q1683*(1-0.40)-R1683</x:f>
        <x:v>0.6555555555555554</x:v>
      </x:c>
    </x:row>
    <x:row r="1684" ht="21" customHeight="1">
      <x:c r="A1684" s="3" t="n">
        <x:v>28</x:v>
      </x:c>
      <x:c r="B1684" s="3" t="str">
        <x:v>04:40</x:v>
      </x:c>
      <x:c r="C1684" s="3" t="n">
        <x:v>5</x:v>
      </x:c>
      <x:c r="D1684" s="3" t="n">
        <x:v>3</x:v>
      </x:c>
      <x:c r="E1684" s="3" t="n">
        <x:v>1</x:v>
      </x:c>
      <x:c r="F1684" s="3" t="n">
        <x:v>8</x:v>
      </x:c>
      <x:c r="G1684" s="9" t="n">
        <x:v>0.1</x:v>
      </x:c>
      <x:c r="H1684" s="9" t="n">
        <x:v>0.923863</x:v>
      </x:c>
      <x:c r="I1684" s="9" t="n">
        <x:f>'Physical_Arcs'!R4</x:f>
        <x:v>6.083333333333333</x:v>
      </x:c>
      <x:c r="J1684" s="9" t="n">
        <x:f>I1684*'Parameters'!$C$18</x:f>
        <x:v>1.2166666666666668</x:v>
      </x:c>
      <x:c r="K1684" s="9" t="n">
        <x:f>J1684*'Parameters'!$C$19</x:f>
        <x:v>1.5208333333333335</x:v>
      </x:c>
      <x:c r="L1684" s="9" t="n">
        <x:f>I1684*(1-0.40)-J1684</x:f>
        <x:v>2.4333333333333327</x:v>
      </x:c>
      <x:c r="M1684" s="9" t="n">
        <x:f>'Physical_Arcs'!S4</x:f>
        <x:v>6.083333333333333</x:v>
      </x:c>
      <x:c r="N1684" s="9" t="n">
        <x:f>M1684*'Parameters'!$C$18</x:f>
        <x:v>1.2166666666666668</x:v>
      </x:c>
      <x:c r="O1684" s="9" t="n">
        <x:f>N1684*'Parameters'!$C$19</x:f>
        <x:v>1.5208333333333335</x:v>
      </x:c>
      <x:c r="P1684" s="9" t="n">
        <x:f>M1684*(1-0.40)-N1684</x:f>
        <x:v>2.4333333333333327</x:v>
      </x:c>
      <x:c r="Q1684" s="9" t="n">
        <x:f>'Physical_Arcs'!T4</x:f>
        <x:v>3.0555555555555554</x:v>
      </x:c>
      <x:c r="R1684" s="9" t="n">
        <x:f>Q1684*'Parameters'!$C$18</x:f>
        <x:v>0.6111111111111112</x:v>
      </x:c>
      <x:c r="S1684" s="9" t="n">
        <x:f>R1684*'Parameters'!$C$19</x:f>
        <x:v>0.763888888888889</x:v>
      </x:c>
      <x:c r="T1684" s="9" t="n">
        <x:f>Q1684*(1-0.40)-R1684</x:f>
        <x:v>1.2222222222222219</x:v>
      </x:c>
    </x:row>
    <x:row r="1685" ht="21" customHeight="1">
      <x:c r="A1685" s="3" t="n">
        <x:v>28</x:v>
      </x:c>
      <x:c r="B1685" s="3" t="str">
        <x:v>04:40</x:v>
      </x:c>
      <x:c r="C1685" s="3" t="n">
        <x:v>5</x:v>
      </x:c>
      <x:c r="D1685" s="3" t="n">
        <x:v>4</x:v>
      </x:c>
      <x:c r="E1685" s="3" t="n">
        <x:v>1</x:v>
      </x:c>
      <x:c r="F1685" s="3" t="n">
        <x:v>7</x:v>
      </x:c>
      <x:c r="G1685" s="9" t="n">
        <x:v>0.1</x:v>
      </x:c>
      <x:c r="H1685" s="9" t="n">
        <x:v>1.111072</x:v>
      </x:c>
      <x:c r="I1685" s="9" t="n">
        <x:f>'Physical_Arcs'!R5</x:f>
        <x:v>9</x:v>
      </x:c>
      <x:c r="J1685" s="9" t="n">
        <x:f>I1685*'Parameters'!$C$18</x:f>
        <x:v>1.8</x:v>
      </x:c>
      <x:c r="K1685" s="9" t="n">
        <x:f>J1685*'Parameters'!$C$19</x:f>
        <x:v>2.25</x:v>
      </x:c>
      <x:c r="L1685" s="9" t="n">
        <x:f>I1685*(1-0.40)-J1685</x:f>
        <x:v>3.5999999999999996</x:v>
      </x:c>
      <x:c r="M1685" s="9" t="n">
        <x:f>'Physical_Arcs'!S5</x:f>
        <x:v>9</x:v>
      </x:c>
      <x:c r="N1685" s="9" t="n">
        <x:f>M1685*'Parameters'!$C$18</x:f>
        <x:v>1.8</x:v>
      </x:c>
      <x:c r="O1685" s="9" t="n">
        <x:f>N1685*'Parameters'!$C$19</x:f>
        <x:v>2.25</x:v>
      </x:c>
      <x:c r="P1685" s="9" t="n">
        <x:f>M1685*(1-0.40)-N1685</x:f>
        <x:v>3.5999999999999996</x:v>
      </x:c>
      <x:c r="Q1685" s="9" t="n">
        <x:f>'Physical_Arcs'!T5</x:f>
        <x:v>4.5</x:v>
      </x:c>
      <x:c r="R1685" s="9" t="n">
        <x:f>Q1685*'Parameters'!$C$18</x:f>
        <x:v>0.9</x:v>
      </x:c>
      <x:c r="S1685" s="9" t="n">
        <x:f>R1685*'Parameters'!$C$19</x:f>
        <x:v>1.125</x:v>
      </x:c>
      <x:c r="T1685" s="9" t="n">
        <x:f>Q1685*(1-0.40)-R1685</x:f>
        <x:v>1.7999999999999998</x:v>
      </x:c>
    </x:row>
    <x:row r="1686" ht="21" customHeight="1">
      <x:c r="A1686" s="3" t="n">
        <x:v>28</x:v>
      </x:c>
      <x:c r="B1686" s="3" t="str">
        <x:v>04:40</x:v>
      </x:c>
      <x:c r="C1686" s="3" t="n">
        <x:v>5</x:v>
      </x:c>
      <x:c r="D1686" s="3" t="n">
        <x:v>5</x:v>
      </x:c>
      <x:c r="E1686" s="3" t="n">
        <x:v>1</x:v>
      </x:c>
      <x:c r="F1686" s="3" t="n">
        <x:v>4</x:v>
      </x:c>
      <x:c r="G1686" s="9" t="n">
        <x:v>0.1</x:v>
      </x:c>
      <x:c r="H1686" s="9" t="n">
        <x:v>1.001665</x:v>
      </x:c>
      <x:c r="I1686" s="9" t="n">
        <x:f>'Physical_Arcs'!R6</x:f>
        <x:v>4.166666666666667</x:v>
      </x:c>
      <x:c r="J1686" s="9" t="n">
        <x:f>I1686*'Parameters'!$C$18</x:f>
        <x:v>0.8333333333333335</x:v>
      </x:c>
      <x:c r="K1686" s="9" t="n">
        <x:f>J1686*'Parameters'!$C$19</x:f>
        <x:v>1.041666666666667</x:v>
      </x:c>
      <x:c r="L1686" s="9" t="n">
        <x:f>I1686*(1-0.40)-J1686</x:f>
        <x:v>1.6666666666666665</x:v>
      </x:c>
      <x:c r="M1686" s="9" t="n">
        <x:f>'Physical_Arcs'!S6</x:f>
        <x:v>4.166666666666667</x:v>
      </x:c>
      <x:c r="N1686" s="9" t="n">
        <x:f>M1686*'Parameters'!$C$18</x:f>
        <x:v>0.8333333333333335</x:v>
      </x:c>
      <x:c r="O1686" s="9" t="n">
        <x:f>N1686*'Parameters'!$C$19</x:f>
        <x:v>1.041666666666667</x:v>
      </x:c>
      <x:c r="P1686" s="9" t="n">
        <x:f>M1686*(1-0.40)-N1686</x:f>
        <x:v>1.6666666666666665</x:v>
      </x:c>
      <x:c r="Q1686" s="9" t="n">
        <x:f>'Physical_Arcs'!T6</x:f>
        <x:v>2.0833333333333335</x:v>
      </x:c>
      <x:c r="R1686" s="9" t="n">
        <x:f>Q1686*'Parameters'!$C$18</x:f>
        <x:v>0.41666666666666674</x:v>
      </x:c>
      <x:c r="S1686" s="9" t="n">
        <x:f>R1686*'Parameters'!$C$19</x:f>
        <x:v>0.5208333333333335</x:v>
      </x:c>
      <x:c r="T1686" s="9" t="n">
        <x:f>Q1686*(1-0.40)-R1686</x:f>
        <x:v>0.8333333333333333</x:v>
      </x:c>
    </x:row>
    <x:row r="1687" ht="21" customHeight="1">
      <x:c r="A1687" s="3" t="n">
        <x:v>28</x:v>
      </x:c>
      <x:c r="B1687" s="3" t="str">
        <x:v>04:40</x:v>
      </x:c>
      <x:c r="C1687" s="3" t="n">
        <x:v>5</x:v>
      </x:c>
      <x:c r="D1687" s="3" t="n">
        <x:v>6</x:v>
      </x:c>
      <x:c r="E1687" s="3" t="n">
        <x:v>1</x:v>
      </x:c>
      <x:c r="F1687" s="3" t="n">
        <x:v>9</x:v>
      </x:c>
      <x:c r="G1687" s="9" t="n">
        <x:v>0.1</x:v>
      </x:c>
      <x:c r="H1687" s="9" t="n">
        <x:v>0.942884</x:v>
      </x:c>
      <x:c r="I1687" s="9" t="n">
        <x:f>'Physical_Arcs'!R7</x:f>
        <x:v>11.027777777777779</x:v>
      </x:c>
      <x:c r="J1687" s="9" t="n">
        <x:f>I1687*'Parameters'!$C$18</x:f>
        <x:v>2.2055555555555557</x:v>
      </x:c>
      <x:c r="K1687" s="9" t="n">
        <x:f>J1687*'Parameters'!$C$19</x:f>
        <x:v>2.7569444444444446</x:v>
      </x:c>
      <x:c r="L1687" s="9" t="n">
        <x:f>I1687*(1-0.40)-J1687</x:f>
        <x:v>4.411111111111111</x:v>
      </x:c>
      <x:c r="M1687" s="9" t="n">
        <x:f>'Physical_Arcs'!S7</x:f>
        <x:v>11.027777777777779</x:v>
      </x:c>
      <x:c r="N1687" s="9" t="n">
        <x:f>M1687*'Parameters'!$C$18</x:f>
        <x:v>2.2055555555555557</x:v>
      </x:c>
      <x:c r="O1687" s="9" t="n">
        <x:f>N1687*'Parameters'!$C$19</x:f>
        <x:v>2.7569444444444446</x:v>
      </x:c>
      <x:c r="P1687" s="9" t="n">
        <x:f>M1687*(1-0.40)-N1687</x:f>
        <x:v>4.411111111111111</x:v>
      </x:c>
      <x:c r="Q1687" s="9" t="n">
        <x:f>'Physical_Arcs'!T7</x:f>
        <x:v>5.527777777777778</x:v>
      </x:c>
      <x:c r="R1687" s="9" t="n">
        <x:f>Q1687*'Parameters'!$C$18</x:f>
        <x:v>1.1055555555555556</x:v>
      </x:c>
      <x:c r="S1687" s="9" t="n">
        <x:f>R1687*'Parameters'!$C$19</x:f>
        <x:v>1.3819444444444446</x:v>
      </x:c>
      <x:c r="T1687" s="9" t="n">
        <x:f>Q1687*(1-0.40)-R1687</x:f>
        <x:v>2.211111111111111</x:v>
      </x:c>
    </x:row>
    <x:row r="1688" ht="21" customHeight="1">
      <x:c r="A1688" s="3" t="n">
        <x:v>28</x:v>
      </x:c>
      <x:c r="B1688" s="3" t="str">
        <x:v>04:40</x:v>
      </x:c>
      <x:c r="C1688" s="3" t="n">
        <x:v>5</x:v>
      </x:c>
      <x:c r="D1688" s="3" t="n">
        <x:v>7</x:v>
      </x:c>
      <x:c r="E1688" s="3" t="n">
        <x:v>1</x:v>
      </x:c>
      <x:c r="F1688" s="3" t="n">
        <x:v>5</x:v>
      </x:c>
      <x:c r="G1688" s="9" t="n">
        <x:v>0.1</x:v>
      </x:c>
      <x:c r="H1688" s="9" t="n">
        <x:v>1.038222</x:v>
      </x:c>
      <x:c r="I1688" s="9" t="n">
        <x:f>'Physical_Arcs'!R8</x:f>
        <x:v>7.972222222222222</x:v>
      </x:c>
      <x:c r="J1688" s="9" t="n">
        <x:f>I1688*'Parameters'!$C$18</x:f>
        <x:v>1.5944444444444446</x:v>
      </x:c>
      <x:c r="K1688" s="9" t="n">
        <x:f>J1688*'Parameters'!$C$19</x:f>
        <x:v>1.9930555555555558</x:v>
      </x:c>
      <x:c r="L1688" s="9" t="n">
        <x:f>I1688*(1-0.40)-J1688</x:f>
        <x:v>3.1888888888888887</x:v>
      </x:c>
      <x:c r="M1688" s="9" t="n">
        <x:f>'Physical_Arcs'!S8</x:f>
        <x:v>7.972222222222222</x:v>
      </x:c>
      <x:c r="N1688" s="9" t="n">
        <x:f>M1688*'Parameters'!$C$18</x:f>
        <x:v>1.5944444444444446</x:v>
      </x:c>
      <x:c r="O1688" s="9" t="n">
        <x:f>N1688*'Parameters'!$C$19</x:f>
        <x:v>1.9930555555555558</x:v>
      </x:c>
      <x:c r="P1688" s="9" t="n">
        <x:f>M1688*(1-0.40)-N1688</x:f>
        <x:v>3.1888888888888887</x:v>
      </x:c>
      <x:c r="Q1688" s="9" t="n">
        <x:f>'Physical_Arcs'!T8</x:f>
        <x:v>4</x:v>
      </x:c>
      <x:c r="R1688" s="9" t="n">
        <x:f>Q1688*'Parameters'!$C$18</x:f>
        <x:v>0.8</x:v>
      </x:c>
      <x:c r="S1688" s="9" t="n">
        <x:f>R1688*'Parameters'!$C$19</x:f>
        <x:v>1</x:v>
      </x:c>
      <x:c r="T1688" s="9" t="n">
        <x:f>Q1688*(1-0.40)-R1688</x:f>
        <x:v>1.5999999999999999</x:v>
      </x:c>
    </x:row>
    <x:row r="1689" ht="21" customHeight="1">
      <x:c r="A1689" s="3" t="n">
        <x:v>28</x:v>
      </x:c>
      <x:c r="B1689" s="3" t="str">
        <x:v>04:40</x:v>
      </x:c>
      <x:c r="C1689" s="3" t="n">
        <x:v>5</x:v>
      </x:c>
      <x:c r="D1689" s="3" t="n">
        <x:v>8</x:v>
      </x:c>
      <x:c r="E1689" s="3" t="n">
        <x:v>1</x:v>
      </x:c>
      <x:c r="F1689" s="3" t="n">
        <x:v>3</x:v>
      </x:c>
      <x:c r="G1689" s="9" t="n">
        <x:v>0.1</x:v>
      </x:c>
      <x:c r="H1689" s="9" t="n">
        <x:v>1.122297</x:v>
      </x:c>
      <x:c r="I1689" s="9" t="n">
        <x:f>'Physical_Arcs'!R9</x:f>
        <x:v>4.166666666666667</x:v>
      </x:c>
      <x:c r="J1689" s="9" t="n">
        <x:f>I1689*'Parameters'!$C$18</x:f>
        <x:v>0.8333333333333335</x:v>
      </x:c>
      <x:c r="K1689" s="9" t="n">
        <x:f>J1689*'Parameters'!$C$19</x:f>
        <x:v>1.041666666666667</x:v>
      </x:c>
      <x:c r="L1689" s="9" t="n">
        <x:f>I1689*(1-0.40)-J1689</x:f>
        <x:v>1.6666666666666665</x:v>
      </x:c>
      <x:c r="M1689" s="9" t="n">
        <x:f>'Physical_Arcs'!S9</x:f>
        <x:v>4.166666666666667</x:v>
      </x:c>
      <x:c r="N1689" s="9" t="n">
        <x:f>M1689*'Parameters'!$C$18</x:f>
        <x:v>0.8333333333333335</x:v>
      </x:c>
      <x:c r="O1689" s="9" t="n">
        <x:f>N1689*'Parameters'!$C$19</x:f>
        <x:v>1.041666666666667</x:v>
      </x:c>
      <x:c r="P1689" s="9" t="n">
        <x:f>M1689*(1-0.40)-N1689</x:f>
        <x:v>1.6666666666666665</x:v>
      </x:c>
      <x:c r="Q1689" s="9" t="n">
        <x:f>'Physical_Arcs'!T9</x:f>
        <x:v>2.0833333333333335</x:v>
      </x:c>
      <x:c r="R1689" s="9" t="n">
        <x:f>Q1689*'Parameters'!$C$18</x:f>
        <x:v>0.41666666666666674</x:v>
      </x:c>
      <x:c r="S1689" s="9" t="n">
        <x:f>R1689*'Parameters'!$C$19</x:f>
        <x:v>0.5208333333333335</x:v>
      </x:c>
      <x:c r="T1689" s="9" t="n">
        <x:f>Q1689*(1-0.40)-R1689</x:f>
        <x:v>0.8333333333333333</x:v>
      </x:c>
    </x:row>
    <x:row r="1690" ht="21" customHeight="1">
      <x:c r="A1690" s="3" t="n">
        <x:v>28</x:v>
      </x:c>
      <x:c r="B1690" s="3" t="str">
        <x:v>04:40</x:v>
      </x:c>
      <x:c r="C1690" s="3" t="n">
        <x:v>5</x:v>
      </x:c>
      <x:c r="D1690" s="3" t="n">
        <x:v>9</x:v>
      </x:c>
      <x:c r="E1690" s="3" t="n">
        <x:v>1</x:v>
      </x:c>
      <x:c r="F1690" s="3" t="n">
        <x:v>6</x:v>
      </x:c>
      <x:c r="G1690" s="9" t="n">
        <x:v>0.1</x:v>
      </x:c>
      <x:c r="H1690" s="9" t="n">
        <x:v>1.132682</x:v>
      </x:c>
      <x:c r="I1690" s="9" t="n">
        <x:f>'Physical_Arcs'!R10</x:f>
        <x:v>2.138888888888889</x:v>
      </x:c>
      <x:c r="J1690" s="9" t="n">
        <x:f>I1690*'Parameters'!$C$18</x:f>
        <x:v>0.4277777777777778</x:v>
      </x:c>
      <x:c r="K1690" s="9" t="n">
        <x:f>J1690*'Parameters'!$C$19</x:f>
        <x:v>0.5347222222222223</x:v>
      </x:c>
      <x:c r="L1690" s="9" t="n">
        <x:f>I1690*(1-0.40)-J1690</x:f>
        <x:v>0.8555555555555554</x:v>
      </x:c>
      <x:c r="M1690" s="9" t="n">
        <x:f>'Physical_Arcs'!S10</x:f>
        <x:v>2.138888888888889</x:v>
      </x:c>
      <x:c r="N1690" s="9" t="n">
        <x:f>M1690*'Parameters'!$C$18</x:f>
        <x:v>0.4277777777777778</x:v>
      </x:c>
      <x:c r="O1690" s="9" t="n">
        <x:f>N1690*'Parameters'!$C$19</x:f>
        <x:v>0.5347222222222223</x:v>
      </x:c>
      <x:c r="P1690" s="9" t="n">
        <x:f>M1690*(1-0.40)-N1690</x:f>
        <x:v>0.8555555555555554</x:v>
      </x:c>
      <x:c r="Q1690" s="9" t="n">
        <x:f>'Physical_Arcs'!T10</x:f>
        <x:v>1.0833333333333333</x:v>
      </x:c>
      <x:c r="R1690" s="9" t="n">
        <x:f>Q1690*'Parameters'!$C$18</x:f>
        <x:v>0.21666666666666667</x:v>
      </x:c>
      <x:c r="S1690" s="9" t="n">
        <x:f>R1690*'Parameters'!$C$19</x:f>
        <x:v>0.27083333333333337</x:v>
      </x:c>
      <x:c r="T1690" s="9" t="n">
        <x:f>Q1690*(1-0.40)-R1690</x:f>
        <x:v>0.43333333333333324</x:v>
      </x:c>
    </x:row>
    <x:row r="1691" ht="21" customHeight="1">
      <x:c r="A1691" s="3" t="n">
        <x:v>28</x:v>
      </x:c>
      <x:c r="B1691" s="3" t="str">
        <x:v>04:40</x:v>
      </x:c>
      <x:c r="C1691" s="3" t="n">
        <x:v>5</x:v>
      </x:c>
      <x:c r="D1691" s="3" t="n">
        <x:v>10</x:v>
      </x:c>
      <x:c r="E1691" s="3" t="n">
        <x:v>2</x:v>
      </x:c>
      <x:c r="F1691" s="3" t="n">
        <x:v>3</x:v>
      </x:c>
      <x:c r="G1691" s="9" t="n">
        <x:v>0.1</x:v>
      </x:c>
      <x:c r="H1691" s="9" t="n">
        <x:v>0.871154</x:v>
      </x:c>
      <x:c r="I1691" s="9" t="n">
        <x:f>'Physical_Arcs'!R11</x:f>
        <x:v>17.02777777777778</x:v>
      </x:c>
      <x:c r="J1691" s="9" t="n">
        <x:f>I1691*'Parameters'!$C$18</x:f>
        <x:v>3.405555555555556</x:v>
      </x:c>
      <x:c r="K1691" s="9" t="n">
        <x:f>J1691*'Parameters'!$C$19</x:f>
        <x:v>4.256944444444445</x:v>
      </x:c>
      <x:c r="L1691" s="9" t="n">
        <x:f>I1691*(1-0.40)-J1691</x:f>
        <x:v>6.811111111111111</x:v>
      </x:c>
      <x:c r="M1691" s="9" t="n">
        <x:f>'Physical_Arcs'!S11</x:f>
        <x:v>17.02777777777778</x:v>
      </x:c>
      <x:c r="N1691" s="9" t="n">
        <x:f>M1691*'Parameters'!$C$18</x:f>
        <x:v>3.405555555555556</x:v>
      </x:c>
      <x:c r="O1691" s="9" t="n">
        <x:f>N1691*'Parameters'!$C$19</x:f>
        <x:v>4.256944444444445</x:v>
      </x:c>
      <x:c r="P1691" s="9" t="n">
        <x:f>M1691*(1-0.40)-N1691</x:f>
        <x:v>6.811111111111111</x:v>
      </x:c>
      <x:c r="Q1691" s="9" t="n">
        <x:f>'Physical_Arcs'!T11</x:f>
        <x:v>17.02777777777778</x:v>
      </x:c>
      <x:c r="R1691" s="9" t="n">
        <x:f>Q1691*'Parameters'!$C$18</x:f>
        <x:v>3.405555555555556</x:v>
      </x:c>
      <x:c r="S1691" s="9" t="n">
        <x:f>R1691*'Parameters'!$C$19</x:f>
        <x:v>4.256944444444445</x:v>
      </x:c>
      <x:c r="T1691" s="9" t="n">
        <x:f>Q1691*(1-0.40)-R1691</x:f>
        <x:v>6.811111111111111</x:v>
      </x:c>
    </x:row>
    <x:row r="1692" ht="21" customHeight="1">
      <x:c r="A1692" s="3" t="n">
        <x:v>28</x:v>
      </x:c>
      <x:c r="B1692" s="3" t="str">
        <x:v>04:40</x:v>
      </x:c>
      <x:c r="C1692" s="3" t="n">
        <x:v>5</x:v>
      </x:c>
      <x:c r="D1692" s="3" t="n">
        <x:v>11</x:v>
      </x:c>
      <x:c r="E1692" s="3" t="n">
        <x:v>2</x:v>
      </x:c>
      <x:c r="F1692" s="3" t="n">
        <x:v>4</x:v>
      </x:c>
      <x:c r="G1692" s="9" t="n">
        <x:v>0.1</x:v>
      </x:c>
      <x:c r="H1692" s="9" t="n">
        <x:v>1.147412</x:v>
      </x:c>
      <x:c r="I1692" s="9" t="n">
        <x:f>'Physical_Arcs'!R12</x:f>
        <x:v>7.972222222222222</x:v>
      </x:c>
      <x:c r="J1692" s="9" t="n">
        <x:f>I1692*'Parameters'!$C$18</x:f>
        <x:v>1.5944444444444446</x:v>
      </x:c>
      <x:c r="K1692" s="9" t="n">
        <x:f>J1692*'Parameters'!$C$19</x:f>
        <x:v>1.9930555555555558</x:v>
      </x:c>
      <x:c r="L1692" s="9" t="n">
        <x:f>I1692*(1-0.40)-J1692</x:f>
        <x:v>3.1888888888888887</x:v>
      </x:c>
      <x:c r="M1692" s="9" t="n">
        <x:f>'Physical_Arcs'!S12</x:f>
        <x:v>7.972222222222222</x:v>
      </x:c>
      <x:c r="N1692" s="9" t="n">
        <x:f>M1692*'Parameters'!$C$18</x:f>
        <x:v>1.5944444444444446</x:v>
      </x:c>
      <x:c r="O1692" s="9" t="n">
        <x:f>N1692*'Parameters'!$C$19</x:f>
        <x:v>1.9930555555555558</x:v>
      </x:c>
      <x:c r="P1692" s="9" t="n">
        <x:f>M1692*(1-0.40)-N1692</x:f>
        <x:v>3.1888888888888887</x:v>
      </x:c>
      <x:c r="Q1692" s="9" t="n">
        <x:f>'Physical_Arcs'!T12</x:f>
        <x:v>4</x:v>
      </x:c>
      <x:c r="R1692" s="9" t="n">
        <x:f>Q1692*'Parameters'!$C$18</x:f>
        <x:v>0.8</x:v>
      </x:c>
      <x:c r="S1692" s="9" t="n">
        <x:f>R1692*'Parameters'!$C$19</x:f>
        <x:v>1</x:v>
      </x:c>
      <x:c r="T1692" s="9" t="n">
        <x:f>Q1692*(1-0.40)-R1692</x:f>
        <x:v>1.5999999999999999</x:v>
      </x:c>
    </x:row>
    <x:row r="1693" ht="21" customHeight="1">
      <x:c r="A1693" s="3" t="n">
        <x:v>28</x:v>
      </x:c>
      <x:c r="B1693" s="3" t="str">
        <x:v>04:40</x:v>
      </x:c>
      <x:c r="C1693" s="3" t="n">
        <x:v>5</x:v>
      </x:c>
      <x:c r="D1693" s="3" t="n">
        <x:v>12</x:v>
      </x:c>
      <x:c r="E1693" s="3" t="n">
        <x:v>2</x:v>
      </x:c>
      <x:c r="F1693" s="3" t="n">
        <x:v>7</x:v>
      </x:c>
      <x:c r="G1693" s="9" t="n">
        <x:v>0.1</x:v>
      </x:c>
      <x:c r="H1693" s="9" t="n">
        <x:v>0.96729</x:v>
      </x:c>
      <x:c r="I1693" s="9" t="n">
        <x:f>'Physical_Arcs'!R13</x:f>
        <x:v>4.611111111111111</x:v>
      </x:c>
      <x:c r="J1693" s="9" t="n">
        <x:f>I1693*'Parameters'!$C$18</x:f>
        <x:v>0.9222222222222222</x:v>
      </x:c>
      <x:c r="K1693" s="9" t="n">
        <x:f>J1693*'Parameters'!$C$19</x:f>
        <x:v>1.1527777777777777</x:v>
      </x:c>
      <x:c r="L1693" s="9" t="n">
        <x:f>I1693*(1-0.40)-J1693</x:f>
        <x:v>1.844444444444444</x:v>
      </x:c>
      <x:c r="M1693" s="9" t="n">
        <x:f>'Physical_Arcs'!S13</x:f>
        <x:v>4.611111111111111</x:v>
      </x:c>
      <x:c r="N1693" s="9" t="n">
        <x:f>M1693*'Parameters'!$C$18</x:f>
        <x:v>0.9222222222222222</x:v>
      </x:c>
      <x:c r="O1693" s="9" t="n">
        <x:f>N1693*'Parameters'!$C$19</x:f>
        <x:v>1.1527777777777777</x:v>
      </x:c>
      <x:c r="P1693" s="9" t="n">
        <x:f>M1693*(1-0.40)-N1693</x:f>
        <x:v>1.844444444444444</x:v>
      </x:c>
      <x:c r="Q1693" s="9" t="n">
        <x:f>'Physical_Arcs'!T13</x:f>
        <x:v>2.3055555555555554</x:v>
      </x:c>
      <x:c r="R1693" s="9" t="n">
        <x:f>Q1693*'Parameters'!$C$18</x:f>
        <x:v>0.4611111111111111</x:v>
      </x:c>
      <x:c r="S1693" s="9" t="n">
        <x:f>R1693*'Parameters'!$C$19</x:f>
        <x:v>0.5763888888888888</x:v>
      </x:c>
      <x:c r="T1693" s="9" t="n">
        <x:f>Q1693*(1-0.40)-R1693</x:f>
        <x:v>0.922222222222222</x:v>
      </x:c>
    </x:row>
    <x:row r="1694" ht="21" customHeight="1">
      <x:c r="A1694" s="3" t="n">
        <x:v>28</x:v>
      </x:c>
      <x:c r="B1694" s="3" t="str">
        <x:v>04:40</x:v>
      </x:c>
      <x:c r="C1694" s="3" t="n">
        <x:v>5</x:v>
      </x:c>
      <x:c r="D1694" s="3" t="n">
        <x:v>13</x:v>
      </x:c>
      <x:c r="E1694" s="3" t="n">
        <x:v>2</x:v>
      </x:c>
      <x:c r="F1694" s="3" t="n">
        <x:v>9</x:v>
      </x:c>
      <x:c r="G1694" s="9" t="n">
        <x:v>0.1</x:v>
      </x:c>
      <x:c r="H1694" s="9" t="n">
        <x:v>1.117625</x:v>
      </x:c>
      <x:c r="I1694" s="9" t="n">
        <x:f>'Physical_Arcs'!R14</x:f>
        <x:v>8.666666666666666</x:v>
      </x:c>
      <x:c r="J1694" s="9" t="n">
        <x:f>I1694*'Parameters'!$C$18</x:f>
        <x:v>1.7333333333333334</x:v>
      </x:c>
      <x:c r="K1694" s="9" t="n">
        <x:f>J1694*'Parameters'!$C$19</x:f>
        <x:v>2.166666666666667</x:v>
      </x:c>
      <x:c r="L1694" s="9" t="n">
        <x:f>I1694*(1-0.40)-J1694</x:f>
        <x:v>3.466666666666666</x:v>
      </x:c>
      <x:c r="M1694" s="9" t="n">
        <x:f>'Physical_Arcs'!S14</x:f>
        <x:v>8.666666666666666</x:v>
      </x:c>
      <x:c r="N1694" s="9" t="n">
        <x:f>M1694*'Parameters'!$C$18</x:f>
        <x:v>1.7333333333333334</x:v>
      </x:c>
      <x:c r="O1694" s="9" t="n">
        <x:f>N1694*'Parameters'!$C$19</x:f>
        <x:v>2.166666666666667</x:v>
      </x:c>
      <x:c r="P1694" s="9" t="n">
        <x:f>M1694*(1-0.40)-N1694</x:f>
        <x:v>3.466666666666666</x:v>
      </x:c>
      <x:c r="Q1694" s="9" t="n">
        <x:f>'Physical_Arcs'!T14</x:f>
        <x:v>4.333333333333333</x:v>
      </x:c>
      <x:c r="R1694" s="9" t="n">
        <x:f>Q1694*'Parameters'!$C$18</x:f>
        <x:v>0.8666666666666667</x:v>
      </x:c>
      <x:c r="S1694" s="9" t="n">
        <x:f>R1694*'Parameters'!$C$19</x:f>
        <x:v>1.0833333333333335</x:v>
      </x:c>
      <x:c r="T1694" s="9" t="n">
        <x:f>Q1694*(1-0.40)-R1694</x:f>
        <x:v>1.733333333333333</x:v>
      </x:c>
    </x:row>
    <x:row r="1695" ht="21" customHeight="1">
      <x:c r="A1695" s="3" t="n">
        <x:v>28</x:v>
      </x:c>
      <x:c r="B1695" s="3" t="str">
        <x:v>04:40</x:v>
      </x:c>
      <x:c r="C1695" s="3" t="n">
        <x:v>5</x:v>
      </x:c>
      <x:c r="D1695" s="3" t="n">
        <x:v>14</x:v>
      </x:c>
      <x:c r="E1695" s="3" t="n">
        <x:v>2</x:v>
      </x:c>
      <x:c r="F1695" s="3" t="n">
        <x:v>8</x:v>
      </x:c>
      <x:c r="G1695" s="9" t="n">
        <x:v>0.1</x:v>
      </x:c>
      <x:c r="H1695" s="9" t="n">
        <x:v>1.144902</x:v>
      </x:c>
      <x:c r="I1695" s="9" t="n">
        <x:f>'Physical_Arcs'!R15</x:f>
        <x:v>7.75</x:v>
      </x:c>
      <x:c r="J1695" s="9" t="n">
        <x:f>I1695*'Parameters'!$C$18</x:f>
        <x:v>1.55</x:v>
      </x:c>
      <x:c r="K1695" s="9" t="n">
        <x:f>J1695*'Parameters'!$C$19</x:f>
        <x:v>1.9375</x:v>
      </x:c>
      <x:c r="L1695" s="9" t="n">
        <x:f>I1695*(1-0.40)-J1695</x:f>
        <x:v>3.0999999999999996</x:v>
      </x:c>
      <x:c r="M1695" s="9" t="n">
        <x:f>'Physical_Arcs'!S15</x:f>
        <x:v>7.75</x:v>
      </x:c>
      <x:c r="N1695" s="9" t="n">
        <x:f>M1695*'Parameters'!$C$18</x:f>
        <x:v>1.55</x:v>
      </x:c>
      <x:c r="O1695" s="9" t="n">
        <x:f>N1695*'Parameters'!$C$19</x:f>
        <x:v>1.9375</x:v>
      </x:c>
      <x:c r="P1695" s="9" t="n">
        <x:f>M1695*(1-0.40)-N1695</x:f>
        <x:v>3.0999999999999996</x:v>
      </x:c>
      <x:c r="Q1695" s="9" t="n">
        <x:f>'Physical_Arcs'!T15</x:f>
        <x:v>3.888888888888889</x:v>
      </x:c>
      <x:c r="R1695" s="9" t="n">
        <x:f>Q1695*'Parameters'!$C$18</x:f>
        <x:v>0.7777777777777778</x:v>
      </x:c>
      <x:c r="S1695" s="9" t="n">
        <x:f>R1695*'Parameters'!$C$19</x:f>
        <x:v>0.9722222222222222</x:v>
      </x:c>
      <x:c r="T1695" s="9" t="n">
        <x:f>Q1695*(1-0.40)-R1695</x:f>
        <x:v>1.5555555555555554</x:v>
      </x:c>
    </x:row>
    <x:row r="1696" ht="21" customHeight="1">
      <x:c r="A1696" s="3" t="n">
        <x:v>28</x:v>
      </x:c>
      <x:c r="B1696" s="3" t="str">
        <x:v>04:40</x:v>
      </x:c>
      <x:c r="C1696" s="3" t="n">
        <x:v>5</x:v>
      </x:c>
      <x:c r="D1696" s="3" t="n">
        <x:v>15</x:v>
      </x:c>
      <x:c r="E1696" s="3" t="n">
        <x:v>2</x:v>
      </x:c>
      <x:c r="F1696" s="3" t="n">
        <x:v>10</x:v>
      </x:c>
      <x:c r="G1696" s="9" t="n">
        <x:v>0.1</x:v>
      </x:c>
      <x:c r="H1696" s="9" t="n">
        <x:v>1.146684</x:v>
      </x:c>
      <x:c r="I1696" s="9" t="n">
        <x:f>'Physical_Arcs'!R16</x:f>
        <x:v>7.416666666666667</x:v>
      </x:c>
      <x:c r="J1696" s="9" t="n">
        <x:f>I1696*'Parameters'!$C$18</x:f>
        <x:v>1.4833333333333334</x:v>
      </x:c>
      <x:c r="K1696" s="9" t="n">
        <x:f>J1696*'Parameters'!$C$19</x:f>
        <x:v>1.8541666666666667</x:v>
      </x:c>
      <x:c r="L1696" s="9" t="n">
        <x:f>I1696*(1-0.40)-J1696</x:f>
        <x:v>2.966666666666667</x:v>
      </x:c>
      <x:c r="M1696" s="9" t="n">
        <x:f>'Physical_Arcs'!S16</x:f>
        <x:v>7.416666666666667</x:v>
      </x:c>
      <x:c r="N1696" s="9" t="n">
        <x:f>M1696*'Parameters'!$C$18</x:f>
        <x:v>1.4833333333333334</x:v>
      </x:c>
      <x:c r="O1696" s="9" t="n">
        <x:f>N1696*'Parameters'!$C$19</x:f>
        <x:v>1.8541666666666667</x:v>
      </x:c>
      <x:c r="P1696" s="9" t="n">
        <x:f>M1696*(1-0.40)-N1696</x:f>
        <x:v>2.966666666666667</x:v>
      </x:c>
      <x:c r="Q1696" s="9" t="n">
        <x:f>'Physical_Arcs'!T16</x:f>
        <x:v>3.7222222222222223</x:v>
      </x:c>
      <x:c r="R1696" s="9" t="n">
        <x:f>Q1696*'Parameters'!$C$18</x:f>
        <x:v>0.7444444444444445</x:v>
      </x:c>
      <x:c r="S1696" s="9" t="n">
        <x:f>R1696*'Parameters'!$C$19</x:f>
        <x:v>0.9305555555555556</x:v>
      </x:c>
      <x:c r="T1696" s="9" t="n">
        <x:f>Q1696*(1-0.40)-R1696</x:f>
        <x:v>1.488888888888889</x:v>
      </x:c>
    </x:row>
    <x:row r="1697" ht="21" customHeight="1">
      <x:c r="A1697" s="3" t="n">
        <x:v>28</x:v>
      </x:c>
      <x:c r="B1697" s="3" t="str">
        <x:v>04:40</x:v>
      </x:c>
      <x:c r="C1697" s="3" t="n">
        <x:v>5</x:v>
      </x:c>
      <x:c r="D1697" s="3" t="n">
        <x:v>16</x:v>
      </x:c>
      <x:c r="E1697" s="3" t="n">
        <x:v>3</x:v>
      </x:c>
      <x:c r="F1697" s="3" t="n">
        <x:v>4</x:v>
      </x:c>
      <x:c r="G1697" s="9" t="n">
        <x:v>0.1</x:v>
      </x:c>
      <x:c r="H1697" s="9" t="n">
        <x:v>1.017658</x:v>
      </x:c>
      <x:c r="I1697" s="9" t="n">
        <x:f>'Physical_Arcs'!R17</x:f>
        <x:v>17.02777777777778</x:v>
      </x:c>
      <x:c r="J1697" s="9" t="n">
        <x:f>I1697*'Parameters'!$C$18</x:f>
        <x:v>3.405555555555556</x:v>
      </x:c>
      <x:c r="K1697" s="9" t="n">
        <x:f>J1697*'Parameters'!$C$19</x:f>
        <x:v>4.256944444444445</x:v>
      </x:c>
      <x:c r="L1697" s="9" t="n">
        <x:f>I1697*(1-0.40)-J1697</x:f>
        <x:v>6.811111111111111</x:v>
      </x:c>
      <x:c r="M1697" s="9" t="n">
        <x:f>'Physical_Arcs'!S17</x:f>
        <x:v>17.02777777777778</x:v>
      </x:c>
      <x:c r="N1697" s="9" t="n">
        <x:f>M1697*'Parameters'!$C$18</x:f>
        <x:v>3.405555555555556</x:v>
      </x:c>
      <x:c r="O1697" s="9" t="n">
        <x:f>N1697*'Parameters'!$C$19</x:f>
        <x:v>4.256944444444445</x:v>
      </x:c>
      <x:c r="P1697" s="9" t="n">
        <x:f>M1697*(1-0.40)-N1697</x:f>
        <x:v>6.811111111111111</x:v>
      </x:c>
      <x:c r="Q1697" s="9" t="n">
        <x:f>'Physical_Arcs'!T17</x:f>
        <x:v>17.02777777777778</x:v>
      </x:c>
      <x:c r="R1697" s="9" t="n">
        <x:f>Q1697*'Parameters'!$C$18</x:f>
        <x:v>3.405555555555556</x:v>
      </x:c>
      <x:c r="S1697" s="9" t="n">
        <x:f>R1697*'Parameters'!$C$19</x:f>
        <x:v>4.256944444444445</x:v>
      </x:c>
      <x:c r="T1697" s="9" t="n">
        <x:f>Q1697*(1-0.40)-R1697</x:f>
        <x:v>6.811111111111111</x:v>
      </x:c>
    </x:row>
    <x:row r="1698" ht="21" customHeight="1">
      <x:c r="A1698" s="3" t="n">
        <x:v>28</x:v>
      </x:c>
      <x:c r="B1698" s="3" t="str">
        <x:v>04:40</x:v>
      </x:c>
      <x:c r="C1698" s="3" t="n">
        <x:v>5</x:v>
      </x:c>
      <x:c r="D1698" s="3" t="n">
        <x:v>17</x:v>
      </x:c>
      <x:c r="E1698" s="3" t="n">
        <x:v>3</x:v>
      </x:c>
      <x:c r="F1698" s="3" t="n">
        <x:v>2</x:v>
      </x:c>
      <x:c r="G1698" s="9" t="n">
        <x:v>0.1</x:v>
      </x:c>
      <x:c r="H1698" s="9" t="n">
        <x:v>0.875995</x:v>
      </x:c>
      <x:c r="I1698" s="9" t="n">
        <x:f>'Physical_Arcs'!R18</x:f>
        <x:v>10.666666666666666</x:v>
      </x:c>
      <x:c r="J1698" s="9" t="n">
        <x:f>I1698*'Parameters'!$C$18</x:f>
        <x:v>2.1333333333333333</x:v>
      </x:c>
      <x:c r="K1698" s="9" t="n">
        <x:f>J1698*'Parameters'!$C$19</x:f>
        <x:v>2.6666666666666665</x:v>
      </x:c>
      <x:c r="L1698" s="9" t="n">
        <x:f>I1698*(1-0.40)-J1698</x:f>
        <x:v>4.266666666666666</x:v>
      </x:c>
      <x:c r="M1698" s="9" t="n">
        <x:f>'Physical_Arcs'!S18</x:f>
        <x:v>10.666666666666666</x:v>
      </x:c>
      <x:c r="N1698" s="9" t="n">
        <x:f>M1698*'Parameters'!$C$18</x:f>
        <x:v>2.1333333333333333</x:v>
      </x:c>
      <x:c r="O1698" s="9" t="n">
        <x:f>N1698*'Parameters'!$C$19</x:f>
        <x:v>2.6666666666666665</x:v>
      </x:c>
      <x:c r="P1698" s="9" t="n">
        <x:f>M1698*(1-0.40)-N1698</x:f>
        <x:v>4.266666666666666</x:v>
      </x:c>
      <x:c r="Q1698" s="9" t="n">
        <x:f>'Physical_Arcs'!T18</x:f>
        <x:v>5.333333333333333</x:v>
      </x:c>
      <x:c r="R1698" s="9" t="n">
        <x:f>Q1698*'Parameters'!$C$18</x:f>
        <x:v>1.0666666666666667</x:v>
      </x:c>
      <x:c r="S1698" s="9" t="n">
        <x:f>R1698*'Parameters'!$C$19</x:f>
        <x:v>1.3333333333333333</x:v>
      </x:c>
      <x:c r="T1698" s="9" t="n">
        <x:f>Q1698*(1-0.40)-R1698</x:f>
        <x:v>2.133333333333333</x:v>
      </x:c>
    </x:row>
    <x:row r="1699" ht="21" customHeight="1">
      <x:c r="A1699" s="3" t="n">
        <x:v>28</x:v>
      </x:c>
      <x:c r="B1699" s="3" t="str">
        <x:v>04:40</x:v>
      </x:c>
      <x:c r="C1699" s="3" t="n">
        <x:v>5</x:v>
      </x:c>
      <x:c r="D1699" s="3" t="n">
        <x:v>18</x:v>
      </x:c>
      <x:c r="E1699" s="3" t="n">
        <x:v>3</x:v>
      </x:c>
      <x:c r="F1699" s="3" t="n">
        <x:v>1</x:v>
      </x:c>
      <x:c r="G1699" s="9" t="n">
        <x:v>0.1</x:v>
      </x:c>
      <x:c r="H1699" s="9" t="n">
        <x:v>1.015397</x:v>
      </x:c>
      <x:c r="I1699" s="9" t="n">
        <x:f>'Physical_Arcs'!R19</x:f>
        <x:v>5.166666666666667</x:v>
      </x:c>
      <x:c r="J1699" s="9" t="n">
        <x:f>I1699*'Parameters'!$C$18</x:f>
        <x:v>1.0333333333333334</x:v>
      </x:c>
      <x:c r="K1699" s="9" t="n">
        <x:f>J1699*'Parameters'!$C$19</x:f>
        <x:v>1.2916666666666667</x:v>
      </x:c>
      <x:c r="L1699" s="9" t="n">
        <x:f>I1699*(1-0.40)-J1699</x:f>
        <x:v>2.0666666666666664</x:v>
      </x:c>
      <x:c r="M1699" s="9" t="n">
        <x:f>'Physical_Arcs'!S19</x:f>
        <x:v>5.166666666666667</x:v>
      </x:c>
      <x:c r="N1699" s="9" t="n">
        <x:f>M1699*'Parameters'!$C$18</x:f>
        <x:v>1.0333333333333334</x:v>
      </x:c>
      <x:c r="O1699" s="9" t="n">
        <x:f>N1699*'Parameters'!$C$19</x:f>
        <x:v>1.2916666666666667</x:v>
      </x:c>
      <x:c r="P1699" s="9" t="n">
        <x:f>M1699*(1-0.40)-N1699</x:f>
        <x:v>2.0666666666666664</x:v>
      </x:c>
      <x:c r="Q1699" s="9" t="n">
        <x:f>'Physical_Arcs'!T19</x:f>
        <x:v>2.5833333333333335</x:v>
      </x:c>
      <x:c r="R1699" s="9" t="n">
        <x:f>Q1699*'Parameters'!$C$18</x:f>
        <x:v>0.5166666666666667</x:v>
      </x:c>
      <x:c r="S1699" s="9" t="n">
        <x:f>R1699*'Parameters'!$C$19</x:f>
        <x:v>0.6458333333333334</x:v>
      </x:c>
      <x:c r="T1699" s="9" t="n">
        <x:f>Q1699*(1-0.40)-R1699</x:f>
        <x:v>1.0333333333333332</x:v>
      </x:c>
    </x:row>
    <x:row r="1700" ht="21" customHeight="1">
      <x:c r="A1700" s="3" t="n">
        <x:v>28</x:v>
      </x:c>
      <x:c r="B1700" s="3" t="str">
        <x:v>04:40</x:v>
      </x:c>
      <x:c r="C1700" s="3" t="n">
        <x:v>5</x:v>
      </x:c>
      <x:c r="D1700" s="3" t="n">
        <x:v>19</x:v>
      </x:c>
      <x:c r="E1700" s="3" t="n">
        <x:v>3</x:v>
      </x:c>
      <x:c r="F1700" s="3" t="n">
        <x:v>7</x:v>
      </x:c>
      <x:c r="G1700" s="9" t="n">
        <x:v>0.1</x:v>
      </x:c>
      <x:c r="H1700" s="9" t="n">
        <x:v>0.996008</x:v>
      </x:c>
      <x:c r="I1700" s="9" t="n">
        <x:f>'Physical_Arcs'!R20</x:f>
        <x:v>5.75</x:v>
      </x:c>
      <x:c r="J1700" s="9" t="n">
        <x:f>I1700*'Parameters'!$C$18</x:f>
        <x:v>1.1500000000000001</x:v>
      </x:c>
      <x:c r="K1700" s="9" t="n">
        <x:f>J1700*'Parameters'!$C$19</x:f>
        <x:v>1.4375000000000002</x:v>
      </x:c>
      <x:c r="L1700" s="9" t="n">
        <x:f>I1700*(1-0.40)-J1700</x:f>
        <x:v>2.3</x:v>
      </x:c>
      <x:c r="M1700" s="9" t="n">
        <x:f>'Physical_Arcs'!S20</x:f>
        <x:v>5.75</x:v>
      </x:c>
      <x:c r="N1700" s="9" t="n">
        <x:f>M1700*'Parameters'!$C$18</x:f>
        <x:v>1.1500000000000001</x:v>
      </x:c>
      <x:c r="O1700" s="9" t="n">
        <x:f>N1700*'Parameters'!$C$19</x:f>
        <x:v>1.4375000000000002</x:v>
      </x:c>
      <x:c r="P1700" s="9" t="n">
        <x:f>M1700*(1-0.40)-N1700</x:f>
        <x:v>2.3</x:v>
      </x:c>
      <x:c r="Q1700" s="9" t="n">
        <x:f>'Physical_Arcs'!T20</x:f>
        <x:v>2.888888888888889</x:v>
      </x:c>
      <x:c r="R1700" s="9" t="n">
        <x:f>Q1700*'Parameters'!$C$18</x:f>
        <x:v>0.5777777777777778</x:v>
      </x:c>
      <x:c r="S1700" s="9" t="n">
        <x:f>R1700*'Parameters'!$C$19</x:f>
        <x:v>0.7222222222222223</x:v>
      </x:c>
      <x:c r="T1700" s="9" t="n">
        <x:f>Q1700*(1-0.40)-R1700</x:f>
        <x:v>1.1555555555555554</x:v>
      </x:c>
    </x:row>
    <x:row r="1701" ht="21" customHeight="1">
      <x:c r="A1701" s="3" t="n">
        <x:v>28</x:v>
      </x:c>
      <x:c r="B1701" s="3" t="str">
        <x:v>04:40</x:v>
      </x:c>
      <x:c r="C1701" s="3" t="n">
        <x:v>5</x:v>
      </x:c>
      <x:c r="D1701" s="3" t="n">
        <x:v>20</x:v>
      </x:c>
      <x:c r="E1701" s="3" t="n">
        <x:v>3</x:v>
      </x:c>
      <x:c r="F1701" s="3" t="n">
        <x:v>10</x:v>
      </x:c>
      <x:c r="G1701" s="9" t="n">
        <x:v>0.1</x:v>
      </x:c>
      <x:c r="H1701" s="9" t="n">
        <x:v>1.118855</x:v>
      </x:c>
      <x:c r="I1701" s="9" t="n">
        <x:f>'Physical_Arcs'!R21</x:f>
        <x:v>5.166666666666667</x:v>
      </x:c>
      <x:c r="J1701" s="9" t="n">
        <x:f>I1701*'Parameters'!$C$18</x:f>
        <x:v>1.0333333333333334</x:v>
      </x:c>
      <x:c r="K1701" s="9" t="n">
        <x:f>J1701*'Parameters'!$C$19</x:f>
        <x:v>1.2916666666666667</x:v>
      </x:c>
      <x:c r="L1701" s="9" t="n">
        <x:f>I1701*(1-0.40)-J1701</x:f>
        <x:v>2.0666666666666664</x:v>
      </x:c>
      <x:c r="M1701" s="9" t="n">
        <x:f>'Physical_Arcs'!S21</x:f>
        <x:v>5.166666666666667</x:v>
      </x:c>
      <x:c r="N1701" s="9" t="n">
        <x:f>M1701*'Parameters'!$C$18</x:f>
        <x:v>1.0333333333333334</x:v>
      </x:c>
      <x:c r="O1701" s="9" t="n">
        <x:f>N1701*'Parameters'!$C$19</x:f>
        <x:v>1.2916666666666667</x:v>
      </x:c>
      <x:c r="P1701" s="9" t="n">
        <x:f>M1701*(1-0.40)-N1701</x:f>
        <x:v>2.0666666666666664</x:v>
      </x:c>
      <x:c r="Q1701" s="9" t="n">
        <x:f>'Physical_Arcs'!T21</x:f>
        <x:v>2.5833333333333335</x:v>
      </x:c>
      <x:c r="R1701" s="9" t="n">
        <x:f>Q1701*'Parameters'!$C$18</x:f>
        <x:v>0.5166666666666667</x:v>
      </x:c>
      <x:c r="S1701" s="9" t="n">
        <x:f>R1701*'Parameters'!$C$19</x:f>
        <x:v>0.6458333333333334</x:v>
      </x:c>
      <x:c r="T1701" s="9" t="n">
        <x:f>Q1701*(1-0.40)-R1701</x:f>
        <x:v>1.0333333333333332</x:v>
      </x:c>
    </x:row>
    <x:row r="1702" ht="21" customHeight="1">
      <x:c r="A1702" s="3" t="n">
        <x:v>28</x:v>
      </x:c>
      <x:c r="B1702" s="3" t="str">
        <x:v>04:40</x:v>
      </x:c>
      <x:c r="C1702" s="3" t="n">
        <x:v>5</x:v>
      </x:c>
      <x:c r="D1702" s="3" t="n">
        <x:v>21</x:v>
      </x:c>
      <x:c r="E1702" s="3" t="n">
        <x:v>3</x:v>
      </x:c>
      <x:c r="F1702" s="3" t="n">
        <x:v>9</x:v>
      </x:c>
      <x:c r="G1702" s="9" t="n">
        <x:v>0.1</x:v>
      </x:c>
      <x:c r="H1702" s="9" t="n">
        <x:v>0.947299</x:v>
      </x:c>
      <x:c r="I1702" s="9" t="n">
        <x:f>'Physical_Arcs'!R22</x:f>
        <x:v>9.333333333333334</x:v>
      </x:c>
      <x:c r="J1702" s="9" t="n">
        <x:f>I1702*'Parameters'!$C$18</x:f>
        <x:v>1.866666666666667</x:v>
      </x:c>
      <x:c r="K1702" s="9" t="n">
        <x:f>J1702*'Parameters'!$C$19</x:f>
        <x:v>2.3333333333333335</x:v>
      </x:c>
      <x:c r="L1702" s="9" t="n">
        <x:f>I1702*(1-0.40)-J1702</x:f>
        <x:v>3.7333333333333334</x:v>
      </x:c>
      <x:c r="M1702" s="9" t="n">
        <x:f>'Physical_Arcs'!S22</x:f>
        <x:v>9.333333333333334</x:v>
      </x:c>
      <x:c r="N1702" s="9" t="n">
        <x:f>M1702*'Parameters'!$C$18</x:f>
        <x:v>1.866666666666667</x:v>
      </x:c>
      <x:c r="O1702" s="9" t="n">
        <x:f>N1702*'Parameters'!$C$19</x:f>
        <x:v>2.3333333333333335</x:v>
      </x:c>
      <x:c r="P1702" s="9" t="n">
        <x:f>M1702*(1-0.40)-N1702</x:f>
        <x:v>3.7333333333333334</x:v>
      </x:c>
      <x:c r="Q1702" s="9" t="n">
        <x:f>'Physical_Arcs'!T22</x:f>
        <x:v>4.666666666666667</x:v>
      </x:c>
      <x:c r="R1702" s="9" t="n">
        <x:f>Q1702*'Parameters'!$C$18</x:f>
        <x:v>0.9333333333333335</x:v>
      </x:c>
      <x:c r="S1702" s="9" t="n">
        <x:f>R1702*'Parameters'!$C$19</x:f>
        <x:v>1.1666666666666667</x:v>
      </x:c>
      <x:c r="T1702" s="9" t="n">
        <x:f>Q1702*(1-0.40)-R1702</x:f>
        <x:v>1.8666666666666667</x:v>
      </x:c>
    </x:row>
    <x:row r="1703" ht="21" customHeight="1">
      <x:c r="A1703" s="3" t="n">
        <x:v>28</x:v>
      </x:c>
      <x:c r="B1703" s="3" t="str">
        <x:v>04:40</x:v>
      </x:c>
      <x:c r="C1703" s="3" t="n">
        <x:v>5</x:v>
      </x:c>
      <x:c r="D1703" s="3" t="n">
        <x:v>22</x:v>
      </x:c>
      <x:c r="E1703" s="3" t="n">
        <x:v>4</x:v>
      </x:c>
      <x:c r="F1703" s="3" t="n">
        <x:v>5</x:v>
      </x:c>
      <x:c r="G1703" s="9" t="n">
        <x:v>0.1</x:v>
      </x:c>
      <x:c r="H1703" s="9" t="n">
        <x:v>0.958485</x:v>
      </x:c>
      <x:c r="I1703" s="9" t="n">
        <x:f>'Physical_Arcs'!R23</x:f>
        <x:v>17.02777777777778</x:v>
      </x:c>
      <x:c r="J1703" s="9" t="n">
        <x:f>I1703*'Parameters'!$C$18</x:f>
        <x:v>3.405555555555556</x:v>
      </x:c>
      <x:c r="K1703" s="9" t="n">
        <x:f>J1703*'Parameters'!$C$19</x:f>
        <x:v>4.256944444444445</x:v>
      </x:c>
      <x:c r="L1703" s="9" t="n">
        <x:f>I1703*(1-0.40)-J1703</x:f>
        <x:v>6.811111111111111</x:v>
      </x:c>
      <x:c r="M1703" s="9" t="n">
        <x:f>'Physical_Arcs'!S23</x:f>
        <x:v>17.02777777777778</x:v>
      </x:c>
      <x:c r="N1703" s="9" t="n">
        <x:f>M1703*'Parameters'!$C$18</x:f>
        <x:v>3.405555555555556</x:v>
      </x:c>
      <x:c r="O1703" s="9" t="n">
        <x:f>N1703*'Parameters'!$C$19</x:f>
        <x:v>4.256944444444445</x:v>
      </x:c>
      <x:c r="P1703" s="9" t="n">
        <x:f>M1703*(1-0.40)-N1703</x:f>
        <x:v>6.811111111111111</x:v>
      </x:c>
      <x:c r="Q1703" s="9" t="n">
        <x:f>'Physical_Arcs'!T23</x:f>
        <x:v>17.02777777777778</x:v>
      </x:c>
      <x:c r="R1703" s="9" t="n">
        <x:f>Q1703*'Parameters'!$C$18</x:f>
        <x:v>3.405555555555556</x:v>
      </x:c>
      <x:c r="S1703" s="9" t="n">
        <x:f>R1703*'Parameters'!$C$19</x:f>
        <x:v>4.256944444444445</x:v>
      </x:c>
      <x:c r="T1703" s="9" t="n">
        <x:f>Q1703*(1-0.40)-R1703</x:f>
        <x:v>6.811111111111111</x:v>
      </x:c>
    </x:row>
    <x:row r="1704" ht="21" customHeight="1">
      <x:c r="A1704" s="3" t="n">
        <x:v>28</x:v>
      </x:c>
      <x:c r="B1704" s="3" t="str">
        <x:v>04:40</x:v>
      </x:c>
      <x:c r="C1704" s="3" t="n">
        <x:v>5</x:v>
      </x:c>
      <x:c r="D1704" s="3" t="n">
        <x:v>23</x:v>
      </x:c>
      <x:c r="E1704" s="3" t="n">
        <x:v>4</x:v>
      </x:c>
      <x:c r="F1704" s="3" t="n">
        <x:v>3</x:v>
      </x:c>
      <x:c r="G1704" s="9" t="n">
        <x:v>0.1</x:v>
      </x:c>
      <x:c r="H1704" s="9" t="n">
        <x:v>0.944916</x:v>
      </x:c>
      <x:c r="I1704" s="9" t="n">
        <x:f>'Physical_Arcs'!R24</x:f>
        <x:v>9.333333333333334</x:v>
      </x:c>
      <x:c r="J1704" s="9" t="n">
        <x:f>I1704*'Parameters'!$C$18</x:f>
        <x:v>1.866666666666667</x:v>
      </x:c>
      <x:c r="K1704" s="9" t="n">
        <x:f>J1704*'Parameters'!$C$19</x:f>
        <x:v>2.3333333333333335</x:v>
      </x:c>
      <x:c r="L1704" s="9" t="n">
        <x:f>I1704*(1-0.40)-J1704</x:f>
        <x:v>3.7333333333333334</x:v>
      </x:c>
      <x:c r="M1704" s="9" t="n">
        <x:f>'Physical_Arcs'!S24</x:f>
        <x:v>9.333333333333334</x:v>
      </x:c>
      <x:c r="N1704" s="9" t="n">
        <x:f>M1704*'Parameters'!$C$18</x:f>
        <x:v>1.866666666666667</x:v>
      </x:c>
      <x:c r="O1704" s="9" t="n">
        <x:f>N1704*'Parameters'!$C$19</x:f>
        <x:v>2.3333333333333335</x:v>
      </x:c>
      <x:c r="P1704" s="9" t="n">
        <x:f>M1704*(1-0.40)-N1704</x:f>
        <x:v>3.7333333333333334</x:v>
      </x:c>
      <x:c r="Q1704" s="9" t="n">
        <x:f>'Physical_Arcs'!T24</x:f>
        <x:v>4.666666666666667</x:v>
      </x:c>
      <x:c r="R1704" s="9" t="n">
        <x:f>Q1704*'Parameters'!$C$18</x:f>
        <x:v>0.9333333333333335</x:v>
      </x:c>
      <x:c r="S1704" s="9" t="n">
        <x:f>R1704*'Parameters'!$C$19</x:f>
        <x:v>1.1666666666666667</x:v>
      </x:c>
      <x:c r="T1704" s="9" t="n">
        <x:f>Q1704*(1-0.40)-R1704</x:f>
        <x:v>1.8666666666666667</x:v>
      </x:c>
    </x:row>
    <x:row r="1705" ht="21" customHeight="1">
      <x:c r="A1705" s="3" t="n">
        <x:v>28</x:v>
      </x:c>
      <x:c r="B1705" s="3" t="str">
        <x:v>04:40</x:v>
      </x:c>
      <x:c r="C1705" s="3" t="n">
        <x:v>5</x:v>
      </x:c>
      <x:c r="D1705" s="3" t="n">
        <x:v>24</x:v>
      </x:c>
      <x:c r="E1705" s="3" t="n">
        <x:v>4</x:v>
      </x:c>
      <x:c r="F1705" s="3" t="n">
        <x:v>10</x:v>
      </x:c>
      <x:c r="G1705" s="9" t="n">
        <x:v>0.1</x:v>
      </x:c>
      <x:c r="H1705" s="9" t="n">
        <x:v>0.875461</x:v>
      </x:c>
      <x:c r="I1705" s="9" t="n">
        <x:f>'Physical_Arcs'!R25</x:f>
        <x:v>7.194444444444445</x:v>
      </x:c>
      <x:c r="J1705" s="9" t="n">
        <x:f>I1705*'Parameters'!$C$18</x:f>
        <x:v>1.438888888888889</x:v>
      </x:c>
      <x:c r="K1705" s="9" t="n">
        <x:f>J1705*'Parameters'!$C$19</x:f>
        <x:v>1.7986111111111114</x:v>
      </x:c>
      <x:c r="L1705" s="9" t="n">
        <x:f>I1705*(1-0.40)-J1705</x:f>
        <x:v>2.8777777777777773</x:v>
      </x:c>
      <x:c r="M1705" s="9" t="n">
        <x:f>'Physical_Arcs'!S25</x:f>
        <x:v>7.194444444444445</x:v>
      </x:c>
      <x:c r="N1705" s="9" t="n">
        <x:f>M1705*'Parameters'!$C$18</x:f>
        <x:v>1.438888888888889</x:v>
      </x:c>
      <x:c r="O1705" s="9" t="n">
        <x:f>N1705*'Parameters'!$C$19</x:f>
        <x:v>1.7986111111111114</x:v>
      </x:c>
      <x:c r="P1705" s="9" t="n">
        <x:f>M1705*(1-0.40)-N1705</x:f>
        <x:v>2.8777777777777773</x:v>
      </x:c>
      <x:c r="Q1705" s="9" t="n">
        <x:f>'Physical_Arcs'!T25</x:f>
        <x:v>3.611111111111111</x:v>
      </x:c>
      <x:c r="R1705" s="9" t="n">
        <x:f>Q1705*'Parameters'!$C$18</x:f>
        <x:v>0.7222222222222223</x:v>
      </x:c>
      <x:c r="S1705" s="9" t="n">
        <x:f>R1705*'Parameters'!$C$19</x:f>
        <x:v>0.9027777777777779</x:v>
      </x:c>
      <x:c r="T1705" s="9" t="n">
        <x:f>Q1705*(1-0.40)-R1705</x:f>
        <x:v>1.4444444444444442</x:v>
      </x:c>
    </x:row>
    <x:row r="1706" ht="21" customHeight="1">
      <x:c r="A1706" s="3" t="n">
        <x:v>28</x:v>
      </x:c>
      <x:c r="B1706" s="3" t="str">
        <x:v>04:40</x:v>
      </x:c>
      <x:c r="C1706" s="3" t="n">
        <x:v>5</x:v>
      </x:c>
      <x:c r="D1706" s="3" t="n">
        <x:v>25</x:v>
      </x:c>
      <x:c r="E1706" s="3" t="n">
        <x:v>4</x:v>
      </x:c>
      <x:c r="F1706" s="3" t="n">
        <x:v>8</x:v>
      </x:c>
      <x:c r="G1706" s="9" t="n">
        <x:v>0.1</x:v>
      </x:c>
      <x:c r="H1706" s="9" t="n">
        <x:v>0.993326</x:v>
      </x:c>
      <x:c r="I1706" s="9" t="n">
        <x:f>'Physical_Arcs'!R26</x:f>
        <x:v>5.277777777777778</x:v>
      </x:c>
      <x:c r="J1706" s="9" t="n">
        <x:f>I1706*'Parameters'!$C$18</x:f>
        <x:v>1.0555555555555556</x:v>
      </x:c>
      <x:c r="K1706" s="9" t="n">
        <x:f>J1706*'Parameters'!$C$19</x:f>
        <x:v>1.3194444444444444</x:v>
      </x:c>
      <x:c r="L1706" s="9" t="n">
        <x:f>I1706*(1-0.40)-J1706</x:f>
        <x:v>2.1111111111111107</x:v>
      </x:c>
      <x:c r="M1706" s="9" t="n">
        <x:f>'Physical_Arcs'!S26</x:f>
        <x:v>5.277777777777778</x:v>
      </x:c>
      <x:c r="N1706" s="9" t="n">
        <x:f>M1706*'Parameters'!$C$18</x:f>
        <x:v>1.0555555555555556</x:v>
      </x:c>
      <x:c r="O1706" s="9" t="n">
        <x:f>N1706*'Parameters'!$C$19</x:f>
        <x:v>1.3194444444444444</x:v>
      </x:c>
      <x:c r="P1706" s="9" t="n">
        <x:f>M1706*(1-0.40)-N1706</x:f>
        <x:v>2.1111111111111107</x:v>
      </x:c>
      <x:c r="Q1706" s="9" t="n">
        <x:f>'Physical_Arcs'!T26</x:f>
        <x:v>2.638888888888889</x:v>
      </x:c>
      <x:c r="R1706" s="9" t="n">
        <x:f>Q1706*'Parameters'!$C$18</x:f>
        <x:v>0.5277777777777778</x:v>
      </x:c>
      <x:c r="S1706" s="9" t="n">
        <x:f>R1706*'Parameters'!$C$19</x:f>
        <x:v>0.6597222222222222</x:v>
      </x:c>
      <x:c r="T1706" s="9" t="n">
        <x:f>Q1706*(1-0.40)-R1706</x:f>
        <x:v>1.0555555555555554</x:v>
      </x:c>
    </x:row>
    <x:row r="1707" ht="21" customHeight="1">
      <x:c r="A1707" s="3" t="n">
        <x:v>28</x:v>
      </x:c>
      <x:c r="B1707" s="3" t="str">
        <x:v>04:40</x:v>
      </x:c>
      <x:c r="C1707" s="3" t="n">
        <x:v>5</x:v>
      </x:c>
      <x:c r="D1707" s="3" t="n">
        <x:v>26</x:v>
      </x:c>
      <x:c r="E1707" s="3" t="n">
        <x:v>4</x:v>
      </x:c>
      <x:c r="F1707" s="3" t="n">
        <x:v>7</x:v>
      </x:c>
      <x:c r="G1707" s="9" t="n">
        <x:v>0.1</x:v>
      </x:c>
      <x:c r="H1707" s="9" t="n">
        <x:v>1.099203</x:v>
      </x:c>
      <x:c r="I1707" s="9" t="n">
        <x:f>'Physical_Arcs'!R27</x:f>
        <x:v>6.527777777777778</x:v>
      </x:c>
      <x:c r="J1707" s="9" t="n">
        <x:f>I1707*'Parameters'!$C$18</x:f>
        <x:v>1.3055555555555556</x:v>
      </x:c>
      <x:c r="K1707" s="9" t="n">
        <x:f>J1707*'Parameters'!$C$19</x:f>
        <x:v>1.6319444444444444</x:v>
      </x:c>
      <x:c r="L1707" s="9" t="n">
        <x:f>I1707*(1-0.40)-J1707</x:f>
        <x:v>2.6111111111111107</x:v>
      </x:c>
      <x:c r="M1707" s="9" t="n">
        <x:f>'Physical_Arcs'!S27</x:f>
        <x:v>6.527777777777778</x:v>
      </x:c>
      <x:c r="N1707" s="9" t="n">
        <x:f>M1707*'Parameters'!$C$18</x:f>
        <x:v>1.3055555555555556</x:v>
      </x:c>
      <x:c r="O1707" s="9" t="n">
        <x:f>N1707*'Parameters'!$C$19</x:f>
        <x:v>1.6319444444444444</x:v>
      </x:c>
      <x:c r="P1707" s="9" t="n">
        <x:f>M1707*(1-0.40)-N1707</x:f>
        <x:v>2.6111111111111107</x:v>
      </x:c>
      <x:c r="Q1707" s="9" t="n">
        <x:f>'Physical_Arcs'!T27</x:f>
        <x:v>3.2777777777777777</x:v>
      </x:c>
      <x:c r="R1707" s="9" t="n">
        <x:f>Q1707*'Parameters'!$C$18</x:f>
        <x:v>0.6555555555555556</x:v>
      </x:c>
      <x:c r="S1707" s="9" t="n">
        <x:f>R1707*'Parameters'!$C$19</x:f>
        <x:v>0.8194444444444444</x:v>
      </x:c>
      <x:c r="T1707" s="9" t="n">
        <x:f>Q1707*(1-0.40)-R1707</x:f>
        <x:v>1.311111111111111</x:v>
      </x:c>
    </x:row>
    <x:row r="1708" ht="21" customHeight="1">
      <x:c r="A1708" s="3" t="n">
        <x:v>28</x:v>
      </x:c>
      <x:c r="B1708" s="3" t="str">
        <x:v>04:40</x:v>
      </x:c>
      <x:c r="C1708" s="3" t="n">
        <x:v>5</x:v>
      </x:c>
      <x:c r="D1708" s="3" t="n">
        <x:v>27</x:v>
      </x:c>
      <x:c r="E1708" s="3" t="n">
        <x:v>4</x:v>
      </x:c>
      <x:c r="F1708" s="3" t="n">
        <x:v>2</x:v>
      </x:c>
      <x:c r="G1708" s="9" t="n">
        <x:v>0.1</x:v>
      </x:c>
      <x:c r="H1708" s="9" t="n">
        <x:v>0.861111</x:v>
      </x:c>
      <x:c r="I1708" s="9" t="n">
        <x:f>'Physical_Arcs'!R28</x:f>
        <x:v>4.944444444444445</x:v>
      </x:c>
      <x:c r="J1708" s="9" t="n">
        <x:f>I1708*'Parameters'!$C$18</x:f>
        <x:v>0.9888888888888889</x:v>
      </x:c>
      <x:c r="K1708" s="9" t="n">
        <x:f>J1708*'Parameters'!$C$19</x:f>
        <x:v>1.2361111111111112</x:v>
      </x:c>
      <x:c r="L1708" s="9" t="n">
        <x:f>I1708*(1-0.40)-J1708</x:f>
        <x:v>1.9777777777777779</x:v>
      </x:c>
      <x:c r="M1708" s="9" t="n">
        <x:f>'Physical_Arcs'!S28</x:f>
        <x:v>4.944444444444445</x:v>
      </x:c>
      <x:c r="N1708" s="9" t="n">
        <x:f>M1708*'Parameters'!$C$18</x:f>
        <x:v>0.9888888888888889</x:v>
      </x:c>
      <x:c r="O1708" s="9" t="n">
        <x:f>N1708*'Parameters'!$C$19</x:f>
        <x:v>1.2361111111111112</x:v>
      </x:c>
      <x:c r="P1708" s="9" t="n">
        <x:f>M1708*(1-0.40)-N1708</x:f>
        <x:v>1.9777777777777779</x:v>
      </x:c>
      <x:c r="Q1708" s="9" t="n">
        <x:f>'Physical_Arcs'!T28</x:f>
        <x:v>2.4722222222222223</x:v>
      </x:c>
      <x:c r="R1708" s="9" t="n">
        <x:f>Q1708*'Parameters'!$C$18</x:f>
        <x:v>0.49444444444444446</x:v>
      </x:c>
      <x:c r="S1708" s="9" t="n">
        <x:f>R1708*'Parameters'!$C$19</x:f>
        <x:v>0.6180555555555556</x:v>
      </x:c>
      <x:c r="T1708" s="9" t="n">
        <x:f>Q1708*(1-0.40)-R1708</x:f>
        <x:v>0.9888888888888889</x:v>
      </x:c>
    </x:row>
    <x:row r="1709" ht="21" customHeight="1">
      <x:c r="A1709" s="3" t="n">
        <x:v>28</x:v>
      </x:c>
      <x:c r="B1709" s="3" t="str">
        <x:v>04:40</x:v>
      </x:c>
      <x:c r="C1709" s="3" t="n">
        <x:v>5</x:v>
      </x:c>
      <x:c r="D1709" s="3" t="n">
        <x:v>28</x:v>
      </x:c>
      <x:c r="E1709" s="3" t="n">
        <x:v>4</x:v>
      </x:c>
      <x:c r="F1709" s="3" t="n">
        <x:v>6</x:v>
      </x:c>
      <x:c r="G1709" s="9" t="n">
        <x:v>0.1</x:v>
      </x:c>
      <x:c r="H1709" s="9" t="n">
        <x:v>1.137214</x:v>
      </x:c>
      <x:c r="I1709" s="9" t="n">
        <x:f>'Physical_Arcs'!R29</x:f>
        <x:v>3.388888888888889</x:v>
      </x:c>
      <x:c r="J1709" s="9" t="n">
        <x:f>I1709*'Parameters'!$C$18</x:f>
        <x:v>0.6777777777777778</x:v>
      </x:c>
      <x:c r="K1709" s="9" t="n">
        <x:f>J1709*'Parameters'!$C$19</x:f>
        <x:v>0.8472222222222223</x:v>
      </x:c>
      <x:c r="L1709" s="9" t="n">
        <x:f>I1709*(1-0.40)-J1709</x:f>
        <x:v>1.3555555555555554</x:v>
      </x:c>
      <x:c r="M1709" s="9" t="n">
        <x:f>'Physical_Arcs'!S29</x:f>
        <x:v>3.388888888888889</x:v>
      </x:c>
      <x:c r="N1709" s="9" t="n">
        <x:f>M1709*'Parameters'!$C$18</x:f>
        <x:v>0.6777777777777778</x:v>
      </x:c>
      <x:c r="O1709" s="9" t="n">
        <x:f>N1709*'Parameters'!$C$19</x:f>
        <x:v>0.8472222222222223</x:v>
      </x:c>
      <x:c r="P1709" s="9" t="n">
        <x:f>M1709*(1-0.40)-N1709</x:f>
        <x:v>1.3555555555555554</x:v>
      </x:c>
      <x:c r="Q1709" s="9" t="n">
        <x:f>'Physical_Arcs'!T29</x:f>
        <x:v>1.6944444444444444</x:v>
      </x:c>
      <x:c r="R1709" s="9" t="n">
        <x:f>Q1709*'Parameters'!$C$18</x:f>
        <x:v>0.3388888888888889</x:v>
      </x:c>
      <x:c r="S1709" s="9" t="n">
        <x:f>R1709*'Parameters'!$C$19</x:f>
        <x:v>0.42361111111111116</x:v>
      </x:c>
      <x:c r="T1709" s="9" t="n">
        <x:f>Q1709*(1-0.40)-R1709</x:f>
        <x:v>0.6777777777777777</x:v>
      </x:c>
    </x:row>
    <x:row r="1710" ht="21" customHeight="1">
      <x:c r="A1710" s="3" t="n">
        <x:v>28</x:v>
      </x:c>
      <x:c r="B1710" s="3" t="str">
        <x:v>04:40</x:v>
      </x:c>
      <x:c r="C1710" s="3" t="n">
        <x:v>5</x:v>
      </x:c>
      <x:c r="D1710" s="3" t="n">
        <x:v>29</x:v>
      </x:c>
      <x:c r="E1710" s="3" t="n">
        <x:v>5</x:v>
      </x:c>
      <x:c r="F1710" s="3" t="n">
        <x:v>6</x:v>
      </x:c>
      <x:c r="G1710" s="9" t="n">
        <x:v>0.1</x:v>
      </x:c>
      <x:c r="H1710" s="9" t="n">
        <x:v>0.949994</x:v>
      </x:c>
      <x:c r="I1710" s="9" t="n">
        <x:f>'Physical_Arcs'!R30</x:f>
        <x:v>17.02777777777778</x:v>
      </x:c>
      <x:c r="J1710" s="9" t="n">
        <x:f>I1710*'Parameters'!$C$18</x:f>
        <x:v>3.405555555555556</x:v>
      </x:c>
      <x:c r="K1710" s="9" t="n">
        <x:f>J1710*'Parameters'!$C$19</x:f>
        <x:v>4.256944444444445</x:v>
      </x:c>
      <x:c r="L1710" s="9" t="n">
        <x:f>I1710*(1-0.40)-J1710</x:f>
        <x:v>6.811111111111111</x:v>
      </x:c>
      <x:c r="M1710" s="9" t="n">
        <x:f>'Physical_Arcs'!S30</x:f>
        <x:v>17.02777777777778</x:v>
      </x:c>
      <x:c r="N1710" s="9" t="n">
        <x:f>M1710*'Parameters'!$C$18</x:f>
        <x:v>3.405555555555556</x:v>
      </x:c>
      <x:c r="O1710" s="9" t="n">
        <x:f>N1710*'Parameters'!$C$19</x:f>
        <x:v>4.256944444444445</x:v>
      </x:c>
      <x:c r="P1710" s="9" t="n">
        <x:f>M1710*(1-0.40)-N1710</x:f>
        <x:v>6.811111111111111</x:v>
      </x:c>
      <x:c r="Q1710" s="9" t="n">
        <x:f>'Physical_Arcs'!T30</x:f>
        <x:v>17.02777777777778</x:v>
      </x:c>
      <x:c r="R1710" s="9" t="n">
        <x:f>Q1710*'Parameters'!$C$18</x:f>
        <x:v>3.405555555555556</x:v>
      </x:c>
      <x:c r="S1710" s="9" t="n">
        <x:f>R1710*'Parameters'!$C$19</x:f>
        <x:v>4.256944444444445</x:v>
      </x:c>
      <x:c r="T1710" s="9" t="n">
        <x:f>Q1710*(1-0.40)-R1710</x:f>
        <x:v>6.811111111111111</x:v>
      </x:c>
    </x:row>
    <x:row r="1711" ht="21" customHeight="1">
      <x:c r="A1711" s="3" t="n">
        <x:v>28</x:v>
      </x:c>
      <x:c r="B1711" s="3" t="str">
        <x:v>04:40</x:v>
      </x:c>
      <x:c r="C1711" s="3" t="n">
        <x:v>5</x:v>
      </x:c>
      <x:c r="D1711" s="3" t="n">
        <x:v>30</x:v>
      </x:c>
      <x:c r="E1711" s="3" t="n">
        <x:v>5</x:v>
      </x:c>
      <x:c r="F1711" s="3" t="n">
        <x:v>2</x:v>
      </x:c>
      <x:c r="G1711" s="9" t="n">
        <x:v>0.1</x:v>
      </x:c>
      <x:c r="H1711" s="9" t="n">
        <x:v>0.882396</x:v>
      </x:c>
      <x:c r="I1711" s="9" t="n">
        <x:f>'Physical_Arcs'!R31</x:f>
        <x:v>2.9444444444444446</x:v>
      </x:c>
      <x:c r="J1711" s="9" t="n">
        <x:f>I1711*'Parameters'!$C$18</x:f>
        <x:v>0.5888888888888889</x:v>
      </x:c>
      <x:c r="K1711" s="9" t="n">
        <x:f>J1711*'Parameters'!$C$19</x:f>
        <x:v>0.7361111111111112</x:v>
      </x:c>
      <x:c r="L1711" s="9" t="n">
        <x:f>I1711*(1-0.40)-J1711</x:f>
        <x:v>1.177777777777778</x:v>
      </x:c>
      <x:c r="M1711" s="9" t="n">
        <x:f>'Physical_Arcs'!S31</x:f>
        <x:v>2.9444444444444446</x:v>
      </x:c>
      <x:c r="N1711" s="9" t="n">
        <x:f>M1711*'Parameters'!$C$18</x:f>
        <x:v>0.5888888888888889</x:v>
      </x:c>
      <x:c r="O1711" s="9" t="n">
        <x:f>N1711*'Parameters'!$C$19</x:f>
        <x:v>0.7361111111111112</x:v>
      </x:c>
      <x:c r="P1711" s="9" t="n">
        <x:f>M1711*(1-0.40)-N1711</x:f>
        <x:v>1.177777777777778</x:v>
      </x:c>
      <x:c r="Q1711" s="9" t="n">
        <x:f>'Physical_Arcs'!T31</x:f>
        <x:v>1.4722222222222223</x:v>
      </x:c>
      <x:c r="R1711" s="9" t="n">
        <x:f>Q1711*'Parameters'!$C$18</x:f>
        <x:v>0.29444444444444445</x:v>
      </x:c>
      <x:c r="S1711" s="9" t="n">
        <x:f>R1711*'Parameters'!$C$19</x:f>
        <x:v>0.3680555555555556</x:v>
      </x:c>
      <x:c r="T1711" s="9" t="n">
        <x:f>Q1711*(1-0.40)-R1711</x:f>
        <x:v>0.588888888888889</x:v>
      </x:c>
    </x:row>
    <x:row r="1712" ht="21" customHeight="1">
      <x:c r="A1712" s="3" t="n">
        <x:v>28</x:v>
      </x:c>
      <x:c r="B1712" s="3" t="str">
        <x:v>04:40</x:v>
      </x:c>
      <x:c r="C1712" s="3" t="n">
        <x:v>5</x:v>
      </x:c>
      <x:c r="D1712" s="3" t="n">
        <x:v>31</x:v>
      </x:c>
      <x:c r="E1712" s="3" t="n">
        <x:v>5</x:v>
      </x:c>
      <x:c r="F1712" s="3" t="n">
        <x:v>8</x:v>
      </x:c>
      <x:c r="G1712" s="9" t="n">
        <x:v>0.1</x:v>
      </x:c>
      <x:c r="H1712" s="9" t="n">
        <x:v>0.986718</x:v>
      </x:c>
      <x:c r="I1712" s="9" t="n">
        <x:f>'Physical_Arcs'!R32</x:f>
        <x:v>9.333333333333334</x:v>
      </x:c>
      <x:c r="J1712" s="9" t="n">
        <x:f>I1712*'Parameters'!$C$18</x:f>
        <x:v>1.866666666666667</x:v>
      </x:c>
      <x:c r="K1712" s="9" t="n">
        <x:f>J1712*'Parameters'!$C$19</x:f>
        <x:v>2.3333333333333335</x:v>
      </x:c>
      <x:c r="L1712" s="9" t="n">
        <x:f>I1712*(1-0.40)-J1712</x:f>
        <x:v>3.7333333333333334</x:v>
      </x:c>
      <x:c r="M1712" s="9" t="n">
        <x:f>'Physical_Arcs'!S32</x:f>
        <x:v>9.333333333333334</x:v>
      </x:c>
      <x:c r="N1712" s="9" t="n">
        <x:f>M1712*'Parameters'!$C$18</x:f>
        <x:v>1.866666666666667</x:v>
      </x:c>
      <x:c r="O1712" s="9" t="n">
        <x:f>N1712*'Parameters'!$C$19</x:f>
        <x:v>2.3333333333333335</x:v>
      </x:c>
      <x:c r="P1712" s="9" t="n">
        <x:f>M1712*(1-0.40)-N1712</x:f>
        <x:v>3.7333333333333334</x:v>
      </x:c>
      <x:c r="Q1712" s="9" t="n">
        <x:f>'Physical_Arcs'!T32</x:f>
        <x:v>4.666666666666667</x:v>
      </x:c>
      <x:c r="R1712" s="9" t="n">
        <x:f>Q1712*'Parameters'!$C$18</x:f>
        <x:v>0.9333333333333335</x:v>
      </x:c>
      <x:c r="S1712" s="9" t="n">
        <x:f>R1712*'Parameters'!$C$19</x:f>
        <x:v>1.1666666666666667</x:v>
      </x:c>
      <x:c r="T1712" s="9" t="n">
        <x:f>Q1712*(1-0.40)-R1712</x:f>
        <x:v>1.8666666666666667</x:v>
      </x:c>
    </x:row>
    <x:row r="1713" ht="21" customHeight="1">
      <x:c r="A1713" s="3" t="n">
        <x:v>28</x:v>
      </x:c>
      <x:c r="B1713" s="3" t="str">
        <x:v>04:40</x:v>
      </x:c>
      <x:c r="C1713" s="3" t="n">
        <x:v>5</x:v>
      </x:c>
      <x:c r="D1713" s="3" t="n">
        <x:v>32</x:v>
      </x:c>
      <x:c r="E1713" s="3" t="n">
        <x:v>5</x:v>
      </x:c>
      <x:c r="F1713" s="3" t="n">
        <x:v>3</x:v>
      </x:c>
      <x:c r="G1713" s="9" t="n">
        <x:v>0.1</x:v>
      </x:c>
      <x:c r="H1713" s="9" t="n">
        <x:v>1.089544</x:v>
      </x:c>
      <x:c r="I1713" s="9" t="n">
        <x:f>'Physical_Arcs'!R33</x:f>
        <x:v>11.13888888888889</x:v>
      </x:c>
      <x:c r="J1713" s="9" t="n">
        <x:f>I1713*'Parameters'!$C$18</x:f>
        <x:v>2.227777777777778</x:v>
      </x:c>
      <x:c r="K1713" s="9" t="n">
        <x:f>J1713*'Parameters'!$C$19</x:f>
        <x:v>2.7847222222222223</x:v>
      </x:c>
      <x:c r="L1713" s="9" t="n">
        <x:f>I1713*(1-0.40)-J1713</x:f>
        <x:v>4.455555555555556</x:v>
      </x:c>
      <x:c r="M1713" s="9" t="n">
        <x:f>'Physical_Arcs'!S33</x:f>
        <x:v>11.13888888888889</x:v>
      </x:c>
      <x:c r="N1713" s="9" t="n">
        <x:f>M1713*'Parameters'!$C$18</x:f>
        <x:v>2.227777777777778</x:v>
      </x:c>
      <x:c r="O1713" s="9" t="n">
        <x:f>N1713*'Parameters'!$C$19</x:f>
        <x:v>2.7847222222222223</x:v>
      </x:c>
      <x:c r="P1713" s="9" t="n">
        <x:f>M1713*(1-0.40)-N1713</x:f>
        <x:v>4.455555555555556</x:v>
      </x:c>
      <x:c r="Q1713" s="9" t="n">
        <x:f>'Physical_Arcs'!T33</x:f>
        <x:v>5.583333333333333</x:v>
      </x:c>
      <x:c r="R1713" s="9" t="n">
        <x:f>Q1713*'Parameters'!$C$18</x:f>
        <x:v>1.1166666666666667</x:v>
      </x:c>
      <x:c r="S1713" s="9" t="n">
        <x:f>R1713*'Parameters'!$C$19</x:f>
        <x:v>1.3958333333333335</x:v>
      </x:c>
      <x:c r="T1713" s="9" t="n">
        <x:f>Q1713*(1-0.40)-R1713</x:f>
        <x:v>2.233333333333333</x:v>
      </x:c>
    </x:row>
    <x:row r="1714" ht="21" customHeight="1">
      <x:c r="A1714" s="3" t="n">
        <x:v>28</x:v>
      </x:c>
      <x:c r="B1714" s="3" t="str">
        <x:v>04:40</x:v>
      </x:c>
      <x:c r="C1714" s="3" t="n">
        <x:v>5</x:v>
      </x:c>
      <x:c r="D1714" s="3" t="n">
        <x:v>33</x:v>
      </x:c>
      <x:c r="E1714" s="3" t="n">
        <x:v>5</x:v>
      </x:c>
      <x:c r="F1714" s="3" t="n">
        <x:v>10</x:v>
      </x:c>
      <x:c r="G1714" s="9" t="n">
        <x:v>0.1</x:v>
      </x:c>
      <x:c r="H1714" s="9" t="n">
        <x:v>1.103596</x:v>
      </x:c>
      <x:c r="I1714" s="9" t="n">
        <x:f>'Physical_Arcs'!R34</x:f>
        <x:v>4.611111111111111</x:v>
      </x:c>
      <x:c r="J1714" s="9" t="n">
        <x:f>I1714*'Parameters'!$C$18</x:f>
        <x:v>0.9222222222222222</x:v>
      </x:c>
      <x:c r="K1714" s="9" t="n">
        <x:f>J1714*'Parameters'!$C$19</x:f>
        <x:v>1.1527777777777777</x:v>
      </x:c>
      <x:c r="L1714" s="9" t="n">
        <x:f>I1714*(1-0.40)-J1714</x:f>
        <x:v>1.844444444444444</x:v>
      </x:c>
      <x:c r="M1714" s="9" t="n">
        <x:f>'Physical_Arcs'!S34</x:f>
        <x:v>4.611111111111111</x:v>
      </x:c>
      <x:c r="N1714" s="9" t="n">
        <x:f>M1714*'Parameters'!$C$18</x:f>
        <x:v>0.9222222222222222</x:v>
      </x:c>
      <x:c r="O1714" s="9" t="n">
        <x:f>N1714*'Parameters'!$C$19</x:f>
        <x:v>1.1527777777777777</x:v>
      </x:c>
      <x:c r="P1714" s="9" t="n">
        <x:f>M1714*(1-0.40)-N1714</x:f>
        <x:v>1.844444444444444</x:v>
      </x:c>
      <x:c r="Q1714" s="9" t="n">
        <x:f>'Physical_Arcs'!T34</x:f>
        <x:v>2.3055555555555554</x:v>
      </x:c>
      <x:c r="R1714" s="9" t="n">
        <x:f>Q1714*'Parameters'!$C$18</x:f>
        <x:v>0.4611111111111111</x:v>
      </x:c>
      <x:c r="S1714" s="9" t="n">
        <x:f>R1714*'Parameters'!$C$19</x:f>
        <x:v>0.5763888888888888</x:v>
      </x:c>
      <x:c r="T1714" s="9" t="n">
        <x:f>Q1714*(1-0.40)-R1714</x:f>
        <x:v>0.922222222222222</x:v>
      </x:c>
    </x:row>
    <x:row r="1715" ht="21" customHeight="1">
      <x:c r="A1715" s="3" t="n">
        <x:v>28</x:v>
      </x:c>
      <x:c r="B1715" s="3" t="str">
        <x:v>04:40</x:v>
      </x:c>
      <x:c r="C1715" s="3" t="n">
        <x:v>5</x:v>
      </x:c>
      <x:c r="D1715" s="3" t="n">
        <x:v>34</x:v>
      </x:c>
      <x:c r="E1715" s="3" t="n">
        <x:v>6</x:v>
      </x:c>
      <x:c r="F1715" s="3" t="n">
        <x:v>7</x:v>
      </x:c>
      <x:c r="G1715" s="9" t="n">
        <x:v>0.1</x:v>
      </x:c>
      <x:c r="H1715" s="9" t="n">
        <x:v>0.973887</x:v>
      </x:c>
      <x:c r="I1715" s="9" t="n">
        <x:f>'Physical_Arcs'!R35</x:f>
        <x:v>17.02777777777778</x:v>
      </x:c>
      <x:c r="J1715" s="9" t="n">
        <x:f>I1715*'Parameters'!$C$18</x:f>
        <x:v>3.405555555555556</x:v>
      </x:c>
      <x:c r="K1715" s="9" t="n">
        <x:f>J1715*'Parameters'!$C$19</x:f>
        <x:v>4.256944444444445</x:v>
      </x:c>
      <x:c r="L1715" s="9" t="n">
        <x:f>I1715*(1-0.40)-J1715</x:f>
        <x:v>6.811111111111111</x:v>
      </x:c>
      <x:c r="M1715" s="9" t="n">
        <x:f>'Physical_Arcs'!S35</x:f>
        <x:v>17.02777777777778</x:v>
      </x:c>
      <x:c r="N1715" s="9" t="n">
        <x:f>M1715*'Parameters'!$C$18</x:f>
        <x:v>3.405555555555556</x:v>
      </x:c>
      <x:c r="O1715" s="9" t="n">
        <x:f>N1715*'Parameters'!$C$19</x:f>
        <x:v>4.256944444444445</x:v>
      </x:c>
      <x:c r="P1715" s="9" t="n">
        <x:f>M1715*(1-0.40)-N1715</x:f>
        <x:v>6.811111111111111</x:v>
      </x:c>
      <x:c r="Q1715" s="9" t="n">
        <x:f>'Physical_Arcs'!T35</x:f>
        <x:v>17.02777777777778</x:v>
      </x:c>
      <x:c r="R1715" s="9" t="n">
        <x:f>Q1715*'Parameters'!$C$18</x:f>
        <x:v>3.405555555555556</x:v>
      </x:c>
      <x:c r="S1715" s="9" t="n">
        <x:f>R1715*'Parameters'!$C$19</x:f>
        <x:v>4.256944444444445</x:v>
      </x:c>
      <x:c r="T1715" s="9" t="n">
        <x:f>Q1715*(1-0.40)-R1715</x:f>
        <x:v>6.811111111111111</x:v>
      </x:c>
    </x:row>
    <x:row r="1716" ht="21" customHeight="1">
      <x:c r="A1716" s="3" t="n">
        <x:v>28</x:v>
      </x:c>
      <x:c r="B1716" s="3" t="str">
        <x:v>04:40</x:v>
      </x:c>
      <x:c r="C1716" s="3" t="n">
        <x:v>5</x:v>
      </x:c>
      <x:c r="D1716" s="3" t="n">
        <x:v>35</x:v>
      </x:c>
      <x:c r="E1716" s="3" t="n">
        <x:v>6</x:v>
      </x:c>
      <x:c r="F1716" s="3" t="n">
        <x:v>10</x:v>
      </x:c>
      <x:c r="G1716" s="9" t="n">
        <x:v>0.1</x:v>
      </x:c>
      <x:c r="H1716" s="9" t="n">
        <x:v>1.009062</x:v>
      </x:c>
      <x:c r="I1716" s="9" t="n">
        <x:f>'Physical_Arcs'!R36</x:f>
        <x:v>4.055555555555555</x:v>
      </x:c>
      <x:c r="J1716" s="9" t="n">
        <x:f>I1716*'Parameters'!$C$18</x:f>
        <x:v>0.8111111111111111</x:v>
      </x:c>
      <x:c r="K1716" s="9" t="n">
        <x:f>J1716*'Parameters'!$C$19</x:f>
        <x:v>1.0138888888888888</x:v>
      </x:c>
      <x:c r="L1716" s="9" t="n">
        <x:f>I1716*(1-0.40)-J1716</x:f>
        <x:v>1.622222222222222</x:v>
      </x:c>
      <x:c r="M1716" s="9" t="n">
        <x:f>'Physical_Arcs'!S36</x:f>
        <x:v>4.055555555555555</x:v>
      </x:c>
      <x:c r="N1716" s="9" t="n">
        <x:f>M1716*'Parameters'!$C$18</x:f>
        <x:v>0.8111111111111111</x:v>
      </x:c>
      <x:c r="O1716" s="9" t="n">
        <x:f>N1716*'Parameters'!$C$19</x:f>
        <x:v>1.0138888888888888</x:v>
      </x:c>
      <x:c r="P1716" s="9" t="n">
        <x:f>M1716*(1-0.40)-N1716</x:f>
        <x:v>1.622222222222222</x:v>
      </x:c>
      <x:c r="Q1716" s="9" t="n">
        <x:f>'Physical_Arcs'!T36</x:f>
        <x:v>2.0277777777777777</x:v>
      </x:c>
      <x:c r="R1716" s="9" t="n">
        <x:f>Q1716*'Parameters'!$C$18</x:f>
        <x:v>0.40555555555555556</x:v>
      </x:c>
      <x:c r="S1716" s="9" t="n">
        <x:f>R1716*'Parameters'!$C$19</x:f>
        <x:v>0.5069444444444444</x:v>
      </x:c>
      <x:c r="T1716" s="9" t="n">
        <x:f>Q1716*(1-0.40)-R1716</x:f>
        <x:v>0.811111111111111</x:v>
      </x:c>
    </x:row>
    <x:row r="1717" ht="21" customHeight="1">
      <x:c r="A1717" s="3" t="n">
        <x:v>28</x:v>
      </x:c>
      <x:c r="B1717" s="3" t="str">
        <x:v>04:40</x:v>
      </x:c>
      <x:c r="C1717" s="3" t="n">
        <x:v>5</x:v>
      </x:c>
      <x:c r="D1717" s="3" t="n">
        <x:v>36</x:v>
      </x:c>
      <x:c r="E1717" s="3" t="n">
        <x:v>6</x:v>
      </x:c>
      <x:c r="F1717" s="3" t="n">
        <x:v>8</x:v>
      </x:c>
      <x:c r="G1717" s="9" t="n">
        <x:v>0.1</x:v>
      </x:c>
      <x:c r="H1717" s="9" t="n">
        <x:v>1.132129</x:v>
      </x:c>
      <x:c r="I1717" s="9" t="n">
        <x:f>'Physical_Arcs'!R37</x:f>
        <x:v>6.972222222222222</x:v>
      </x:c>
      <x:c r="J1717" s="9" t="n">
        <x:f>I1717*'Parameters'!$C$18</x:f>
        <x:v>1.3944444444444446</x:v>
      </x:c>
      <x:c r="K1717" s="9" t="n">
        <x:f>J1717*'Parameters'!$C$19</x:f>
        <x:v>1.7430555555555558</x:v>
      </x:c>
      <x:c r="L1717" s="9" t="n">
        <x:f>I1717*(1-0.40)-J1717</x:f>
        <x:v>2.7888888888888888</x:v>
      </x:c>
      <x:c r="M1717" s="9" t="n">
        <x:f>'Physical_Arcs'!S37</x:f>
        <x:v>6.972222222222222</x:v>
      </x:c>
      <x:c r="N1717" s="9" t="n">
        <x:f>M1717*'Parameters'!$C$18</x:f>
        <x:v>1.3944444444444446</x:v>
      </x:c>
      <x:c r="O1717" s="9" t="n">
        <x:f>N1717*'Parameters'!$C$19</x:f>
        <x:v>1.7430555555555558</x:v>
      </x:c>
      <x:c r="P1717" s="9" t="n">
        <x:f>M1717*(1-0.40)-N1717</x:f>
        <x:v>2.7888888888888888</x:v>
      </x:c>
      <x:c r="Q1717" s="9" t="n">
        <x:f>'Physical_Arcs'!T37</x:f>
        <x:v>3.5</x:v>
      </x:c>
      <x:c r="R1717" s="9" t="n">
        <x:f>Q1717*'Parameters'!$C$18</x:f>
        <x:v>0.7000000000000001</x:v>
      </x:c>
      <x:c r="S1717" s="9" t="n">
        <x:f>R1717*'Parameters'!$C$19</x:f>
        <x:v>0.8750000000000001</x:v>
      </x:c>
      <x:c r="T1717" s="9" t="n">
        <x:f>Q1717*(1-0.40)-R1717</x:f>
        <x:v>1.4</x:v>
      </x:c>
    </x:row>
    <x:row r="1718" ht="21" customHeight="1">
      <x:c r="A1718" s="3" t="n">
        <x:v>28</x:v>
      </x:c>
      <x:c r="B1718" s="3" t="str">
        <x:v>04:40</x:v>
      </x:c>
      <x:c r="C1718" s="3" t="n">
        <x:v>5</x:v>
      </x:c>
      <x:c r="D1718" s="3" t="n">
        <x:v>37</x:v>
      </x:c>
      <x:c r="E1718" s="3" t="n">
        <x:v>6</x:v>
      </x:c>
      <x:c r="F1718" s="3" t="n">
        <x:v>1</x:v>
      </x:c>
      <x:c r="G1718" s="9" t="n">
        <x:v>0.1</x:v>
      </x:c>
      <x:c r="H1718" s="9" t="n">
        <x:v>1.020746</x:v>
      </x:c>
      <x:c r="I1718" s="9" t="n">
        <x:f>'Physical_Arcs'!R38</x:f>
        <x:v>6.305555555555555</x:v>
      </x:c>
      <x:c r="J1718" s="9" t="n">
        <x:f>I1718*'Parameters'!$C$18</x:f>
        <x:v>1.261111111111111</x:v>
      </x:c>
      <x:c r="K1718" s="9" t="n">
        <x:f>J1718*'Parameters'!$C$19</x:f>
        <x:v>1.5763888888888888</x:v>
      </x:c>
      <x:c r="L1718" s="9" t="n">
        <x:f>I1718*(1-0.40)-J1718</x:f>
        <x:v>2.522222222222222</x:v>
      </x:c>
      <x:c r="M1718" s="9" t="n">
        <x:f>'Physical_Arcs'!S38</x:f>
        <x:v>6.305555555555555</x:v>
      </x:c>
      <x:c r="N1718" s="9" t="n">
        <x:f>M1718*'Parameters'!$C$18</x:f>
        <x:v>1.261111111111111</x:v>
      </x:c>
      <x:c r="O1718" s="9" t="n">
        <x:f>N1718*'Parameters'!$C$19</x:f>
        <x:v>1.5763888888888888</x:v>
      </x:c>
      <x:c r="P1718" s="9" t="n">
        <x:f>M1718*(1-0.40)-N1718</x:f>
        <x:v>2.522222222222222</x:v>
      </x:c>
      <x:c r="Q1718" s="9" t="n">
        <x:f>'Physical_Arcs'!T38</x:f>
        <x:v>3.1666666666666665</x:v>
      </x:c>
      <x:c r="R1718" s="9" t="n">
        <x:f>Q1718*'Parameters'!$C$18</x:f>
        <x:v>0.6333333333333333</x:v>
      </x:c>
      <x:c r="S1718" s="9" t="n">
        <x:f>R1718*'Parameters'!$C$19</x:f>
        <x:v>0.7916666666666666</x:v>
      </x:c>
      <x:c r="T1718" s="9" t="n">
        <x:f>Q1718*(1-0.40)-R1718</x:f>
        <x:v>1.2666666666666666</x:v>
      </x:c>
    </x:row>
    <x:row r="1719" ht="21" customHeight="1">
      <x:c r="A1719" s="3" t="n">
        <x:v>28</x:v>
      </x:c>
      <x:c r="B1719" s="3" t="str">
        <x:v>04:40</x:v>
      </x:c>
      <x:c r="C1719" s="3" t="n">
        <x:v>5</x:v>
      </x:c>
      <x:c r="D1719" s="3" t="n">
        <x:v>38</x:v>
      </x:c>
      <x:c r="E1719" s="3" t="n">
        <x:v>6</x:v>
      </x:c>
      <x:c r="F1719" s="3" t="n">
        <x:v>3</x:v>
      </x:c>
      <x:c r="G1719" s="9" t="n">
        <x:v>0.1</x:v>
      </x:c>
      <x:c r="H1719" s="9" t="n">
        <x:v>1.149081</x:v>
      </x:c>
      <x:c r="I1719" s="9" t="n">
        <x:f>'Physical_Arcs'!R39</x:f>
        <x:v>1.9166666666666667</x:v>
      </x:c>
      <x:c r="J1719" s="9" t="n">
        <x:f>I1719*'Parameters'!$C$18</x:f>
        <x:v>0.38333333333333336</x:v>
      </x:c>
      <x:c r="K1719" s="9" t="n">
        <x:f>J1719*'Parameters'!$C$19</x:f>
        <x:v>0.4791666666666667</x:v>
      </x:c>
      <x:c r="L1719" s="9" t="n">
        <x:f>I1719*(1-0.40)-J1719</x:f>
        <x:v>0.7666666666666666</x:v>
      </x:c>
      <x:c r="M1719" s="9" t="n">
        <x:f>'Physical_Arcs'!S39</x:f>
        <x:v>1.9166666666666667</x:v>
      </x:c>
      <x:c r="N1719" s="9" t="n">
        <x:f>M1719*'Parameters'!$C$18</x:f>
        <x:v>0.38333333333333336</x:v>
      </x:c>
      <x:c r="O1719" s="9" t="n">
        <x:f>N1719*'Parameters'!$C$19</x:f>
        <x:v>0.4791666666666667</x:v>
      </x:c>
      <x:c r="P1719" s="9" t="n">
        <x:f>M1719*(1-0.40)-N1719</x:f>
        <x:v>0.7666666666666666</x:v>
      </x:c>
      <x:c r="Q1719" s="9" t="n">
        <x:f>'Physical_Arcs'!T39</x:f>
        <x:v>0.9722222222222222</x:v>
      </x:c>
      <x:c r="R1719" s="9" t="n">
        <x:f>Q1719*'Parameters'!$C$18</x:f>
        <x:v>0.19444444444444445</x:v>
      </x:c>
      <x:c r="S1719" s="9" t="n">
        <x:f>R1719*'Parameters'!$C$19</x:f>
        <x:v>0.24305555555555555</x:v>
      </x:c>
      <x:c r="T1719" s="9" t="n">
        <x:f>Q1719*(1-0.40)-R1719</x:f>
        <x:v>0.38888888888888884</x:v>
      </x:c>
    </x:row>
    <x:row r="1720" ht="21" customHeight="1">
      <x:c r="A1720" s="3" t="n">
        <x:v>28</x:v>
      </x:c>
      <x:c r="B1720" s="3" t="str">
        <x:v>04:40</x:v>
      </x:c>
      <x:c r="C1720" s="3" t="n">
        <x:v>5</x:v>
      </x:c>
      <x:c r="D1720" s="3" t="n">
        <x:v>39</x:v>
      </x:c>
      <x:c r="E1720" s="3" t="n">
        <x:v>7</x:v>
      </x:c>
      <x:c r="F1720" s="3" t="n">
        <x:v>8</x:v>
      </x:c>
      <x:c r="G1720" s="9" t="n">
        <x:v>0.1</x:v>
      </x:c>
      <x:c r="H1720" s="9" t="n">
        <x:v>1.003268</x:v>
      </x:c>
      <x:c r="I1720" s="9" t="n">
        <x:f>'Physical_Arcs'!R40</x:f>
        <x:v>17.02777777777778</x:v>
      </x:c>
      <x:c r="J1720" s="9" t="n">
        <x:f>I1720*'Parameters'!$C$18</x:f>
        <x:v>3.405555555555556</x:v>
      </x:c>
      <x:c r="K1720" s="9" t="n">
        <x:f>J1720*'Parameters'!$C$19</x:f>
        <x:v>4.256944444444445</x:v>
      </x:c>
      <x:c r="L1720" s="9" t="n">
        <x:f>I1720*(1-0.40)-J1720</x:f>
        <x:v>6.811111111111111</x:v>
      </x:c>
      <x:c r="M1720" s="9" t="n">
        <x:f>'Physical_Arcs'!S40</x:f>
        <x:v>17.02777777777778</x:v>
      </x:c>
      <x:c r="N1720" s="9" t="n">
        <x:f>M1720*'Parameters'!$C$18</x:f>
        <x:v>3.405555555555556</x:v>
      </x:c>
      <x:c r="O1720" s="9" t="n">
        <x:f>N1720*'Parameters'!$C$19</x:f>
        <x:v>4.256944444444445</x:v>
      </x:c>
      <x:c r="P1720" s="9" t="n">
        <x:f>M1720*(1-0.40)-N1720</x:f>
        <x:v>6.811111111111111</x:v>
      </x:c>
      <x:c r="Q1720" s="9" t="n">
        <x:f>'Physical_Arcs'!T40</x:f>
        <x:v>17.02777777777778</x:v>
      </x:c>
      <x:c r="R1720" s="9" t="n">
        <x:f>Q1720*'Parameters'!$C$18</x:f>
        <x:v>3.405555555555556</x:v>
      </x:c>
      <x:c r="S1720" s="9" t="n">
        <x:f>R1720*'Parameters'!$C$19</x:f>
        <x:v>4.256944444444445</x:v>
      </x:c>
      <x:c r="T1720" s="9" t="n">
        <x:f>Q1720*(1-0.40)-R1720</x:f>
        <x:v>6.811111111111111</x:v>
      </x:c>
    </x:row>
    <x:row r="1721" ht="21" customHeight="1">
      <x:c r="A1721" s="3" t="n">
        <x:v>28</x:v>
      </x:c>
      <x:c r="B1721" s="3" t="str">
        <x:v>04:40</x:v>
      </x:c>
      <x:c r="C1721" s="3" t="n">
        <x:v>5</x:v>
      </x:c>
      <x:c r="D1721" s="3" t="n">
        <x:v>40</x:v>
      </x:c>
      <x:c r="E1721" s="3" t="n">
        <x:v>7</x:v>
      </x:c>
      <x:c r="F1721" s="3" t="n">
        <x:v>1</x:v>
      </x:c>
      <x:c r="G1721" s="9" t="n">
        <x:v>0.1</x:v>
      </x:c>
      <x:c r="H1721" s="9" t="n">
        <x:v>1.057592</x:v>
      </x:c>
      <x:c r="I1721" s="9" t="n">
        <x:f>'Physical_Arcs'!R41</x:f>
        <x:v>7.972222222222222</x:v>
      </x:c>
      <x:c r="J1721" s="9" t="n">
        <x:f>I1721*'Parameters'!$C$18</x:f>
        <x:v>1.5944444444444446</x:v>
      </x:c>
      <x:c r="K1721" s="9" t="n">
        <x:f>J1721*'Parameters'!$C$19</x:f>
        <x:v>1.9930555555555558</x:v>
      </x:c>
      <x:c r="L1721" s="9" t="n">
        <x:f>I1721*(1-0.40)-J1721</x:f>
        <x:v>3.1888888888888887</x:v>
      </x:c>
      <x:c r="M1721" s="9" t="n">
        <x:f>'Physical_Arcs'!S41</x:f>
        <x:v>7.972222222222222</x:v>
      </x:c>
      <x:c r="N1721" s="9" t="n">
        <x:f>M1721*'Parameters'!$C$18</x:f>
        <x:v>1.5944444444444446</x:v>
      </x:c>
      <x:c r="O1721" s="9" t="n">
        <x:f>N1721*'Parameters'!$C$19</x:f>
        <x:v>1.9930555555555558</x:v>
      </x:c>
      <x:c r="P1721" s="9" t="n">
        <x:f>M1721*(1-0.40)-N1721</x:f>
        <x:v>3.1888888888888887</x:v>
      </x:c>
      <x:c r="Q1721" s="9" t="n">
        <x:f>'Physical_Arcs'!T41</x:f>
        <x:v>4</x:v>
      </x:c>
      <x:c r="R1721" s="9" t="n">
        <x:f>Q1721*'Parameters'!$C$18</x:f>
        <x:v>0.8</x:v>
      </x:c>
      <x:c r="S1721" s="9" t="n">
        <x:f>R1721*'Parameters'!$C$19</x:f>
        <x:v>1</x:v>
      </x:c>
      <x:c r="T1721" s="9" t="n">
        <x:f>Q1721*(1-0.40)-R1721</x:f>
        <x:v>1.5999999999999999</x:v>
      </x:c>
    </x:row>
    <x:row r="1722" ht="21" customHeight="1">
      <x:c r="A1722" s="3" t="n">
        <x:v>28</x:v>
      </x:c>
      <x:c r="B1722" s="3" t="str">
        <x:v>04:40</x:v>
      </x:c>
      <x:c r="C1722" s="3" t="n">
        <x:v>5</x:v>
      </x:c>
      <x:c r="D1722" s="3" t="n">
        <x:v>41</x:v>
      </x:c>
      <x:c r="E1722" s="3" t="n">
        <x:v>7</x:v>
      </x:c>
      <x:c r="F1722" s="3" t="n">
        <x:v>9</x:v>
      </x:c>
      <x:c r="G1722" s="9" t="n">
        <x:v>0.1</x:v>
      </x:c>
      <x:c r="H1722" s="9" t="n">
        <x:v>1.14801</x:v>
      </x:c>
      <x:c r="I1722" s="9" t="n">
        <x:f>'Physical_Arcs'!R42</x:f>
        <x:v>8.88888888888889</x:v>
      </x:c>
      <x:c r="J1722" s="9" t="n">
        <x:f>I1722*'Parameters'!$C$18</x:f>
        <x:v>1.777777777777778</x:v>
      </x:c>
      <x:c r="K1722" s="9" t="n">
        <x:f>J1722*'Parameters'!$C$19</x:f>
        <x:v>2.2222222222222223</x:v>
      </x:c>
      <x:c r="L1722" s="9" t="n">
        <x:f>I1722*(1-0.40)-J1722</x:f>
        <x:v>3.5555555555555554</x:v>
      </x:c>
      <x:c r="M1722" s="9" t="n">
        <x:f>'Physical_Arcs'!S42</x:f>
        <x:v>8.88888888888889</x:v>
      </x:c>
      <x:c r="N1722" s="9" t="n">
        <x:f>M1722*'Parameters'!$C$18</x:f>
        <x:v>1.777777777777778</x:v>
      </x:c>
      <x:c r="O1722" s="9" t="n">
        <x:f>N1722*'Parameters'!$C$19</x:f>
        <x:v>2.2222222222222223</x:v>
      </x:c>
      <x:c r="P1722" s="9" t="n">
        <x:f>M1722*(1-0.40)-N1722</x:f>
        <x:v>3.5555555555555554</x:v>
      </x:c>
      <x:c r="Q1722" s="9" t="n">
        <x:f>'Physical_Arcs'!T42</x:f>
        <x:v>4.444444444444445</x:v>
      </x:c>
      <x:c r="R1722" s="9" t="n">
        <x:f>Q1722*'Parameters'!$C$18</x:f>
        <x:v>0.888888888888889</x:v>
      </x:c>
      <x:c r="S1722" s="9" t="n">
        <x:f>R1722*'Parameters'!$C$19</x:f>
        <x:v>1.1111111111111112</x:v>
      </x:c>
      <x:c r="T1722" s="9" t="n">
        <x:f>Q1722*(1-0.40)-R1722</x:f>
        <x:v>1.7777777777777777</x:v>
      </x:c>
    </x:row>
    <x:row r="1723" ht="21" customHeight="1">
      <x:c r="A1723" s="3" t="n">
        <x:v>28</x:v>
      </x:c>
      <x:c r="B1723" s="3" t="str">
        <x:v>04:40</x:v>
      </x:c>
      <x:c r="C1723" s="3" t="n">
        <x:v>5</x:v>
      </x:c>
      <x:c r="D1723" s="3" t="n">
        <x:v>42</x:v>
      </x:c>
      <x:c r="E1723" s="3" t="n">
        <x:v>7</x:v>
      </x:c>
      <x:c r="F1723" s="3" t="n">
        <x:v>2</x:v>
      </x:c>
      <x:c r="G1723" s="9" t="n">
        <x:v>0.1</x:v>
      </x:c>
      <x:c r="H1723" s="9" t="n">
        <x:v>0.989237</x:v>
      </x:c>
      <x:c r="I1723" s="9" t="n">
        <x:f>'Physical_Arcs'!R43</x:f>
        <x:v>9</x:v>
      </x:c>
      <x:c r="J1723" s="9" t="n">
        <x:f>I1723*'Parameters'!$C$18</x:f>
        <x:v>1.8</x:v>
      </x:c>
      <x:c r="K1723" s="9" t="n">
        <x:f>J1723*'Parameters'!$C$19</x:f>
        <x:v>2.25</x:v>
      </x:c>
      <x:c r="L1723" s="9" t="n">
        <x:f>I1723*(1-0.40)-J1723</x:f>
        <x:v>3.5999999999999996</x:v>
      </x:c>
      <x:c r="M1723" s="9" t="n">
        <x:f>'Physical_Arcs'!S43</x:f>
        <x:v>9</x:v>
      </x:c>
      <x:c r="N1723" s="9" t="n">
        <x:f>M1723*'Parameters'!$C$18</x:f>
        <x:v>1.8</x:v>
      </x:c>
      <x:c r="O1723" s="9" t="n">
        <x:f>N1723*'Parameters'!$C$19</x:f>
        <x:v>2.25</x:v>
      </x:c>
      <x:c r="P1723" s="9" t="n">
        <x:f>M1723*(1-0.40)-N1723</x:f>
        <x:v>3.5999999999999996</x:v>
      </x:c>
      <x:c r="Q1723" s="9" t="n">
        <x:f>'Physical_Arcs'!T43</x:f>
        <x:v>4.5</x:v>
      </x:c>
      <x:c r="R1723" s="9" t="n">
        <x:f>Q1723*'Parameters'!$C$18</x:f>
        <x:v>0.9</x:v>
      </x:c>
      <x:c r="S1723" s="9" t="n">
        <x:f>R1723*'Parameters'!$C$19</x:f>
        <x:v>1.125</x:v>
      </x:c>
      <x:c r="T1723" s="9" t="n">
        <x:f>Q1723*(1-0.40)-R1723</x:f>
        <x:v>1.7999999999999998</x:v>
      </x:c>
    </x:row>
    <x:row r="1724" ht="21" customHeight="1">
      <x:c r="A1724" s="3" t="n">
        <x:v>28</x:v>
      </x:c>
      <x:c r="B1724" s="3" t="str">
        <x:v>04:40</x:v>
      </x:c>
      <x:c r="C1724" s="3" t="n">
        <x:v>5</x:v>
      </x:c>
      <x:c r="D1724" s="3" t="n">
        <x:v>43</x:v>
      </x:c>
      <x:c r="E1724" s="3" t="n">
        <x:v>7</x:v>
      </x:c>
      <x:c r="F1724" s="3" t="n">
        <x:v>3</x:v>
      </x:c>
      <x:c r="G1724" s="9" t="n">
        <x:v>0.1</x:v>
      </x:c>
      <x:c r="H1724" s="9" t="n">
        <x:v>1.050432</x:v>
      </x:c>
      <x:c r="I1724" s="9" t="n">
        <x:f>'Physical_Arcs'!R44</x:f>
        <x:v>7.638888888888889</x:v>
      </x:c>
      <x:c r="J1724" s="9" t="n">
        <x:f>I1724*'Parameters'!$C$18</x:f>
        <x:v>1.527777777777778</x:v>
      </x:c>
      <x:c r="K1724" s="9" t="n">
        <x:f>J1724*'Parameters'!$C$19</x:f>
        <x:v>1.9097222222222223</x:v>
      </x:c>
      <x:c r="L1724" s="9" t="n">
        <x:f>I1724*(1-0.40)-J1724</x:f>
        <x:v>3.0555555555555554</x:v>
      </x:c>
      <x:c r="M1724" s="9" t="n">
        <x:f>'Physical_Arcs'!S44</x:f>
        <x:v>7.638888888888889</x:v>
      </x:c>
      <x:c r="N1724" s="9" t="n">
        <x:f>M1724*'Parameters'!$C$18</x:f>
        <x:v>1.527777777777778</x:v>
      </x:c>
      <x:c r="O1724" s="9" t="n">
        <x:f>N1724*'Parameters'!$C$19</x:f>
        <x:v>1.9097222222222223</x:v>
      </x:c>
      <x:c r="P1724" s="9" t="n">
        <x:f>M1724*(1-0.40)-N1724</x:f>
        <x:v>3.0555555555555554</x:v>
      </x:c>
      <x:c r="Q1724" s="9" t="n">
        <x:f>'Physical_Arcs'!T44</x:f>
        <x:v>3.8333333333333335</x:v>
      </x:c>
      <x:c r="R1724" s="9" t="n">
        <x:f>Q1724*'Parameters'!$C$18</x:f>
        <x:v>0.7666666666666667</x:v>
      </x:c>
      <x:c r="S1724" s="9" t="n">
        <x:f>R1724*'Parameters'!$C$19</x:f>
        <x:v>0.9583333333333334</x:v>
      </x:c>
      <x:c r="T1724" s="9" t="n">
        <x:f>Q1724*(1-0.40)-R1724</x:f>
        <x:v>1.5333333333333332</x:v>
      </x:c>
    </x:row>
    <x:row r="1725" ht="21" customHeight="1">
      <x:c r="A1725" s="3" t="n">
        <x:v>28</x:v>
      </x:c>
      <x:c r="B1725" s="3" t="str">
        <x:v>04:40</x:v>
      </x:c>
      <x:c r="C1725" s="3" t="n">
        <x:v>5</x:v>
      </x:c>
      <x:c r="D1725" s="3" t="n">
        <x:v>44</x:v>
      </x:c>
      <x:c r="E1725" s="3" t="n">
        <x:v>8</x:v>
      </x:c>
      <x:c r="F1725" s="3" t="n">
        <x:v>9</x:v>
      </x:c>
      <x:c r="G1725" s="9" t="n">
        <x:v>0.1</x:v>
      </x:c>
      <x:c r="H1725" s="9" t="n">
        <x:v>0.868101</x:v>
      </x:c>
      <x:c r="I1725" s="9" t="n">
        <x:f>'Physical_Arcs'!R45</x:f>
        <x:v>17.02777777777778</x:v>
      </x:c>
      <x:c r="J1725" s="9" t="n">
        <x:f>I1725*'Parameters'!$C$18</x:f>
        <x:v>3.405555555555556</x:v>
      </x:c>
      <x:c r="K1725" s="9" t="n">
        <x:f>J1725*'Parameters'!$C$19</x:f>
        <x:v>4.256944444444445</x:v>
      </x:c>
      <x:c r="L1725" s="9" t="n">
        <x:f>I1725*(1-0.40)-J1725</x:f>
        <x:v>6.811111111111111</x:v>
      </x:c>
      <x:c r="M1725" s="9" t="n">
        <x:f>'Physical_Arcs'!S45</x:f>
        <x:v>17.02777777777778</x:v>
      </x:c>
      <x:c r="N1725" s="9" t="n">
        <x:f>M1725*'Parameters'!$C$18</x:f>
        <x:v>3.405555555555556</x:v>
      </x:c>
      <x:c r="O1725" s="9" t="n">
        <x:f>N1725*'Parameters'!$C$19</x:f>
        <x:v>4.256944444444445</x:v>
      </x:c>
      <x:c r="P1725" s="9" t="n">
        <x:f>M1725*(1-0.40)-N1725</x:f>
        <x:v>6.811111111111111</x:v>
      </x:c>
      <x:c r="Q1725" s="9" t="n">
        <x:f>'Physical_Arcs'!T45</x:f>
        <x:v>17.02777777777778</x:v>
      </x:c>
      <x:c r="R1725" s="9" t="n">
        <x:f>Q1725*'Parameters'!$C$18</x:f>
        <x:v>3.405555555555556</x:v>
      </x:c>
      <x:c r="S1725" s="9" t="n">
        <x:f>R1725*'Parameters'!$C$19</x:f>
        <x:v>4.256944444444445</x:v>
      </x:c>
      <x:c r="T1725" s="9" t="n">
        <x:f>Q1725*(1-0.40)-R1725</x:f>
        <x:v>6.811111111111111</x:v>
      </x:c>
    </x:row>
    <x:row r="1726" ht="21" customHeight="1">
      <x:c r="A1726" s="3" t="n">
        <x:v>28</x:v>
      </x:c>
      <x:c r="B1726" s="3" t="str">
        <x:v>04:40</x:v>
      </x:c>
      <x:c r="C1726" s="3" t="n">
        <x:v>5</x:v>
      </x:c>
      <x:c r="D1726" s="3" t="n">
        <x:v>45</x:v>
      </x:c>
      <x:c r="E1726" s="3" t="n">
        <x:v>8</x:v>
      </x:c>
      <x:c r="F1726" s="3" t="n">
        <x:v>3</x:v>
      </x:c>
      <x:c r="G1726" s="9" t="n">
        <x:v>0.1</x:v>
      </x:c>
      <x:c r="H1726" s="9" t="n">
        <x:v>0.944958</x:v>
      </x:c>
      <x:c r="I1726" s="9" t="n">
        <x:f>'Physical_Arcs'!R46</x:f>
        <x:v>5.388888888888889</x:v>
      </x:c>
      <x:c r="J1726" s="9" t="n">
        <x:f>I1726*'Parameters'!$C$18</x:f>
        <x:v>1.077777777777778</x:v>
      </x:c>
      <x:c r="K1726" s="9" t="n">
        <x:f>J1726*'Parameters'!$C$19</x:f>
        <x:v>1.3472222222222223</x:v>
      </x:c>
      <x:c r="L1726" s="9" t="n">
        <x:f>I1726*(1-0.40)-J1726</x:f>
        <x:v>2.1555555555555554</x:v>
      </x:c>
      <x:c r="M1726" s="9" t="n">
        <x:f>'Physical_Arcs'!S46</x:f>
        <x:v>5.388888888888889</x:v>
      </x:c>
      <x:c r="N1726" s="9" t="n">
        <x:f>M1726*'Parameters'!$C$18</x:f>
        <x:v>1.077777777777778</x:v>
      </x:c>
      <x:c r="O1726" s="9" t="n">
        <x:f>N1726*'Parameters'!$C$19</x:f>
        <x:v>1.3472222222222223</x:v>
      </x:c>
      <x:c r="P1726" s="9" t="n">
        <x:f>M1726*(1-0.40)-N1726</x:f>
        <x:v>2.1555555555555554</x:v>
      </x:c>
      <x:c r="Q1726" s="9" t="n">
        <x:f>'Physical_Arcs'!T46</x:f>
        <x:v>2.6944444444444446</x:v>
      </x:c>
      <x:c r="R1726" s="9" t="n">
        <x:f>Q1726*'Parameters'!$C$18</x:f>
        <x:v>0.538888888888889</x:v>
      </x:c>
      <x:c r="S1726" s="9" t="n">
        <x:f>R1726*'Parameters'!$C$19</x:f>
        <x:v>0.6736111111111112</x:v>
      </x:c>
      <x:c r="T1726" s="9" t="n">
        <x:f>Q1726*(1-0.40)-R1726</x:f>
        <x:v>1.0777777777777777</x:v>
      </x:c>
    </x:row>
    <x:row r="1727" ht="21" customHeight="1">
      <x:c r="A1727" s="3" t="n">
        <x:v>28</x:v>
      </x:c>
      <x:c r="B1727" s="3" t="str">
        <x:v>04:40</x:v>
      </x:c>
      <x:c r="C1727" s="3" t="n">
        <x:v>5</x:v>
      </x:c>
      <x:c r="D1727" s="3" t="n">
        <x:v>46</x:v>
      </x:c>
      <x:c r="E1727" s="3" t="n">
        <x:v>8</x:v>
      </x:c>
      <x:c r="F1727" s="3" t="n">
        <x:v>7</x:v>
      </x:c>
      <x:c r="G1727" s="9" t="n">
        <x:v>0.1</x:v>
      </x:c>
      <x:c r="H1727" s="9" t="n">
        <x:v>0.866232</x:v>
      </x:c>
      <x:c r="I1727" s="9" t="n">
        <x:f>'Physical_Arcs'!R47</x:f>
        <x:v>5.388888888888889</x:v>
      </x:c>
      <x:c r="J1727" s="9" t="n">
        <x:f>I1727*'Parameters'!$C$18</x:f>
        <x:v>1.077777777777778</x:v>
      </x:c>
      <x:c r="K1727" s="9" t="n">
        <x:f>J1727*'Parameters'!$C$19</x:f>
        <x:v>1.3472222222222223</x:v>
      </x:c>
      <x:c r="L1727" s="9" t="n">
        <x:f>I1727*(1-0.40)-J1727</x:f>
        <x:v>2.1555555555555554</x:v>
      </x:c>
      <x:c r="M1727" s="9" t="n">
        <x:f>'Physical_Arcs'!S47</x:f>
        <x:v>5.388888888888889</x:v>
      </x:c>
      <x:c r="N1727" s="9" t="n">
        <x:f>M1727*'Parameters'!$C$18</x:f>
        <x:v>1.077777777777778</x:v>
      </x:c>
      <x:c r="O1727" s="9" t="n">
        <x:f>N1727*'Parameters'!$C$19</x:f>
        <x:v>1.3472222222222223</x:v>
      </x:c>
      <x:c r="P1727" s="9" t="n">
        <x:f>M1727*(1-0.40)-N1727</x:f>
        <x:v>2.1555555555555554</x:v>
      </x:c>
      <x:c r="Q1727" s="9" t="n">
        <x:f>'Physical_Arcs'!T47</x:f>
        <x:v>2.6944444444444446</x:v>
      </x:c>
      <x:c r="R1727" s="9" t="n">
        <x:f>Q1727*'Parameters'!$C$18</x:f>
        <x:v>0.538888888888889</x:v>
      </x:c>
      <x:c r="S1727" s="9" t="n">
        <x:f>R1727*'Parameters'!$C$19</x:f>
        <x:v>0.6736111111111112</x:v>
      </x:c>
      <x:c r="T1727" s="9" t="n">
        <x:f>Q1727*(1-0.40)-R1727</x:f>
        <x:v>1.0777777777777777</x:v>
      </x:c>
    </x:row>
    <x:row r="1728" ht="21" customHeight="1">
      <x:c r="A1728" s="3" t="n">
        <x:v>28</x:v>
      </x:c>
      <x:c r="B1728" s="3" t="str">
        <x:v>04:40</x:v>
      </x:c>
      <x:c r="C1728" s="3" t="n">
        <x:v>5</x:v>
      </x:c>
      <x:c r="D1728" s="3" t="n">
        <x:v>47</x:v>
      </x:c>
      <x:c r="E1728" s="3" t="n">
        <x:v>8</x:v>
      </x:c>
      <x:c r="F1728" s="3" t="n">
        <x:v>2</x:v>
      </x:c>
      <x:c r="G1728" s="9" t="n">
        <x:v>0.1</x:v>
      </x:c>
      <x:c r="H1728" s="9" t="n">
        <x:v>1.135644</x:v>
      </x:c>
      <x:c r="I1728" s="9" t="n">
        <x:f>'Physical_Arcs'!R48</x:f>
        <x:v>8.083333333333334</x:v>
      </x:c>
      <x:c r="J1728" s="9" t="n">
        <x:f>I1728*'Parameters'!$C$18</x:f>
        <x:v>1.616666666666667</x:v>
      </x:c>
      <x:c r="K1728" s="9" t="n">
        <x:f>J1728*'Parameters'!$C$19</x:f>
        <x:v>2.0208333333333335</x:v>
      </x:c>
      <x:c r="L1728" s="9" t="n">
        <x:f>I1728*(1-0.40)-J1728</x:f>
        <x:v>3.2333333333333334</x:v>
      </x:c>
      <x:c r="M1728" s="9" t="n">
        <x:f>'Physical_Arcs'!S48</x:f>
        <x:v>8.083333333333334</x:v>
      </x:c>
      <x:c r="N1728" s="9" t="n">
        <x:f>M1728*'Parameters'!$C$18</x:f>
        <x:v>1.616666666666667</x:v>
      </x:c>
      <x:c r="O1728" s="9" t="n">
        <x:f>N1728*'Parameters'!$C$19</x:f>
        <x:v>2.0208333333333335</x:v>
      </x:c>
      <x:c r="P1728" s="9" t="n">
        <x:f>M1728*(1-0.40)-N1728</x:f>
        <x:v>3.2333333333333334</x:v>
      </x:c>
      <x:c r="Q1728" s="9" t="n">
        <x:f>'Physical_Arcs'!T48</x:f>
        <x:v>4.055555555555555</x:v>
      </x:c>
      <x:c r="R1728" s="9" t="n">
        <x:f>Q1728*'Parameters'!$C$18</x:f>
        <x:v>0.8111111111111111</x:v>
      </x:c>
      <x:c r="S1728" s="9" t="n">
        <x:f>R1728*'Parameters'!$C$19</x:f>
        <x:v>1.0138888888888888</x:v>
      </x:c>
      <x:c r="T1728" s="9" t="n">
        <x:f>Q1728*(1-0.40)-R1728</x:f>
        <x:v>1.622222222222222</x:v>
      </x:c>
    </x:row>
    <x:row r="1729" ht="21" customHeight="1">
      <x:c r="A1729" s="3" t="n">
        <x:v>28</x:v>
      </x:c>
      <x:c r="B1729" s="3" t="str">
        <x:v>04:40</x:v>
      </x:c>
      <x:c r="C1729" s="3" t="n">
        <x:v>5</x:v>
      </x:c>
      <x:c r="D1729" s="3" t="n">
        <x:v>48</x:v>
      </x:c>
      <x:c r="E1729" s="3" t="n">
        <x:v>8</x:v>
      </x:c>
      <x:c r="F1729" s="3" t="n">
        <x:v>6</x:v>
      </x:c>
      <x:c r="G1729" s="9" t="n">
        <x:v>0.1</x:v>
      </x:c>
      <x:c r="H1729" s="9" t="n">
        <x:v>0.850778</x:v>
      </x:c>
      <x:c r="I1729" s="9" t="n">
        <x:f>'Physical_Arcs'!R49</x:f>
        <x:v>10.555555555555555</x:v>
      </x:c>
      <x:c r="J1729" s="9" t="n">
        <x:f>I1729*'Parameters'!$C$18</x:f>
        <x:v>2.111111111111111</x:v>
      </x:c>
      <x:c r="K1729" s="9" t="n">
        <x:f>J1729*'Parameters'!$C$19</x:f>
        <x:v>2.638888888888889</x:v>
      </x:c>
      <x:c r="L1729" s="9" t="n">
        <x:f>I1729*(1-0.40)-J1729</x:f>
        <x:v>4.222222222222221</x:v>
      </x:c>
      <x:c r="M1729" s="9" t="n">
        <x:f>'Physical_Arcs'!S49</x:f>
        <x:v>10.555555555555555</x:v>
      </x:c>
      <x:c r="N1729" s="9" t="n">
        <x:f>M1729*'Parameters'!$C$18</x:f>
        <x:v>2.111111111111111</x:v>
      </x:c>
      <x:c r="O1729" s="9" t="n">
        <x:f>N1729*'Parameters'!$C$19</x:f>
        <x:v>2.638888888888889</x:v>
      </x:c>
      <x:c r="P1729" s="9" t="n">
        <x:f>M1729*(1-0.40)-N1729</x:f>
        <x:v>4.222222222222221</x:v>
      </x:c>
      <x:c r="Q1729" s="9" t="n">
        <x:f>'Physical_Arcs'!T49</x:f>
        <x:v>5.277777777777778</x:v>
      </x:c>
      <x:c r="R1729" s="9" t="n">
        <x:f>Q1729*'Parameters'!$C$18</x:f>
        <x:v>1.0555555555555556</x:v>
      </x:c>
      <x:c r="S1729" s="9" t="n">
        <x:f>R1729*'Parameters'!$C$19</x:f>
        <x:v>1.3194444444444444</x:v>
      </x:c>
      <x:c r="T1729" s="9" t="n">
        <x:f>Q1729*(1-0.40)-R1729</x:f>
        <x:v>2.1111111111111107</x:v>
      </x:c>
    </x:row>
    <x:row r="1730" ht="21" customHeight="1">
      <x:c r="A1730" s="3" t="n">
        <x:v>28</x:v>
      </x:c>
      <x:c r="B1730" s="3" t="str">
        <x:v>04:40</x:v>
      </x:c>
      <x:c r="C1730" s="3" t="n">
        <x:v>5</x:v>
      </x:c>
      <x:c r="D1730" s="3" t="n">
        <x:v>49</x:v>
      </x:c>
      <x:c r="E1730" s="3" t="n">
        <x:v>8</x:v>
      </x:c>
      <x:c r="F1730" s="3" t="n">
        <x:v>4</x:v>
      </x:c>
      <x:c r="G1730" s="9" t="n">
        <x:v>0.1</x:v>
      </x:c>
      <x:c r="H1730" s="9" t="n">
        <x:v>0.904949</x:v>
      </x:c>
      <x:c r="I1730" s="9" t="n">
        <x:f>'Physical_Arcs'!R50</x:f>
        <x:v>1.5833333333333333</x:v>
      </x:c>
      <x:c r="J1730" s="9" t="n">
        <x:f>I1730*'Parameters'!$C$18</x:f>
        <x:v>0.31666666666666665</x:v>
      </x:c>
      <x:c r="K1730" s="9" t="n">
        <x:f>J1730*'Parameters'!$C$19</x:f>
        <x:v>0.3958333333333333</x:v>
      </x:c>
      <x:c r="L1730" s="9" t="n">
        <x:f>I1730*(1-0.40)-J1730</x:f>
        <x:v>0.6333333333333333</x:v>
      </x:c>
      <x:c r="M1730" s="9" t="n">
        <x:f>'Physical_Arcs'!S50</x:f>
        <x:v>1.5833333333333333</x:v>
      </x:c>
      <x:c r="N1730" s="9" t="n">
        <x:f>M1730*'Parameters'!$C$18</x:f>
        <x:v>0.31666666666666665</x:v>
      </x:c>
      <x:c r="O1730" s="9" t="n">
        <x:f>N1730*'Parameters'!$C$19</x:f>
        <x:v>0.3958333333333333</x:v>
      </x:c>
      <x:c r="P1730" s="9" t="n">
        <x:f>M1730*(1-0.40)-N1730</x:f>
        <x:v>0.6333333333333333</x:v>
      </x:c>
      <x:c r="Q1730" s="9" t="n">
        <x:f>'Physical_Arcs'!T50</x:f>
        <x:v>0.8055555555555556</x:v>
      </x:c>
      <x:c r="R1730" s="9" t="n">
        <x:f>Q1730*'Parameters'!$C$18</x:f>
        <x:v>0.16111111111111112</x:v>
      </x:c>
      <x:c r="S1730" s="9" t="n">
        <x:f>R1730*'Parameters'!$C$19</x:f>
        <x:v>0.2013888888888889</x:v>
      </x:c>
      <x:c r="T1730" s="9" t="n">
        <x:f>Q1730*(1-0.40)-R1730</x:f>
        <x:v>0.3222222222222222</x:v>
      </x:c>
    </x:row>
    <x:row r="1731" ht="21" customHeight="1">
      <x:c r="A1731" s="3" t="n">
        <x:v>28</x:v>
      </x:c>
      <x:c r="B1731" s="3" t="str">
        <x:v>04:40</x:v>
      </x:c>
      <x:c r="C1731" s="3" t="n">
        <x:v>5</x:v>
      </x:c>
      <x:c r="D1731" s="3" t="n">
        <x:v>50</x:v>
      </x:c>
      <x:c r="E1731" s="3" t="n">
        <x:v>8</x:v>
      </x:c>
      <x:c r="F1731" s="3" t="n">
        <x:v>5</x:v>
      </x:c>
      <x:c r="G1731" s="9" t="n">
        <x:v>0.1</x:v>
      </x:c>
      <x:c r="H1731" s="9" t="n">
        <x:v>0.990416</x:v>
      </x:c>
      <x:c r="I1731" s="9" t="n">
        <x:f>'Physical_Arcs'!R51</x:f>
        <x:v>10.777777777777779</x:v>
      </x:c>
      <x:c r="J1731" s="9" t="n">
        <x:f>I1731*'Parameters'!$C$18</x:f>
        <x:v>2.155555555555556</x:v>
      </x:c>
      <x:c r="K1731" s="9" t="n">
        <x:f>J1731*'Parameters'!$C$19</x:f>
        <x:v>2.6944444444444446</x:v>
      </x:c>
      <x:c r="L1731" s="9" t="n">
        <x:f>I1731*(1-0.40)-J1731</x:f>
        <x:v>4.311111111111111</x:v>
      </x:c>
      <x:c r="M1731" s="9" t="n">
        <x:f>'Physical_Arcs'!S51</x:f>
        <x:v>10.777777777777779</x:v>
      </x:c>
      <x:c r="N1731" s="9" t="n">
        <x:f>M1731*'Parameters'!$C$18</x:f>
        <x:v>2.155555555555556</x:v>
      </x:c>
      <x:c r="O1731" s="9" t="n">
        <x:f>N1731*'Parameters'!$C$19</x:f>
        <x:v>2.6944444444444446</x:v>
      </x:c>
      <x:c r="P1731" s="9" t="n">
        <x:f>M1731*(1-0.40)-N1731</x:f>
        <x:v>4.311111111111111</x:v>
      </x:c>
      <x:c r="Q1731" s="9" t="n">
        <x:f>'Physical_Arcs'!T51</x:f>
        <x:v>5.388888888888889</x:v>
      </x:c>
      <x:c r="R1731" s="9" t="n">
        <x:f>Q1731*'Parameters'!$C$18</x:f>
        <x:v>1.077777777777778</x:v>
      </x:c>
      <x:c r="S1731" s="9" t="n">
        <x:f>R1731*'Parameters'!$C$19</x:f>
        <x:v>1.3472222222222223</x:v>
      </x:c>
      <x:c r="T1731" s="9" t="n">
        <x:f>Q1731*(1-0.40)-R1731</x:f>
        <x:v>2.1555555555555554</x:v>
      </x:c>
    </x:row>
    <x:row r="1732" ht="21" customHeight="1">
      <x:c r="A1732" s="3" t="n">
        <x:v>28</x:v>
      </x:c>
      <x:c r="B1732" s="3" t="str">
        <x:v>04:40</x:v>
      </x:c>
      <x:c r="C1732" s="3" t="n">
        <x:v>5</x:v>
      </x:c>
      <x:c r="D1732" s="3" t="n">
        <x:v>51</x:v>
      </x:c>
      <x:c r="E1732" s="3" t="n">
        <x:v>8</x:v>
      </x:c>
      <x:c r="F1732" s="3" t="n">
        <x:v>1</x:v>
      </x:c>
      <x:c r="G1732" s="9" t="n">
        <x:v>0.1</x:v>
      </x:c>
      <x:c r="H1732" s="9" t="n">
        <x:v>1.039066</x:v>
      </x:c>
      <x:c r="I1732" s="9" t="n">
        <x:f>'Physical_Arcs'!R52</x:f>
        <x:v>8.88888888888889</x:v>
      </x:c>
      <x:c r="J1732" s="9" t="n">
        <x:f>I1732*'Parameters'!$C$18</x:f>
        <x:v>1.777777777777778</x:v>
      </x:c>
      <x:c r="K1732" s="9" t="n">
        <x:f>J1732*'Parameters'!$C$19</x:f>
        <x:v>2.2222222222222223</x:v>
      </x:c>
      <x:c r="L1732" s="9" t="n">
        <x:f>I1732*(1-0.40)-J1732</x:f>
        <x:v>3.5555555555555554</x:v>
      </x:c>
      <x:c r="M1732" s="9" t="n">
        <x:f>'Physical_Arcs'!S52</x:f>
        <x:v>8.88888888888889</x:v>
      </x:c>
      <x:c r="N1732" s="9" t="n">
        <x:f>M1732*'Parameters'!$C$18</x:f>
        <x:v>1.777777777777778</x:v>
      </x:c>
      <x:c r="O1732" s="9" t="n">
        <x:f>N1732*'Parameters'!$C$19</x:f>
        <x:v>2.2222222222222223</x:v>
      </x:c>
      <x:c r="P1732" s="9" t="n">
        <x:f>M1732*(1-0.40)-N1732</x:f>
        <x:v>3.5555555555555554</x:v>
      </x:c>
      <x:c r="Q1732" s="9" t="n">
        <x:f>'Physical_Arcs'!T52</x:f>
        <x:v>4.444444444444445</x:v>
      </x:c>
      <x:c r="R1732" s="9" t="n">
        <x:f>Q1732*'Parameters'!$C$18</x:f>
        <x:v>0.888888888888889</x:v>
      </x:c>
      <x:c r="S1732" s="9" t="n">
        <x:f>R1732*'Parameters'!$C$19</x:f>
        <x:v>1.1111111111111112</x:v>
      </x:c>
      <x:c r="T1732" s="9" t="n">
        <x:f>Q1732*(1-0.40)-R1732</x:f>
        <x:v>1.7777777777777777</x:v>
      </x:c>
    </x:row>
    <x:row r="1733" ht="21" customHeight="1">
      <x:c r="A1733" s="3" t="n">
        <x:v>28</x:v>
      </x:c>
      <x:c r="B1733" s="3" t="str">
        <x:v>04:40</x:v>
      </x:c>
      <x:c r="C1733" s="3" t="n">
        <x:v>5</x:v>
      </x:c>
      <x:c r="D1733" s="3" t="n">
        <x:v>52</x:v>
      </x:c>
      <x:c r="E1733" s="3" t="n">
        <x:v>9</x:v>
      </x:c>
      <x:c r="F1733" s="3" t="n">
        <x:v>10</x:v>
      </x:c>
      <x:c r="G1733" s="9" t="n">
        <x:v>0.1</x:v>
      </x:c>
      <x:c r="H1733" s="9" t="n">
        <x:v>0.954096</x:v>
      </x:c>
      <x:c r="I1733" s="9" t="n">
        <x:f>'Physical_Arcs'!R53</x:f>
        <x:v>17.02777777777778</x:v>
      </x:c>
      <x:c r="J1733" s="9" t="n">
        <x:f>I1733*'Parameters'!$C$18</x:f>
        <x:v>3.405555555555556</x:v>
      </x:c>
      <x:c r="K1733" s="9" t="n">
        <x:f>J1733*'Parameters'!$C$19</x:f>
        <x:v>4.256944444444445</x:v>
      </x:c>
      <x:c r="L1733" s="9" t="n">
        <x:f>I1733*(1-0.40)-J1733</x:f>
        <x:v>6.811111111111111</x:v>
      </x:c>
      <x:c r="M1733" s="9" t="n">
        <x:f>'Physical_Arcs'!S53</x:f>
        <x:v>17.02777777777778</x:v>
      </x:c>
      <x:c r="N1733" s="9" t="n">
        <x:f>M1733*'Parameters'!$C$18</x:f>
        <x:v>3.405555555555556</x:v>
      </x:c>
      <x:c r="O1733" s="9" t="n">
        <x:f>N1733*'Parameters'!$C$19</x:f>
        <x:v>4.256944444444445</x:v>
      </x:c>
      <x:c r="P1733" s="9" t="n">
        <x:f>M1733*(1-0.40)-N1733</x:f>
        <x:v>6.811111111111111</x:v>
      </x:c>
      <x:c r="Q1733" s="9" t="n">
        <x:f>'Physical_Arcs'!T53</x:f>
        <x:v>17.02777777777778</x:v>
      </x:c>
      <x:c r="R1733" s="9" t="n">
        <x:f>Q1733*'Parameters'!$C$18</x:f>
        <x:v>3.405555555555556</x:v>
      </x:c>
      <x:c r="S1733" s="9" t="n">
        <x:f>R1733*'Parameters'!$C$19</x:f>
        <x:v>4.256944444444445</x:v>
      </x:c>
      <x:c r="T1733" s="9" t="n">
        <x:f>Q1733*(1-0.40)-R1733</x:f>
        <x:v>6.811111111111111</x:v>
      </x:c>
    </x:row>
    <x:row r="1734" ht="21" customHeight="1">
      <x:c r="A1734" s="3" t="n">
        <x:v>28</x:v>
      </x:c>
      <x:c r="B1734" s="3" t="str">
        <x:v>04:40</x:v>
      </x:c>
      <x:c r="C1734" s="3" t="n">
        <x:v>5</x:v>
      </x:c>
      <x:c r="D1734" s="3" t="n">
        <x:v>53</x:v>
      </x:c>
      <x:c r="E1734" s="3" t="n">
        <x:v>9</x:v>
      </x:c>
      <x:c r="F1734" s="3" t="n">
        <x:v>6</x:v>
      </x:c>
      <x:c r="G1734" s="9" t="n">
        <x:v>0.1</x:v>
      </x:c>
      <x:c r="H1734" s="9" t="n">
        <x:v>1.125574</x:v>
      </x:c>
      <x:c r="I1734" s="9" t="n">
        <x:f>'Physical_Arcs'!R54</x:f>
        <x:v>9.666666666666666</x:v>
      </x:c>
      <x:c r="J1734" s="9" t="n">
        <x:f>I1734*'Parameters'!$C$18</x:f>
        <x:v>1.9333333333333333</x:v>
      </x:c>
      <x:c r="K1734" s="9" t="n">
        <x:f>J1734*'Parameters'!$C$19</x:f>
        <x:v>2.4166666666666665</x:v>
      </x:c>
      <x:c r="L1734" s="9" t="n">
        <x:f>I1734*(1-0.40)-J1734</x:f>
        <x:v>3.8666666666666663</x:v>
      </x:c>
      <x:c r="M1734" s="9" t="n">
        <x:f>'Physical_Arcs'!S54</x:f>
        <x:v>9.666666666666666</x:v>
      </x:c>
      <x:c r="N1734" s="9" t="n">
        <x:f>M1734*'Parameters'!$C$18</x:f>
        <x:v>1.9333333333333333</x:v>
      </x:c>
      <x:c r="O1734" s="9" t="n">
        <x:f>N1734*'Parameters'!$C$19</x:f>
        <x:v>2.4166666666666665</x:v>
      </x:c>
      <x:c r="P1734" s="9" t="n">
        <x:f>M1734*(1-0.40)-N1734</x:f>
        <x:v>3.8666666666666663</x:v>
      </x:c>
      <x:c r="Q1734" s="9" t="n">
        <x:f>'Physical_Arcs'!T54</x:f>
        <x:v>4.833333333333333</x:v>
      </x:c>
      <x:c r="R1734" s="9" t="n">
        <x:f>Q1734*'Parameters'!$C$18</x:f>
        <x:v>0.9666666666666667</x:v>
      </x:c>
      <x:c r="S1734" s="9" t="n">
        <x:f>R1734*'Parameters'!$C$19</x:f>
        <x:v>1.2083333333333333</x:v>
      </x:c>
      <x:c r="T1734" s="9" t="n">
        <x:f>Q1734*(1-0.40)-R1734</x:f>
        <x:v>1.9333333333333331</x:v>
      </x:c>
    </x:row>
    <x:row r="1735" ht="21" customHeight="1">
      <x:c r="A1735" s="3" t="n">
        <x:v>28</x:v>
      </x:c>
      <x:c r="B1735" s="3" t="str">
        <x:v>04:40</x:v>
      </x:c>
      <x:c r="C1735" s="3" t="n">
        <x:v>5</x:v>
      </x:c>
      <x:c r="D1735" s="3" t="n">
        <x:v>54</x:v>
      </x:c>
      <x:c r="E1735" s="3" t="n">
        <x:v>9</x:v>
      </x:c>
      <x:c r="F1735" s="3" t="n">
        <x:v>2</x:v>
      </x:c>
      <x:c r="G1735" s="9" t="n">
        <x:v>0.1</x:v>
      </x:c>
      <x:c r="H1735" s="9" t="n">
        <x:v>0.854534</x:v>
      </x:c>
      <x:c r="I1735" s="9" t="n">
        <x:f>'Physical_Arcs'!R55</x:f>
        <x:v>9.88888888888889</x:v>
      </x:c>
      <x:c r="J1735" s="9" t="n">
        <x:f>I1735*'Parameters'!$C$18</x:f>
        <x:v>1.9777777777777779</x:v>
      </x:c>
      <x:c r="K1735" s="9" t="n">
        <x:f>J1735*'Parameters'!$C$19</x:f>
        <x:v>2.4722222222222223</x:v>
      </x:c>
      <x:c r="L1735" s="9" t="n">
        <x:f>I1735*(1-0.40)-J1735</x:f>
        <x:v>3.9555555555555557</x:v>
      </x:c>
      <x:c r="M1735" s="9" t="n">
        <x:f>'Physical_Arcs'!S55</x:f>
        <x:v>9.88888888888889</x:v>
      </x:c>
      <x:c r="N1735" s="9" t="n">
        <x:f>M1735*'Parameters'!$C$18</x:f>
        <x:v>1.9777777777777779</x:v>
      </x:c>
      <x:c r="O1735" s="9" t="n">
        <x:f>N1735*'Parameters'!$C$19</x:f>
        <x:v>2.4722222222222223</x:v>
      </x:c>
      <x:c r="P1735" s="9" t="n">
        <x:f>M1735*(1-0.40)-N1735</x:f>
        <x:v>3.9555555555555557</x:v>
      </x:c>
      <x:c r="Q1735" s="9" t="n">
        <x:f>'Physical_Arcs'!T55</x:f>
        <x:v>4.944444444444445</x:v>
      </x:c>
      <x:c r="R1735" s="9" t="n">
        <x:f>Q1735*'Parameters'!$C$18</x:f>
        <x:v>0.9888888888888889</x:v>
      </x:c>
      <x:c r="S1735" s="9" t="n">
        <x:f>R1735*'Parameters'!$C$19</x:f>
        <x:v>1.2361111111111112</x:v>
      </x:c>
      <x:c r="T1735" s="9" t="n">
        <x:f>Q1735*(1-0.40)-R1735</x:f>
        <x:v>1.9777777777777779</x:v>
      </x:c>
    </x:row>
    <x:row r="1736" ht="21" customHeight="1">
      <x:c r="A1736" s="3" t="n">
        <x:v>28</x:v>
      </x:c>
      <x:c r="B1736" s="3" t="str">
        <x:v>04:40</x:v>
      </x:c>
      <x:c r="C1736" s="3" t="n">
        <x:v>5</x:v>
      </x:c>
      <x:c r="D1736" s="3" t="n">
        <x:v>55</x:v>
      </x:c>
      <x:c r="E1736" s="3" t="n">
        <x:v>9</x:v>
      </x:c>
      <x:c r="F1736" s="3" t="n">
        <x:v>7</x:v>
      </x:c>
      <x:c r="G1736" s="9" t="n">
        <x:v>0.1</x:v>
      </x:c>
      <x:c r="H1736" s="9" t="n">
        <x:v>0.900033</x:v>
      </x:c>
      <x:c r="I1736" s="9" t="n">
        <x:f>'Physical_Arcs'!R56</x:f>
        <x:v>4.166666666666667</x:v>
      </x:c>
      <x:c r="J1736" s="9" t="n">
        <x:f>I1736*'Parameters'!$C$18</x:f>
        <x:v>0.8333333333333335</x:v>
      </x:c>
      <x:c r="K1736" s="9" t="n">
        <x:f>J1736*'Parameters'!$C$19</x:f>
        <x:v>1.041666666666667</x:v>
      </x:c>
      <x:c r="L1736" s="9" t="n">
        <x:f>I1736*(1-0.40)-J1736</x:f>
        <x:v>1.6666666666666665</x:v>
      </x:c>
      <x:c r="M1736" s="9" t="n">
        <x:f>'Physical_Arcs'!S56</x:f>
        <x:v>4.166666666666667</x:v>
      </x:c>
      <x:c r="N1736" s="9" t="n">
        <x:f>M1736*'Parameters'!$C$18</x:f>
        <x:v>0.8333333333333335</x:v>
      </x:c>
      <x:c r="O1736" s="9" t="n">
        <x:f>N1736*'Parameters'!$C$19</x:f>
        <x:v>1.041666666666667</x:v>
      </x:c>
      <x:c r="P1736" s="9" t="n">
        <x:f>M1736*(1-0.40)-N1736</x:f>
        <x:v>1.6666666666666665</x:v>
      </x:c>
      <x:c r="Q1736" s="9" t="n">
        <x:f>'Physical_Arcs'!T56</x:f>
        <x:v>2.0833333333333335</x:v>
      </x:c>
      <x:c r="R1736" s="9" t="n">
        <x:f>Q1736*'Parameters'!$C$18</x:f>
        <x:v>0.41666666666666674</x:v>
      </x:c>
      <x:c r="S1736" s="9" t="n">
        <x:f>R1736*'Parameters'!$C$19</x:f>
        <x:v>0.5208333333333335</x:v>
      </x:c>
      <x:c r="T1736" s="9" t="n">
        <x:f>Q1736*(1-0.40)-R1736</x:f>
        <x:v>0.8333333333333333</x:v>
      </x:c>
    </x:row>
    <x:row r="1737" ht="21" customHeight="1">
      <x:c r="A1737" s="3" t="n">
        <x:v>28</x:v>
      </x:c>
      <x:c r="B1737" s="3" t="str">
        <x:v>04:40</x:v>
      </x:c>
      <x:c r="C1737" s="3" t="n">
        <x:v>5</x:v>
      </x:c>
      <x:c r="D1737" s="3" t="n">
        <x:v>56</x:v>
      </x:c>
      <x:c r="E1737" s="3" t="n">
        <x:v>9</x:v>
      </x:c>
      <x:c r="F1737" s="3" t="n">
        <x:v>3</x:v>
      </x:c>
      <x:c r="G1737" s="9" t="n">
        <x:v>0.1</x:v>
      </x:c>
      <x:c r="H1737" s="9" t="n">
        <x:v>0.893428</x:v>
      </x:c>
      <x:c r="I1737" s="9" t="n">
        <x:f>'Physical_Arcs'!R57</x:f>
        <x:v>3.7222222222222223</x:v>
      </x:c>
      <x:c r="J1737" s="9" t="n">
        <x:f>I1737*'Parameters'!$C$18</x:f>
        <x:v>0.7444444444444445</x:v>
      </x:c>
      <x:c r="K1737" s="9" t="n">
        <x:f>J1737*'Parameters'!$C$19</x:f>
        <x:v>0.9305555555555556</x:v>
      </x:c>
      <x:c r="L1737" s="9" t="n">
        <x:f>I1737*(1-0.40)-J1737</x:f>
        <x:v>1.488888888888889</x:v>
      </x:c>
      <x:c r="M1737" s="9" t="n">
        <x:f>'Physical_Arcs'!S57</x:f>
        <x:v>3.7222222222222223</x:v>
      </x:c>
      <x:c r="N1737" s="9" t="n">
        <x:f>M1737*'Parameters'!$C$18</x:f>
        <x:v>0.7444444444444445</x:v>
      </x:c>
      <x:c r="O1737" s="9" t="n">
        <x:f>N1737*'Parameters'!$C$19</x:f>
        <x:v>0.9305555555555556</x:v>
      </x:c>
      <x:c r="P1737" s="9" t="n">
        <x:f>M1737*(1-0.40)-N1737</x:f>
        <x:v>1.488888888888889</x:v>
      </x:c>
      <x:c r="Q1737" s="9" t="n">
        <x:f>'Physical_Arcs'!T57</x:f>
        <x:v>1.8611111111111112</x:v>
      </x:c>
      <x:c r="R1737" s="9" t="n">
        <x:f>Q1737*'Parameters'!$C$18</x:f>
        <x:v>0.37222222222222223</x:v>
      </x:c>
      <x:c r="S1737" s="9" t="n">
        <x:f>R1737*'Parameters'!$C$19</x:f>
        <x:v>0.4652777777777778</x:v>
      </x:c>
      <x:c r="T1737" s="9" t="n">
        <x:f>Q1737*(1-0.40)-R1737</x:f>
        <x:v>0.7444444444444445</x:v>
      </x:c>
    </x:row>
    <x:row r="1738" ht="21" customHeight="1">
      <x:c r="A1738" s="3" t="n">
        <x:v>28</x:v>
      </x:c>
      <x:c r="B1738" s="3" t="str">
        <x:v>04:40</x:v>
      </x:c>
      <x:c r="C1738" s="3" t="n">
        <x:v>5</x:v>
      </x:c>
      <x:c r="D1738" s="3" t="n">
        <x:v>57</x:v>
      </x:c>
      <x:c r="E1738" s="3" t="n">
        <x:v>10</x:v>
      </x:c>
      <x:c r="F1738" s="3" t="n">
        <x:v>1</x:v>
      </x:c>
      <x:c r="G1738" s="9" t="n">
        <x:v>0.1</x:v>
      </x:c>
      <x:c r="H1738" s="9" t="n">
        <x:v>1.027979</x:v>
      </x:c>
      <x:c r="I1738" s="9" t="n">
        <x:f>'Physical_Arcs'!R58</x:f>
        <x:v>17.02777777777778</x:v>
      </x:c>
      <x:c r="J1738" s="9" t="n">
        <x:f>I1738*'Parameters'!$C$18</x:f>
        <x:v>3.405555555555556</x:v>
      </x:c>
      <x:c r="K1738" s="9" t="n">
        <x:f>J1738*'Parameters'!$C$19</x:f>
        <x:v>4.256944444444445</x:v>
      </x:c>
      <x:c r="L1738" s="9" t="n">
        <x:f>I1738*(1-0.40)-J1738</x:f>
        <x:v>6.811111111111111</x:v>
      </x:c>
      <x:c r="M1738" s="9" t="n">
        <x:f>'Physical_Arcs'!S58</x:f>
        <x:v>17.02777777777778</x:v>
      </x:c>
      <x:c r="N1738" s="9" t="n">
        <x:f>M1738*'Parameters'!$C$18</x:f>
        <x:v>3.405555555555556</x:v>
      </x:c>
      <x:c r="O1738" s="9" t="n">
        <x:f>N1738*'Parameters'!$C$19</x:f>
        <x:v>4.256944444444445</x:v>
      </x:c>
      <x:c r="P1738" s="9" t="n">
        <x:f>M1738*(1-0.40)-N1738</x:f>
        <x:v>6.811111111111111</x:v>
      </x:c>
      <x:c r="Q1738" s="9" t="n">
        <x:f>'Physical_Arcs'!T58</x:f>
        <x:v>17.02777777777778</x:v>
      </x:c>
      <x:c r="R1738" s="9" t="n">
        <x:f>Q1738*'Parameters'!$C$18</x:f>
        <x:v>3.405555555555556</x:v>
      </x:c>
      <x:c r="S1738" s="9" t="n">
        <x:f>R1738*'Parameters'!$C$19</x:f>
        <x:v>4.256944444444445</x:v>
      </x:c>
      <x:c r="T1738" s="9" t="n">
        <x:f>Q1738*(1-0.40)-R1738</x:f>
        <x:v>6.811111111111111</x:v>
      </x:c>
    </x:row>
    <x:row r="1739" ht="21" customHeight="1">
      <x:c r="A1739" s="3" t="n">
        <x:v>28</x:v>
      </x:c>
      <x:c r="B1739" s="3" t="str">
        <x:v>04:40</x:v>
      </x:c>
      <x:c r="C1739" s="3" t="n">
        <x:v>5</x:v>
      </x:c>
      <x:c r="D1739" s="3" t="n">
        <x:v>58</x:v>
      </x:c>
      <x:c r="E1739" s="3" t="n">
        <x:v>10</x:v>
      </x:c>
      <x:c r="F1739" s="3" t="n">
        <x:v>6</x:v>
      </x:c>
      <x:c r="G1739" s="9" t="n">
        <x:v>0.1</x:v>
      </x:c>
      <x:c r="H1739" s="9" t="n">
        <x:v>0.952676</x:v>
      </x:c>
      <x:c r="I1739" s="9" t="n">
        <x:f>'Physical_Arcs'!R59</x:f>
        <x:v>6.305555555555555</x:v>
      </x:c>
      <x:c r="J1739" s="9" t="n">
        <x:f>I1739*'Parameters'!$C$18</x:f>
        <x:v>1.261111111111111</x:v>
      </x:c>
      <x:c r="K1739" s="9" t="n">
        <x:f>J1739*'Parameters'!$C$19</x:f>
        <x:v>1.5763888888888888</x:v>
      </x:c>
      <x:c r="L1739" s="9" t="n">
        <x:f>I1739*(1-0.40)-J1739</x:f>
        <x:v>2.522222222222222</x:v>
      </x:c>
      <x:c r="M1739" s="9" t="n">
        <x:f>'Physical_Arcs'!S59</x:f>
        <x:v>6.305555555555555</x:v>
      </x:c>
      <x:c r="N1739" s="9" t="n">
        <x:f>M1739*'Parameters'!$C$18</x:f>
        <x:v>1.261111111111111</x:v>
      </x:c>
      <x:c r="O1739" s="9" t="n">
        <x:f>N1739*'Parameters'!$C$19</x:f>
        <x:v>1.5763888888888888</x:v>
      </x:c>
      <x:c r="P1739" s="9" t="n">
        <x:f>M1739*(1-0.40)-N1739</x:f>
        <x:v>2.522222222222222</x:v>
      </x:c>
      <x:c r="Q1739" s="9" t="n">
        <x:f>'Physical_Arcs'!T59</x:f>
        <x:v>3.1666666666666665</x:v>
      </x:c>
      <x:c r="R1739" s="9" t="n">
        <x:f>Q1739*'Parameters'!$C$18</x:f>
        <x:v>0.6333333333333333</x:v>
      </x:c>
      <x:c r="S1739" s="9" t="n">
        <x:f>R1739*'Parameters'!$C$19</x:f>
        <x:v>0.7916666666666666</x:v>
      </x:c>
      <x:c r="T1739" s="9" t="n">
        <x:f>Q1739*(1-0.40)-R1739</x:f>
        <x:v>1.2666666666666666</x:v>
      </x:c>
    </x:row>
    <x:row r="1740" ht="21" customHeight="1">
      <x:c r="A1740" s="3" t="n">
        <x:v>28</x:v>
      </x:c>
      <x:c r="B1740" s="3" t="str">
        <x:v>04:40</x:v>
      </x:c>
      <x:c r="C1740" s="3" t="n">
        <x:v>5</x:v>
      </x:c>
      <x:c r="D1740" s="3" t="n">
        <x:v>59</x:v>
      </x:c>
      <x:c r="E1740" s="3" t="n">
        <x:v>10</x:v>
      </x:c>
      <x:c r="F1740" s="3" t="n">
        <x:v>4</x:v>
      </x:c>
      <x:c r="G1740" s="9" t="n">
        <x:v>0.1</x:v>
      </x:c>
      <x:c r="H1740" s="9" t="n">
        <x:v>1.114542</x:v>
      </x:c>
      <x:c r="I1740" s="9" t="n">
        <x:f>'Physical_Arcs'!R60</x:f>
        <x:v>1.5833333333333333</x:v>
      </x:c>
      <x:c r="J1740" s="9" t="n">
        <x:f>I1740*'Parameters'!$C$18</x:f>
        <x:v>0.31666666666666665</x:v>
      </x:c>
      <x:c r="K1740" s="9" t="n">
        <x:f>J1740*'Parameters'!$C$19</x:f>
        <x:v>0.3958333333333333</x:v>
      </x:c>
      <x:c r="L1740" s="9" t="n">
        <x:f>I1740*(1-0.40)-J1740</x:f>
        <x:v>0.6333333333333333</x:v>
      </x:c>
      <x:c r="M1740" s="9" t="n">
        <x:f>'Physical_Arcs'!S60</x:f>
        <x:v>1.5833333333333333</x:v>
      </x:c>
      <x:c r="N1740" s="9" t="n">
        <x:f>M1740*'Parameters'!$C$18</x:f>
        <x:v>0.31666666666666665</x:v>
      </x:c>
      <x:c r="O1740" s="9" t="n">
        <x:f>N1740*'Parameters'!$C$19</x:f>
        <x:v>0.3958333333333333</x:v>
      </x:c>
      <x:c r="P1740" s="9" t="n">
        <x:f>M1740*(1-0.40)-N1740</x:f>
        <x:v>0.6333333333333333</x:v>
      </x:c>
      <x:c r="Q1740" s="9" t="n">
        <x:f>'Physical_Arcs'!T60</x:f>
        <x:v>0.8055555555555556</x:v>
      </x:c>
      <x:c r="R1740" s="9" t="n">
        <x:f>Q1740*'Parameters'!$C$18</x:f>
        <x:v>0.16111111111111112</x:v>
      </x:c>
      <x:c r="S1740" s="9" t="n">
        <x:f>R1740*'Parameters'!$C$19</x:f>
        <x:v>0.2013888888888889</x:v>
      </x:c>
      <x:c r="T1740" s="9" t="n">
        <x:f>Q1740*(1-0.40)-R1740</x:f>
        <x:v>0.3222222222222222</x:v>
      </x:c>
    </x:row>
    <x:row r="1741" ht="21" customHeight="1">
      <x:c r="A1741" s="3" t="n">
        <x:v>28</x:v>
      </x:c>
      <x:c r="B1741" s="3" t="str">
        <x:v>04:40</x:v>
      </x:c>
      <x:c r="C1741" s="3" t="n">
        <x:v>5</x:v>
      </x:c>
      <x:c r="D1741" s="3" t="n">
        <x:v>60</x:v>
      </x:c>
      <x:c r="E1741" s="3" t="n">
        <x:v>10</x:v>
      </x:c>
      <x:c r="F1741" s="3" t="n">
        <x:v>9</x:v>
      </x:c>
      <x:c r="G1741" s="9" t="n">
        <x:v>0.1</x:v>
      </x:c>
      <x:c r="H1741" s="9" t="n">
        <x:v>1.092245</x:v>
      </x:c>
      <x:c r="I1741" s="9" t="n">
        <x:f>'Physical_Arcs'!R61</x:f>
        <x:v>10.333333333333334</x:v>
      </x:c>
      <x:c r="J1741" s="9" t="n">
        <x:f>I1741*'Parameters'!$C$18</x:f>
        <x:v>2.066666666666667</x:v>
      </x:c>
      <x:c r="K1741" s="9" t="n">
        <x:f>J1741*'Parameters'!$C$19</x:f>
        <x:v>2.5833333333333335</x:v>
      </x:c>
      <x:c r="L1741" s="9" t="n">
        <x:f>I1741*(1-0.40)-J1741</x:f>
        <x:v>4.133333333333333</x:v>
      </x:c>
      <x:c r="M1741" s="9" t="n">
        <x:f>'Physical_Arcs'!S61</x:f>
        <x:v>10.333333333333334</x:v>
      </x:c>
      <x:c r="N1741" s="9" t="n">
        <x:f>M1741*'Parameters'!$C$18</x:f>
        <x:v>2.066666666666667</x:v>
      </x:c>
      <x:c r="O1741" s="9" t="n">
        <x:f>N1741*'Parameters'!$C$19</x:f>
        <x:v>2.5833333333333335</x:v>
      </x:c>
      <x:c r="P1741" s="9" t="n">
        <x:f>M1741*(1-0.40)-N1741</x:f>
        <x:v>4.133333333333333</x:v>
      </x:c>
      <x:c r="Q1741" s="9" t="n">
        <x:f>'Physical_Arcs'!T61</x:f>
        <x:v>5.166666666666667</x:v>
      </x:c>
      <x:c r="R1741" s="9" t="n">
        <x:f>Q1741*'Parameters'!$C$18</x:f>
        <x:v>1.0333333333333334</x:v>
      </x:c>
      <x:c r="S1741" s="9" t="n">
        <x:f>R1741*'Parameters'!$C$19</x:f>
        <x:v>1.2916666666666667</x:v>
      </x:c>
      <x:c r="T1741" s="9" t="n">
        <x:f>Q1741*(1-0.40)-R1741</x:f>
        <x:v>2.0666666666666664</x:v>
      </x:c>
    </x:row>
    <x:row r="1742" ht="21" customHeight="1">
      <x:c r="A1742" s="3" t="n">
        <x:v>29</x:v>
      </x:c>
      <x:c r="B1742" s="3" t="str">
        <x:v>04:50</x:v>
      </x:c>
      <x:c r="C1742" s="3" t="n">
        <x:v>5</x:v>
      </x:c>
      <x:c r="D1742" s="3" t="n">
        <x:v>1</x:v>
      </x:c>
      <x:c r="E1742" s="3" t="n">
        <x:v>1</x:v>
      </x:c>
      <x:c r="F1742" s="3" t="n">
        <x:v>2</x:v>
      </x:c>
      <x:c r="G1742" s="9" t="n">
        <x:v>0.1</x:v>
      </x:c>
      <x:c r="H1742" s="9" t="n">
        <x:v>0.914787</x:v>
      </x:c>
      <x:c r="I1742" s="9" t="n">
        <x:f>'Physical_Arcs'!R2</x:f>
        <x:v>17.02777777777778</x:v>
      </x:c>
      <x:c r="J1742" s="9" t="n">
        <x:f>I1742*'Parameters'!$C$18</x:f>
        <x:v>3.405555555555556</x:v>
      </x:c>
      <x:c r="K1742" s="9" t="n">
        <x:f>J1742*'Parameters'!$C$19</x:f>
        <x:v>4.256944444444445</x:v>
      </x:c>
      <x:c r="L1742" s="9" t="n">
        <x:f>I1742*(1-0.40)-J1742</x:f>
        <x:v>6.811111111111111</x:v>
      </x:c>
      <x:c r="M1742" s="9" t="n">
        <x:f>'Physical_Arcs'!S2</x:f>
        <x:v>17.02777777777778</x:v>
      </x:c>
      <x:c r="N1742" s="9" t="n">
        <x:f>M1742*'Parameters'!$C$18</x:f>
        <x:v>3.405555555555556</x:v>
      </x:c>
      <x:c r="O1742" s="9" t="n">
        <x:f>N1742*'Parameters'!$C$19</x:f>
        <x:v>4.256944444444445</x:v>
      </x:c>
      <x:c r="P1742" s="9" t="n">
        <x:f>M1742*(1-0.40)-N1742</x:f>
        <x:v>6.811111111111111</x:v>
      </x:c>
      <x:c r="Q1742" s="9" t="n">
        <x:f>'Physical_Arcs'!T2</x:f>
        <x:v>17.02777777777778</x:v>
      </x:c>
      <x:c r="R1742" s="9" t="n">
        <x:f>Q1742*'Parameters'!$C$18</x:f>
        <x:v>3.405555555555556</x:v>
      </x:c>
      <x:c r="S1742" s="9" t="n">
        <x:f>R1742*'Parameters'!$C$19</x:f>
        <x:v>4.256944444444445</x:v>
      </x:c>
      <x:c r="T1742" s="9" t="n">
        <x:f>Q1742*(1-0.40)-R1742</x:f>
        <x:v>6.811111111111111</x:v>
      </x:c>
    </x:row>
    <x:row r="1743" ht="21" customHeight="1">
      <x:c r="A1743" s="3" t="n">
        <x:v>29</x:v>
      </x:c>
      <x:c r="B1743" s="3" t="str">
        <x:v>04:50</x:v>
      </x:c>
      <x:c r="C1743" s="3" t="n">
        <x:v>5</x:v>
      </x:c>
      <x:c r="D1743" s="3" t="n">
        <x:v>2</x:v>
      </x:c>
      <x:c r="E1743" s="3" t="n">
        <x:v>1</x:v>
      </x:c>
      <x:c r="F1743" s="3" t="n">
        <x:v>10</x:v>
      </x:c>
      <x:c r="G1743" s="9" t="n">
        <x:v>0.1</x:v>
      </x:c>
      <x:c r="H1743" s="9" t="n">
        <x:v>1.003995</x:v>
      </x:c>
      <x:c r="I1743" s="9" t="n">
        <x:f>'Physical_Arcs'!R3</x:f>
        <x:v>3.2777777777777777</x:v>
      </x:c>
      <x:c r="J1743" s="9" t="n">
        <x:f>I1743*'Parameters'!$C$18</x:f>
        <x:v>0.6555555555555556</x:v>
      </x:c>
      <x:c r="K1743" s="9" t="n">
        <x:f>J1743*'Parameters'!$C$19</x:f>
        <x:v>0.8194444444444444</x:v>
      </x:c>
      <x:c r="L1743" s="9" t="n">
        <x:f>I1743*(1-0.40)-J1743</x:f>
        <x:v>1.311111111111111</x:v>
      </x:c>
      <x:c r="M1743" s="9" t="n">
        <x:f>'Physical_Arcs'!S3</x:f>
        <x:v>3.2777777777777777</x:v>
      </x:c>
      <x:c r="N1743" s="9" t="n">
        <x:f>M1743*'Parameters'!$C$18</x:f>
        <x:v>0.6555555555555556</x:v>
      </x:c>
      <x:c r="O1743" s="9" t="n">
        <x:f>N1743*'Parameters'!$C$19</x:f>
        <x:v>0.8194444444444444</x:v>
      </x:c>
      <x:c r="P1743" s="9" t="n">
        <x:f>M1743*(1-0.40)-N1743</x:f>
        <x:v>1.311111111111111</x:v>
      </x:c>
      <x:c r="Q1743" s="9" t="n">
        <x:f>'Physical_Arcs'!T3</x:f>
        <x:v>1.6388888888888888</x:v>
      </x:c>
      <x:c r="R1743" s="9" t="n">
        <x:f>Q1743*'Parameters'!$C$18</x:f>
        <x:v>0.3277777777777778</x:v>
      </x:c>
      <x:c r="S1743" s="9" t="n">
        <x:f>R1743*'Parameters'!$C$19</x:f>
        <x:v>0.4097222222222222</x:v>
      </x:c>
      <x:c r="T1743" s="9" t="n">
        <x:f>Q1743*(1-0.40)-R1743</x:f>
        <x:v>0.6555555555555554</x:v>
      </x:c>
    </x:row>
    <x:row r="1744" ht="21" customHeight="1">
      <x:c r="A1744" s="3" t="n">
        <x:v>29</x:v>
      </x:c>
      <x:c r="B1744" s="3" t="str">
        <x:v>04:50</x:v>
      </x:c>
      <x:c r="C1744" s="3" t="n">
        <x:v>5</x:v>
      </x:c>
      <x:c r="D1744" s="3" t="n">
        <x:v>3</x:v>
      </x:c>
      <x:c r="E1744" s="3" t="n">
        <x:v>1</x:v>
      </x:c>
      <x:c r="F1744" s="3" t="n">
        <x:v>8</x:v>
      </x:c>
      <x:c r="G1744" s="9" t="n">
        <x:v>0.1</x:v>
      </x:c>
      <x:c r="H1744" s="9" t="n">
        <x:v>0.923863</x:v>
      </x:c>
      <x:c r="I1744" s="9" t="n">
        <x:f>'Physical_Arcs'!R4</x:f>
        <x:v>6.083333333333333</x:v>
      </x:c>
      <x:c r="J1744" s="9" t="n">
        <x:f>I1744*'Parameters'!$C$18</x:f>
        <x:v>1.2166666666666668</x:v>
      </x:c>
      <x:c r="K1744" s="9" t="n">
        <x:f>J1744*'Parameters'!$C$19</x:f>
        <x:v>1.5208333333333335</x:v>
      </x:c>
      <x:c r="L1744" s="9" t="n">
        <x:f>I1744*(1-0.40)-J1744</x:f>
        <x:v>2.4333333333333327</x:v>
      </x:c>
      <x:c r="M1744" s="9" t="n">
        <x:f>'Physical_Arcs'!S4</x:f>
        <x:v>6.083333333333333</x:v>
      </x:c>
      <x:c r="N1744" s="9" t="n">
        <x:f>M1744*'Parameters'!$C$18</x:f>
        <x:v>1.2166666666666668</x:v>
      </x:c>
      <x:c r="O1744" s="9" t="n">
        <x:f>N1744*'Parameters'!$C$19</x:f>
        <x:v>1.5208333333333335</x:v>
      </x:c>
      <x:c r="P1744" s="9" t="n">
        <x:f>M1744*(1-0.40)-N1744</x:f>
        <x:v>2.4333333333333327</x:v>
      </x:c>
      <x:c r="Q1744" s="9" t="n">
        <x:f>'Physical_Arcs'!T4</x:f>
        <x:v>3.0555555555555554</x:v>
      </x:c>
      <x:c r="R1744" s="9" t="n">
        <x:f>Q1744*'Parameters'!$C$18</x:f>
        <x:v>0.6111111111111112</x:v>
      </x:c>
      <x:c r="S1744" s="9" t="n">
        <x:f>R1744*'Parameters'!$C$19</x:f>
        <x:v>0.763888888888889</x:v>
      </x:c>
      <x:c r="T1744" s="9" t="n">
        <x:f>Q1744*(1-0.40)-R1744</x:f>
        <x:v>1.2222222222222219</x:v>
      </x:c>
    </x:row>
    <x:row r="1745" ht="21" customHeight="1">
      <x:c r="A1745" s="3" t="n">
        <x:v>29</x:v>
      </x:c>
      <x:c r="B1745" s="3" t="str">
        <x:v>04:50</x:v>
      </x:c>
      <x:c r="C1745" s="3" t="n">
        <x:v>5</x:v>
      </x:c>
      <x:c r="D1745" s="3" t="n">
        <x:v>4</x:v>
      </x:c>
      <x:c r="E1745" s="3" t="n">
        <x:v>1</x:v>
      </x:c>
      <x:c r="F1745" s="3" t="n">
        <x:v>7</x:v>
      </x:c>
      <x:c r="G1745" s="9" t="n">
        <x:v>0.1</x:v>
      </x:c>
      <x:c r="H1745" s="9" t="n">
        <x:v>1.111072</x:v>
      </x:c>
      <x:c r="I1745" s="9" t="n">
        <x:f>'Physical_Arcs'!R5</x:f>
        <x:v>9</x:v>
      </x:c>
      <x:c r="J1745" s="9" t="n">
        <x:f>I1745*'Parameters'!$C$18</x:f>
        <x:v>1.8</x:v>
      </x:c>
      <x:c r="K1745" s="9" t="n">
        <x:f>J1745*'Parameters'!$C$19</x:f>
        <x:v>2.25</x:v>
      </x:c>
      <x:c r="L1745" s="9" t="n">
        <x:f>I1745*(1-0.40)-J1745</x:f>
        <x:v>3.5999999999999996</x:v>
      </x:c>
      <x:c r="M1745" s="9" t="n">
        <x:f>'Physical_Arcs'!S5</x:f>
        <x:v>9</x:v>
      </x:c>
      <x:c r="N1745" s="9" t="n">
        <x:f>M1745*'Parameters'!$C$18</x:f>
        <x:v>1.8</x:v>
      </x:c>
      <x:c r="O1745" s="9" t="n">
        <x:f>N1745*'Parameters'!$C$19</x:f>
        <x:v>2.25</x:v>
      </x:c>
      <x:c r="P1745" s="9" t="n">
        <x:f>M1745*(1-0.40)-N1745</x:f>
        <x:v>3.5999999999999996</x:v>
      </x:c>
      <x:c r="Q1745" s="9" t="n">
        <x:f>'Physical_Arcs'!T5</x:f>
        <x:v>4.5</x:v>
      </x:c>
      <x:c r="R1745" s="9" t="n">
        <x:f>Q1745*'Parameters'!$C$18</x:f>
        <x:v>0.9</x:v>
      </x:c>
      <x:c r="S1745" s="9" t="n">
        <x:f>R1745*'Parameters'!$C$19</x:f>
        <x:v>1.125</x:v>
      </x:c>
      <x:c r="T1745" s="9" t="n">
        <x:f>Q1745*(1-0.40)-R1745</x:f>
        <x:v>1.7999999999999998</x:v>
      </x:c>
    </x:row>
    <x:row r="1746" ht="21" customHeight="1">
      <x:c r="A1746" s="3" t="n">
        <x:v>29</x:v>
      </x:c>
      <x:c r="B1746" s="3" t="str">
        <x:v>04:50</x:v>
      </x:c>
      <x:c r="C1746" s="3" t="n">
        <x:v>5</x:v>
      </x:c>
      <x:c r="D1746" s="3" t="n">
        <x:v>5</x:v>
      </x:c>
      <x:c r="E1746" s="3" t="n">
        <x:v>1</x:v>
      </x:c>
      <x:c r="F1746" s="3" t="n">
        <x:v>4</x:v>
      </x:c>
      <x:c r="G1746" s="9" t="n">
        <x:v>0.1</x:v>
      </x:c>
      <x:c r="H1746" s="9" t="n">
        <x:v>1.001665</x:v>
      </x:c>
      <x:c r="I1746" s="9" t="n">
        <x:f>'Physical_Arcs'!R6</x:f>
        <x:v>4.166666666666667</x:v>
      </x:c>
      <x:c r="J1746" s="9" t="n">
        <x:f>I1746*'Parameters'!$C$18</x:f>
        <x:v>0.8333333333333335</x:v>
      </x:c>
      <x:c r="K1746" s="9" t="n">
        <x:f>J1746*'Parameters'!$C$19</x:f>
        <x:v>1.041666666666667</x:v>
      </x:c>
      <x:c r="L1746" s="9" t="n">
        <x:f>I1746*(1-0.40)-J1746</x:f>
        <x:v>1.6666666666666665</x:v>
      </x:c>
      <x:c r="M1746" s="9" t="n">
        <x:f>'Physical_Arcs'!S6</x:f>
        <x:v>4.166666666666667</x:v>
      </x:c>
      <x:c r="N1746" s="9" t="n">
        <x:f>M1746*'Parameters'!$C$18</x:f>
        <x:v>0.8333333333333335</x:v>
      </x:c>
      <x:c r="O1746" s="9" t="n">
        <x:f>N1746*'Parameters'!$C$19</x:f>
        <x:v>1.041666666666667</x:v>
      </x:c>
      <x:c r="P1746" s="9" t="n">
        <x:f>M1746*(1-0.40)-N1746</x:f>
        <x:v>1.6666666666666665</x:v>
      </x:c>
      <x:c r="Q1746" s="9" t="n">
        <x:f>'Physical_Arcs'!T6</x:f>
        <x:v>2.0833333333333335</x:v>
      </x:c>
      <x:c r="R1746" s="9" t="n">
        <x:f>Q1746*'Parameters'!$C$18</x:f>
        <x:v>0.41666666666666674</x:v>
      </x:c>
      <x:c r="S1746" s="9" t="n">
        <x:f>R1746*'Parameters'!$C$19</x:f>
        <x:v>0.5208333333333335</x:v>
      </x:c>
      <x:c r="T1746" s="9" t="n">
        <x:f>Q1746*(1-0.40)-R1746</x:f>
        <x:v>0.8333333333333333</x:v>
      </x:c>
    </x:row>
    <x:row r="1747" ht="21" customHeight="1">
      <x:c r="A1747" s="3" t="n">
        <x:v>29</x:v>
      </x:c>
      <x:c r="B1747" s="3" t="str">
        <x:v>04:50</x:v>
      </x:c>
      <x:c r="C1747" s="3" t="n">
        <x:v>5</x:v>
      </x:c>
      <x:c r="D1747" s="3" t="n">
        <x:v>6</x:v>
      </x:c>
      <x:c r="E1747" s="3" t="n">
        <x:v>1</x:v>
      </x:c>
      <x:c r="F1747" s="3" t="n">
        <x:v>9</x:v>
      </x:c>
      <x:c r="G1747" s="9" t="n">
        <x:v>0.1</x:v>
      </x:c>
      <x:c r="H1747" s="9" t="n">
        <x:v>0.942884</x:v>
      </x:c>
      <x:c r="I1747" s="9" t="n">
        <x:f>'Physical_Arcs'!R7</x:f>
        <x:v>11.027777777777779</x:v>
      </x:c>
      <x:c r="J1747" s="9" t="n">
        <x:f>I1747*'Parameters'!$C$18</x:f>
        <x:v>2.2055555555555557</x:v>
      </x:c>
      <x:c r="K1747" s="9" t="n">
        <x:f>J1747*'Parameters'!$C$19</x:f>
        <x:v>2.7569444444444446</x:v>
      </x:c>
      <x:c r="L1747" s="9" t="n">
        <x:f>I1747*(1-0.40)-J1747</x:f>
        <x:v>4.411111111111111</x:v>
      </x:c>
      <x:c r="M1747" s="9" t="n">
        <x:f>'Physical_Arcs'!S7</x:f>
        <x:v>11.027777777777779</x:v>
      </x:c>
      <x:c r="N1747" s="9" t="n">
        <x:f>M1747*'Parameters'!$C$18</x:f>
        <x:v>2.2055555555555557</x:v>
      </x:c>
      <x:c r="O1747" s="9" t="n">
        <x:f>N1747*'Parameters'!$C$19</x:f>
        <x:v>2.7569444444444446</x:v>
      </x:c>
      <x:c r="P1747" s="9" t="n">
        <x:f>M1747*(1-0.40)-N1747</x:f>
        <x:v>4.411111111111111</x:v>
      </x:c>
      <x:c r="Q1747" s="9" t="n">
        <x:f>'Physical_Arcs'!T7</x:f>
        <x:v>5.527777777777778</x:v>
      </x:c>
      <x:c r="R1747" s="9" t="n">
        <x:f>Q1747*'Parameters'!$C$18</x:f>
        <x:v>1.1055555555555556</x:v>
      </x:c>
      <x:c r="S1747" s="9" t="n">
        <x:f>R1747*'Parameters'!$C$19</x:f>
        <x:v>1.3819444444444446</x:v>
      </x:c>
      <x:c r="T1747" s="9" t="n">
        <x:f>Q1747*(1-0.40)-R1747</x:f>
        <x:v>2.211111111111111</x:v>
      </x:c>
    </x:row>
    <x:row r="1748" ht="21" customHeight="1">
      <x:c r="A1748" s="3" t="n">
        <x:v>29</x:v>
      </x:c>
      <x:c r="B1748" s="3" t="str">
        <x:v>04:50</x:v>
      </x:c>
      <x:c r="C1748" s="3" t="n">
        <x:v>5</x:v>
      </x:c>
      <x:c r="D1748" s="3" t="n">
        <x:v>7</x:v>
      </x:c>
      <x:c r="E1748" s="3" t="n">
        <x:v>1</x:v>
      </x:c>
      <x:c r="F1748" s="3" t="n">
        <x:v>5</x:v>
      </x:c>
      <x:c r="G1748" s="9" t="n">
        <x:v>0.1</x:v>
      </x:c>
      <x:c r="H1748" s="9" t="n">
        <x:v>1.038222</x:v>
      </x:c>
      <x:c r="I1748" s="9" t="n">
        <x:f>'Physical_Arcs'!R8</x:f>
        <x:v>7.972222222222222</x:v>
      </x:c>
      <x:c r="J1748" s="9" t="n">
        <x:f>I1748*'Parameters'!$C$18</x:f>
        <x:v>1.5944444444444446</x:v>
      </x:c>
      <x:c r="K1748" s="9" t="n">
        <x:f>J1748*'Parameters'!$C$19</x:f>
        <x:v>1.9930555555555558</x:v>
      </x:c>
      <x:c r="L1748" s="9" t="n">
        <x:f>I1748*(1-0.40)-J1748</x:f>
        <x:v>3.1888888888888887</x:v>
      </x:c>
      <x:c r="M1748" s="9" t="n">
        <x:f>'Physical_Arcs'!S8</x:f>
        <x:v>7.972222222222222</x:v>
      </x:c>
      <x:c r="N1748" s="9" t="n">
        <x:f>M1748*'Parameters'!$C$18</x:f>
        <x:v>1.5944444444444446</x:v>
      </x:c>
      <x:c r="O1748" s="9" t="n">
        <x:f>N1748*'Parameters'!$C$19</x:f>
        <x:v>1.9930555555555558</x:v>
      </x:c>
      <x:c r="P1748" s="9" t="n">
        <x:f>M1748*(1-0.40)-N1748</x:f>
        <x:v>3.1888888888888887</x:v>
      </x:c>
      <x:c r="Q1748" s="9" t="n">
        <x:f>'Physical_Arcs'!T8</x:f>
        <x:v>4</x:v>
      </x:c>
      <x:c r="R1748" s="9" t="n">
        <x:f>Q1748*'Parameters'!$C$18</x:f>
        <x:v>0.8</x:v>
      </x:c>
      <x:c r="S1748" s="9" t="n">
        <x:f>R1748*'Parameters'!$C$19</x:f>
        <x:v>1</x:v>
      </x:c>
      <x:c r="T1748" s="9" t="n">
        <x:f>Q1748*(1-0.40)-R1748</x:f>
        <x:v>1.5999999999999999</x:v>
      </x:c>
    </x:row>
    <x:row r="1749" ht="21" customHeight="1">
      <x:c r="A1749" s="3" t="n">
        <x:v>29</x:v>
      </x:c>
      <x:c r="B1749" s="3" t="str">
        <x:v>04:50</x:v>
      </x:c>
      <x:c r="C1749" s="3" t="n">
        <x:v>5</x:v>
      </x:c>
      <x:c r="D1749" s="3" t="n">
        <x:v>8</x:v>
      </x:c>
      <x:c r="E1749" s="3" t="n">
        <x:v>1</x:v>
      </x:c>
      <x:c r="F1749" s="3" t="n">
        <x:v>3</x:v>
      </x:c>
      <x:c r="G1749" s="9" t="n">
        <x:v>0.1</x:v>
      </x:c>
      <x:c r="H1749" s="9" t="n">
        <x:v>1.122297</x:v>
      </x:c>
      <x:c r="I1749" s="9" t="n">
        <x:f>'Physical_Arcs'!R9</x:f>
        <x:v>4.166666666666667</x:v>
      </x:c>
      <x:c r="J1749" s="9" t="n">
        <x:f>I1749*'Parameters'!$C$18</x:f>
        <x:v>0.8333333333333335</x:v>
      </x:c>
      <x:c r="K1749" s="9" t="n">
        <x:f>J1749*'Parameters'!$C$19</x:f>
        <x:v>1.041666666666667</x:v>
      </x:c>
      <x:c r="L1749" s="9" t="n">
        <x:f>I1749*(1-0.40)-J1749</x:f>
        <x:v>1.6666666666666665</x:v>
      </x:c>
      <x:c r="M1749" s="9" t="n">
        <x:f>'Physical_Arcs'!S9</x:f>
        <x:v>4.166666666666667</x:v>
      </x:c>
      <x:c r="N1749" s="9" t="n">
        <x:f>M1749*'Parameters'!$C$18</x:f>
        <x:v>0.8333333333333335</x:v>
      </x:c>
      <x:c r="O1749" s="9" t="n">
        <x:f>N1749*'Parameters'!$C$19</x:f>
        <x:v>1.041666666666667</x:v>
      </x:c>
      <x:c r="P1749" s="9" t="n">
        <x:f>M1749*(1-0.40)-N1749</x:f>
        <x:v>1.6666666666666665</x:v>
      </x:c>
      <x:c r="Q1749" s="9" t="n">
        <x:f>'Physical_Arcs'!T9</x:f>
        <x:v>2.0833333333333335</x:v>
      </x:c>
      <x:c r="R1749" s="9" t="n">
        <x:f>Q1749*'Parameters'!$C$18</x:f>
        <x:v>0.41666666666666674</x:v>
      </x:c>
      <x:c r="S1749" s="9" t="n">
        <x:f>R1749*'Parameters'!$C$19</x:f>
        <x:v>0.5208333333333335</x:v>
      </x:c>
      <x:c r="T1749" s="9" t="n">
        <x:f>Q1749*(1-0.40)-R1749</x:f>
        <x:v>0.8333333333333333</x:v>
      </x:c>
    </x:row>
    <x:row r="1750" ht="21" customHeight="1">
      <x:c r="A1750" s="3" t="n">
        <x:v>29</x:v>
      </x:c>
      <x:c r="B1750" s="3" t="str">
        <x:v>04:50</x:v>
      </x:c>
      <x:c r="C1750" s="3" t="n">
        <x:v>5</x:v>
      </x:c>
      <x:c r="D1750" s="3" t="n">
        <x:v>9</x:v>
      </x:c>
      <x:c r="E1750" s="3" t="n">
        <x:v>1</x:v>
      </x:c>
      <x:c r="F1750" s="3" t="n">
        <x:v>6</x:v>
      </x:c>
      <x:c r="G1750" s="9" t="n">
        <x:v>0.1</x:v>
      </x:c>
      <x:c r="H1750" s="9" t="n">
        <x:v>1.132682</x:v>
      </x:c>
      <x:c r="I1750" s="9" t="n">
        <x:f>'Physical_Arcs'!R10</x:f>
        <x:v>2.138888888888889</x:v>
      </x:c>
      <x:c r="J1750" s="9" t="n">
        <x:f>I1750*'Parameters'!$C$18</x:f>
        <x:v>0.4277777777777778</x:v>
      </x:c>
      <x:c r="K1750" s="9" t="n">
        <x:f>J1750*'Parameters'!$C$19</x:f>
        <x:v>0.5347222222222223</x:v>
      </x:c>
      <x:c r="L1750" s="9" t="n">
        <x:f>I1750*(1-0.40)-J1750</x:f>
        <x:v>0.8555555555555554</x:v>
      </x:c>
      <x:c r="M1750" s="9" t="n">
        <x:f>'Physical_Arcs'!S10</x:f>
        <x:v>2.138888888888889</x:v>
      </x:c>
      <x:c r="N1750" s="9" t="n">
        <x:f>M1750*'Parameters'!$C$18</x:f>
        <x:v>0.4277777777777778</x:v>
      </x:c>
      <x:c r="O1750" s="9" t="n">
        <x:f>N1750*'Parameters'!$C$19</x:f>
        <x:v>0.5347222222222223</x:v>
      </x:c>
      <x:c r="P1750" s="9" t="n">
        <x:f>M1750*(1-0.40)-N1750</x:f>
        <x:v>0.8555555555555554</x:v>
      </x:c>
      <x:c r="Q1750" s="9" t="n">
        <x:f>'Physical_Arcs'!T10</x:f>
        <x:v>1.0833333333333333</x:v>
      </x:c>
      <x:c r="R1750" s="9" t="n">
        <x:f>Q1750*'Parameters'!$C$18</x:f>
        <x:v>0.21666666666666667</x:v>
      </x:c>
      <x:c r="S1750" s="9" t="n">
        <x:f>R1750*'Parameters'!$C$19</x:f>
        <x:v>0.27083333333333337</x:v>
      </x:c>
      <x:c r="T1750" s="9" t="n">
        <x:f>Q1750*(1-0.40)-R1750</x:f>
        <x:v>0.43333333333333324</x:v>
      </x:c>
    </x:row>
    <x:row r="1751" ht="21" customHeight="1">
      <x:c r="A1751" s="3" t="n">
        <x:v>29</x:v>
      </x:c>
      <x:c r="B1751" s="3" t="str">
        <x:v>04:50</x:v>
      </x:c>
      <x:c r="C1751" s="3" t="n">
        <x:v>5</x:v>
      </x:c>
      <x:c r="D1751" s="3" t="n">
        <x:v>10</x:v>
      </x:c>
      <x:c r="E1751" s="3" t="n">
        <x:v>2</x:v>
      </x:c>
      <x:c r="F1751" s="3" t="n">
        <x:v>3</x:v>
      </x:c>
      <x:c r="G1751" s="9" t="n">
        <x:v>0.1</x:v>
      </x:c>
      <x:c r="H1751" s="9" t="n">
        <x:v>0.871154</x:v>
      </x:c>
      <x:c r="I1751" s="9" t="n">
        <x:f>'Physical_Arcs'!R11</x:f>
        <x:v>17.02777777777778</x:v>
      </x:c>
      <x:c r="J1751" s="9" t="n">
        <x:f>I1751*'Parameters'!$C$18</x:f>
        <x:v>3.405555555555556</x:v>
      </x:c>
      <x:c r="K1751" s="9" t="n">
        <x:f>J1751*'Parameters'!$C$19</x:f>
        <x:v>4.256944444444445</x:v>
      </x:c>
      <x:c r="L1751" s="9" t="n">
        <x:f>I1751*(1-0.40)-J1751</x:f>
        <x:v>6.811111111111111</x:v>
      </x:c>
      <x:c r="M1751" s="9" t="n">
        <x:f>'Physical_Arcs'!S11</x:f>
        <x:v>17.02777777777778</x:v>
      </x:c>
      <x:c r="N1751" s="9" t="n">
        <x:f>M1751*'Parameters'!$C$18</x:f>
        <x:v>3.405555555555556</x:v>
      </x:c>
      <x:c r="O1751" s="9" t="n">
        <x:f>N1751*'Parameters'!$C$19</x:f>
        <x:v>4.256944444444445</x:v>
      </x:c>
      <x:c r="P1751" s="9" t="n">
        <x:f>M1751*(1-0.40)-N1751</x:f>
        <x:v>6.811111111111111</x:v>
      </x:c>
      <x:c r="Q1751" s="9" t="n">
        <x:f>'Physical_Arcs'!T11</x:f>
        <x:v>17.02777777777778</x:v>
      </x:c>
      <x:c r="R1751" s="9" t="n">
        <x:f>Q1751*'Parameters'!$C$18</x:f>
        <x:v>3.405555555555556</x:v>
      </x:c>
      <x:c r="S1751" s="9" t="n">
        <x:f>R1751*'Parameters'!$C$19</x:f>
        <x:v>4.256944444444445</x:v>
      </x:c>
      <x:c r="T1751" s="9" t="n">
        <x:f>Q1751*(1-0.40)-R1751</x:f>
        <x:v>6.811111111111111</x:v>
      </x:c>
    </x:row>
    <x:row r="1752" ht="21" customHeight="1">
      <x:c r="A1752" s="3" t="n">
        <x:v>29</x:v>
      </x:c>
      <x:c r="B1752" s="3" t="str">
        <x:v>04:50</x:v>
      </x:c>
      <x:c r="C1752" s="3" t="n">
        <x:v>5</x:v>
      </x:c>
      <x:c r="D1752" s="3" t="n">
        <x:v>11</x:v>
      </x:c>
      <x:c r="E1752" s="3" t="n">
        <x:v>2</x:v>
      </x:c>
      <x:c r="F1752" s="3" t="n">
        <x:v>4</x:v>
      </x:c>
      <x:c r="G1752" s="9" t="n">
        <x:v>0.1</x:v>
      </x:c>
      <x:c r="H1752" s="9" t="n">
        <x:v>1.147412</x:v>
      </x:c>
      <x:c r="I1752" s="9" t="n">
        <x:f>'Physical_Arcs'!R12</x:f>
        <x:v>7.972222222222222</x:v>
      </x:c>
      <x:c r="J1752" s="9" t="n">
        <x:f>I1752*'Parameters'!$C$18</x:f>
        <x:v>1.5944444444444446</x:v>
      </x:c>
      <x:c r="K1752" s="9" t="n">
        <x:f>J1752*'Parameters'!$C$19</x:f>
        <x:v>1.9930555555555558</x:v>
      </x:c>
      <x:c r="L1752" s="9" t="n">
        <x:f>I1752*(1-0.40)-J1752</x:f>
        <x:v>3.1888888888888887</x:v>
      </x:c>
      <x:c r="M1752" s="9" t="n">
        <x:f>'Physical_Arcs'!S12</x:f>
        <x:v>7.972222222222222</x:v>
      </x:c>
      <x:c r="N1752" s="9" t="n">
        <x:f>M1752*'Parameters'!$C$18</x:f>
        <x:v>1.5944444444444446</x:v>
      </x:c>
      <x:c r="O1752" s="9" t="n">
        <x:f>N1752*'Parameters'!$C$19</x:f>
        <x:v>1.9930555555555558</x:v>
      </x:c>
      <x:c r="P1752" s="9" t="n">
        <x:f>M1752*(1-0.40)-N1752</x:f>
        <x:v>3.1888888888888887</x:v>
      </x:c>
      <x:c r="Q1752" s="9" t="n">
        <x:f>'Physical_Arcs'!T12</x:f>
        <x:v>4</x:v>
      </x:c>
      <x:c r="R1752" s="9" t="n">
        <x:f>Q1752*'Parameters'!$C$18</x:f>
        <x:v>0.8</x:v>
      </x:c>
      <x:c r="S1752" s="9" t="n">
        <x:f>R1752*'Parameters'!$C$19</x:f>
        <x:v>1</x:v>
      </x:c>
      <x:c r="T1752" s="9" t="n">
        <x:f>Q1752*(1-0.40)-R1752</x:f>
        <x:v>1.5999999999999999</x:v>
      </x:c>
    </x:row>
    <x:row r="1753" ht="21" customHeight="1">
      <x:c r="A1753" s="3" t="n">
        <x:v>29</x:v>
      </x:c>
      <x:c r="B1753" s="3" t="str">
        <x:v>04:50</x:v>
      </x:c>
      <x:c r="C1753" s="3" t="n">
        <x:v>5</x:v>
      </x:c>
      <x:c r="D1753" s="3" t="n">
        <x:v>12</x:v>
      </x:c>
      <x:c r="E1753" s="3" t="n">
        <x:v>2</x:v>
      </x:c>
      <x:c r="F1753" s="3" t="n">
        <x:v>7</x:v>
      </x:c>
      <x:c r="G1753" s="9" t="n">
        <x:v>0.1</x:v>
      </x:c>
      <x:c r="H1753" s="9" t="n">
        <x:v>0.96729</x:v>
      </x:c>
      <x:c r="I1753" s="9" t="n">
        <x:f>'Physical_Arcs'!R13</x:f>
        <x:v>4.611111111111111</x:v>
      </x:c>
      <x:c r="J1753" s="9" t="n">
        <x:f>I1753*'Parameters'!$C$18</x:f>
        <x:v>0.9222222222222222</x:v>
      </x:c>
      <x:c r="K1753" s="9" t="n">
        <x:f>J1753*'Parameters'!$C$19</x:f>
        <x:v>1.1527777777777777</x:v>
      </x:c>
      <x:c r="L1753" s="9" t="n">
        <x:f>I1753*(1-0.40)-J1753</x:f>
        <x:v>1.844444444444444</x:v>
      </x:c>
      <x:c r="M1753" s="9" t="n">
        <x:f>'Physical_Arcs'!S13</x:f>
        <x:v>4.611111111111111</x:v>
      </x:c>
      <x:c r="N1753" s="9" t="n">
        <x:f>M1753*'Parameters'!$C$18</x:f>
        <x:v>0.9222222222222222</x:v>
      </x:c>
      <x:c r="O1753" s="9" t="n">
        <x:f>N1753*'Parameters'!$C$19</x:f>
        <x:v>1.1527777777777777</x:v>
      </x:c>
      <x:c r="P1753" s="9" t="n">
        <x:f>M1753*(1-0.40)-N1753</x:f>
        <x:v>1.844444444444444</x:v>
      </x:c>
      <x:c r="Q1753" s="9" t="n">
        <x:f>'Physical_Arcs'!T13</x:f>
        <x:v>2.3055555555555554</x:v>
      </x:c>
      <x:c r="R1753" s="9" t="n">
        <x:f>Q1753*'Parameters'!$C$18</x:f>
        <x:v>0.4611111111111111</x:v>
      </x:c>
      <x:c r="S1753" s="9" t="n">
        <x:f>R1753*'Parameters'!$C$19</x:f>
        <x:v>0.5763888888888888</x:v>
      </x:c>
      <x:c r="T1753" s="9" t="n">
        <x:f>Q1753*(1-0.40)-R1753</x:f>
        <x:v>0.922222222222222</x:v>
      </x:c>
    </x:row>
    <x:row r="1754" ht="21" customHeight="1">
      <x:c r="A1754" s="3" t="n">
        <x:v>29</x:v>
      </x:c>
      <x:c r="B1754" s="3" t="str">
        <x:v>04:50</x:v>
      </x:c>
      <x:c r="C1754" s="3" t="n">
        <x:v>5</x:v>
      </x:c>
      <x:c r="D1754" s="3" t="n">
        <x:v>13</x:v>
      </x:c>
      <x:c r="E1754" s="3" t="n">
        <x:v>2</x:v>
      </x:c>
      <x:c r="F1754" s="3" t="n">
        <x:v>9</x:v>
      </x:c>
      <x:c r="G1754" s="9" t="n">
        <x:v>0.1</x:v>
      </x:c>
      <x:c r="H1754" s="9" t="n">
        <x:v>1.117625</x:v>
      </x:c>
      <x:c r="I1754" s="9" t="n">
        <x:f>'Physical_Arcs'!R14</x:f>
        <x:v>8.666666666666666</x:v>
      </x:c>
      <x:c r="J1754" s="9" t="n">
        <x:f>I1754*'Parameters'!$C$18</x:f>
        <x:v>1.7333333333333334</x:v>
      </x:c>
      <x:c r="K1754" s="9" t="n">
        <x:f>J1754*'Parameters'!$C$19</x:f>
        <x:v>2.166666666666667</x:v>
      </x:c>
      <x:c r="L1754" s="9" t="n">
        <x:f>I1754*(1-0.40)-J1754</x:f>
        <x:v>3.466666666666666</x:v>
      </x:c>
      <x:c r="M1754" s="9" t="n">
        <x:f>'Physical_Arcs'!S14</x:f>
        <x:v>8.666666666666666</x:v>
      </x:c>
      <x:c r="N1754" s="9" t="n">
        <x:f>M1754*'Parameters'!$C$18</x:f>
        <x:v>1.7333333333333334</x:v>
      </x:c>
      <x:c r="O1754" s="9" t="n">
        <x:f>N1754*'Parameters'!$C$19</x:f>
        <x:v>2.166666666666667</x:v>
      </x:c>
      <x:c r="P1754" s="9" t="n">
        <x:f>M1754*(1-0.40)-N1754</x:f>
        <x:v>3.466666666666666</x:v>
      </x:c>
      <x:c r="Q1754" s="9" t="n">
        <x:f>'Physical_Arcs'!T14</x:f>
        <x:v>4.333333333333333</x:v>
      </x:c>
      <x:c r="R1754" s="9" t="n">
        <x:f>Q1754*'Parameters'!$C$18</x:f>
        <x:v>0.8666666666666667</x:v>
      </x:c>
      <x:c r="S1754" s="9" t="n">
        <x:f>R1754*'Parameters'!$C$19</x:f>
        <x:v>1.0833333333333335</x:v>
      </x:c>
      <x:c r="T1754" s="9" t="n">
        <x:f>Q1754*(1-0.40)-R1754</x:f>
        <x:v>1.733333333333333</x:v>
      </x:c>
    </x:row>
    <x:row r="1755" ht="21" customHeight="1">
      <x:c r="A1755" s="3" t="n">
        <x:v>29</x:v>
      </x:c>
      <x:c r="B1755" s="3" t="str">
        <x:v>04:50</x:v>
      </x:c>
      <x:c r="C1755" s="3" t="n">
        <x:v>5</x:v>
      </x:c>
      <x:c r="D1755" s="3" t="n">
        <x:v>14</x:v>
      </x:c>
      <x:c r="E1755" s="3" t="n">
        <x:v>2</x:v>
      </x:c>
      <x:c r="F1755" s="3" t="n">
        <x:v>8</x:v>
      </x:c>
      <x:c r="G1755" s="9" t="n">
        <x:v>0.1</x:v>
      </x:c>
      <x:c r="H1755" s="9" t="n">
        <x:v>1.144902</x:v>
      </x:c>
      <x:c r="I1755" s="9" t="n">
        <x:f>'Physical_Arcs'!R15</x:f>
        <x:v>7.75</x:v>
      </x:c>
      <x:c r="J1755" s="9" t="n">
        <x:f>I1755*'Parameters'!$C$18</x:f>
        <x:v>1.55</x:v>
      </x:c>
      <x:c r="K1755" s="9" t="n">
        <x:f>J1755*'Parameters'!$C$19</x:f>
        <x:v>1.9375</x:v>
      </x:c>
      <x:c r="L1755" s="9" t="n">
        <x:f>I1755*(1-0.40)-J1755</x:f>
        <x:v>3.0999999999999996</x:v>
      </x:c>
      <x:c r="M1755" s="9" t="n">
        <x:f>'Physical_Arcs'!S15</x:f>
        <x:v>7.75</x:v>
      </x:c>
      <x:c r="N1755" s="9" t="n">
        <x:f>M1755*'Parameters'!$C$18</x:f>
        <x:v>1.55</x:v>
      </x:c>
      <x:c r="O1755" s="9" t="n">
        <x:f>N1755*'Parameters'!$C$19</x:f>
        <x:v>1.9375</x:v>
      </x:c>
      <x:c r="P1755" s="9" t="n">
        <x:f>M1755*(1-0.40)-N1755</x:f>
        <x:v>3.0999999999999996</x:v>
      </x:c>
      <x:c r="Q1755" s="9" t="n">
        <x:f>'Physical_Arcs'!T15</x:f>
        <x:v>3.888888888888889</x:v>
      </x:c>
      <x:c r="R1755" s="9" t="n">
        <x:f>Q1755*'Parameters'!$C$18</x:f>
        <x:v>0.7777777777777778</x:v>
      </x:c>
      <x:c r="S1755" s="9" t="n">
        <x:f>R1755*'Parameters'!$C$19</x:f>
        <x:v>0.9722222222222222</x:v>
      </x:c>
      <x:c r="T1755" s="9" t="n">
        <x:f>Q1755*(1-0.40)-R1755</x:f>
        <x:v>1.5555555555555554</x:v>
      </x:c>
    </x:row>
    <x:row r="1756" ht="21" customHeight="1">
      <x:c r="A1756" s="3" t="n">
        <x:v>29</x:v>
      </x:c>
      <x:c r="B1756" s="3" t="str">
        <x:v>04:50</x:v>
      </x:c>
      <x:c r="C1756" s="3" t="n">
        <x:v>5</x:v>
      </x:c>
      <x:c r="D1756" s="3" t="n">
        <x:v>15</x:v>
      </x:c>
      <x:c r="E1756" s="3" t="n">
        <x:v>2</x:v>
      </x:c>
      <x:c r="F1756" s="3" t="n">
        <x:v>10</x:v>
      </x:c>
      <x:c r="G1756" s="9" t="n">
        <x:v>0.1</x:v>
      </x:c>
      <x:c r="H1756" s="9" t="n">
        <x:v>1.146684</x:v>
      </x:c>
      <x:c r="I1756" s="9" t="n">
        <x:f>'Physical_Arcs'!R16</x:f>
        <x:v>7.416666666666667</x:v>
      </x:c>
      <x:c r="J1756" s="9" t="n">
        <x:f>I1756*'Parameters'!$C$18</x:f>
        <x:v>1.4833333333333334</x:v>
      </x:c>
      <x:c r="K1756" s="9" t="n">
        <x:f>J1756*'Parameters'!$C$19</x:f>
        <x:v>1.8541666666666667</x:v>
      </x:c>
      <x:c r="L1756" s="9" t="n">
        <x:f>I1756*(1-0.40)-J1756</x:f>
        <x:v>2.966666666666667</x:v>
      </x:c>
      <x:c r="M1756" s="9" t="n">
        <x:f>'Physical_Arcs'!S16</x:f>
        <x:v>7.416666666666667</x:v>
      </x:c>
      <x:c r="N1756" s="9" t="n">
        <x:f>M1756*'Parameters'!$C$18</x:f>
        <x:v>1.4833333333333334</x:v>
      </x:c>
      <x:c r="O1756" s="9" t="n">
        <x:f>N1756*'Parameters'!$C$19</x:f>
        <x:v>1.8541666666666667</x:v>
      </x:c>
      <x:c r="P1756" s="9" t="n">
        <x:f>M1756*(1-0.40)-N1756</x:f>
        <x:v>2.966666666666667</x:v>
      </x:c>
      <x:c r="Q1756" s="9" t="n">
        <x:f>'Physical_Arcs'!T16</x:f>
        <x:v>3.7222222222222223</x:v>
      </x:c>
      <x:c r="R1756" s="9" t="n">
        <x:f>Q1756*'Parameters'!$C$18</x:f>
        <x:v>0.7444444444444445</x:v>
      </x:c>
      <x:c r="S1756" s="9" t="n">
        <x:f>R1756*'Parameters'!$C$19</x:f>
        <x:v>0.9305555555555556</x:v>
      </x:c>
      <x:c r="T1756" s="9" t="n">
        <x:f>Q1756*(1-0.40)-R1756</x:f>
        <x:v>1.488888888888889</x:v>
      </x:c>
    </x:row>
    <x:row r="1757" ht="21" customHeight="1">
      <x:c r="A1757" s="3" t="n">
        <x:v>29</x:v>
      </x:c>
      <x:c r="B1757" s="3" t="str">
        <x:v>04:50</x:v>
      </x:c>
      <x:c r="C1757" s="3" t="n">
        <x:v>5</x:v>
      </x:c>
      <x:c r="D1757" s="3" t="n">
        <x:v>16</x:v>
      </x:c>
      <x:c r="E1757" s="3" t="n">
        <x:v>3</x:v>
      </x:c>
      <x:c r="F1757" s="3" t="n">
        <x:v>4</x:v>
      </x:c>
      <x:c r="G1757" s="9" t="n">
        <x:v>0.1</x:v>
      </x:c>
      <x:c r="H1757" s="9" t="n">
        <x:v>1.017658</x:v>
      </x:c>
      <x:c r="I1757" s="9" t="n">
        <x:f>'Physical_Arcs'!R17</x:f>
        <x:v>17.02777777777778</x:v>
      </x:c>
      <x:c r="J1757" s="9" t="n">
        <x:f>I1757*'Parameters'!$C$18</x:f>
        <x:v>3.405555555555556</x:v>
      </x:c>
      <x:c r="K1757" s="9" t="n">
        <x:f>J1757*'Parameters'!$C$19</x:f>
        <x:v>4.256944444444445</x:v>
      </x:c>
      <x:c r="L1757" s="9" t="n">
        <x:f>I1757*(1-0.40)-J1757</x:f>
        <x:v>6.811111111111111</x:v>
      </x:c>
      <x:c r="M1757" s="9" t="n">
        <x:f>'Physical_Arcs'!S17</x:f>
        <x:v>17.02777777777778</x:v>
      </x:c>
      <x:c r="N1757" s="9" t="n">
        <x:f>M1757*'Parameters'!$C$18</x:f>
        <x:v>3.405555555555556</x:v>
      </x:c>
      <x:c r="O1757" s="9" t="n">
        <x:f>N1757*'Parameters'!$C$19</x:f>
        <x:v>4.256944444444445</x:v>
      </x:c>
      <x:c r="P1757" s="9" t="n">
        <x:f>M1757*(1-0.40)-N1757</x:f>
        <x:v>6.811111111111111</x:v>
      </x:c>
      <x:c r="Q1757" s="9" t="n">
        <x:f>'Physical_Arcs'!T17</x:f>
        <x:v>17.02777777777778</x:v>
      </x:c>
      <x:c r="R1757" s="9" t="n">
        <x:f>Q1757*'Parameters'!$C$18</x:f>
        <x:v>3.405555555555556</x:v>
      </x:c>
      <x:c r="S1757" s="9" t="n">
        <x:f>R1757*'Parameters'!$C$19</x:f>
        <x:v>4.256944444444445</x:v>
      </x:c>
      <x:c r="T1757" s="9" t="n">
        <x:f>Q1757*(1-0.40)-R1757</x:f>
        <x:v>6.811111111111111</x:v>
      </x:c>
    </x:row>
    <x:row r="1758" ht="21" customHeight="1">
      <x:c r="A1758" s="3" t="n">
        <x:v>29</x:v>
      </x:c>
      <x:c r="B1758" s="3" t="str">
        <x:v>04:50</x:v>
      </x:c>
      <x:c r="C1758" s="3" t="n">
        <x:v>5</x:v>
      </x:c>
      <x:c r="D1758" s="3" t="n">
        <x:v>17</x:v>
      </x:c>
      <x:c r="E1758" s="3" t="n">
        <x:v>3</x:v>
      </x:c>
      <x:c r="F1758" s="3" t="n">
        <x:v>2</x:v>
      </x:c>
      <x:c r="G1758" s="9" t="n">
        <x:v>0.1</x:v>
      </x:c>
      <x:c r="H1758" s="9" t="n">
        <x:v>0.875995</x:v>
      </x:c>
      <x:c r="I1758" s="9" t="n">
        <x:f>'Physical_Arcs'!R18</x:f>
        <x:v>10.666666666666666</x:v>
      </x:c>
      <x:c r="J1758" s="9" t="n">
        <x:f>I1758*'Parameters'!$C$18</x:f>
        <x:v>2.1333333333333333</x:v>
      </x:c>
      <x:c r="K1758" s="9" t="n">
        <x:f>J1758*'Parameters'!$C$19</x:f>
        <x:v>2.6666666666666665</x:v>
      </x:c>
      <x:c r="L1758" s="9" t="n">
        <x:f>I1758*(1-0.40)-J1758</x:f>
        <x:v>4.266666666666666</x:v>
      </x:c>
      <x:c r="M1758" s="9" t="n">
        <x:f>'Physical_Arcs'!S18</x:f>
        <x:v>10.666666666666666</x:v>
      </x:c>
      <x:c r="N1758" s="9" t="n">
        <x:f>M1758*'Parameters'!$C$18</x:f>
        <x:v>2.1333333333333333</x:v>
      </x:c>
      <x:c r="O1758" s="9" t="n">
        <x:f>N1758*'Parameters'!$C$19</x:f>
        <x:v>2.6666666666666665</x:v>
      </x:c>
      <x:c r="P1758" s="9" t="n">
        <x:f>M1758*(1-0.40)-N1758</x:f>
        <x:v>4.266666666666666</x:v>
      </x:c>
      <x:c r="Q1758" s="9" t="n">
        <x:f>'Physical_Arcs'!T18</x:f>
        <x:v>5.333333333333333</x:v>
      </x:c>
      <x:c r="R1758" s="9" t="n">
        <x:f>Q1758*'Parameters'!$C$18</x:f>
        <x:v>1.0666666666666667</x:v>
      </x:c>
      <x:c r="S1758" s="9" t="n">
        <x:f>R1758*'Parameters'!$C$19</x:f>
        <x:v>1.3333333333333333</x:v>
      </x:c>
      <x:c r="T1758" s="9" t="n">
        <x:f>Q1758*(1-0.40)-R1758</x:f>
        <x:v>2.133333333333333</x:v>
      </x:c>
    </x:row>
    <x:row r="1759" ht="21" customHeight="1">
      <x:c r="A1759" s="3" t="n">
        <x:v>29</x:v>
      </x:c>
      <x:c r="B1759" s="3" t="str">
        <x:v>04:50</x:v>
      </x:c>
      <x:c r="C1759" s="3" t="n">
        <x:v>5</x:v>
      </x:c>
      <x:c r="D1759" s="3" t="n">
        <x:v>18</x:v>
      </x:c>
      <x:c r="E1759" s="3" t="n">
        <x:v>3</x:v>
      </x:c>
      <x:c r="F1759" s="3" t="n">
        <x:v>1</x:v>
      </x:c>
      <x:c r="G1759" s="9" t="n">
        <x:v>0.1</x:v>
      </x:c>
      <x:c r="H1759" s="9" t="n">
        <x:v>1.015397</x:v>
      </x:c>
      <x:c r="I1759" s="9" t="n">
        <x:f>'Physical_Arcs'!R19</x:f>
        <x:v>5.166666666666667</x:v>
      </x:c>
      <x:c r="J1759" s="9" t="n">
        <x:f>I1759*'Parameters'!$C$18</x:f>
        <x:v>1.0333333333333334</x:v>
      </x:c>
      <x:c r="K1759" s="9" t="n">
        <x:f>J1759*'Parameters'!$C$19</x:f>
        <x:v>1.2916666666666667</x:v>
      </x:c>
      <x:c r="L1759" s="9" t="n">
        <x:f>I1759*(1-0.40)-J1759</x:f>
        <x:v>2.0666666666666664</x:v>
      </x:c>
      <x:c r="M1759" s="9" t="n">
        <x:f>'Physical_Arcs'!S19</x:f>
        <x:v>5.166666666666667</x:v>
      </x:c>
      <x:c r="N1759" s="9" t="n">
        <x:f>M1759*'Parameters'!$C$18</x:f>
        <x:v>1.0333333333333334</x:v>
      </x:c>
      <x:c r="O1759" s="9" t="n">
        <x:f>N1759*'Parameters'!$C$19</x:f>
        <x:v>1.2916666666666667</x:v>
      </x:c>
      <x:c r="P1759" s="9" t="n">
        <x:f>M1759*(1-0.40)-N1759</x:f>
        <x:v>2.0666666666666664</x:v>
      </x:c>
      <x:c r="Q1759" s="9" t="n">
        <x:f>'Physical_Arcs'!T19</x:f>
        <x:v>2.5833333333333335</x:v>
      </x:c>
      <x:c r="R1759" s="9" t="n">
        <x:f>Q1759*'Parameters'!$C$18</x:f>
        <x:v>0.5166666666666667</x:v>
      </x:c>
      <x:c r="S1759" s="9" t="n">
        <x:f>R1759*'Parameters'!$C$19</x:f>
        <x:v>0.6458333333333334</x:v>
      </x:c>
      <x:c r="T1759" s="9" t="n">
        <x:f>Q1759*(1-0.40)-R1759</x:f>
        <x:v>1.0333333333333332</x:v>
      </x:c>
    </x:row>
    <x:row r="1760" ht="21" customHeight="1">
      <x:c r="A1760" s="3" t="n">
        <x:v>29</x:v>
      </x:c>
      <x:c r="B1760" s="3" t="str">
        <x:v>04:50</x:v>
      </x:c>
      <x:c r="C1760" s="3" t="n">
        <x:v>5</x:v>
      </x:c>
      <x:c r="D1760" s="3" t="n">
        <x:v>19</x:v>
      </x:c>
      <x:c r="E1760" s="3" t="n">
        <x:v>3</x:v>
      </x:c>
      <x:c r="F1760" s="3" t="n">
        <x:v>7</x:v>
      </x:c>
      <x:c r="G1760" s="9" t="n">
        <x:v>0.1</x:v>
      </x:c>
      <x:c r="H1760" s="9" t="n">
        <x:v>0.996008</x:v>
      </x:c>
      <x:c r="I1760" s="9" t="n">
        <x:f>'Physical_Arcs'!R20</x:f>
        <x:v>5.75</x:v>
      </x:c>
      <x:c r="J1760" s="9" t="n">
        <x:f>I1760*'Parameters'!$C$18</x:f>
        <x:v>1.1500000000000001</x:v>
      </x:c>
      <x:c r="K1760" s="9" t="n">
        <x:f>J1760*'Parameters'!$C$19</x:f>
        <x:v>1.4375000000000002</x:v>
      </x:c>
      <x:c r="L1760" s="9" t="n">
        <x:f>I1760*(1-0.40)-J1760</x:f>
        <x:v>2.3</x:v>
      </x:c>
      <x:c r="M1760" s="9" t="n">
        <x:f>'Physical_Arcs'!S20</x:f>
        <x:v>5.75</x:v>
      </x:c>
      <x:c r="N1760" s="9" t="n">
        <x:f>M1760*'Parameters'!$C$18</x:f>
        <x:v>1.1500000000000001</x:v>
      </x:c>
      <x:c r="O1760" s="9" t="n">
        <x:f>N1760*'Parameters'!$C$19</x:f>
        <x:v>1.4375000000000002</x:v>
      </x:c>
      <x:c r="P1760" s="9" t="n">
        <x:f>M1760*(1-0.40)-N1760</x:f>
        <x:v>2.3</x:v>
      </x:c>
      <x:c r="Q1760" s="9" t="n">
        <x:f>'Physical_Arcs'!T20</x:f>
        <x:v>2.888888888888889</x:v>
      </x:c>
      <x:c r="R1760" s="9" t="n">
        <x:f>Q1760*'Parameters'!$C$18</x:f>
        <x:v>0.5777777777777778</x:v>
      </x:c>
      <x:c r="S1760" s="9" t="n">
        <x:f>R1760*'Parameters'!$C$19</x:f>
        <x:v>0.7222222222222223</x:v>
      </x:c>
      <x:c r="T1760" s="9" t="n">
        <x:f>Q1760*(1-0.40)-R1760</x:f>
        <x:v>1.1555555555555554</x:v>
      </x:c>
    </x:row>
    <x:row r="1761" ht="21" customHeight="1">
      <x:c r="A1761" s="3" t="n">
        <x:v>29</x:v>
      </x:c>
      <x:c r="B1761" s="3" t="str">
        <x:v>04:50</x:v>
      </x:c>
      <x:c r="C1761" s="3" t="n">
        <x:v>5</x:v>
      </x:c>
      <x:c r="D1761" s="3" t="n">
        <x:v>20</x:v>
      </x:c>
      <x:c r="E1761" s="3" t="n">
        <x:v>3</x:v>
      </x:c>
      <x:c r="F1761" s="3" t="n">
        <x:v>10</x:v>
      </x:c>
      <x:c r="G1761" s="9" t="n">
        <x:v>0.1</x:v>
      </x:c>
      <x:c r="H1761" s="9" t="n">
        <x:v>1.118855</x:v>
      </x:c>
      <x:c r="I1761" s="9" t="n">
        <x:f>'Physical_Arcs'!R21</x:f>
        <x:v>5.166666666666667</x:v>
      </x:c>
      <x:c r="J1761" s="9" t="n">
        <x:f>I1761*'Parameters'!$C$18</x:f>
        <x:v>1.0333333333333334</x:v>
      </x:c>
      <x:c r="K1761" s="9" t="n">
        <x:f>J1761*'Parameters'!$C$19</x:f>
        <x:v>1.2916666666666667</x:v>
      </x:c>
      <x:c r="L1761" s="9" t="n">
        <x:f>I1761*(1-0.40)-J1761</x:f>
        <x:v>2.0666666666666664</x:v>
      </x:c>
      <x:c r="M1761" s="9" t="n">
        <x:f>'Physical_Arcs'!S21</x:f>
        <x:v>5.166666666666667</x:v>
      </x:c>
      <x:c r="N1761" s="9" t="n">
        <x:f>M1761*'Parameters'!$C$18</x:f>
        <x:v>1.0333333333333334</x:v>
      </x:c>
      <x:c r="O1761" s="9" t="n">
        <x:f>N1761*'Parameters'!$C$19</x:f>
        <x:v>1.2916666666666667</x:v>
      </x:c>
      <x:c r="P1761" s="9" t="n">
        <x:f>M1761*(1-0.40)-N1761</x:f>
        <x:v>2.0666666666666664</x:v>
      </x:c>
      <x:c r="Q1761" s="9" t="n">
        <x:f>'Physical_Arcs'!T21</x:f>
        <x:v>2.5833333333333335</x:v>
      </x:c>
      <x:c r="R1761" s="9" t="n">
        <x:f>Q1761*'Parameters'!$C$18</x:f>
        <x:v>0.5166666666666667</x:v>
      </x:c>
      <x:c r="S1761" s="9" t="n">
        <x:f>R1761*'Parameters'!$C$19</x:f>
        <x:v>0.6458333333333334</x:v>
      </x:c>
      <x:c r="T1761" s="9" t="n">
        <x:f>Q1761*(1-0.40)-R1761</x:f>
        <x:v>1.0333333333333332</x:v>
      </x:c>
    </x:row>
    <x:row r="1762" ht="21" customHeight="1">
      <x:c r="A1762" s="3" t="n">
        <x:v>29</x:v>
      </x:c>
      <x:c r="B1762" s="3" t="str">
        <x:v>04:50</x:v>
      </x:c>
      <x:c r="C1762" s="3" t="n">
        <x:v>5</x:v>
      </x:c>
      <x:c r="D1762" s="3" t="n">
        <x:v>21</x:v>
      </x:c>
      <x:c r="E1762" s="3" t="n">
        <x:v>3</x:v>
      </x:c>
      <x:c r="F1762" s="3" t="n">
        <x:v>9</x:v>
      </x:c>
      <x:c r="G1762" s="9" t="n">
        <x:v>0.1</x:v>
      </x:c>
      <x:c r="H1762" s="9" t="n">
        <x:v>0.947299</x:v>
      </x:c>
      <x:c r="I1762" s="9" t="n">
        <x:f>'Physical_Arcs'!R22</x:f>
        <x:v>9.333333333333334</x:v>
      </x:c>
      <x:c r="J1762" s="9" t="n">
        <x:f>I1762*'Parameters'!$C$18</x:f>
        <x:v>1.866666666666667</x:v>
      </x:c>
      <x:c r="K1762" s="9" t="n">
        <x:f>J1762*'Parameters'!$C$19</x:f>
        <x:v>2.3333333333333335</x:v>
      </x:c>
      <x:c r="L1762" s="9" t="n">
        <x:f>I1762*(1-0.40)-J1762</x:f>
        <x:v>3.7333333333333334</x:v>
      </x:c>
      <x:c r="M1762" s="9" t="n">
        <x:f>'Physical_Arcs'!S22</x:f>
        <x:v>9.333333333333334</x:v>
      </x:c>
      <x:c r="N1762" s="9" t="n">
        <x:f>M1762*'Parameters'!$C$18</x:f>
        <x:v>1.866666666666667</x:v>
      </x:c>
      <x:c r="O1762" s="9" t="n">
        <x:f>N1762*'Parameters'!$C$19</x:f>
        <x:v>2.3333333333333335</x:v>
      </x:c>
      <x:c r="P1762" s="9" t="n">
        <x:f>M1762*(1-0.40)-N1762</x:f>
        <x:v>3.7333333333333334</x:v>
      </x:c>
      <x:c r="Q1762" s="9" t="n">
        <x:f>'Physical_Arcs'!T22</x:f>
        <x:v>4.666666666666667</x:v>
      </x:c>
      <x:c r="R1762" s="9" t="n">
        <x:f>Q1762*'Parameters'!$C$18</x:f>
        <x:v>0.9333333333333335</x:v>
      </x:c>
      <x:c r="S1762" s="9" t="n">
        <x:f>R1762*'Parameters'!$C$19</x:f>
        <x:v>1.1666666666666667</x:v>
      </x:c>
      <x:c r="T1762" s="9" t="n">
        <x:f>Q1762*(1-0.40)-R1762</x:f>
        <x:v>1.8666666666666667</x:v>
      </x:c>
    </x:row>
    <x:row r="1763" ht="21" customHeight="1">
      <x:c r="A1763" s="3" t="n">
        <x:v>29</x:v>
      </x:c>
      <x:c r="B1763" s="3" t="str">
        <x:v>04:50</x:v>
      </x:c>
      <x:c r="C1763" s="3" t="n">
        <x:v>5</x:v>
      </x:c>
      <x:c r="D1763" s="3" t="n">
        <x:v>22</x:v>
      </x:c>
      <x:c r="E1763" s="3" t="n">
        <x:v>4</x:v>
      </x:c>
      <x:c r="F1763" s="3" t="n">
        <x:v>5</x:v>
      </x:c>
      <x:c r="G1763" s="9" t="n">
        <x:v>0.1</x:v>
      </x:c>
      <x:c r="H1763" s="9" t="n">
        <x:v>0.958485</x:v>
      </x:c>
      <x:c r="I1763" s="9" t="n">
        <x:f>'Physical_Arcs'!R23</x:f>
        <x:v>17.02777777777778</x:v>
      </x:c>
      <x:c r="J1763" s="9" t="n">
        <x:f>I1763*'Parameters'!$C$18</x:f>
        <x:v>3.405555555555556</x:v>
      </x:c>
      <x:c r="K1763" s="9" t="n">
        <x:f>J1763*'Parameters'!$C$19</x:f>
        <x:v>4.256944444444445</x:v>
      </x:c>
      <x:c r="L1763" s="9" t="n">
        <x:f>I1763*(1-0.40)-J1763</x:f>
        <x:v>6.811111111111111</x:v>
      </x:c>
      <x:c r="M1763" s="9" t="n">
        <x:f>'Physical_Arcs'!S23</x:f>
        <x:v>17.02777777777778</x:v>
      </x:c>
      <x:c r="N1763" s="9" t="n">
        <x:f>M1763*'Parameters'!$C$18</x:f>
        <x:v>3.405555555555556</x:v>
      </x:c>
      <x:c r="O1763" s="9" t="n">
        <x:f>N1763*'Parameters'!$C$19</x:f>
        <x:v>4.256944444444445</x:v>
      </x:c>
      <x:c r="P1763" s="9" t="n">
        <x:f>M1763*(1-0.40)-N1763</x:f>
        <x:v>6.811111111111111</x:v>
      </x:c>
      <x:c r="Q1763" s="9" t="n">
        <x:f>'Physical_Arcs'!T23</x:f>
        <x:v>17.02777777777778</x:v>
      </x:c>
      <x:c r="R1763" s="9" t="n">
        <x:f>Q1763*'Parameters'!$C$18</x:f>
        <x:v>3.405555555555556</x:v>
      </x:c>
      <x:c r="S1763" s="9" t="n">
        <x:f>R1763*'Parameters'!$C$19</x:f>
        <x:v>4.256944444444445</x:v>
      </x:c>
      <x:c r="T1763" s="9" t="n">
        <x:f>Q1763*(1-0.40)-R1763</x:f>
        <x:v>6.811111111111111</x:v>
      </x:c>
    </x:row>
    <x:row r="1764" ht="21" customHeight="1">
      <x:c r="A1764" s="3" t="n">
        <x:v>29</x:v>
      </x:c>
      <x:c r="B1764" s="3" t="str">
        <x:v>04:50</x:v>
      </x:c>
      <x:c r="C1764" s="3" t="n">
        <x:v>5</x:v>
      </x:c>
      <x:c r="D1764" s="3" t="n">
        <x:v>23</x:v>
      </x:c>
      <x:c r="E1764" s="3" t="n">
        <x:v>4</x:v>
      </x:c>
      <x:c r="F1764" s="3" t="n">
        <x:v>3</x:v>
      </x:c>
      <x:c r="G1764" s="9" t="n">
        <x:v>0.1</x:v>
      </x:c>
      <x:c r="H1764" s="9" t="n">
        <x:v>0.944916</x:v>
      </x:c>
      <x:c r="I1764" s="9" t="n">
        <x:f>'Physical_Arcs'!R24</x:f>
        <x:v>9.333333333333334</x:v>
      </x:c>
      <x:c r="J1764" s="9" t="n">
        <x:f>I1764*'Parameters'!$C$18</x:f>
        <x:v>1.866666666666667</x:v>
      </x:c>
      <x:c r="K1764" s="9" t="n">
        <x:f>J1764*'Parameters'!$C$19</x:f>
        <x:v>2.3333333333333335</x:v>
      </x:c>
      <x:c r="L1764" s="9" t="n">
        <x:f>I1764*(1-0.40)-J1764</x:f>
        <x:v>3.7333333333333334</x:v>
      </x:c>
      <x:c r="M1764" s="9" t="n">
        <x:f>'Physical_Arcs'!S24</x:f>
        <x:v>9.333333333333334</x:v>
      </x:c>
      <x:c r="N1764" s="9" t="n">
        <x:f>M1764*'Parameters'!$C$18</x:f>
        <x:v>1.866666666666667</x:v>
      </x:c>
      <x:c r="O1764" s="9" t="n">
        <x:f>N1764*'Parameters'!$C$19</x:f>
        <x:v>2.3333333333333335</x:v>
      </x:c>
      <x:c r="P1764" s="9" t="n">
        <x:f>M1764*(1-0.40)-N1764</x:f>
        <x:v>3.7333333333333334</x:v>
      </x:c>
      <x:c r="Q1764" s="9" t="n">
        <x:f>'Physical_Arcs'!T24</x:f>
        <x:v>4.666666666666667</x:v>
      </x:c>
      <x:c r="R1764" s="9" t="n">
        <x:f>Q1764*'Parameters'!$C$18</x:f>
        <x:v>0.9333333333333335</x:v>
      </x:c>
      <x:c r="S1764" s="9" t="n">
        <x:f>R1764*'Parameters'!$C$19</x:f>
        <x:v>1.1666666666666667</x:v>
      </x:c>
      <x:c r="T1764" s="9" t="n">
        <x:f>Q1764*(1-0.40)-R1764</x:f>
        <x:v>1.8666666666666667</x:v>
      </x:c>
    </x:row>
    <x:row r="1765" ht="21" customHeight="1">
      <x:c r="A1765" s="3" t="n">
        <x:v>29</x:v>
      </x:c>
      <x:c r="B1765" s="3" t="str">
        <x:v>04:50</x:v>
      </x:c>
      <x:c r="C1765" s="3" t="n">
        <x:v>5</x:v>
      </x:c>
      <x:c r="D1765" s="3" t="n">
        <x:v>24</x:v>
      </x:c>
      <x:c r="E1765" s="3" t="n">
        <x:v>4</x:v>
      </x:c>
      <x:c r="F1765" s="3" t="n">
        <x:v>10</x:v>
      </x:c>
      <x:c r="G1765" s="9" t="n">
        <x:v>0.1</x:v>
      </x:c>
      <x:c r="H1765" s="9" t="n">
        <x:v>0.875461</x:v>
      </x:c>
      <x:c r="I1765" s="9" t="n">
        <x:f>'Physical_Arcs'!R25</x:f>
        <x:v>7.194444444444445</x:v>
      </x:c>
      <x:c r="J1765" s="9" t="n">
        <x:f>I1765*'Parameters'!$C$18</x:f>
        <x:v>1.438888888888889</x:v>
      </x:c>
      <x:c r="K1765" s="9" t="n">
        <x:f>J1765*'Parameters'!$C$19</x:f>
        <x:v>1.7986111111111114</x:v>
      </x:c>
      <x:c r="L1765" s="9" t="n">
        <x:f>I1765*(1-0.40)-J1765</x:f>
        <x:v>2.8777777777777773</x:v>
      </x:c>
      <x:c r="M1765" s="9" t="n">
        <x:f>'Physical_Arcs'!S25</x:f>
        <x:v>7.194444444444445</x:v>
      </x:c>
      <x:c r="N1765" s="9" t="n">
        <x:f>M1765*'Parameters'!$C$18</x:f>
        <x:v>1.438888888888889</x:v>
      </x:c>
      <x:c r="O1765" s="9" t="n">
        <x:f>N1765*'Parameters'!$C$19</x:f>
        <x:v>1.7986111111111114</x:v>
      </x:c>
      <x:c r="P1765" s="9" t="n">
        <x:f>M1765*(1-0.40)-N1765</x:f>
        <x:v>2.8777777777777773</x:v>
      </x:c>
      <x:c r="Q1765" s="9" t="n">
        <x:f>'Physical_Arcs'!T25</x:f>
        <x:v>3.611111111111111</x:v>
      </x:c>
      <x:c r="R1765" s="9" t="n">
        <x:f>Q1765*'Parameters'!$C$18</x:f>
        <x:v>0.7222222222222223</x:v>
      </x:c>
      <x:c r="S1765" s="9" t="n">
        <x:f>R1765*'Parameters'!$C$19</x:f>
        <x:v>0.9027777777777779</x:v>
      </x:c>
      <x:c r="T1765" s="9" t="n">
        <x:f>Q1765*(1-0.40)-R1765</x:f>
        <x:v>1.4444444444444442</x:v>
      </x:c>
    </x:row>
    <x:row r="1766" ht="21" customHeight="1">
      <x:c r="A1766" s="3" t="n">
        <x:v>29</x:v>
      </x:c>
      <x:c r="B1766" s="3" t="str">
        <x:v>04:50</x:v>
      </x:c>
      <x:c r="C1766" s="3" t="n">
        <x:v>5</x:v>
      </x:c>
      <x:c r="D1766" s="3" t="n">
        <x:v>25</x:v>
      </x:c>
      <x:c r="E1766" s="3" t="n">
        <x:v>4</x:v>
      </x:c>
      <x:c r="F1766" s="3" t="n">
        <x:v>8</x:v>
      </x:c>
      <x:c r="G1766" s="9" t="n">
        <x:v>0.1</x:v>
      </x:c>
      <x:c r="H1766" s="9" t="n">
        <x:v>0.993326</x:v>
      </x:c>
      <x:c r="I1766" s="9" t="n">
        <x:f>'Physical_Arcs'!R26</x:f>
        <x:v>5.277777777777778</x:v>
      </x:c>
      <x:c r="J1766" s="9" t="n">
        <x:f>I1766*'Parameters'!$C$18</x:f>
        <x:v>1.0555555555555556</x:v>
      </x:c>
      <x:c r="K1766" s="9" t="n">
        <x:f>J1766*'Parameters'!$C$19</x:f>
        <x:v>1.3194444444444444</x:v>
      </x:c>
      <x:c r="L1766" s="9" t="n">
        <x:f>I1766*(1-0.40)-J1766</x:f>
        <x:v>2.1111111111111107</x:v>
      </x:c>
      <x:c r="M1766" s="9" t="n">
        <x:f>'Physical_Arcs'!S26</x:f>
        <x:v>5.277777777777778</x:v>
      </x:c>
      <x:c r="N1766" s="9" t="n">
        <x:f>M1766*'Parameters'!$C$18</x:f>
        <x:v>1.0555555555555556</x:v>
      </x:c>
      <x:c r="O1766" s="9" t="n">
        <x:f>N1766*'Parameters'!$C$19</x:f>
        <x:v>1.3194444444444444</x:v>
      </x:c>
      <x:c r="P1766" s="9" t="n">
        <x:f>M1766*(1-0.40)-N1766</x:f>
        <x:v>2.1111111111111107</x:v>
      </x:c>
      <x:c r="Q1766" s="9" t="n">
        <x:f>'Physical_Arcs'!T26</x:f>
        <x:v>2.638888888888889</x:v>
      </x:c>
      <x:c r="R1766" s="9" t="n">
        <x:f>Q1766*'Parameters'!$C$18</x:f>
        <x:v>0.5277777777777778</x:v>
      </x:c>
      <x:c r="S1766" s="9" t="n">
        <x:f>R1766*'Parameters'!$C$19</x:f>
        <x:v>0.6597222222222222</x:v>
      </x:c>
      <x:c r="T1766" s="9" t="n">
        <x:f>Q1766*(1-0.40)-R1766</x:f>
        <x:v>1.0555555555555554</x:v>
      </x:c>
    </x:row>
    <x:row r="1767" ht="21" customHeight="1">
      <x:c r="A1767" s="3" t="n">
        <x:v>29</x:v>
      </x:c>
      <x:c r="B1767" s="3" t="str">
        <x:v>04:50</x:v>
      </x:c>
      <x:c r="C1767" s="3" t="n">
        <x:v>5</x:v>
      </x:c>
      <x:c r="D1767" s="3" t="n">
        <x:v>26</x:v>
      </x:c>
      <x:c r="E1767" s="3" t="n">
        <x:v>4</x:v>
      </x:c>
      <x:c r="F1767" s="3" t="n">
        <x:v>7</x:v>
      </x:c>
      <x:c r="G1767" s="9" t="n">
        <x:v>0.1</x:v>
      </x:c>
      <x:c r="H1767" s="9" t="n">
        <x:v>1.099203</x:v>
      </x:c>
      <x:c r="I1767" s="9" t="n">
        <x:f>'Physical_Arcs'!R27</x:f>
        <x:v>6.527777777777778</x:v>
      </x:c>
      <x:c r="J1767" s="9" t="n">
        <x:f>I1767*'Parameters'!$C$18</x:f>
        <x:v>1.3055555555555556</x:v>
      </x:c>
      <x:c r="K1767" s="9" t="n">
        <x:f>J1767*'Parameters'!$C$19</x:f>
        <x:v>1.6319444444444444</x:v>
      </x:c>
      <x:c r="L1767" s="9" t="n">
        <x:f>I1767*(1-0.40)-J1767</x:f>
        <x:v>2.6111111111111107</x:v>
      </x:c>
      <x:c r="M1767" s="9" t="n">
        <x:f>'Physical_Arcs'!S27</x:f>
        <x:v>6.527777777777778</x:v>
      </x:c>
      <x:c r="N1767" s="9" t="n">
        <x:f>M1767*'Parameters'!$C$18</x:f>
        <x:v>1.3055555555555556</x:v>
      </x:c>
      <x:c r="O1767" s="9" t="n">
        <x:f>N1767*'Parameters'!$C$19</x:f>
        <x:v>1.6319444444444444</x:v>
      </x:c>
      <x:c r="P1767" s="9" t="n">
        <x:f>M1767*(1-0.40)-N1767</x:f>
        <x:v>2.6111111111111107</x:v>
      </x:c>
      <x:c r="Q1767" s="9" t="n">
        <x:f>'Physical_Arcs'!T27</x:f>
        <x:v>3.2777777777777777</x:v>
      </x:c>
      <x:c r="R1767" s="9" t="n">
        <x:f>Q1767*'Parameters'!$C$18</x:f>
        <x:v>0.6555555555555556</x:v>
      </x:c>
      <x:c r="S1767" s="9" t="n">
        <x:f>R1767*'Parameters'!$C$19</x:f>
        <x:v>0.8194444444444444</x:v>
      </x:c>
      <x:c r="T1767" s="9" t="n">
        <x:f>Q1767*(1-0.40)-R1767</x:f>
        <x:v>1.311111111111111</x:v>
      </x:c>
    </x:row>
    <x:row r="1768" ht="21" customHeight="1">
      <x:c r="A1768" s="3" t="n">
        <x:v>29</x:v>
      </x:c>
      <x:c r="B1768" s="3" t="str">
        <x:v>04:50</x:v>
      </x:c>
      <x:c r="C1768" s="3" t="n">
        <x:v>5</x:v>
      </x:c>
      <x:c r="D1768" s="3" t="n">
        <x:v>27</x:v>
      </x:c>
      <x:c r="E1768" s="3" t="n">
        <x:v>4</x:v>
      </x:c>
      <x:c r="F1768" s="3" t="n">
        <x:v>2</x:v>
      </x:c>
      <x:c r="G1768" s="9" t="n">
        <x:v>0.1</x:v>
      </x:c>
      <x:c r="H1768" s="9" t="n">
        <x:v>0.861111</x:v>
      </x:c>
      <x:c r="I1768" s="9" t="n">
        <x:f>'Physical_Arcs'!R28</x:f>
        <x:v>4.944444444444445</x:v>
      </x:c>
      <x:c r="J1768" s="9" t="n">
        <x:f>I1768*'Parameters'!$C$18</x:f>
        <x:v>0.9888888888888889</x:v>
      </x:c>
      <x:c r="K1768" s="9" t="n">
        <x:f>J1768*'Parameters'!$C$19</x:f>
        <x:v>1.2361111111111112</x:v>
      </x:c>
      <x:c r="L1768" s="9" t="n">
        <x:f>I1768*(1-0.40)-J1768</x:f>
        <x:v>1.9777777777777779</x:v>
      </x:c>
      <x:c r="M1768" s="9" t="n">
        <x:f>'Physical_Arcs'!S28</x:f>
        <x:v>4.944444444444445</x:v>
      </x:c>
      <x:c r="N1768" s="9" t="n">
        <x:f>M1768*'Parameters'!$C$18</x:f>
        <x:v>0.9888888888888889</x:v>
      </x:c>
      <x:c r="O1768" s="9" t="n">
        <x:f>N1768*'Parameters'!$C$19</x:f>
        <x:v>1.2361111111111112</x:v>
      </x:c>
      <x:c r="P1768" s="9" t="n">
        <x:f>M1768*(1-0.40)-N1768</x:f>
        <x:v>1.9777777777777779</x:v>
      </x:c>
      <x:c r="Q1768" s="9" t="n">
        <x:f>'Physical_Arcs'!T28</x:f>
        <x:v>2.4722222222222223</x:v>
      </x:c>
      <x:c r="R1768" s="9" t="n">
        <x:f>Q1768*'Parameters'!$C$18</x:f>
        <x:v>0.49444444444444446</x:v>
      </x:c>
      <x:c r="S1768" s="9" t="n">
        <x:f>R1768*'Parameters'!$C$19</x:f>
        <x:v>0.6180555555555556</x:v>
      </x:c>
      <x:c r="T1768" s="9" t="n">
        <x:f>Q1768*(1-0.40)-R1768</x:f>
        <x:v>0.9888888888888889</x:v>
      </x:c>
    </x:row>
    <x:row r="1769" ht="21" customHeight="1">
      <x:c r="A1769" s="3" t="n">
        <x:v>29</x:v>
      </x:c>
      <x:c r="B1769" s="3" t="str">
        <x:v>04:50</x:v>
      </x:c>
      <x:c r="C1769" s="3" t="n">
        <x:v>5</x:v>
      </x:c>
      <x:c r="D1769" s="3" t="n">
        <x:v>28</x:v>
      </x:c>
      <x:c r="E1769" s="3" t="n">
        <x:v>4</x:v>
      </x:c>
      <x:c r="F1769" s="3" t="n">
        <x:v>6</x:v>
      </x:c>
      <x:c r="G1769" s="9" t="n">
        <x:v>0.1</x:v>
      </x:c>
      <x:c r="H1769" s="9" t="n">
        <x:v>1.137214</x:v>
      </x:c>
      <x:c r="I1769" s="9" t="n">
        <x:f>'Physical_Arcs'!R29</x:f>
        <x:v>3.388888888888889</x:v>
      </x:c>
      <x:c r="J1769" s="9" t="n">
        <x:f>I1769*'Parameters'!$C$18</x:f>
        <x:v>0.6777777777777778</x:v>
      </x:c>
      <x:c r="K1769" s="9" t="n">
        <x:f>J1769*'Parameters'!$C$19</x:f>
        <x:v>0.8472222222222223</x:v>
      </x:c>
      <x:c r="L1769" s="9" t="n">
        <x:f>I1769*(1-0.40)-J1769</x:f>
        <x:v>1.3555555555555554</x:v>
      </x:c>
      <x:c r="M1769" s="9" t="n">
        <x:f>'Physical_Arcs'!S29</x:f>
        <x:v>3.388888888888889</x:v>
      </x:c>
      <x:c r="N1769" s="9" t="n">
        <x:f>M1769*'Parameters'!$C$18</x:f>
        <x:v>0.6777777777777778</x:v>
      </x:c>
      <x:c r="O1769" s="9" t="n">
        <x:f>N1769*'Parameters'!$C$19</x:f>
        <x:v>0.8472222222222223</x:v>
      </x:c>
      <x:c r="P1769" s="9" t="n">
        <x:f>M1769*(1-0.40)-N1769</x:f>
        <x:v>1.3555555555555554</x:v>
      </x:c>
      <x:c r="Q1769" s="9" t="n">
        <x:f>'Physical_Arcs'!T29</x:f>
        <x:v>1.6944444444444444</x:v>
      </x:c>
      <x:c r="R1769" s="9" t="n">
        <x:f>Q1769*'Parameters'!$C$18</x:f>
        <x:v>0.3388888888888889</x:v>
      </x:c>
      <x:c r="S1769" s="9" t="n">
        <x:f>R1769*'Parameters'!$C$19</x:f>
        <x:v>0.42361111111111116</x:v>
      </x:c>
      <x:c r="T1769" s="9" t="n">
        <x:f>Q1769*(1-0.40)-R1769</x:f>
        <x:v>0.6777777777777777</x:v>
      </x:c>
    </x:row>
    <x:row r="1770" ht="21" customHeight="1">
      <x:c r="A1770" s="3" t="n">
        <x:v>29</x:v>
      </x:c>
      <x:c r="B1770" s="3" t="str">
        <x:v>04:50</x:v>
      </x:c>
      <x:c r="C1770" s="3" t="n">
        <x:v>5</x:v>
      </x:c>
      <x:c r="D1770" s="3" t="n">
        <x:v>29</x:v>
      </x:c>
      <x:c r="E1770" s="3" t="n">
        <x:v>5</x:v>
      </x:c>
      <x:c r="F1770" s="3" t="n">
        <x:v>6</x:v>
      </x:c>
      <x:c r="G1770" s="9" t="n">
        <x:v>0.1</x:v>
      </x:c>
      <x:c r="H1770" s="9" t="n">
        <x:v>0.949994</x:v>
      </x:c>
      <x:c r="I1770" s="9" t="n">
        <x:f>'Physical_Arcs'!R30</x:f>
        <x:v>17.02777777777778</x:v>
      </x:c>
      <x:c r="J1770" s="9" t="n">
        <x:f>I1770*'Parameters'!$C$18</x:f>
        <x:v>3.405555555555556</x:v>
      </x:c>
      <x:c r="K1770" s="9" t="n">
        <x:f>J1770*'Parameters'!$C$19</x:f>
        <x:v>4.256944444444445</x:v>
      </x:c>
      <x:c r="L1770" s="9" t="n">
        <x:f>I1770*(1-0.40)-J1770</x:f>
        <x:v>6.811111111111111</x:v>
      </x:c>
      <x:c r="M1770" s="9" t="n">
        <x:f>'Physical_Arcs'!S30</x:f>
        <x:v>17.02777777777778</x:v>
      </x:c>
      <x:c r="N1770" s="9" t="n">
        <x:f>M1770*'Parameters'!$C$18</x:f>
        <x:v>3.405555555555556</x:v>
      </x:c>
      <x:c r="O1770" s="9" t="n">
        <x:f>N1770*'Parameters'!$C$19</x:f>
        <x:v>4.256944444444445</x:v>
      </x:c>
      <x:c r="P1770" s="9" t="n">
        <x:f>M1770*(1-0.40)-N1770</x:f>
        <x:v>6.811111111111111</x:v>
      </x:c>
      <x:c r="Q1770" s="9" t="n">
        <x:f>'Physical_Arcs'!T30</x:f>
        <x:v>17.02777777777778</x:v>
      </x:c>
      <x:c r="R1770" s="9" t="n">
        <x:f>Q1770*'Parameters'!$C$18</x:f>
        <x:v>3.405555555555556</x:v>
      </x:c>
      <x:c r="S1770" s="9" t="n">
        <x:f>R1770*'Parameters'!$C$19</x:f>
        <x:v>4.256944444444445</x:v>
      </x:c>
      <x:c r="T1770" s="9" t="n">
        <x:f>Q1770*(1-0.40)-R1770</x:f>
        <x:v>6.811111111111111</x:v>
      </x:c>
    </x:row>
    <x:row r="1771" ht="21" customHeight="1">
      <x:c r="A1771" s="3" t="n">
        <x:v>29</x:v>
      </x:c>
      <x:c r="B1771" s="3" t="str">
        <x:v>04:50</x:v>
      </x:c>
      <x:c r="C1771" s="3" t="n">
        <x:v>5</x:v>
      </x:c>
      <x:c r="D1771" s="3" t="n">
        <x:v>30</x:v>
      </x:c>
      <x:c r="E1771" s="3" t="n">
        <x:v>5</x:v>
      </x:c>
      <x:c r="F1771" s="3" t="n">
        <x:v>2</x:v>
      </x:c>
      <x:c r="G1771" s="9" t="n">
        <x:v>0.1</x:v>
      </x:c>
      <x:c r="H1771" s="9" t="n">
        <x:v>0.882396</x:v>
      </x:c>
      <x:c r="I1771" s="9" t="n">
        <x:f>'Physical_Arcs'!R31</x:f>
        <x:v>2.9444444444444446</x:v>
      </x:c>
      <x:c r="J1771" s="9" t="n">
        <x:f>I1771*'Parameters'!$C$18</x:f>
        <x:v>0.5888888888888889</x:v>
      </x:c>
      <x:c r="K1771" s="9" t="n">
        <x:f>J1771*'Parameters'!$C$19</x:f>
        <x:v>0.7361111111111112</x:v>
      </x:c>
      <x:c r="L1771" s="9" t="n">
        <x:f>I1771*(1-0.40)-J1771</x:f>
        <x:v>1.177777777777778</x:v>
      </x:c>
      <x:c r="M1771" s="9" t="n">
        <x:f>'Physical_Arcs'!S31</x:f>
        <x:v>2.9444444444444446</x:v>
      </x:c>
      <x:c r="N1771" s="9" t="n">
        <x:f>M1771*'Parameters'!$C$18</x:f>
        <x:v>0.5888888888888889</x:v>
      </x:c>
      <x:c r="O1771" s="9" t="n">
        <x:f>N1771*'Parameters'!$C$19</x:f>
        <x:v>0.7361111111111112</x:v>
      </x:c>
      <x:c r="P1771" s="9" t="n">
        <x:f>M1771*(1-0.40)-N1771</x:f>
        <x:v>1.177777777777778</x:v>
      </x:c>
      <x:c r="Q1771" s="9" t="n">
        <x:f>'Physical_Arcs'!T31</x:f>
        <x:v>1.4722222222222223</x:v>
      </x:c>
      <x:c r="R1771" s="9" t="n">
        <x:f>Q1771*'Parameters'!$C$18</x:f>
        <x:v>0.29444444444444445</x:v>
      </x:c>
      <x:c r="S1771" s="9" t="n">
        <x:f>R1771*'Parameters'!$C$19</x:f>
        <x:v>0.3680555555555556</x:v>
      </x:c>
      <x:c r="T1771" s="9" t="n">
        <x:f>Q1771*(1-0.40)-R1771</x:f>
        <x:v>0.588888888888889</x:v>
      </x:c>
    </x:row>
    <x:row r="1772" ht="21" customHeight="1">
      <x:c r="A1772" s="3" t="n">
        <x:v>29</x:v>
      </x:c>
      <x:c r="B1772" s="3" t="str">
        <x:v>04:50</x:v>
      </x:c>
      <x:c r="C1772" s="3" t="n">
        <x:v>5</x:v>
      </x:c>
      <x:c r="D1772" s="3" t="n">
        <x:v>31</x:v>
      </x:c>
      <x:c r="E1772" s="3" t="n">
        <x:v>5</x:v>
      </x:c>
      <x:c r="F1772" s="3" t="n">
        <x:v>8</x:v>
      </x:c>
      <x:c r="G1772" s="9" t="n">
        <x:v>0.1</x:v>
      </x:c>
      <x:c r="H1772" s="9" t="n">
        <x:v>0.986718</x:v>
      </x:c>
      <x:c r="I1772" s="9" t="n">
        <x:f>'Physical_Arcs'!R32</x:f>
        <x:v>9.333333333333334</x:v>
      </x:c>
      <x:c r="J1772" s="9" t="n">
        <x:f>I1772*'Parameters'!$C$18</x:f>
        <x:v>1.866666666666667</x:v>
      </x:c>
      <x:c r="K1772" s="9" t="n">
        <x:f>J1772*'Parameters'!$C$19</x:f>
        <x:v>2.3333333333333335</x:v>
      </x:c>
      <x:c r="L1772" s="9" t="n">
        <x:f>I1772*(1-0.40)-J1772</x:f>
        <x:v>3.7333333333333334</x:v>
      </x:c>
      <x:c r="M1772" s="9" t="n">
        <x:f>'Physical_Arcs'!S32</x:f>
        <x:v>9.333333333333334</x:v>
      </x:c>
      <x:c r="N1772" s="9" t="n">
        <x:f>M1772*'Parameters'!$C$18</x:f>
        <x:v>1.866666666666667</x:v>
      </x:c>
      <x:c r="O1772" s="9" t="n">
        <x:f>N1772*'Parameters'!$C$19</x:f>
        <x:v>2.3333333333333335</x:v>
      </x:c>
      <x:c r="P1772" s="9" t="n">
        <x:f>M1772*(1-0.40)-N1772</x:f>
        <x:v>3.7333333333333334</x:v>
      </x:c>
      <x:c r="Q1772" s="9" t="n">
        <x:f>'Physical_Arcs'!T32</x:f>
        <x:v>4.666666666666667</x:v>
      </x:c>
      <x:c r="R1772" s="9" t="n">
        <x:f>Q1772*'Parameters'!$C$18</x:f>
        <x:v>0.9333333333333335</x:v>
      </x:c>
      <x:c r="S1772" s="9" t="n">
        <x:f>R1772*'Parameters'!$C$19</x:f>
        <x:v>1.1666666666666667</x:v>
      </x:c>
      <x:c r="T1772" s="9" t="n">
        <x:f>Q1772*(1-0.40)-R1772</x:f>
        <x:v>1.8666666666666667</x:v>
      </x:c>
    </x:row>
    <x:row r="1773" ht="21" customHeight="1">
      <x:c r="A1773" s="3" t="n">
        <x:v>29</x:v>
      </x:c>
      <x:c r="B1773" s="3" t="str">
        <x:v>04:50</x:v>
      </x:c>
      <x:c r="C1773" s="3" t="n">
        <x:v>5</x:v>
      </x:c>
      <x:c r="D1773" s="3" t="n">
        <x:v>32</x:v>
      </x:c>
      <x:c r="E1773" s="3" t="n">
        <x:v>5</x:v>
      </x:c>
      <x:c r="F1773" s="3" t="n">
        <x:v>3</x:v>
      </x:c>
      <x:c r="G1773" s="9" t="n">
        <x:v>0.1</x:v>
      </x:c>
      <x:c r="H1773" s="9" t="n">
        <x:v>1.089544</x:v>
      </x:c>
      <x:c r="I1773" s="9" t="n">
        <x:f>'Physical_Arcs'!R33</x:f>
        <x:v>11.13888888888889</x:v>
      </x:c>
      <x:c r="J1773" s="9" t="n">
        <x:f>I1773*'Parameters'!$C$18</x:f>
        <x:v>2.227777777777778</x:v>
      </x:c>
      <x:c r="K1773" s="9" t="n">
        <x:f>J1773*'Parameters'!$C$19</x:f>
        <x:v>2.7847222222222223</x:v>
      </x:c>
      <x:c r="L1773" s="9" t="n">
        <x:f>I1773*(1-0.40)-J1773</x:f>
        <x:v>4.455555555555556</x:v>
      </x:c>
      <x:c r="M1773" s="9" t="n">
        <x:f>'Physical_Arcs'!S33</x:f>
        <x:v>11.13888888888889</x:v>
      </x:c>
      <x:c r="N1773" s="9" t="n">
        <x:f>M1773*'Parameters'!$C$18</x:f>
        <x:v>2.227777777777778</x:v>
      </x:c>
      <x:c r="O1773" s="9" t="n">
        <x:f>N1773*'Parameters'!$C$19</x:f>
        <x:v>2.7847222222222223</x:v>
      </x:c>
      <x:c r="P1773" s="9" t="n">
        <x:f>M1773*(1-0.40)-N1773</x:f>
        <x:v>4.455555555555556</x:v>
      </x:c>
      <x:c r="Q1773" s="9" t="n">
        <x:f>'Physical_Arcs'!T33</x:f>
        <x:v>5.583333333333333</x:v>
      </x:c>
      <x:c r="R1773" s="9" t="n">
        <x:f>Q1773*'Parameters'!$C$18</x:f>
        <x:v>1.1166666666666667</x:v>
      </x:c>
      <x:c r="S1773" s="9" t="n">
        <x:f>R1773*'Parameters'!$C$19</x:f>
        <x:v>1.3958333333333335</x:v>
      </x:c>
      <x:c r="T1773" s="9" t="n">
        <x:f>Q1773*(1-0.40)-R1773</x:f>
        <x:v>2.233333333333333</x:v>
      </x:c>
    </x:row>
    <x:row r="1774" ht="21" customHeight="1">
      <x:c r="A1774" s="3" t="n">
        <x:v>29</x:v>
      </x:c>
      <x:c r="B1774" s="3" t="str">
        <x:v>04:50</x:v>
      </x:c>
      <x:c r="C1774" s="3" t="n">
        <x:v>5</x:v>
      </x:c>
      <x:c r="D1774" s="3" t="n">
        <x:v>33</x:v>
      </x:c>
      <x:c r="E1774" s="3" t="n">
        <x:v>5</x:v>
      </x:c>
      <x:c r="F1774" s="3" t="n">
        <x:v>10</x:v>
      </x:c>
      <x:c r="G1774" s="9" t="n">
        <x:v>0.1</x:v>
      </x:c>
      <x:c r="H1774" s="9" t="n">
        <x:v>1.103596</x:v>
      </x:c>
      <x:c r="I1774" s="9" t="n">
        <x:f>'Physical_Arcs'!R34</x:f>
        <x:v>4.611111111111111</x:v>
      </x:c>
      <x:c r="J1774" s="9" t="n">
        <x:f>I1774*'Parameters'!$C$18</x:f>
        <x:v>0.9222222222222222</x:v>
      </x:c>
      <x:c r="K1774" s="9" t="n">
        <x:f>J1774*'Parameters'!$C$19</x:f>
        <x:v>1.1527777777777777</x:v>
      </x:c>
      <x:c r="L1774" s="9" t="n">
        <x:f>I1774*(1-0.40)-J1774</x:f>
        <x:v>1.844444444444444</x:v>
      </x:c>
      <x:c r="M1774" s="9" t="n">
        <x:f>'Physical_Arcs'!S34</x:f>
        <x:v>4.611111111111111</x:v>
      </x:c>
      <x:c r="N1774" s="9" t="n">
        <x:f>M1774*'Parameters'!$C$18</x:f>
        <x:v>0.9222222222222222</x:v>
      </x:c>
      <x:c r="O1774" s="9" t="n">
        <x:f>N1774*'Parameters'!$C$19</x:f>
        <x:v>1.1527777777777777</x:v>
      </x:c>
      <x:c r="P1774" s="9" t="n">
        <x:f>M1774*(1-0.40)-N1774</x:f>
        <x:v>1.844444444444444</x:v>
      </x:c>
      <x:c r="Q1774" s="9" t="n">
        <x:f>'Physical_Arcs'!T34</x:f>
        <x:v>2.3055555555555554</x:v>
      </x:c>
      <x:c r="R1774" s="9" t="n">
        <x:f>Q1774*'Parameters'!$C$18</x:f>
        <x:v>0.4611111111111111</x:v>
      </x:c>
      <x:c r="S1774" s="9" t="n">
        <x:f>R1774*'Parameters'!$C$19</x:f>
        <x:v>0.5763888888888888</x:v>
      </x:c>
      <x:c r="T1774" s="9" t="n">
        <x:f>Q1774*(1-0.40)-R1774</x:f>
        <x:v>0.922222222222222</x:v>
      </x:c>
    </x:row>
    <x:row r="1775" ht="21" customHeight="1">
      <x:c r="A1775" s="3" t="n">
        <x:v>29</x:v>
      </x:c>
      <x:c r="B1775" s="3" t="str">
        <x:v>04:50</x:v>
      </x:c>
      <x:c r="C1775" s="3" t="n">
        <x:v>5</x:v>
      </x:c>
      <x:c r="D1775" s="3" t="n">
        <x:v>34</x:v>
      </x:c>
      <x:c r="E1775" s="3" t="n">
        <x:v>6</x:v>
      </x:c>
      <x:c r="F1775" s="3" t="n">
        <x:v>7</x:v>
      </x:c>
      <x:c r="G1775" s="9" t="n">
        <x:v>0.1</x:v>
      </x:c>
      <x:c r="H1775" s="9" t="n">
        <x:v>0.973887</x:v>
      </x:c>
      <x:c r="I1775" s="9" t="n">
        <x:f>'Physical_Arcs'!R35</x:f>
        <x:v>17.02777777777778</x:v>
      </x:c>
      <x:c r="J1775" s="9" t="n">
        <x:f>I1775*'Parameters'!$C$18</x:f>
        <x:v>3.405555555555556</x:v>
      </x:c>
      <x:c r="K1775" s="9" t="n">
        <x:f>J1775*'Parameters'!$C$19</x:f>
        <x:v>4.256944444444445</x:v>
      </x:c>
      <x:c r="L1775" s="9" t="n">
        <x:f>I1775*(1-0.40)-J1775</x:f>
        <x:v>6.811111111111111</x:v>
      </x:c>
      <x:c r="M1775" s="9" t="n">
        <x:f>'Physical_Arcs'!S35</x:f>
        <x:v>17.02777777777778</x:v>
      </x:c>
      <x:c r="N1775" s="9" t="n">
        <x:f>M1775*'Parameters'!$C$18</x:f>
        <x:v>3.405555555555556</x:v>
      </x:c>
      <x:c r="O1775" s="9" t="n">
        <x:f>N1775*'Parameters'!$C$19</x:f>
        <x:v>4.256944444444445</x:v>
      </x:c>
      <x:c r="P1775" s="9" t="n">
        <x:f>M1775*(1-0.40)-N1775</x:f>
        <x:v>6.811111111111111</x:v>
      </x:c>
      <x:c r="Q1775" s="9" t="n">
        <x:f>'Physical_Arcs'!T35</x:f>
        <x:v>17.02777777777778</x:v>
      </x:c>
      <x:c r="R1775" s="9" t="n">
        <x:f>Q1775*'Parameters'!$C$18</x:f>
        <x:v>3.405555555555556</x:v>
      </x:c>
      <x:c r="S1775" s="9" t="n">
        <x:f>R1775*'Parameters'!$C$19</x:f>
        <x:v>4.256944444444445</x:v>
      </x:c>
      <x:c r="T1775" s="9" t="n">
        <x:f>Q1775*(1-0.40)-R1775</x:f>
        <x:v>6.811111111111111</x:v>
      </x:c>
    </x:row>
    <x:row r="1776" ht="21" customHeight="1">
      <x:c r="A1776" s="3" t="n">
        <x:v>29</x:v>
      </x:c>
      <x:c r="B1776" s="3" t="str">
        <x:v>04:50</x:v>
      </x:c>
      <x:c r="C1776" s="3" t="n">
        <x:v>5</x:v>
      </x:c>
      <x:c r="D1776" s="3" t="n">
        <x:v>35</x:v>
      </x:c>
      <x:c r="E1776" s="3" t="n">
        <x:v>6</x:v>
      </x:c>
      <x:c r="F1776" s="3" t="n">
        <x:v>10</x:v>
      </x:c>
      <x:c r="G1776" s="9" t="n">
        <x:v>0.1</x:v>
      </x:c>
      <x:c r="H1776" s="9" t="n">
        <x:v>1.009062</x:v>
      </x:c>
      <x:c r="I1776" s="9" t="n">
        <x:f>'Physical_Arcs'!R36</x:f>
        <x:v>4.055555555555555</x:v>
      </x:c>
      <x:c r="J1776" s="9" t="n">
        <x:f>I1776*'Parameters'!$C$18</x:f>
        <x:v>0.8111111111111111</x:v>
      </x:c>
      <x:c r="K1776" s="9" t="n">
        <x:f>J1776*'Parameters'!$C$19</x:f>
        <x:v>1.0138888888888888</x:v>
      </x:c>
      <x:c r="L1776" s="9" t="n">
        <x:f>I1776*(1-0.40)-J1776</x:f>
        <x:v>1.622222222222222</x:v>
      </x:c>
      <x:c r="M1776" s="9" t="n">
        <x:f>'Physical_Arcs'!S36</x:f>
        <x:v>4.055555555555555</x:v>
      </x:c>
      <x:c r="N1776" s="9" t="n">
        <x:f>M1776*'Parameters'!$C$18</x:f>
        <x:v>0.8111111111111111</x:v>
      </x:c>
      <x:c r="O1776" s="9" t="n">
        <x:f>N1776*'Parameters'!$C$19</x:f>
        <x:v>1.0138888888888888</x:v>
      </x:c>
      <x:c r="P1776" s="9" t="n">
        <x:f>M1776*(1-0.40)-N1776</x:f>
        <x:v>1.622222222222222</x:v>
      </x:c>
      <x:c r="Q1776" s="9" t="n">
        <x:f>'Physical_Arcs'!T36</x:f>
        <x:v>2.0277777777777777</x:v>
      </x:c>
      <x:c r="R1776" s="9" t="n">
        <x:f>Q1776*'Parameters'!$C$18</x:f>
        <x:v>0.40555555555555556</x:v>
      </x:c>
      <x:c r="S1776" s="9" t="n">
        <x:f>R1776*'Parameters'!$C$19</x:f>
        <x:v>0.5069444444444444</x:v>
      </x:c>
      <x:c r="T1776" s="9" t="n">
        <x:f>Q1776*(1-0.40)-R1776</x:f>
        <x:v>0.811111111111111</x:v>
      </x:c>
    </x:row>
    <x:row r="1777" ht="21" customHeight="1">
      <x:c r="A1777" s="3" t="n">
        <x:v>29</x:v>
      </x:c>
      <x:c r="B1777" s="3" t="str">
        <x:v>04:50</x:v>
      </x:c>
      <x:c r="C1777" s="3" t="n">
        <x:v>5</x:v>
      </x:c>
      <x:c r="D1777" s="3" t="n">
        <x:v>36</x:v>
      </x:c>
      <x:c r="E1777" s="3" t="n">
        <x:v>6</x:v>
      </x:c>
      <x:c r="F1777" s="3" t="n">
        <x:v>8</x:v>
      </x:c>
      <x:c r="G1777" s="9" t="n">
        <x:v>0.1</x:v>
      </x:c>
      <x:c r="H1777" s="9" t="n">
        <x:v>1.132129</x:v>
      </x:c>
      <x:c r="I1777" s="9" t="n">
        <x:f>'Physical_Arcs'!R37</x:f>
        <x:v>6.972222222222222</x:v>
      </x:c>
      <x:c r="J1777" s="9" t="n">
        <x:f>I1777*'Parameters'!$C$18</x:f>
        <x:v>1.3944444444444446</x:v>
      </x:c>
      <x:c r="K1777" s="9" t="n">
        <x:f>J1777*'Parameters'!$C$19</x:f>
        <x:v>1.7430555555555558</x:v>
      </x:c>
      <x:c r="L1777" s="9" t="n">
        <x:f>I1777*(1-0.40)-J1777</x:f>
        <x:v>2.7888888888888888</x:v>
      </x:c>
      <x:c r="M1777" s="9" t="n">
        <x:f>'Physical_Arcs'!S37</x:f>
        <x:v>6.972222222222222</x:v>
      </x:c>
      <x:c r="N1777" s="9" t="n">
        <x:f>M1777*'Parameters'!$C$18</x:f>
        <x:v>1.3944444444444446</x:v>
      </x:c>
      <x:c r="O1777" s="9" t="n">
        <x:f>N1777*'Parameters'!$C$19</x:f>
        <x:v>1.7430555555555558</x:v>
      </x:c>
      <x:c r="P1777" s="9" t="n">
        <x:f>M1777*(1-0.40)-N1777</x:f>
        <x:v>2.7888888888888888</x:v>
      </x:c>
      <x:c r="Q1777" s="9" t="n">
        <x:f>'Physical_Arcs'!T37</x:f>
        <x:v>3.5</x:v>
      </x:c>
      <x:c r="R1777" s="9" t="n">
        <x:f>Q1777*'Parameters'!$C$18</x:f>
        <x:v>0.7000000000000001</x:v>
      </x:c>
      <x:c r="S1777" s="9" t="n">
        <x:f>R1777*'Parameters'!$C$19</x:f>
        <x:v>0.8750000000000001</x:v>
      </x:c>
      <x:c r="T1777" s="9" t="n">
        <x:f>Q1777*(1-0.40)-R1777</x:f>
        <x:v>1.4</x:v>
      </x:c>
    </x:row>
    <x:row r="1778" ht="21" customHeight="1">
      <x:c r="A1778" s="3" t="n">
        <x:v>29</x:v>
      </x:c>
      <x:c r="B1778" s="3" t="str">
        <x:v>04:50</x:v>
      </x:c>
      <x:c r="C1778" s="3" t="n">
        <x:v>5</x:v>
      </x:c>
      <x:c r="D1778" s="3" t="n">
        <x:v>37</x:v>
      </x:c>
      <x:c r="E1778" s="3" t="n">
        <x:v>6</x:v>
      </x:c>
      <x:c r="F1778" s="3" t="n">
        <x:v>1</x:v>
      </x:c>
      <x:c r="G1778" s="9" t="n">
        <x:v>0.1</x:v>
      </x:c>
      <x:c r="H1778" s="9" t="n">
        <x:v>1.020746</x:v>
      </x:c>
      <x:c r="I1778" s="9" t="n">
        <x:f>'Physical_Arcs'!R38</x:f>
        <x:v>6.305555555555555</x:v>
      </x:c>
      <x:c r="J1778" s="9" t="n">
        <x:f>I1778*'Parameters'!$C$18</x:f>
        <x:v>1.261111111111111</x:v>
      </x:c>
      <x:c r="K1778" s="9" t="n">
        <x:f>J1778*'Parameters'!$C$19</x:f>
        <x:v>1.5763888888888888</x:v>
      </x:c>
      <x:c r="L1778" s="9" t="n">
        <x:f>I1778*(1-0.40)-J1778</x:f>
        <x:v>2.522222222222222</x:v>
      </x:c>
      <x:c r="M1778" s="9" t="n">
        <x:f>'Physical_Arcs'!S38</x:f>
        <x:v>6.305555555555555</x:v>
      </x:c>
      <x:c r="N1778" s="9" t="n">
        <x:f>M1778*'Parameters'!$C$18</x:f>
        <x:v>1.261111111111111</x:v>
      </x:c>
      <x:c r="O1778" s="9" t="n">
        <x:f>N1778*'Parameters'!$C$19</x:f>
        <x:v>1.5763888888888888</x:v>
      </x:c>
      <x:c r="P1778" s="9" t="n">
        <x:f>M1778*(1-0.40)-N1778</x:f>
        <x:v>2.522222222222222</x:v>
      </x:c>
      <x:c r="Q1778" s="9" t="n">
        <x:f>'Physical_Arcs'!T38</x:f>
        <x:v>3.1666666666666665</x:v>
      </x:c>
      <x:c r="R1778" s="9" t="n">
        <x:f>Q1778*'Parameters'!$C$18</x:f>
        <x:v>0.6333333333333333</x:v>
      </x:c>
      <x:c r="S1778" s="9" t="n">
        <x:f>R1778*'Parameters'!$C$19</x:f>
        <x:v>0.7916666666666666</x:v>
      </x:c>
      <x:c r="T1778" s="9" t="n">
        <x:f>Q1778*(1-0.40)-R1778</x:f>
        <x:v>1.2666666666666666</x:v>
      </x:c>
    </x:row>
    <x:row r="1779" ht="21" customHeight="1">
      <x:c r="A1779" s="3" t="n">
        <x:v>29</x:v>
      </x:c>
      <x:c r="B1779" s="3" t="str">
        <x:v>04:50</x:v>
      </x:c>
      <x:c r="C1779" s="3" t="n">
        <x:v>5</x:v>
      </x:c>
      <x:c r="D1779" s="3" t="n">
        <x:v>38</x:v>
      </x:c>
      <x:c r="E1779" s="3" t="n">
        <x:v>6</x:v>
      </x:c>
      <x:c r="F1779" s="3" t="n">
        <x:v>3</x:v>
      </x:c>
      <x:c r="G1779" s="9" t="n">
        <x:v>0.1</x:v>
      </x:c>
      <x:c r="H1779" s="9" t="n">
        <x:v>1.149081</x:v>
      </x:c>
      <x:c r="I1779" s="9" t="n">
        <x:f>'Physical_Arcs'!R39</x:f>
        <x:v>1.9166666666666667</x:v>
      </x:c>
      <x:c r="J1779" s="9" t="n">
        <x:f>I1779*'Parameters'!$C$18</x:f>
        <x:v>0.38333333333333336</x:v>
      </x:c>
      <x:c r="K1779" s="9" t="n">
        <x:f>J1779*'Parameters'!$C$19</x:f>
        <x:v>0.4791666666666667</x:v>
      </x:c>
      <x:c r="L1779" s="9" t="n">
        <x:f>I1779*(1-0.40)-J1779</x:f>
        <x:v>0.7666666666666666</x:v>
      </x:c>
      <x:c r="M1779" s="9" t="n">
        <x:f>'Physical_Arcs'!S39</x:f>
        <x:v>1.9166666666666667</x:v>
      </x:c>
      <x:c r="N1779" s="9" t="n">
        <x:f>M1779*'Parameters'!$C$18</x:f>
        <x:v>0.38333333333333336</x:v>
      </x:c>
      <x:c r="O1779" s="9" t="n">
        <x:f>N1779*'Parameters'!$C$19</x:f>
        <x:v>0.4791666666666667</x:v>
      </x:c>
      <x:c r="P1779" s="9" t="n">
        <x:f>M1779*(1-0.40)-N1779</x:f>
        <x:v>0.7666666666666666</x:v>
      </x:c>
      <x:c r="Q1779" s="9" t="n">
        <x:f>'Physical_Arcs'!T39</x:f>
        <x:v>0.9722222222222222</x:v>
      </x:c>
      <x:c r="R1779" s="9" t="n">
        <x:f>Q1779*'Parameters'!$C$18</x:f>
        <x:v>0.19444444444444445</x:v>
      </x:c>
      <x:c r="S1779" s="9" t="n">
        <x:f>R1779*'Parameters'!$C$19</x:f>
        <x:v>0.24305555555555555</x:v>
      </x:c>
      <x:c r="T1779" s="9" t="n">
        <x:f>Q1779*(1-0.40)-R1779</x:f>
        <x:v>0.38888888888888884</x:v>
      </x:c>
    </x:row>
    <x:row r="1780" ht="21" customHeight="1">
      <x:c r="A1780" s="3" t="n">
        <x:v>29</x:v>
      </x:c>
      <x:c r="B1780" s="3" t="str">
        <x:v>04:50</x:v>
      </x:c>
      <x:c r="C1780" s="3" t="n">
        <x:v>5</x:v>
      </x:c>
      <x:c r="D1780" s="3" t="n">
        <x:v>39</x:v>
      </x:c>
      <x:c r="E1780" s="3" t="n">
        <x:v>7</x:v>
      </x:c>
      <x:c r="F1780" s="3" t="n">
        <x:v>8</x:v>
      </x:c>
      <x:c r="G1780" s="9" t="n">
        <x:v>0.1</x:v>
      </x:c>
      <x:c r="H1780" s="9" t="n">
        <x:v>1.003268</x:v>
      </x:c>
      <x:c r="I1780" s="9" t="n">
        <x:f>'Physical_Arcs'!R40</x:f>
        <x:v>17.02777777777778</x:v>
      </x:c>
      <x:c r="J1780" s="9" t="n">
        <x:f>I1780*'Parameters'!$C$18</x:f>
        <x:v>3.405555555555556</x:v>
      </x:c>
      <x:c r="K1780" s="9" t="n">
        <x:f>J1780*'Parameters'!$C$19</x:f>
        <x:v>4.256944444444445</x:v>
      </x:c>
      <x:c r="L1780" s="9" t="n">
        <x:f>I1780*(1-0.40)-J1780</x:f>
        <x:v>6.811111111111111</x:v>
      </x:c>
      <x:c r="M1780" s="9" t="n">
        <x:f>'Physical_Arcs'!S40</x:f>
        <x:v>17.02777777777778</x:v>
      </x:c>
      <x:c r="N1780" s="9" t="n">
        <x:f>M1780*'Parameters'!$C$18</x:f>
        <x:v>3.405555555555556</x:v>
      </x:c>
      <x:c r="O1780" s="9" t="n">
        <x:f>N1780*'Parameters'!$C$19</x:f>
        <x:v>4.256944444444445</x:v>
      </x:c>
      <x:c r="P1780" s="9" t="n">
        <x:f>M1780*(1-0.40)-N1780</x:f>
        <x:v>6.811111111111111</x:v>
      </x:c>
      <x:c r="Q1780" s="9" t="n">
        <x:f>'Physical_Arcs'!T40</x:f>
        <x:v>17.02777777777778</x:v>
      </x:c>
      <x:c r="R1780" s="9" t="n">
        <x:f>Q1780*'Parameters'!$C$18</x:f>
        <x:v>3.405555555555556</x:v>
      </x:c>
      <x:c r="S1780" s="9" t="n">
        <x:f>R1780*'Parameters'!$C$19</x:f>
        <x:v>4.256944444444445</x:v>
      </x:c>
      <x:c r="T1780" s="9" t="n">
        <x:f>Q1780*(1-0.40)-R1780</x:f>
        <x:v>6.811111111111111</x:v>
      </x:c>
    </x:row>
    <x:row r="1781" ht="21" customHeight="1">
      <x:c r="A1781" s="3" t="n">
        <x:v>29</x:v>
      </x:c>
      <x:c r="B1781" s="3" t="str">
        <x:v>04:50</x:v>
      </x:c>
      <x:c r="C1781" s="3" t="n">
        <x:v>5</x:v>
      </x:c>
      <x:c r="D1781" s="3" t="n">
        <x:v>40</x:v>
      </x:c>
      <x:c r="E1781" s="3" t="n">
        <x:v>7</x:v>
      </x:c>
      <x:c r="F1781" s="3" t="n">
        <x:v>1</x:v>
      </x:c>
      <x:c r="G1781" s="9" t="n">
        <x:v>0.1</x:v>
      </x:c>
      <x:c r="H1781" s="9" t="n">
        <x:v>1.057592</x:v>
      </x:c>
      <x:c r="I1781" s="9" t="n">
        <x:f>'Physical_Arcs'!R41</x:f>
        <x:v>7.972222222222222</x:v>
      </x:c>
      <x:c r="J1781" s="9" t="n">
        <x:f>I1781*'Parameters'!$C$18</x:f>
        <x:v>1.5944444444444446</x:v>
      </x:c>
      <x:c r="K1781" s="9" t="n">
        <x:f>J1781*'Parameters'!$C$19</x:f>
        <x:v>1.9930555555555558</x:v>
      </x:c>
      <x:c r="L1781" s="9" t="n">
        <x:f>I1781*(1-0.40)-J1781</x:f>
        <x:v>3.1888888888888887</x:v>
      </x:c>
      <x:c r="M1781" s="9" t="n">
        <x:f>'Physical_Arcs'!S41</x:f>
        <x:v>7.972222222222222</x:v>
      </x:c>
      <x:c r="N1781" s="9" t="n">
        <x:f>M1781*'Parameters'!$C$18</x:f>
        <x:v>1.5944444444444446</x:v>
      </x:c>
      <x:c r="O1781" s="9" t="n">
        <x:f>N1781*'Parameters'!$C$19</x:f>
        <x:v>1.9930555555555558</x:v>
      </x:c>
      <x:c r="P1781" s="9" t="n">
        <x:f>M1781*(1-0.40)-N1781</x:f>
        <x:v>3.1888888888888887</x:v>
      </x:c>
      <x:c r="Q1781" s="9" t="n">
        <x:f>'Physical_Arcs'!T41</x:f>
        <x:v>4</x:v>
      </x:c>
      <x:c r="R1781" s="9" t="n">
        <x:f>Q1781*'Parameters'!$C$18</x:f>
        <x:v>0.8</x:v>
      </x:c>
      <x:c r="S1781" s="9" t="n">
        <x:f>R1781*'Parameters'!$C$19</x:f>
        <x:v>1</x:v>
      </x:c>
      <x:c r="T1781" s="9" t="n">
        <x:f>Q1781*(1-0.40)-R1781</x:f>
        <x:v>1.5999999999999999</x:v>
      </x:c>
    </x:row>
    <x:row r="1782" ht="21" customHeight="1">
      <x:c r="A1782" s="3" t="n">
        <x:v>29</x:v>
      </x:c>
      <x:c r="B1782" s="3" t="str">
        <x:v>04:50</x:v>
      </x:c>
      <x:c r="C1782" s="3" t="n">
        <x:v>5</x:v>
      </x:c>
      <x:c r="D1782" s="3" t="n">
        <x:v>41</x:v>
      </x:c>
      <x:c r="E1782" s="3" t="n">
        <x:v>7</x:v>
      </x:c>
      <x:c r="F1782" s="3" t="n">
        <x:v>9</x:v>
      </x:c>
      <x:c r="G1782" s="9" t="n">
        <x:v>0.1</x:v>
      </x:c>
      <x:c r="H1782" s="9" t="n">
        <x:v>1.14801</x:v>
      </x:c>
      <x:c r="I1782" s="9" t="n">
        <x:f>'Physical_Arcs'!R42</x:f>
        <x:v>8.88888888888889</x:v>
      </x:c>
      <x:c r="J1782" s="9" t="n">
        <x:f>I1782*'Parameters'!$C$18</x:f>
        <x:v>1.777777777777778</x:v>
      </x:c>
      <x:c r="K1782" s="9" t="n">
        <x:f>J1782*'Parameters'!$C$19</x:f>
        <x:v>2.2222222222222223</x:v>
      </x:c>
      <x:c r="L1782" s="9" t="n">
        <x:f>I1782*(1-0.40)-J1782</x:f>
        <x:v>3.5555555555555554</x:v>
      </x:c>
      <x:c r="M1782" s="9" t="n">
        <x:f>'Physical_Arcs'!S42</x:f>
        <x:v>8.88888888888889</x:v>
      </x:c>
      <x:c r="N1782" s="9" t="n">
        <x:f>M1782*'Parameters'!$C$18</x:f>
        <x:v>1.777777777777778</x:v>
      </x:c>
      <x:c r="O1782" s="9" t="n">
        <x:f>N1782*'Parameters'!$C$19</x:f>
        <x:v>2.2222222222222223</x:v>
      </x:c>
      <x:c r="P1782" s="9" t="n">
        <x:f>M1782*(1-0.40)-N1782</x:f>
        <x:v>3.5555555555555554</x:v>
      </x:c>
      <x:c r="Q1782" s="9" t="n">
        <x:f>'Physical_Arcs'!T42</x:f>
        <x:v>4.444444444444445</x:v>
      </x:c>
      <x:c r="R1782" s="9" t="n">
        <x:f>Q1782*'Parameters'!$C$18</x:f>
        <x:v>0.888888888888889</x:v>
      </x:c>
      <x:c r="S1782" s="9" t="n">
        <x:f>R1782*'Parameters'!$C$19</x:f>
        <x:v>1.1111111111111112</x:v>
      </x:c>
      <x:c r="T1782" s="9" t="n">
        <x:f>Q1782*(1-0.40)-R1782</x:f>
        <x:v>1.7777777777777777</x:v>
      </x:c>
    </x:row>
    <x:row r="1783" ht="21" customHeight="1">
      <x:c r="A1783" s="3" t="n">
        <x:v>29</x:v>
      </x:c>
      <x:c r="B1783" s="3" t="str">
        <x:v>04:50</x:v>
      </x:c>
      <x:c r="C1783" s="3" t="n">
        <x:v>5</x:v>
      </x:c>
      <x:c r="D1783" s="3" t="n">
        <x:v>42</x:v>
      </x:c>
      <x:c r="E1783" s="3" t="n">
        <x:v>7</x:v>
      </x:c>
      <x:c r="F1783" s="3" t="n">
        <x:v>2</x:v>
      </x:c>
      <x:c r="G1783" s="9" t="n">
        <x:v>0.1</x:v>
      </x:c>
      <x:c r="H1783" s="9" t="n">
        <x:v>0.989237</x:v>
      </x:c>
      <x:c r="I1783" s="9" t="n">
        <x:f>'Physical_Arcs'!R43</x:f>
        <x:v>9</x:v>
      </x:c>
      <x:c r="J1783" s="9" t="n">
        <x:f>I1783*'Parameters'!$C$18</x:f>
        <x:v>1.8</x:v>
      </x:c>
      <x:c r="K1783" s="9" t="n">
        <x:f>J1783*'Parameters'!$C$19</x:f>
        <x:v>2.25</x:v>
      </x:c>
      <x:c r="L1783" s="9" t="n">
        <x:f>I1783*(1-0.40)-J1783</x:f>
        <x:v>3.5999999999999996</x:v>
      </x:c>
      <x:c r="M1783" s="9" t="n">
        <x:f>'Physical_Arcs'!S43</x:f>
        <x:v>9</x:v>
      </x:c>
      <x:c r="N1783" s="9" t="n">
        <x:f>M1783*'Parameters'!$C$18</x:f>
        <x:v>1.8</x:v>
      </x:c>
      <x:c r="O1783" s="9" t="n">
        <x:f>N1783*'Parameters'!$C$19</x:f>
        <x:v>2.25</x:v>
      </x:c>
      <x:c r="P1783" s="9" t="n">
        <x:f>M1783*(1-0.40)-N1783</x:f>
        <x:v>3.5999999999999996</x:v>
      </x:c>
      <x:c r="Q1783" s="9" t="n">
        <x:f>'Physical_Arcs'!T43</x:f>
        <x:v>4.5</x:v>
      </x:c>
      <x:c r="R1783" s="9" t="n">
        <x:f>Q1783*'Parameters'!$C$18</x:f>
        <x:v>0.9</x:v>
      </x:c>
      <x:c r="S1783" s="9" t="n">
        <x:f>R1783*'Parameters'!$C$19</x:f>
        <x:v>1.125</x:v>
      </x:c>
      <x:c r="T1783" s="9" t="n">
        <x:f>Q1783*(1-0.40)-R1783</x:f>
        <x:v>1.7999999999999998</x:v>
      </x:c>
    </x:row>
    <x:row r="1784" ht="21" customHeight="1">
      <x:c r="A1784" s="3" t="n">
        <x:v>29</x:v>
      </x:c>
      <x:c r="B1784" s="3" t="str">
        <x:v>04:50</x:v>
      </x:c>
      <x:c r="C1784" s="3" t="n">
        <x:v>5</x:v>
      </x:c>
      <x:c r="D1784" s="3" t="n">
        <x:v>43</x:v>
      </x:c>
      <x:c r="E1784" s="3" t="n">
        <x:v>7</x:v>
      </x:c>
      <x:c r="F1784" s="3" t="n">
        <x:v>3</x:v>
      </x:c>
      <x:c r="G1784" s="9" t="n">
        <x:v>0.1</x:v>
      </x:c>
      <x:c r="H1784" s="9" t="n">
        <x:v>1.050432</x:v>
      </x:c>
      <x:c r="I1784" s="9" t="n">
        <x:f>'Physical_Arcs'!R44</x:f>
        <x:v>7.638888888888889</x:v>
      </x:c>
      <x:c r="J1784" s="9" t="n">
        <x:f>I1784*'Parameters'!$C$18</x:f>
        <x:v>1.527777777777778</x:v>
      </x:c>
      <x:c r="K1784" s="9" t="n">
        <x:f>J1784*'Parameters'!$C$19</x:f>
        <x:v>1.9097222222222223</x:v>
      </x:c>
      <x:c r="L1784" s="9" t="n">
        <x:f>I1784*(1-0.40)-J1784</x:f>
        <x:v>3.0555555555555554</x:v>
      </x:c>
      <x:c r="M1784" s="9" t="n">
        <x:f>'Physical_Arcs'!S44</x:f>
        <x:v>7.638888888888889</x:v>
      </x:c>
      <x:c r="N1784" s="9" t="n">
        <x:f>M1784*'Parameters'!$C$18</x:f>
        <x:v>1.527777777777778</x:v>
      </x:c>
      <x:c r="O1784" s="9" t="n">
        <x:f>N1784*'Parameters'!$C$19</x:f>
        <x:v>1.9097222222222223</x:v>
      </x:c>
      <x:c r="P1784" s="9" t="n">
        <x:f>M1784*(1-0.40)-N1784</x:f>
        <x:v>3.0555555555555554</x:v>
      </x:c>
      <x:c r="Q1784" s="9" t="n">
        <x:f>'Physical_Arcs'!T44</x:f>
        <x:v>3.8333333333333335</x:v>
      </x:c>
      <x:c r="R1784" s="9" t="n">
        <x:f>Q1784*'Parameters'!$C$18</x:f>
        <x:v>0.7666666666666667</x:v>
      </x:c>
      <x:c r="S1784" s="9" t="n">
        <x:f>R1784*'Parameters'!$C$19</x:f>
        <x:v>0.9583333333333334</x:v>
      </x:c>
      <x:c r="T1784" s="9" t="n">
        <x:f>Q1784*(1-0.40)-R1784</x:f>
        <x:v>1.5333333333333332</x:v>
      </x:c>
    </x:row>
    <x:row r="1785" ht="21" customHeight="1">
      <x:c r="A1785" s="3" t="n">
        <x:v>29</x:v>
      </x:c>
      <x:c r="B1785" s="3" t="str">
        <x:v>04:50</x:v>
      </x:c>
      <x:c r="C1785" s="3" t="n">
        <x:v>5</x:v>
      </x:c>
      <x:c r="D1785" s="3" t="n">
        <x:v>44</x:v>
      </x:c>
      <x:c r="E1785" s="3" t="n">
        <x:v>8</x:v>
      </x:c>
      <x:c r="F1785" s="3" t="n">
        <x:v>9</x:v>
      </x:c>
      <x:c r="G1785" s="9" t="n">
        <x:v>0.1</x:v>
      </x:c>
      <x:c r="H1785" s="9" t="n">
        <x:v>0.868101</x:v>
      </x:c>
      <x:c r="I1785" s="9" t="n">
        <x:f>'Physical_Arcs'!R45</x:f>
        <x:v>17.02777777777778</x:v>
      </x:c>
      <x:c r="J1785" s="9" t="n">
        <x:f>I1785*'Parameters'!$C$18</x:f>
        <x:v>3.405555555555556</x:v>
      </x:c>
      <x:c r="K1785" s="9" t="n">
        <x:f>J1785*'Parameters'!$C$19</x:f>
        <x:v>4.256944444444445</x:v>
      </x:c>
      <x:c r="L1785" s="9" t="n">
        <x:f>I1785*(1-0.40)-J1785</x:f>
        <x:v>6.811111111111111</x:v>
      </x:c>
      <x:c r="M1785" s="9" t="n">
        <x:f>'Physical_Arcs'!S45</x:f>
        <x:v>17.02777777777778</x:v>
      </x:c>
      <x:c r="N1785" s="9" t="n">
        <x:f>M1785*'Parameters'!$C$18</x:f>
        <x:v>3.405555555555556</x:v>
      </x:c>
      <x:c r="O1785" s="9" t="n">
        <x:f>N1785*'Parameters'!$C$19</x:f>
        <x:v>4.256944444444445</x:v>
      </x:c>
      <x:c r="P1785" s="9" t="n">
        <x:f>M1785*(1-0.40)-N1785</x:f>
        <x:v>6.811111111111111</x:v>
      </x:c>
      <x:c r="Q1785" s="9" t="n">
        <x:f>'Physical_Arcs'!T45</x:f>
        <x:v>17.02777777777778</x:v>
      </x:c>
      <x:c r="R1785" s="9" t="n">
        <x:f>Q1785*'Parameters'!$C$18</x:f>
        <x:v>3.405555555555556</x:v>
      </x:c>
      <x:c r="S1785" s="9" t="n">
        <x:f>R1785*'Parameters'!$C$19</x:f>
        <x:v>4.256944444444445</x:v>
      </x:c>
      <x:c r="T1785" s="9" t="n">
        <x:f>Q1785*(1-0.40)-R1785</x:f>
        <x:v>6.811111111111111</x:v>
      </x:c>
    </x:row>
    <x:row r="1786" ht="21" customHeight="1">
      <x:c r="A1786" s="3" t="n">
        <x:v>29</x:v>
      </x:c>
      <x:c r="B1786" s="3" t="str">
        <x:v>04:50</x:v>
      </x:c>
      <x:c r="C1786" s="3" t="n">
        <x:v>5</x:v>
      </x:c>
      <x:c r="D1786" s="3" t="n">
        <x:v>45</x:v>
      </x:c>
      <x:c r="E1786" s="3" t="n">
        <x:v>8</x:v>
      </x:c>
      <x:c r="F1786" s="3" t="n">
        <x:v>3</x:v>
      </x:c>
      <x:c r="G1786" s="9" t="n">
        <x:v>0.1</x:v>
      </x:c>
      <x:c r="H1786" s="9" t="n">
        <x:v>0.944958</x:v>
      </x:c>
      <x:c r="I1786" s="9" t="n">
        <x:f>'Physical_Arcs'!R46</x:f>
        <x:v>5.388888888888889</x:v>
      </x:c>
      <x:c r="J1786" s="9" t="n">
        <x:f>I1786*'Parameters'!$C$18</x:f>
        <x:v>1.077777777777778</x:v>
      </x:c>
      <x:c r="K1786" s="9" t="n">
        <x:f>J1786*'Parameters'!$C$19</x:f>
        <x:v>1.3472222222222223</x:v>
      </x:c>
      <x:c r="L1786" s="9" t="n">
        <x:f>I1786*(1-0.40)-J1786</x:f>
        <x:v>2.1555555555555554</x:v>
      </x:c>
      <x:c r="M1786" s="9" t="n">
        <x:f>'Physical_Arcs'!S46</x:f>
        <x:v>5.388888888888889</x:v>
      </x:c>
      <x:c r="N1786" s="9" t="n">
        <x:f>M1786*'Parameters'!$C$18</x:f>
        <x:v>1.077777777777778</x:v>
      </x:c>
      <x:c r="O1786" s="9" t="n">
        <x:f>N1786*'Parameters'!$C$19</x:f>
        <x:v>1.3472222222222223</x:v>
      </x:c>
      <x:c r="P1786" s="9" t="n">
        <x:f>M1786*(1-0.40)-N1786</x:f>
        <x:v>2.1555555555555554</x:v>
      </x:c>
      <x:c r="Q1786" s="9" t="n">
        <x:f>'Physical_Arcs'!T46</x:f>
        <x:v>2.6944444444444446</x:v>
      </x:c>
      <x:c r="R1786" s="9" t="n">
        <x:f>Q1786*'Parameters'!$C$18</x:f>
        <x:v>0.538888888888889</x:v>
      </x:c>
      <x:c r="S1786" s="9" t="n">
        <x:f>R1786*'Parameters'!$C$19</x:f>
        <x:v>0.6736111111111112</x:v>
      </x:c>
      <x:c r="T1786" s="9" t="n">
        <x:f>Q1786*(1-0.40)-R1786</x:f>
        <x:v>1.0777777777777777</x:v>
      </x:c>
    </x:row>
    <x:row r="1787" ht="21" customHeight="1">
      <x:c r="A1787" s="3" t="n">
        <x:v>29</x:v>
      </x:c>
      <x:c r="B1787" s="3" t="str">
        <x:v>04:50</x:v>
      </x:c>
      <x:c r="C1787" s="3" t="n">
        <x:v>5</x:v>
      </x:c>
      <x:c r="D1787" s="3" t="n">
        <x:v>46</x:v>
      </x:c>
      <x:c r="E1787" s="3" t="n">
        <x:v>8</x:v>
      </x:c>
      <x:c r="F1787" s="3" t="n">
        <x:v>7</x:v>
      </x:c>
      <x:c r="G1787" s="9" t="n">
        <x:v>0.1</x:v>
      </x:c>
      <x:c r="H1787" s="9" t="n">
        <x:v>0.866232</x:v>
      </x:c>
      <x:c r="I1787" s="9" t="n">
        <x:f>'Physical_Arcs'!R47</x:f>
        <x:v>5.388888888888889</x:v>
      </x:c>
      <x:c r="J1787" s="9" t="n">
        <x:f>I1787*'Parameters'!$C$18</x:f>
        <x:v>1.077777777777778</x:v>
      </x:c>
      <x:c r="K1787" s="9" t="n">
        <x:f>J1787*'Parameters'!$C$19</x:f>
        <x:v>1.3472222222222223</x:v>
      </x:c>
      <x:c r="L1787" s="9" t="n">
        <x:f>I1787*(1-0.40)-J1787</x:f>
        <x:v>2.1555555555555554</x:v>
      </x:c>
      <x:c r="M1787" s="9" t="n">
        <x:f>'Physical_Arcs'!S47</x:f>
        <x:v>5.388888888888889</x:v>
      </x:c>
      <x:c r="N1787" s="9" t="n">
        <x:f>M1787*'Parameters'!$C$18</x:f>
        <x:v>1.077777777777778</x:v>
      </x:c>
      <x:c r="O1787" s="9" t="n">
        <x:f>N1787*'Parameters'!$C$19</x:f>
        <x:v>1.3472222222222223</x:v>
      </x:c>
      <x:c r="P1787" s="9" t="n">
        <x:f>M1787*(1-0.40)-N1787</x:f>
        <x:v>2.1555555555555554</x:v>
      </x:c>
      <x:c r="Q1787" s="9" t="n">
        <x:f>'Physical_Arcs'!T47</x:f>
        <x:v>2.6944444444444446</x:v>
      </x:c>
      <x:c r="R1787" s="9" t="n">
        <x:f>Q1787*'Parameters'!$C$18</x:f>
        <x:v>0.538888888888889</x:v>
      </x:c>
      <x:c r="S1787" s="9" t="n">
        <x:f>R1787*'Parameters'!$C$19</x:f>
        <x:v>0.6736111111111112</x:v>
      </x:c>
      <x:c r="T1787" s="9" t="n">
        <x:f>Q1787*(1-0.40)-R1787</x:f>
        <x:v>1.0777777777777777</x:v>
      </x:c>
    </x:row>
    <x:row r="1788" ht="21" customHeight="1">
      <x:c r="A1788" s="3" t="n">
        <x:v>29</x:v>
      </x:c>
      <x:c r="B1788" s="3" t="str">
        <x:v>04:50</x:v>
      </x:c>
      <x:c r="C1788" s="3" t="n">
        <x:v>5</x:v>
      </x:c>
      <x:c r="D1788" s="3" t="n">
        <x:v>47</x:v>
      </x:c>
      <x:c r="E1788" s="3" t="n">
        <x:v>8</x:v>
      </x:c>
      <x:c r="F1788" s="3" t="n">
        <x:v>2</x:v>
      </x:c>
      <x:c r="G1788" s="9" t="n">
        <x:v>0.1</x:v>
      </x:c>
      <x:c r="H1788" s="9" t="n">
        <x:v>1.135644</x:v>
      </x:c>
      <x:c r="I1788" s="9" t="n">
        <x:f>'Physical_Arcs'!R48</x:f>
        <x:v>8.083333333333334</x:v>
      </x:c>
      <x:c r="J1788" s="9" t="n">
        <x:f>I1788*'Parameters'!$C$18</x:f>
        <x:v>1.616666666666667</x:v>
      </x:c>
      <x:c r="K1788" s="9" t="n">
        <x:f>J1788*'Parameters'!$C$19</x:f>
        <x:v>2.0208333333333335</x:v>
      </x:c>
      <x:c r="L1788" s="9" t="n">
        <x:f>I1788*(1-0.40)-J1788</x:f>
        <x:v>3.2333333333333334</x:v>
      </x:c>
      <x:c r="M1788" s="9" t="n">
        <x:f>'Physical_Arcs'!S48</x:f>
        <x:v>8.083333333333334</x:v>
      </x:c>
      <x:c r="N1788" s="9" t="n">
        <x:f>M1788*'Parameters'!$C$18</x:f>
        <x:v>1.616666666666667</x:v>
      </x:c>
      <x:c r="O1788" s="9" t="n">
        <x:f>N1788*'Parameters'!$C$19</x:f>
        <x:v>2.0208333333333335</x:v>
      </x:c>
      <x:c r="P1788" s="9" t="n">
        <x:f>M1788*(1-0.40)-N1788</x:f>
        <x:v>3.2333333333333334</x:v>
      </x:c>
      <x:c r="Q1788" s="9" t="n">
        <x:f>'Physical_Arcs'!T48</x:f>
        <x:v>4.055555555555555</x:v>
      </x:c>
      <x:c r="R1788" s="9" t="n">
        <x:f>Q1788*'Parameters'!$C$18</x:f>
        <x:v>0.8111111111111111</x:v>
      </x:c>
      <x:c r="S1788" s="9" t="n">
        <x:f>R1788*'Parameters'!$C$19</x:f>
        <x:v>1.0138888888888888</x:v>
      </x:c>
      <x:c r="T1788" s="9" t="n">
        <x:f>Q1788*(1-0.40)-R1788</x:f>
        <x:v>1.622222222222222</x:v>
      </x:c>
    </x:row>
    <x:row r="1789" ht="21" customHeight="1">
      <x:c r="A1789" s="3" t="n">
        <x:v>29</x:v>
      </x:c>
      <x:c r="B1789" s="3" t="str">
        <x:v>04:50</x:v>
      </x:c>
      <x:c r="C1789" s="3" t="n">
        <x:v>5</x:v>
      </x:c>
      <x:c r="D1789" s="3" t="n">
        <x:v>48</x:v>
      </x:c>
      <x:c r="E1789" s="3" t="n">
        <x:v>8</x:v>
      </x:c>
      <x:c r="F1789" s="3" t="n">
        <x:v>6</x:v>
      </x:c>
      <x:c r="G1789" s="9" t="n">
        <x:v>0.1</x:v>
      </x:c>
      <x:c r="H1789" s="9" t="n">
        <x:v>0.850778</x:v>
      </x:c>
      <x:c r="I1789" s="9" t="n">
        <x:f>'Physical_Arcs'!R49</x:f>
        <x:v>10.555555555555555</x:v>
      </x:c>
      <x:c r="J1789" s="9" t="n">
        <x:f>I1789*'Parameters'!$C$18</x:f>
        <x:v>2.111111111111111</x:v>
      </x:c>
      <x:c r="K1789" s="9" t="n">
        <x:f>J1789*'Parameters'!$C$19</x:f>
        <x:v>2.638888888888889</x:v>
      </x:c>
      <x:c r="L1789" s="9" t="n">
        <x:f>I1789*(1-0.40)-J1789</x:f>
        <x:v>4.222222222222221</x:v>
      </x:c>
      <x:c r="M1789" s="9" t="n">
        <x:f>'Physical_Arcs'!S49</x:f>
        <x:v>10.555555555555555</x:v>
      </x:c>
      <x:c r="N1789" s="9" t="n">
        <x:f>M1789*'Parameters'!$C$18</x:f>
        <x:v>2.111111111111111</x:v>
      </x:c>
      <x:c r="O1789" s="9" t="n">
        <x:f>N1789*'Parameters'!$C$19</x:f>
        <x:v>2.638888888888889</x:v>
      </x:c>
      <x:c r="P1789" s="9" t="n">
        <x:f>M1789*(1-0.40)-N1789</x:f>
        <x:v>4.222222222222221</x:v>
      </x:c>
      <x:c r="Q1789" s="9" t="n">
        <x:f>'Physical_Arcs'!T49</x:f>
        <x:v>5.277777777777778</x:v>
      </x:c>
      <x:c r="R1789" s="9" t="n">
        <x:f>Q1789*'Parameters'!$C$18</x:f>
        <x:v>1.0555555555555556</x:v>
      </x:c>
      <x:c r="S1789" s="9" t="n">
        <x:f>R1789*'Parameters'!$C$19</x:f>
        <x:v>1.3194444444444444</x:v>
      </x:c>
      <x:c r="T1789" s="9" t="n">
        <x:f>Q1789*(1-0.40)-R1789</x:f>
        <x:v>2.1111111111111107</x:v>
      </x:c>
    </x:row>
    <x:row r="1790" ht="21" customHeight="1">
      <x:c r="A1790" s="3" t="n">
        <x:v>29</x:v>
      </x:c>
      <x:c r="B1790" s="3" t="str">
        <x:v>04:50</x:v>
      </x:c>
      <x:c r="C1790" s="3" t="n">
        <x:v>5</x:v>
      </x:c>
      <x:c r="D1790" s="3" t="n">
        <x:v>49</x:v>
      </x:c>
      <x:c r="E1790" s="3" t="n">
        <x:v>8</x:v>
      </x:c>
      <x:c r="F1790" s="3" t="n">
        <x:v>4</x:v>
      </x:c>
      <x:c r="G1790" s="9" t="n">
        <x:v>0.1</x:v>
      </x:c>
      <x:c r="H1790" s="9" t="n">
        <x:v>0.904949</x:v>
      </x:c>
      <x:c r="I1790" s="9" t="n">
        <x:f>'Physical_Arcs'!R50</x:f>
        <x:v>1.5833333333333333</x:v>
      </x:c>
      <x:c r="J1790" s="9" t="n">
        <x:f>I1790*'Parameters'!$C$18</x:f>
        <x:v>0.31666666666666665</x:v>
      </x:c>
      <x:c r="K1790" s="9" t="n">
        <x:f>J1790*'Parameters'!$C$19</x:f>
        <x:v>0.3958333333333333</x:v>
      </x:c>
      <x:c r="L1790" s="9" t="n">
        <x:f>I1790*(1-0.40)-J1790</x:f>
        <x:v>0.6333333333333333</x:v>
      </x:c>
      <x:c r="M1790" s="9" t="n">
        <x:f>'Physical_Arcs'!S50</x:f>
        <x:v>1.5833333333333333</x:v>
      </x:c>
      <x:c r="N1790" s="9" t="n">
        <x:f>M1790*'Parameters'!$C$18</x:f>
        <x:v>0.31666666666666665</x:v>
      </x:c>
      <x:c r="O1790" s="9" t="n">
        <x:f>N1790*'Parameters'!$C$19</x:f>
        <x:v>0.3958333333333333</x:v>
      </x:c>
      <x:c r="P1790" s="9" t="n">
        <x:f>M1790*(1-0.40)-N1790</x:f>
        <x:v>0.6333333333333333</x:v>
      </x:c>
      <x:c r="Q1790" s="9" t="n">
        <x:f>'Physical_Arcs'!T50</x:f>
        <x:v>0.8055555555555556</x:v>
      </x:c>
      <x:c r="R1790" s="9" t="n">
        <x:f>Q1790*'Parameters'!$C$18</x:f>
        <x:v>0.16111111111111112</x:v>
      </x:c>
      <x:c r="S1790" s="9" t="n">
        <x:f>R1790*'Parameters'!$C$19</x:f>
        <x:v>0.2013888888888889</x:v>
      </x:c>
      <x:c r="T1790" s="9" t="n">
        <x:f>Q1790*(1-0.40)-R1790</x:f>
        <x:v>0.3222222222222222</x:v>
      </x:c>
    </x:row>
    <x:row r="1791" ht="21" customHeight="1">
      <x:c r="A1791" s="3" t="n">
        <x:v>29</x:v>
      </x:c>
      <x:c r="B1791" s="3" t="str">
        <x:v>04:50</x:v>
      </x:c>
      <x:c r="C1791" s="3" t="n">
        <x:v>5</x:v>
      </x:c>
      <x:c r="D1791" s="3" t="n">
        <x:v>50</x:v>
      </x:c>
      <x:c r="E1791" s="3" t="n">
        <x:v>8</x:v>
      </x:c>
      <x:c r="F1791" s="3" t="n">
        <x:v>5</x:v>
      </x:c>
      <x:c r="G1791" s="9" t="n">
        <x:v>0.1</x:v>
      </x:c>
      <x:c r="H1791" s="9" t="n">
        <x:v>0.990416</x:v>
      </x:c>
      <x:c r="I1791" s="9" t="n">
        <x:f>'Physical_Arcs'!R51</x:f>
        <x:v>10.777777777777779</x:v>
      </x:c>
      <x:c r="J1791" s="9" t="n">
        <x:f>I1791*'Parameters'!$C$18</x:f>
        <x:v>2.155555555555556</x:v>
      </x:c>
      <x:c r="K1791" s="9" t="n">
        <x:f>J1791*'Parameters'!$C$19</x:f>
        <x:v>2.6944444444444446</x:v>
      </x:c>
      <x:c r="L1791" s="9" t="n">
        <x:f>I1791*(1-0.40)-J1791</x:f>
        <x:v>4.311111111111111</x:v>
      </x:c>
      <x:c r="M1791" s="9" t="n">
        <x:f>'Physical_Arcs'!S51</x:f>
        <x:v>10.777777777777779</x:v>
      </x:c>
      <x:c r="N1791" s="9" t="n">
        <x:f>M1791*'Parameters'!$C$18</x:f>
        <x:v>2.155555555555556</x:v>
      </x:c>
      <x:c r="O1791" s="9" t="n">
        <x:f>N1791*'Parameters'!$C$19</x:f>
        <x:v>2.6944444444444446</x:v>
      </x:c>
      <x:c r="P1791" s="9" t="n">
        <x:f>M1791*(1-0.40)-N1791</x:f>
        <x:v>4.311111111111111</x:v>
      </x:c>
      <x:c r="Q1791" s="9" t="n">
        <x:f>'Physical_Arcs'!T51</x:f>
        <x:v>5.388888888888889</x:v>
      </x:c>
      <x:c r="R1791" s="9" t="n">
        <x:f>Q1791*'Parameters'!$C$18</x:f>
        <x:v>1.077777777777778</x:v>
      </x:c>
      <x:c r="S1791" s="9" t="n">
        <x:f>R1791*'Parameters'!$C$19</x:f>
        <x:v>1.3472222222222223</x:v>
      </x:c>
      <x:c r="T1791" s="9" t="n">
        <x:f>Q1791*(1-0.40)-R1791</x:f>
        <x:v>2.1555555555555554</x:v>
      </x:c>
    </x:row>
    <x:row r="1792" ht="21" customHeight="1">
      <x:c r="A1792" s="3" t="n">
        <x:v>29</x:v>
      </x:c>
      <x:c r="B1792" s="3" t="str">
        <x:v>04:50</x:v>
      </x:c>
      <x:c r="C1792" s="3" t="n">
        <x:v>5</x:v>
      </x:c>
      <x:c r="D1792" s="3" t="n">
        <x:v>51</x:v>
      </x:c>
      <x:c r="E1792" s="3" t="n">
        <x:v>8</x:v>
      </x:c>
      <x:c r="F1792" s="3" t="n">
        <x:v>1</x:v>
      </x:c>
      <x:c r="G1792" s="9" t="n">
        <x:v>0.1</x:v>
      </x:c>
      <x:c r="H1792" s="9" t="n">
        <x:v>1.039066</x:v>
      </x:c>
      <x:c r="I1792" s="9" t="n">
        <x:f>'Physical_Arcs'!R52</x:f>
        <x:v>8.88888888888889</x:v>
      </x:c>
      <x:c r="J1792" s="9" t="n">
        <x:f>I1792*'Parameters'!$C$18</x:f>
        <x:v>1.777777777777778</x:v>
      </x:c>
      <x:c r="K1792" s="9" t="n">
        <x:f>J1792*'Parameters'!$C$19</x:f>
        <x:v>2.2222222222222223</x:v>
      </x:c>
      <x:c r="L1792" s="9" t="n">
        <x:f>I1792*(1-0.40)-J1792</x:f>
        <x:v>3.5555555555555554</x:v>
      </x:c>
      <x:c r="M1792" s="9" t="n">
        <x:f>'Physical_Arcs'!S52</x:f>
        <x:v>8.88888888888889</x:v>
      </x:c>
      <x:c r="N1792" s="9" t="n">
        <x:f>M1792*'Parameters'!$C$18</x:f>
        <x:v>1.777777777777778</x:v>
      </x:c>
      <x:c r="O1792" s="9" t="n">
        <x:f>N1792*'Parameters'!$C$19</x:f>
        <x:v>2.2222222222222223</x:v>
      </x:c>
      <x:c r="P1792" s="9" t="n">
        <x:f>M1792*(1-0.40)-N1792</x:f>
        <x:v>3.5555555555555554</x:v>
      </x:c>
      <x:c r="Q1792" s="9" t="n">
        <x:f>'Physical_Arcs'!T52</x:f>
        <x:v>4.444444444444445</x:v>
      </x:c>
      <x:c r="R1792" s="9" t="n">
        <x:f>Q1792*'Parameters'!$C$18</x:f>
        <x:v>0.888888888888889</x:v>
      </x:c>
      <x:c r="S1792" s="9" t="n">
        <x:f>R1792*'Parameters'!$C$19</x:f>
        <x:v>1.1111111111111112</x:v>
      </x:c>
      <x:c r="T1792" s="9" t="n">
        <x:f>Q1792*(1-0.40)-R1792</x:f>
        <x:v>1.7777777777777777</x:v>
      </x:c>
    </x:row>
    <x:row r="1793" ht="21" customHeight="1">
      <x:c r="A1793" s="3" t="n">
        <x:v>29</x:v>
      </x:c>
      <x:c r="B1793" s="3" t="str">
        <x:v>04:50</x:v>
      </x:c>
      <x:c r="C1793" s="3" t="n">
        <x:v>5</x:v>
      </x:c>
      <x:c r="D1793" s="3" t="n">
        <x:v>52</x:v>
      </x:c>
      <x:c r="E1793" s="3" t="n">
        <x:v>9</x:v>
      </x:c>
      <x:c r="F1793" s="3" t="n">
        <x:v>10</x:v>
      </x:c>
      <x:c r="G1793" s="9" t="n">
        <x:v>0.1</x:v>
      </x:c>
      <x:c r="H1793" s="9" t="n">
        <x:v>0.954096</x:v>
      </x:c>
      <x:c r="I1793" s="9" t="n">
        <x:f>'Physical_Arcs'!R53</x:f>
        <x:v>17.02777777777778</x:v>
      </x:c>
      <x:c r="J1793" s="9" t="n">
        <x:f>I1793*'Parameters'!$C$18</x:f>
        <x:v>3.405555555555556</x:v>
      </x:c>
      <x:c r="K1793" s="9" t="n">
        <x:f>J1793*'Parameters'!$C$19</x:f>
        <x:v>4.256944444444445</x:v>
      </x:c>
      <x:c r="L1793" s="9" t="n">
        <x:f>I1793*(1-0.40)-J1793</x:f>
        <x:v>6.811111111111111</x:v>
      </x:c>
      <x:c r="M1793" s="9" t="n">
        <x:f>'Physical_Arcs'!S53</x:f>
        <x:v>17.02777777777778</x:v>
      </x:c>
      <x:c r="N1793" s="9" t="n">
        <x:f>M1793*'Parameters'!$C$18</x:f>
        <x:v>3.405555555555556</x:v>
      </x:c>
      <x:c r="O1793" s="9" t="n">
        <x:f>N1793*'Parameters'!$C$19</x:f>
        <x:v>4.256944444444445</x:v>
      </x:c>
      <x:c r="P1793" s="9" t="n">
        <x:f>M1793*(1-0.40)-N1793</x:f>
        <x:v>6.811111111111111</x:v>
      </x:c>
      <x:c r="Q1793" s="9" t="n">
        <x:f>'Physical_Arcs'!T53</x:f>
        <x:v>17.02777777777778</x:v>
      </x:c>
      <x:c r="R1793" s="9" t="n">
        <x:f>Q1793*'Parameters'!$C$18</x:f>
        <x:v>3.405555555555556</x:v>
      </x:c>
      <x:c r="S1793" s="9" t="n">
        <x:f>R1793*'Parameters'!$C$19</x:f>
        <x:v>4.256944444444445</x:v>
      </x:c>
      <x:c r="T1793" s="9" t="n">
        <x:f>Q1793*(1-0.40)-R1793</x:f>
        <x:v>6.811111111111111</x:v>
      </x:c>
    </x:row>
    <x:row r="1794" ht="21" customHeight="1">
      <x:c r="A1794" s="3" t="n">
        <x:v>29</x:v>
      </x:c>
      <x:c r="B1794" s="3" t="str">
        <x:v>04:50</x:v>
      </x:c>
      <x:c r="C1794" s="3" t="n">
        <x:v>5</x:v>
      </x:c>
      <x:c r="D1794" s="3" t="n">
        <x:v>53</x:v>
      </x:c>
      <x:c r="E1794" s="3" t="n">
        <x:v>9</x:v>
      </x:c>
      <x:c r="F1794" s="3" t="n">
        <x:v>6</x:v>
      </x:c>
      <x:c r="G1794" s="9" t="n">
        <x:v>0.1</x:v>
      </x:c>
      <x:c r="H1794" s="9" t="n">
        <x:v>1.125574</x:v>
      </x:c>
      <x:c r="I1794" s="9" t="n">
        <x:f>'Physical_Arcs'!R54</x:f>
        <x:v>9.666666666666666</x:v>
      </x:c>
      <x:c r="J1794" s="9" t="n">
        <x:f>I1794*'Parameters'!$C$18</x:f>
        <x:v>1.9333333333333333</x:v>
      </x:c>
      <x:c r="K1794" s="9" t="n">
        <x:f>J1794*'Parameters'!$C$19</x:f>
        <x:v>2.4166666666666665</x:v>
      </x:c>
      <x:c r="L1794" s="9" t="n">
        <x:f>I1794*(1-0.40)-J1794</x:f>
        <x:v>3.8666666666666663</x:v>
      </x:c>
      <x:c r="M1794" s="9" t="n">
        <x:f>'Physical_Arcs'!S54</x:f>
        <x:v>9.666666666666666</x:v>
      </x:c>
      <x:c r="N1794" s="9" t="n">
        <x:f>M1794*'Parameters'!$C$18</x:f>
        <x:v>1.9333333333333333</x:v>
      </x:c>
      <x:c r="O1794" s="9" t="n">
        <x:f>N1794*'Parameters'!$C$19</x:f>
        <x:v>2.4166666666666665</x:v>
      </x:c>
      <x:c r="P1794" s="9" t="n">
        <x:f>M1794*(1-0.40)-N1794</x:f>
        <x:v>3.8666666666666663</x:v>
      </x:c>
      <x:c r="Q1794" s="9" t="n">
        <x:f>'Physical_Arcs'!T54</x:f>
        <x:v>4.833333333333333</x:v>
      </x:c>
      <x:c r="R1794" s="9" t="n">
        <x:f>Q1794*'Parameters'!$C$18</x:f>
        <x:v>0.9666666666666667</x:v>
      </x:c>
      <x:c r="S1794" s="9" t="n">
        <x:f>R1794*'Parameters'!$C$19</x:f>
        <x:v>1.2083333333333333</x:v>
      </x:c>
      <x:c r="T1794" s="9" t="n">
        <x:f>Q1794*(1-0.40)-R1794</x:f>
        <x:v>1.9333333333333331</x:v>
      </x:c>
    </x:row>
    <x:row r="1795" ht="21" customHeight="1">
      <x:c r="A1795" s="3" t="n">
        <x:v>29</x:v>
      </x:c>
      <x:c r="B1795" s="3" t="str">
        <x:v>04:50</x:v>
      </x:c>
      <x:c r="C1795" s="3" t="n">
        <x:v>5</x:v>
      </x:c>
      <x:c r="D1795" s="3" t="n">
        <x:v>54</x:v>
      </x:c>
      <x:c r="E1795" s="3" t="n">
        <x:v>9</x:v>
      </x:c>
      <x:c r="F1795" s="3" t="n">
        <x:v>2</x:v>
      </x:c>
      <x:c r="G1795" s="9" t="n">
        <x:v>0.1</x:v>
      </x:c>
      <x:c r="H1795" s="9" t="n">
        <x:v>0.854534</x:v>
      </x:c>
      <x:c r="I1795" s="9" t="n">
        <x:f>'Physical_Arcs'!R55</x:f>
        <x:v>9.88888888888889</x:v>
      </x:c>
      <x:c r="J1795" s="9" t="n">
        <x:f>I1795*'Parameters'!$C$18</x:f>
        <x:v>1.9777777777777779</x:v>
      </x:c>
      <x:c r="K1795" s="9" t="n">
        <x:f>J1795*'Parameters'!$C$19</x:f>
        <x:v>2.4722222222222223</x:v>
      </x:c>
      <x:c r="L1795" s="9" t="n">
        <x:f>I1795*(1-0.40)-J1795</x:f>
        <x:v>3.9555555555555557</x:v>
      </x:c>
      <x:c r="M1795" s="9" t="n">
        <x:f>'Physical_Arcs'!S55</x:f>
        <x:v>9.88888888888889</x:v>
      </x:c>
      <x:c r="N1795" s="9" t="n">
        <x:f>M1795*'Parameters'!$C$18</x:f>
        <x:v>1.9777777777777779</x:v>
      </x:c>
      <x:c r="O1795" s="9" t="n">
        <x:f>N1795*'Parameters'!$C$19</x:f>
        <x:v>2.4722222222222223</x:v>
      </x:c>
      <x:c r="P1795" s="9" t="n">
        <x:f>M1795*(1-0.40)-N1795</x:f>
        <x:v>3.9555555555555557</x:v>
      </x:c>
      <x:c r="Q1795" s="9" t="n">
        <x:f>'Physical_Arcs'!T55</x:f>
        <x:v>4.944444444444445</x:v>
      </x:c>
      <x:c r="R1795" s="9" t="n">
        <x:f>Q1795*'Parameters'!$C$18</x:f>
        <x:v>0.9888888888888889</x:v>
      </x:c>
      <x:c r="S1795" s="9" t="n">
        <x:f>R1795*'Parameters'!$C$19</x:f>
        <x:v>1.2361111111111112</x:v>
      </x:c>
      <x:c r="T1795" s="9" t="n">
        <x:f>Q1795*(1-0.40)-R1795</x:f>
        <x:v>1.9777777777777779</x:v>
      </x:c>
    </x:row>
    <x:row r="1796" ht="21" customHeight="1">
      <x:c r="A1796" s="3" t="n">
        <x:v>29</x:v>
      </x:c>
      <x:c r="B1796" s="3" t="str">
        <x:v>04:50</x:v>
      </x:c>
      <x:c r="C1796" s="3" t="n">
        <x:v>5</x:v>
      </x:c>
      <x:c r="D1796" s="3" t="n">
        <x:v>55</x:v>
      </x:c>
      <x:c r="E1796" s="3" t="n">
        <x:v>9</x:v>
      </x:c>
      <x:c r="F1796" s="3" t="n">
        <x:v>7</x:v>
      </x:c>
      <x:c r="G1796" s="9" t="n">
        <x:v>0.1</x:v>
      </x:c>
      <x:c r="H1796" s="9" t="n">
        <x:v>0.900033</x:v>
      </x:c>
      <x:c r="I1796" s="9" t="n">
        <x:f>'Physical_Arcs'!R56</x:f>
        <x:v>4.166666666666667</x:v>
      </x:c>
      <x:c r="J1796" s="9" t="n">
        <x:f>I1796*'Parameters'!$C$18</x:f>
        <x:v>0.8333333333333335</x:v>
      </x:c>
      <x:c r="K1796" s="9" t="n">
        <x:f>J1796*'Parameters'!$C$19</x:f>
        <x:v>1.041666666666667</x:v>
      </x:c>
      <x:c r="L1796" s="9" t="n">
        <x:f>I1796*(1-0.40)-J1796</x:f>
        <x:v>1.6666666666666665</x:v>
      </x:c>
      <x:c r="M1796" s="9" t="n">
        <x:f>'Physical_Arcs'!S56</x:f>
        <x:v>4.166666666666667</x:v>
      </x:c>
      <x:c r="N1796" s="9" t="n">
        <x:f>M1796*'Parameters'!$C$18</x:f>
        <x:v>0.8333333333333335</x:v>
      </x:c>
      <x:c r="O1796" s="9" t="n">
        <x:f>N1796*'Parameters'!$C$19</x:f>
        <x:v>1.041666666666667</x:v>
      </x:c>
      <x:c r="P1796" s="9" t="n">
        <x:f>M1796*(1-0.40)-N1796</x:f>
        <x:v>1.6666666666666665</x:v>
      </x:c>
      <x:c r="Q1796" s="9" t="n">
        <x:f>'Physical_Arcs'!T56</x:f>
        <x:v>2.0833333333333335</x:v>
      </x:c>
      <x:c r="R1796" s="9" t="n">
        <x:f>Q1796*'Parameters'!$C$18</x:f>
        <x:v>0.41666666666666674</x:v>
      </x:c>
      <x:c r="S1796" s="9" t="n">
        <x:f>R1796*'Parameters'!$C$19</x:f>
        <x:v>0.5208333333333335</x:v>
      </x:c>
      <x:c r="T1796" s="9" t="n">
        <x:f>Q1796*(1-0.40)-R1796</x:f>
        <x:v>0.8333333333333333</x:v>
      </x:c>
    </x:row>
    <x:row r="1797" ht="21" customHeight="1">
      <x:c r="A1797" s="3" t="n">
        <x:v>29</x:v>
      </x:c>
      <x:c r="B1797" s="3" t="str">
        <x:v>04:50</x:v>
      </x:c>
      <x:c r="C1797" s="3" t="n">
        <x:v>5</x:v>
      </x:c>
      <x:c r="D1797" s="3" t="n">
        <x:v>56</x:v>
      </x:c>
      <x:c r="E1797" s="3" t="n">
        <x:v>9</x:v>
      </x:c>
      <x:c r="F1797" s="3" t="n">
        <x:v>3</x:v>
      </x:c>
      <x:c r="G1797" s="9" t="n">
        <x:v>0.1</x:v>
      </x:c>
      <x:c r="H1797" s="9" t="n">
        <x:v>0.893428</x:v>
      </x:c>
      <x:c r="I1797" s="9" t="n">
        <x:f>'Physical_Arcs'!R57</x:f>
        <x:v>3.7222222222222223</x:v>
      </x:c>
      <x:c r="J1797" s="9" t="n">
        <x:f>I1797*'Parameters'!$C$18</x:f>
        <x:v>0.7444444444444445</x:v>
      </x:c>
      <x:c r="K1797" s="9" t="n">
        <x:f>J1797*'Parameters'!$C$19</x:f>
        <x:v>0.9305555555555556</x:v>
      </x:c>
      <x:c r="L1797" s="9" t="n">
        <x:f>I1797*(1-0.40)-J1797</x:f>
        <x:v>1.488888888888889</x:v>
      </x:c>
      <x:c r="M1797" s="9" t="n">
        <x:f>'Physical_Arcs'!S57</x:f>
        <x:v>3.7222222222222223</x:v>
      </x:c>
      <x:c r="N1797" s="9" t="n">
        <x:f>M1797*'Parameters'!$C$18</x:f>
        <x:v>0.7444444444444445</x:v>
      </x:c>
      <x:c r="O1797" s="9" t="n">
        <x:f>N1797*'Parameters'!$C$19</x:f>
        <x:v>0.9305555555555556</x:v>
      </x:c>
      <x:c r="P1797" s="9" t="n">
        <x:f>M1797*(1-0.40)-N1797</x:f>
        <x:v>1.488888888888889</x:v>
      </x:c>
      <x:c r="Q1797" s="9" t="n">
        <x:f>'Physical_Arcs'!T57</x:f>
        <x:v>1.8611111111111112</x:v>
      </x:c>
      <x:c r="R1797" s="9" t="n">
        <x:f>Q1797*'Parameters'!$C$18</x:f>
        <x:v>0.37222222222222223</x:v>
      </x:c>
      <x:c r="S1797" s="9" t="n">
        <x:f>R1797*'Parameters'!$C$19</x:f>
        <x:v>0.4652777777777778</x:v>
      </x:c>
      <x:c r="T1797" s="9" t="n">
        <x:f>Q1797*(1-0.40)-R1797</x:f>
        <x:v>0.7444444444444445</x:v>
      </x:c>
    </x:row>
    <x:row r="1798" ht="21" customHeight="1">
      <x:c r="A1798" s="3" t="n">
        <x:v>29</x:v>
      </x:c>
      <x:c r="B1798" s="3" t="str">
        <x:v>04:50</x:v>
      </x:c>
      <x:c r="C1798" s="3" t="n">
        <x:v>5</x:v>
      </x:c>
      <x:c r="D1798" s="3" t="n">
        <x:v>57</x:v>
      </x:c>
      <x:c r="E1798" s="3" t="n">
        <x:v>10</x:v>
      </x:c>
      <x:c r="F1798" s="3" t="n">
        <x:v>1</x:v>
      </x:c>
      <x:c r="G1798" s="9" t="n">
        <x:v>0.1</x:v>
      </x:c>
      <x:c r="H1798" s="9" t="n">
        <x:v>1.027979</x:v>
      </x:c>
      <x:c r="I1798" s="9" t="n">
        <x:f>'Physical_Arcs'!R58</x:f>
        <x:v>17.02777777777778</x:v>
      </x:c>
      <x:c r="J1798" s="9" t="n">
        <x:f>I1798*'Parameters'!$C$18</x:f>
        <x:v>3.405555555555556</x:v>
      </x:c>
      <x:c r="K1798" s="9" t="n">
        <x:f>J1798*'Parameters'!$C$19</x:f>
        <x:v>4.256944444444445</x:v>
      </x:c>
      <x:c r="L1798" s="9" t="n">
        <x:f>I1798*(1-0.40)-J1798</x:f>
        <x:v>6.811111111111111</x:v>
      </x:c>
      <x:c r="M1798" s="9" t="n">
        <x:f>'Physical_Arcs'!S58</x:f>
        <x:v>17.02777777777778</x:v>
      </x:c>
      <x:c r="N1798" s="9" t="n">
        <x:f>M1798*'Parameters'!$C$18</x:f>
        <x:v>3.405555555555556</x:v>
      </x:c>
      <x:c r="O1798" s="9" t="n">
        <x:f>N1798*'Parameters'!$C$19</x:f>
        <x:v>4.256944444444445</x:v>
      </x:c>
      <x:c r="P1798" s="9" t="n">
        <x:f>M1798*(1-0.40)-N1798</x:f>
        <x:v>6.811111111111111</x:v>
      </x:c>
      <x:c r="Q1798" s="9" t="n">
        <x:f>'Physical_Arcs'!T58</x:f>
        <x:v>17.02777777777778</x:v>
      </x:c>
      <x:c r="R1798" s="9" t="n">
        <x:f>Q1798*'Parameters'!$C$18</x:f>
        <x:v>3.405555555555556</x:v>
      </x:c>
      <x:c r="S1798" s="9" t="n">
        <x:f>R1798*'Parameters'!$C$19</x:f>
        <x:v>4.256944444444445</x:v>
      </x:c>
      <x:c r="T1798" s="9" t="n">
        <x:f>Q1798*(1-0.40)-R1798</x:f>
        <x:v>6.811111111111111</x:v>
      </x:c>
    </x:row>
    <x:row r="1799" ht="21" customHeight="1">
      <x:c r="A1799" s="3" t="n">
        <x:v>29</x:v>
      </x:c>
      <x:c r="B1799" s="3" t="str">
        <x:v>04:50</x:v>
      </x:c>
      <x:c r="C1799" s="3" t="n">
        <x:v>5</x:v>
      </x:c>
      <x:c r="D1799" s="3" t="n">
        <x:v>58</x:v>
      </x:c>
      <x:c r="E1799" s="3" t="n">
        <x:v>10</x:v>
      </x:c>
      <x:c r="F1799" s="3" t="n">
        <x:v>6</x:v>
      </x:c>
      <x:c r="G1799" s="9" t="n">
        <x:v>0.1</x:v>
      </x:c>
      <x:c r="H1799" s="9" t="n">
        <x:v>0.952676</x:v>
      </x:c>
      <x:c r="I1799" s="9" t="n">
        <x:f>'Physical_Arcs'!R59</x:f>
        <x:v>6.305555555555555</x:v>
      </x:c>
      <x:c r="J1799" s="9" t="n">
        <x:f>I1799*'Parameters'!$C$18</x:f>
        <x:v>1.261111111111111</x:v>
      </x:c>
      <x:c r="K1799" s="9" t="n">
        <x:f>J1799*'Parameters'!$C$19</x:f>
        <x:v>1.5763888888888888</x:v>
      </x:c>
      <x:c r="L1799" s="9" t="n">
        <x:f>I1799*(1-0.40)-J1799</x:f>
        <x:v>2.522222222222222</x:v>
      </x:c>
      <x:c r="M1799" s="9" t="n">
        <x:f>'Physical_Arcs'!S59</x:f>
        <x:v>6.305555555555555</x:v>
      </x:c>
      <x:c r="N1799" s="9" t="n">
        <x:f>M1799*'Parameters'!$C$18</x:f>
        <x:v>1.261111111111111</x:v>
      </x:c>
      <x:c r="O1799" s="9" t="n">
        <x:f>N1799*'Parameters'!$C$19</x:f>
        <x:v>1.5763888888888888</x:v>
      </x:c>
      <x:c r="P1799" s="9" t="n">
        <x:f>M1799*(1-0.40)-N1799</x:f>
        <x:v>2.522222222222222</x:v>
      </x:c>
      <x:c r="Q1799" s="9" t="n">
        <x:f>'Physical_Arcs'!T59</x:f>
        <x:v>3.1666666666666665</x:v>
      </x:c>
      <x:c r="R1799" s="9" t="n">
        <x:f>Q1799*'Parameters'!$C$18</x:f>
        <x:v>0.6333333333333333</x:v>
      </x:c>
      <x:c r="S1799" s="9" t="n">
        <x:f>R1799*'Parameters'!$C$19</x:f>
        <x:v>0.7916666666666666</x:v>
      </x:c>
      <x:c r="T1799" s="9" t="n">
        <x:f>Q1799*(1-0.40)-R1799</x:f>
        <x:v>1.2666666666666666</x:v>
      </x:c>
    </x:row>
    <x:row r="1800" ht="21" customHeight="1">
      <x:c r="A1800" s="3" t="n">
        <x:v>29</x:v>
      </x:c>
      <x:c r="B1800" s="3" t="str">
        <x:v>04:50</x:v>
      </x:c>
      <x:c r="C1800" s="3" t="n">
        <x:v>5</x:v>
      </x:c>
      <x:c r="D1800" s="3" t="n">
        <x:v>59</x:v>
      </x:c>
      <x:c r="E1800" s="3" t="n">
        <x:v>10</x:v>
      </x:c>
      <x:c r="F1800" s="3" t="n">
        <x:v>4</x:v>
      </x:c>
      <x:c r="G1800" s="9" t="n">
        <x:v>0.1</x:v>
      </x:c>
      <x:c r="H1800" s="9" t="n">
        <x:v>1.114542</x:v>
      </x:c>
      <x:c r="I1800" s="9" t="n">
        <x:f>'Physical_Arcs'!R60</x:f>
        <x:v>1.5833333333333333</x:v>
      </x:c>
      <x:c r="J1800" s="9" t="n">
        <x:f>I1800*'Parameters'!$C$18</x:f>
        <x:v>0.31666666666666665</x:v>
      </x:c>
      <x:c r="K1800" s="9" t="n">
        <x:f>J1800*'Parameters'!$C$19</x:f>
        <x:v>0.3958333333333333</x:v>
      </x:c>
      <x:c r="L1800" s="9" t="n">
        <x:f>I1800*(1-0.40)-J1800</x:f>
        <x:v>0.6333333333333333</x:v>
      </x:c>
      <x:c r="M1800" s="9" t="n">
        <x:f>'Physical_Arcs'!S60</x:f>
        <x:v>1.5833333333333333</x:v>
      </x:c>
      <x:c r="N1800" s="9" t="n">
        <x:f>M1800*'Parameters'!$C$18</x:f>
        <x:v>0.31666666666666665</x:v>
      </x:c>
      <x:c r="O1800" s="9" t="n">
        <x:f>N1800*'Parameters'!$C$19</x:f>
        <x:v>0.3958333333333333</x:v>
      </x:c>
      <x:c r="P1800" s="9" t="n">
        <x:f>M1800*(1-0.40)-N1800</x:f>
        <x:v>0.6333333333333333</x:v>
      </x:c>
      <x:c r="Q1800" s="9" t="n">
        <x:f>'Physical_Arcs'!T60</x:f>
        <x:v>0.8055555555555556</x:v>
      </x:c>
      <x:c r="R1800" s="9" t="n">
        <x:f>Q1800*'Parameters'!$C$18</x:f>
        <x:v>0.16111111111111112</x:v>
      </x:c>
      <x:c r="S1800" s="9" t="n">
        <x:f>R1800*'Parameters'!$C$19</x:f>
        <x:v>0.2013888888888889</x:v>
      </x:c>
      <x:c r="T1800" s="9" t="n">
        <x:f>Q1800*(1-0.40)-R1800</x:f>
        <x:v>0.3222222222222222</x:v>
      </x:c>
    </x:row>
    <x:row r="1801" ht="21" customHeight="1">
      <x:c r="A1801" s="3" t="n">
        <x:v>29</x:v>
      </x:c>
      <x:c r="B1801" s="3" t="str">
        <x:v>04:50</x:v>
      </x:c>
      <x:c r="C1801" s="3" t="n">
        <x:v>5</x:v>
      </x:c>
      <x:c r="D1801" s="3" t="n">
        <x:v>60</x:v>
      </x:c>
      <x:c r="E1801" s="3" t="n">
        <x:v>10</x:v>
      </x:c>
      <x:c r="F1801" s="3" t="n">
        <x:v>9</x:v>
      </x:c>
      <x:c r="G1801" s="9" t="n">
        <x:v>0.1</x:v>
      </x:c>
      <x:c r="H1801" s="9" t="n">
        <x:v>1.092245</x:v>
      </x:c>
      <x:c r="I1801" s="9" t="n">
        <x:f>'Physical_Arcs'!R61</x:f>
        <x:v>10.333333333333334</x:v>
      </x:c>
      <x:c r="J1801" s="9" t="n">
        <x:f>I1801*'Parameters'!$C$18</x:f>
        <x:v>2.066666666666667</x:v>
      </x:c>
      <x:c r="K1801" s="9" t="n">
        <x:f>J1801*'Parameters'!$C$19</x:f>
        <x:v>2.5833333333333335</x:v>
      </x:c>
      <x:c r="L1801" s="9" t="n">
        <x:f>I1801*(1-0.40)-J1801</x:f>
        <x:v>4.133333333333333</x:v>
      </x:c>
      <x:c r="M1801" s="9" t="n">
        <x:f>'Physical_Arcs'!S61</x:f>
        <x:v>10.333333333333334</x:v>
      </x:c>
      <x:c r="N1801" s="9" t="n">
        <x:f>M1801*'Parameters'!$C$18</x:f>
        <x:v>2.066666666666667</x:v>
      </x:c>
      <x:c r="O1801" s="9" t="n">
        <x:f>N1801*'Parameters'!$C$19</x:f>
        <x:v>2.5833333333333335</x:v>
      </x:c>
      <x:c r="P1801" s="9" t="n">
        <x:f>M1801*(1-0.40)-N1801</x:f>
        <x:v>4.133333333333333</x:v>
      </x:c>
      <x:c r="Q1801" s="9" t="n">
        <x:f>'Physical_Arcs'!T61</x:f>
        <x:v>5.166666666666667</x:v>
      </x:c>
      <x:c r="R1801" s="9" t="n">
        <x:f>Q1801*'Parameters'!$C$18</x:f>
        <x:v>1.0333333333333334</x:v>
      </x:c>
      <x:c r="S1801" s="9" t="n">
        <x:f>R1801*'Parameters'!$C$19</x:f>
        <x:v>1.2916666666666667</x:v>
      </x:c>
      <x:c r="T1801" s="9" t="n">
        <x:f>Q1801*(1-0.40)-R1801</x:f>
        <x:v>2.0666666666666664</x:v>
      </x:c>
    </x:row>
    <x:row r="1802" ht="21" customHeight="1">
      <x:c r="A1802" s="3" t="n">
        <x:v>30</x:v>
      </x:c>
      <x:c r="B1802" s="3" t="str">
        <x:v>05:00</x:v>
      </x:c>
      <x:c r="C1802" s="3" t="n">
        <x:v>6</x:v>
      </x:c>
      <x:c r="D1802" s="3" t="n">
        <x:v>1</x:v>
      </x:c>
      <x:c r="E1802" s="3" t="n">
        <x:v>1</x:v>
      </x:c>
      <x:c r="F1802" s="3" t="n">
        <x:v>2</x:v>
      </x:c>
      <x:c r="G1802" s="9" t="n">
        <x:v>0.15</x:v>
      </x:c>
      <x:c r="H1802" s="9" t="n">
        <x:v>0.914787</x:v>
      </x:c>
      <x:c r="I1802" s="9" t="n">
        <x:f>'Physical_Arcs'!R2</x:f>
        <x:v>17.02777777777778</x:v>
      </x:c>
      <x:c r="J1802" s="9" t="n">
        <x:f>I1802*'Parameters'!$C$18</x:f>
        <x:v>3.405555555555556</x:v>
      </x:c>
      <x:c r="K1802" s="9" t="n">
        <x:f>J1802*'Parameters'!$C$19</x:f>
        <x:v>4.256944444444445</x:v>
      </x:c>
      <x:c r="L1802" s="9" t="n">
        <x:f>I1802*(1-0.40)-J1802</x:f>
        <x:v>6.811111111111111</x:v>
      </x:c>
      <x:c r="M1802" s="9" t="n">
        <x:f>'Physical_Arcs'!S2</x:f>
        <x:v>17.02777777777778</x:v>
      </x:c>
      <x:c r="N1802" s="9" t="n">
        <x:f>M1802*'Parameters'!$C$18</x:f>
        <x:v>3.405555555555556</x:v>
      </x:c>
      <x:c r="O1802" s="9" t="n">
        <x:f>N1802*'Parameters'!$C$19</x:f>
        <x:v>4.256944444444445</x:v>
      </x:c>
      <x:c r="P1802" s="9" t="n">
        <x:f>M1802*(1-0.40)-N1802</x:f>
        <x:v>6.811111111111111</x:v>
      </x:c>
      <x:c r="Q1802" s="9" t="n">
        <x:f>'Physical_Arcs'!T2</x:f>
        <x:v>17.02777777777778</x:v>
      </x:c>
      <x:c r="R1802" s="9" t="n">
        <x:f>Q1802*'Parameters'!$C$18</x:f>
        <x:v>3.405555555555556</x:v>
      </x:c>
      <x:c r="S1802" s="9" t="n">
        <x:f>R1802*'Parameters'!$C$19</x:f>
        <x:v>4.256944444444445</x:v>
      </x:c>
      <x:c r="T1802" s="9" t="n">
        <x:f>Q1802*(1-0.40)-R1802</x:f>
        <x:v>6.811111111111111</x:v>
      </x:c>
    </x:row>
    <x:row r="1803" ht="21" customHeight="1">
      <x:c r="A1803" s="3" t="n">
        <x:v>30</x:v>
      </x:c>
      <x:c r="B1803" s="3" t="str">
        <x:v>05:00</x:v>
      </x:c>
      <x:c r="C1803" s="3" t="n">
        <x:v>6</x:v>
      </x:c>
      <x:c r="D1803" s="3" t="n">
        <x:v>2</x:v>
      </x:c>
      <x:c r="E1803" s="3" t="n">
        <x:v>1</x:v>
      </x:c>
      <x:c r="F1803" s="3" t="n">
        <x:v>10</x:v>
      </x:c>
      <x:c r="G1803" s="9" t="n">
        <x:v>0.15</x:v>
      </x:c>
      <x:c r="H1803" s="9" t="n">
        <x:v>1.003995</x:v>
      </x:c>
      <x:c r="I1803" s="9" t="n">
        <x:f>'Physical_Arcs'!R3</x:f>
        <x:v>3.2777777777777777</x:v>
      </x:c>
      <x:c r="J1803" s="9" t="n">
        <x:f>I1803*'Parameters'!$C$18</x:f>
        <x:v>0.6555555555555556</x:v>
      </x:c>
      <x:c r="K1803" s="9" t="n">
        <x:f>J1803*'Parameters'!$C$19</x:f>
        <x:v>0.8194444444444444</x:v>
      </x:c>
      <x:c r="L1803" s="9" t="n">
        <x:f>I1803*(1-0.40)-J1803</x:f>
        <x:v>1.311111111111111</x:v>
      </x:c>
      <x:c r="M1803" s="9" t="n">
        <x:f>'Physical_Arcs'!S3</x:f>
        <x:v>3.2777777777777777</x:v>
      </x:c>
      <x:c r="N1803" s="9" t="n">
        <x:f>M1803*'Parameters'!$C$18</x:f>
        <x:v>0.6555555555555556</x:v>
      </x:c>
      <x:c r="O1803" s="9" t="n">
        <x:f>N1803*'Parameters'!$C$19</x:f>
        <x:v>0.8194444444444444</x:v>
      </x:c>
      <x:c r="P1803" s="9" t="n">
        <x:f>M1803*(1-0.40)-N1803</x:f>
        <x:v>1.311111111111111</x:v>
      </x:c>
      <x:c r="Q1803" s="9" t="n">
        <x:f>'Physical_Arcs'!T3</x:f>
        <x:v>1.6388888888888888</x:v>
      </x:c>
      <x:c r="R1803" s="9" t="n">
        <x:f>Q1803*'Parameters'!$C$18</x:f>
        <x:v>0.3277777777777778</x:v>
      </x:c>
      <x:c r="S1803" s="9" t="n">
        <x:f>R1803*'Parameters'!$C$19</x:f>
        <x:v>0.4097222222222222</x:v>
      </x:c>
      <x:c r="T1803" s="9" t="n">
        <x:f>Q1803*(1-0.40)-R1803</x:f>
        <x:v>0.6555555555555554</x:v>
      </x:c>
    </x:row>
    <x:row r="1804" ht="21" customHeight="1">
      <x:c r="A1804" s="3" t="n">
        <x:v>30</x:v>
      </x:c>
      <x:c r="B1804" s="3" t="str">
        <x:v>05:00</x:v>
      </x:c>
      <x:c r="C1804" s="3" t="n">
        <x:v>6</x:v>
      </x:c>
      <x:c r="D1804" s="3" t="n">
        <x:v>3</x:v>
      </x:c>
      <x:c r="E1804" s="3" t="n">
        <x:v>1</x:v>
      </x:c>
      <x:c r="F1804" s="3" t="n">
        <x:v>8</x:v>
      </x:c>
      <x:c r="G1804" s="9" t="n">
        <x:v>0.15</x:v>
      </x:c>
      <x:c r="H1804" s="9" t="n">
        <x:v>0.923863</x:v>
      </x:c>
      <x:c r="I1804" s="9" t="n">
        <x:f>'Physical_Arcs'!R4</x:f>
        <x:v>6.083333333333333</x:v>
      </x:c>
      <x:c r="J1804" s="9" t="n">
        <x:f>I1804*'Parameters'!$C$18</x:f>
        <x:v>1.2166666666666668</x:v>
      </x:c>
      <x:c r="K1804" s="9" t="n">
        <x:f>J1804*'Parameters'!$C$19</x:f>
        <x:v>1.5208333333333335</x:v>
      </x:c>
      <x:c r="L1804" s="9" t="n">
        <x:f>I1804*(1-0.40)-J1804</x:f>
        <x:v>2.4333333333333327</x:v>
      </x:c>
      <x:c r="M1804" s="9" t="n">
        <x:f>'Physical_Arcs'!S4</x:f>
        <x:v>6.083333333333333</x:v>
      </x:c>
      <x:c r="N1804" s="9" t="n">
        <x:f>M1804*'Parameters'!$C$18</x:f>
        <x:v>1.2166666666666668</x:v>
      </x:c>
      <x:c r="O1804" s="9" t="n">
        <x:f>N1804*'Parameters'!$C$19</x:f>
        <x:v>1.5208333333333335</x:v>
      </x:c>
      <x:c r="P1804" s="9" t="n">
        <x:f>M1804*(1-0.40)-N1804</x:f>
        <x:v>2.4333333333333327</x:v>
      </x:c>
      <x:c r="Q1804" s="9" t="n">
        <x:f>'Physical_Arcs'!T4</x:f>
        <x:v>3.0555555555555554</x:v>
      </x:c>
      <x:c r="R1804" s="9" t="n">
        <x:f>Q1804*'Parameters'!$C$18</x:f>
        <x:v>0.6111111111111112</x:v>
      </x:c>
      <x:c r="S1804" s="9" t="n">
        <x:f>R1804*'Parameters'!$C$19</x:f>
        <x:v>0.763888888888889</x:v>
      </x:c>
      <x:c r="T1804" s="9" t="n">
        <x:f>Q1804*(1-0.40)-R1804</x:f>
        <x:v>1.2222222222222219</x:v>
      </x:c>
    </x:row>
    <x:row r="1805" ht="21" customHeight="1">
      <x:c r="A1805" s="3" t="n">
        <x:v>30</x:v>
      </x:c>
      <x:c r="B1805" s="3" t="str">
        <x:v>05:00</x:v>
      </x:c>
      <x:c r="C1805" s="3" t="n">
        <x:v>6</x:v>
      </x:c>
      <x:c r="D1805" s="3" t="n">
        <x:v>4</x:v>
      </x:c>
      <x:c r="E1805" s="3" t="n">
        <x:v>1</x:v>
      </x:c>
      <x:c r="F1805" s="3" t="n">
        <x:v>7</x:v>
      </x:c>
      <x:c r="G1805" s="9" t="n">
        <x:v>0.15</x:v>
      </x:c>
      <x:c r="H1805" s="9" t="n">
        <x:v>1.111072</x:v>
      </x:c>
      <x:c r="I1805" s="9" t="n">
        <x:f>'Physical_Arcs'!R5</x:f>
        <x:v>9</x:v>
      </x:c>
      <x:c r="J1805" s="9" t="n">
        <x:f>I1805*'Parameters'!$C$18</x:f>
        <x:v>1.8</x:v>
      </x:c>
      <x:c r="K1805" s="9" t="n">
        <x:f>J1805*'Parameters'!$C$19</x:f>
        <x:v>2.25</x:v>
      </x:c>
      <x:c r="L1805" s="9" t="n">
        <x:f>I1805*(1-0.40)-J1805</x:f>
        <x:v>3.5999999999999996</x:v>
      </x:c>
      <x:c r="M1805" s="9" t="n">
        <x:f>'Physical_Arcs'!S5</x:f>
        <x:v>9</x:v>
      </x:c>
      <x:c r="N1805" s="9" t="n">
        <x:f>M1805*'Parameters'!$C$18</x:f>
        <x:v>1.8</x:v>
      </x:c>
      <x:c r="O1805" s="9" t="n">
        <x:f>N1805*'Parameters'!$C$19</x:f>
        <x:v>2.25</x:v>
      </x:c>
      <x:c r="P1805" s="9" t="n">
        <x:f>M1805*(1-0.40)-N1805</x:f>
        <x:v>3.5999999999999996</x:v>
      </x:c>
      <x:c r="Q1805" s="9" t="n">
        <x:f>'Physical_Arcs'!T5</x:f>
        <x:v>4.5</x:v>
      </x:c>
      <x:c r="R1805" s="9" t="n">
        <x:f>Q1805*'Parameters'!$C$18</x:f>
        <x:v>0.9</x:v>
      </x:c>
      <x:c r="S1805" s="9" t="n">
        <x:f>R1805*'Parameters'!$C$19</x:f>
        <x:v>1.125</x:v>
      </x:c>
      <x:c r="T1805" s="9" t="n">
        <x:f>Q1805*(1-0.40)-R1805</x:f>
        <x:v>1.7999999999999998</x:v>
      </x:c>
    </x:row>
    <x:row r="1806" ht="21" customHeight="1">
      <x:c r="A1806" s="3" t="n">
        <x:v>30</x:v>
      </x:c>
      <x:c r="B1806" s="3" t="str">
        <x:v>05:00</x:v>
      </x:c>
      <x:c r="C1806" s="3" t="n">
        <x:v>6</x:v>
      </x:c>
      <x:c r="D1806" s="3" t="n">
        <x:v>5</x:v>
      </x:c>
      <x:c r="E1806" s="3" t="n">
        <x:v>1</x:v>
      </x:c>
      <x:c r="F1806" s="3" t="n">
        <x:v>4</x:v>
      </x:c>
      <x:c r="G1806" s="9" t="n">
        <x:v>0.15</x:v>
      </x:c>
      <x:c r="H1806" s="9" t="n">
        <x:v>1.001665</x:v>
      </x:c>
      <x:c r="I1806" s="9" t="n">
        <x:f>'Physical_Arcs'!R6</x:f>
        <x:v>4.166666666666667</x:v>
      </x:c>
      <x:c r="J1806" s="9" t="n">
        <x:f>I1806*'Parameters'!$C$18</x:f>
        <x:v>0.8333333333333335</x:v>
      </x:c>
      <x:c r="K1806" s="9" t="n">
        <x:f>J1806*'Parameters'!$C$19</x:f>
        <x:v>1.041666666666667</x:v>
      </x:c>
      <x:c r="L1806" s="9" t="n">
        <x:f>I1806*(1-0.40)-J1806</x:f>
        <x:v>1.6666666666666665</x:v>
      </x:c>
      <x:c r="M1806" s="9" t="n">
        <x:f>'Physical_Arcs'!S6</x:f>
        <x:v>4.166666666666667</x:v>
      </x:c>
      <x:c r="N1806" s="9" t="n">
        <x:f>M1806*'Parameters'!$C$18</x:f>
        <x:v>0.8333333333333335</x:v>
      </x:c>
      <x:c r="O1806" s="9" t="n">
        <x:f>N1806*'Parameters'!$C$19</x:f>
        <x:v>1.041666666666667</x:v>
      </x:c>
      <x:c r="P1806" s="9" t="n">
        <x:f>M1806*(1-0.40)-N1806</x:f>
        <x:v>1.6666666666666665</x:v>
      </x:c>
      <x:c r="Q1806" s="9" t="n">
        <x:f>'Physical_Arcs'!T6</x:f>
        <x:v>2.0833333333333335</x:v>
      </x:c>
      <x:c r="R1806" s="9" t="n">
        <x:f>Q1806*'Parameters'!$C$18</x:f>
        <x:v>0.41666666666666674</x:v>
      </x:c>
      <x:c r="S1806" s="9" t="n">
        <x:f>R1806*'Parameters'!$C$19</x:f>
        <x:v>0.5208333333333335</x:v>
      </x:c>
      <x:c r="T1806" s="9" t="n">
        <x:f>Q1806*(1-0.40)-R1806</x:f>
        <x:v>0.8333333333333333</x:v>
      </x:c>
    </x:row>
    <x:row r="1807" ht="21" customHeight="1">
      <x:c r="A1807" s="3" t="n">
        <x:v>30</x:v>
      </x:c>
      <x:c r="B1807" s="3" t="str">
        <x:v>05:00</x:v>
      </x:c>
      <x:c r="C1807" s="3" t="n">
        <x:v>6</x:v>
      </x:c>
      <x:c r="D1807" s="3" t="n">
        <x:v>6</x:v>
      </x:c>
      <x:c r="E1807" s="3" t="n">
        <x:v>1</x:v>
      </x:c>
      <x:c r="F1807" s="3" t="n">
        <x:v>9</x:v>
      </x:c>
      <x:c r="G1807" s="9" t="n">
        <x:v>0.15</x:v>
      </x:c>
      <x:c r="H1807" s="9" t="n">
        <x:v>0.942884</x:v>
      </x:c>
      <x:c r="I1807" s="9" t="n">
        <x:f>'Physical_Arcs'!R7</x:f>
        <x:v>11.027777777777779</x:v>
      </x:c>
      <x:c r="J1807" s="9" t="n">
        <x:f>I1807*'Parameters'!$C$18</x:f>
        <x:v>2.2055555555555557</x:v>
      </x:c>
      <x:c r="K1807" s="9" t="n">
        <x:f>J1807*'Parameters'!$C$19</x:f>
        <x:v>2.7569444444444446</x:v>
      </x:c>
      <x:c r="L1807" s="9" t="n">
        <x:f>I1807*(1-0.40)-J1807</x:f>
        <x:v>4.411111111111111</x:v>
      </x:c>
      <x:c r="M1807" s="9" t="n">
        <x:f>'Physical_Arcs'!S7</x:f>
        <x:v>11.027777777777779</x:v>
      </x:c>
      <x:c r="N1807" s="9" t="n">
        <x:f>M1807*'Parameters'!$C$18</x:f>
        <x:v>2.2055555555555557</x:v>
      </x:c>
      <x:c r="O1807" s="9" t="n">
        <x:f>N1807*'Parameters'!$C$19</x:f>
        <x:v>2.7569444444444446</x:v>
      </x:c>
      <x:c r="P1807" s="9" t="n">
        <x:f>M1807*(1-0.40)-N1807</x:f>
        <x:v>4.411111111111111</x:v>
      </x:c>
      <x:c r="Q1807" s="9" t="n">
        <x:f>'Physical_Arcs'!T7</x:f>
        <x:v>5.527777777777778</x:v>
      </x:c>
      <x:c r="R1807" s="9" t="n">
        <x:f>Q1807*'Parameters'!$C$18</x:f>
        <x:v>1.1055555555555556</x:v>
      </x:c>
      <x:c r="S1807" s="9" t="n">
        <x:f>R1807*'Parameters'!$C$19</x:f>
        <x:v>1.3819444444444446</x:v>
      </x:c>
      <x:c r="T1807" s="9" t="n">
        <x:f>Q1807*(1-0.40)-R1807</x:f>
        <x:v>2.211111111111111</x:v>
      </x:c>
    </x:row>
    <x:row r="1808" ht="21" customHeight="1">
      <x:c r="A1808" s="3" t="n">
        <x:v>30</x:v>
      </x:c>
      <x:c r="B1808" s="3" t="str">
        <x:v>05:00</x:v>
      </x:c>
      <x:c r="C1808" s="3" t="n">
        <x:v>6</x:v>
      </x:c>
      <x:c r="D1808" s="3" t="n">
        <x:v>7</x:v>
      </x:c>
      <x:c r="E1808" s="3" t="n">
        <x:v>1</x:v>
      </x:c>
      <x:c r="F1808" s="3" t="n">
        <x:v>5</x:v>
      </x:c>
      <x:c r="G1808" s="9" t="n">
        <x:v>0.15</x:v>
      </x:c>
      <x:c r="H1808" s="9" t="n">
        <x:v>1.038222</x:v>
      </x:c>
      <x:c r="I1808" s="9" t="n">
        <x:f>'Physical_Arcs'!R8</x:f>
        <x:v>7.972222222222222</x:v>
      </x:c>
      <x:c r="J1808" s="9" t="n">
        <x:f>I1808*'Parameters'!$C$18</x:f>
        <x:v>1.5944444444444446</x:v>
      </x:c>
      <x:c r="K1808" s="9" t="n">
        <x:f>J1808*'Parameters'!$C$19</x:f>
        <x:v>1.9930555555555558</x:v>
      </x:c>
      <x:c r="L1808" s="9" t="n">
        <x:f>I1808*(1-0.40)-J1808</x:f>
        <x:v>3.1888888888888887</x:v>
      </x:c>
      <x:c r="M1808" s="9" t="n">
        <x:f>'Physical_Arcs'!S8</x:f>
        <x:v>7.972222222222222</x:v>
      </x:c>
      <x:c r="N1808" s="9" t="n">
        <x:f>M1808*'Parameters'!$C$18</x:f>
        <x:v>1.5944444444444446</x:v>
      </x:c>
      <x:c r="O1808" s="9" t="n">
        <x:f>N1808*'Parameters'!$C$19</x:f>
        <x:v>1.9930555555555558</x:v>
      </x:c>
      <x:c r="P1808" s="9" t="n">
        <x:f>M1808*(1-0.40)-N1808</x:f>
        <x:v>3.1888888888888887</x:v>
      </x:c>
      <x:c r="Q1808" s="9" t="n">
        <x:f>'Physical_Arcs'!T8</x:f>
        <x:v>4</x:v>
      </x:c>
      <x:c r="R1808" s="9" t="n">
        <x:f>Q1808*'Parameters'!$C$18</x:f>
        <x:v>0.8</x:v>
      </x:c>
      <x:c r="S1808" s="9" t="n">
        <x:f>R1808*'Parameters'!$C$19</x:f>
        <x:v>1</x:v>
      </x:c>
      <x:c r="T1808" s="9" t="n">
        <x:f>Q1808*(1-0.40)-R1808</x:f>
        <x:v>1.5999999999999999</x:v>
      </x:c>
    </x:row>
    <x:row r="1809" ht="21" customHeight="1">
      <x:c r="A1809" s="3" t="n">
        <x:v>30</x:v>
      </x:c>
      <x:c r="B1809" s="3" t="str">
        <x:v>05:00</x:v>
      </x:c>
      <x:c r="C1809" s="3" t="n">
        <x:v>6</x:v>
      </x:c>
      <x:c r="D1809" s="3" t="n">
        <x:v>8</x:v>
      </x:c>
      <x:c r="E1809" s="3" t="n">
        <x:v>1</x:v>
      </x:c>
      <x:c r="F1809" s="3" t="n">
        <x:v>3</x:v>
      </x:c>
      <x:c r="G1809" s="9" t="n">
        <x:v>0.15</x:v>
      </x:c>
      <x:c r="H1809" s="9" t="n">
        <x:v>1.122297</x:v>
      </x:c>
      <x:c r="I1809" s="9" t="n">
        <x:f>'Physical_Arcs'!R9</x:f>
        <x:v>4.166666666666667</x:v>
      </x:c>
      <x:c r="J1809" s="9" t="n">
        <x:f>I1809*'Parameters'!$C$18</x:f>
        <x:v>0.8333333333333335</x:v>
      </x:c>
      <x:c r="K1809" s="9" t="n">
        <x:f>J1809*'Parameters'!$C$19</x:f>
        <x:v>1.041666666666667</x:v>
      </x:c>
      <x:c r="L1809" s="9" t="n">
        <x:f>I1809*(1-0.40)-J1809</x:f>
        <x:v>1.6666666666666665</x:v>
      </x:c>
      <x:c r="M1809" s="9" t="n">
        <x:f>'Physical_Arcs'!S9</x:f>
        <x:v>4.166666666666667</x:v>
      </x:c>
      <x:c r="N1809" s="9" t="n">
        <x:f>M1809*'Parameters'!$C$18</x:f>
        <x:v>0.8333333333333335</x:v>
      </x:c>
      <x:c r="O1809" s="9" t="n">
        <x:f>N1809*'Parameters'!$C$19</x:f>
        <x:v>1.041666666666667</x:v>
      </x:c>
      <x:c r="P1809" s="9" t="n">
        <x:f>M1809*(1-0.40)-N1809</x:f>
        <x:v>1.6666666666666665</x:v>
      </x:c>
      <x:c r="Q1809" s="9" t="n">
        <x:f>'Physical_Arcs'!T9</x:f>
        <x:v>2.0833333333333335</x:v>
      </x:c>
      <x:c r="R1809" s="9" t="n">
        <x:f>Q1809*'Parameters'!$C$18</x:f>
        <x:v>0.41666666666666674</x:v>
      </x:c>
      <x:c r="S1809" s="9" t="n">
        <x:f>R1809*'Parameters'!$C$19</x:f>
        <x:v>0.5208333333333335</x:v>
      </x:c>
      <x:c r="T1809" s="9" t="n">
        <x:f>Q1809*(1-0.40)-R1809</x:f>
        <x:v>0.8333333333333333</x:v>
      </x:c>
    </x:row>
    <x:row r="1810" ht="21" customHeight="1">
      <x:c r="A1810" s="3" t="n">
        <x:v>30</x:v>
      </x:c>
      <x:c r="B1810" s="3" t="str">
        <x:v>05:00</x:v>
      </x:c>
      <x:c r="C1810" s="3" t="n">
        <x:v>6</x:v>
      </x:c>
      <x:c r="D1810" s="3" t="n">
        <x:v>9</x:v>
      </x:c>
      <x:c r="E1810" s="3" t="n">
        <x:v>1</x:v>
      </x:c>
      <x:c r="F1810" s="3" t="n">
        <x:v>6</x:v>
      </x:c>
      <x:c r="G1810" s="9" t="n">
        <x:v>0.15</x:v>
      </x:c>
      <x:c r="H1810" s="9" t="n">
        <x:v>1.132682</x:v>
      </x:c>
      <x:c r="I1810" s="9" t="n">
        <x:f>'Physical_Arcs'!R10</x:f>
        <x:v>2.138888888888889</x:v>
      </x:c>
      <x:c r="J1810" s="9" t="n">
        <x:f>I1810*'Parameters'!$C$18</x:f>
        <x:v>0.4277777777777778</x:v>
      </x:c>
      <x:c r="K1810" s="9" t="n">
        <x:f>J1810*'Parameters'!$C$19</x:f>
        <x:v>0.5347222222222223</x:v>
      </x:c>
      <x:c r="L1810" s="9" t="n">
        <x:f>I1810*(1-0.40)-J1810</x:f>
        <x:v>0.8555555555555554</x:v>
      </x:c>
      <x:c r="M1810" s="9" t="n">
        <x:f>'Physical_Arcs'!S10</x:f>
        <x:v>2.138888888888889</x:v>
      </x:c>
      <x:c r="N1810" s="9" t="n">
        <x:f>M1810*'Parameters'!$C$18</x:f>
        <x:v>0.4277777777777778</x:v>
      </x:c>
      <x:c r="O1810" s="9" t="n">
        <x:f>N1810*'Parameters'!$C$19</x:f>
        <x:v>0.5347222222222223</x:v>
      </x:c>
      <x:c r="P1810" s="9" t="n">
        <x:f>M1810*(1-0.40)-N1810</x:f>
        <x:v>0.8555555555555554</x:v>
      </x:c>
      <x:c r="Q1810" s="9" t="n">
        <x:f>'Physical_Arcs'!T10</x:f>
        <x:v>1.0833333333333333</x:v>
      </x:c>
      <x:c r="R1810" s="9" t="n">
        <x:f>Q1810*'Parameters'!$C$18</x:f>
        <x:v>0.21666666666666667</x:v>
      </x:c>
      <x:c r="S1810" s="9" t="n">
        <x:f>R1810*'Parameters'!$C$19</x:f>
        <x:v>0.27083333333333337</x:v>
      </x:c>
      <x:c r="T1810" s="9" t="n">
        <x:f>Q1810*(1-0.40)-R1810</x:f>
        <x:v>0.43333333333333324</x:v>
      </x:c>
    </x:row>
    <x:row r="1811" ht="21" customHeight="1">
      <x:c r="A1811" s="3" t="n">
        <x:v>30</x:v>
      </x:c>
      <x:c r="B1811" s="3" t="str">
        <x:v>05:00</x:v>
      </x:c>
      <x:c r="C1811" s="3" t="n">
        <x:v>6</x:v>
      </x:c>
      <x:c r="D1811" s="3" t="n">
        <x:v>10</x:v>
      </x:c>
      <x:c r="E1811" s="3" t="n">
        <x:v>2</x:v>
      </x:c>
      <x:c r="F1811" s="3" t="n">
        <x:v>3</x:v>
      </x:c>
      <x:c r="G1811" s="9" t="n">
        <x:v>0.15</x:v>
      </x:c>
      <x:c r="H1811" s="9" t="n">
        <x:v>0.871154</x:v>
      </x:c>
      <x:c r="I1811" s="9" t="n">
        <x:f>'Physical_Arcs'!R11</x:f>
        <x:v>17.02777777777778</x:v>
      </x:c>
      <x:c r="J1811" s="9" t="n">
        <x:f>I1811*'Parameters'!$C$18</x:f>
        <x:v>3.405555555555556</x:v>
      </x:c>
      <x:c r="K1811" s="9" t="n">
        <x:f>J1811*'Parameters'!$C$19</x:f>
        <x:v>4.256944444444445</x:v>
      </x:c>
      <x:c r="L1811" s="9" t="n">
        <x:f>I1811*(1-0.40)-J1811</x:f>
        <x:v>6.811111111111111</x:v>
      </x:c>
      <x:c r="M1811" s="9" t="n">
        <x:f>'Physical_Arcs'!S11</x:f>
        <x:v>17.02777777777778</x:v>
      </x:c>
      <x:c r="N1811" s="9" t="n">
        <x:f>M1811*'Parameters'!$C$18</x:f>
        <x:v>3.405555555555556</x:v>
      </x:c>
      <x:c r="O1811" s="9" t="n">
        <x:f>N1811*'Parameters'!$C$19</x:f>
        <x:v>4.256944444444445</x:v>
      </x:c>
      <x:c r="P1811" s="9" t="n">
        <x:f>M1811*(1-0.40)-N1811</x:f>
        <x:v>6.811111111111111</x:v>
      </x:c>
      <x:c r="Q1811" s="9" t="n">
        <x:f>'Physical_Arcs'!T11</x:f>
        <x:v>17.02777777777778</x:v>
      </x:c>
      <x:c r="R1811" s="9" t="n">
        <x:f>Q1811*'Parameters'!$C$18</x:f>
        <x:v>3.405555555555556</x:v>
      </x:c>
      <x:c r="S1811" s="9" t="n">
        <x:f>R1811*'Parameters'!$C$19</x:f>
        <x:v>4.256944444444445</x:v>
      </x:c>
      <x:c r="T1811" s="9" t="n">
        <x:f>Q1811*(1-0.40)-R1811</x:f>
        <x:v>6.811111111111111</x:v>
      </x:c>
    </x:row>
    <x:row r="1812" ht="21" customHeight="1">
      <x:c r="A1812" s="3" t="n">
        <x:v>30</x:v>
      </x:c>
      <x:c r="B1812" s="3" t="str">
        <x:v>05:00</x:v>
      </x:c>
      <x:c r="C1812" s="3" t="n">
        <x:v>6</x:v>
      </x:c>
      <x:c r="D1812" s="3" t="n">
        <x:v>11</x:v>
      </x:c>
      <x:c r="E1812" s="3" t="n">
        <x:v>2</x:v>
      </x:c>
      <x:c r="F1812" s="3" t="n">
        <x:v>4</x:v>
      </x:c>
      <x:c r="G1812" s="9" t="n">
        <x:v>0.15</x:v>
      </x:c>
      <x:c r="H1812" s="9" t="n">
        <x:v>1.147412</x:v>
      </x:c>
      <x:c r="I1812" s="9" t="n">
        <x:f>'Physical_Arcs'!R12</x:f>
        <x:v>7.972222222222222</x:v>
      </x:c>
      <x:c r="J1812" s="9" t="n">
        <x:f>I1812*'Parameters'!$C$18</x:f>
        <x:v>1.5944444444444446</x:v>
      </x:c>
      <x:c r="K1812" s="9" t="n">
        <x:f>J1812*'Parameters'!$C$19</x:f>
        <x:v>1.9930555555555558</x:v>
      </x:c>
      <x:c r="L1812" s="9" t="n">
        <x:f>I1812*(1-0.40)-J1812</x:f>
        <x:v>3.1888888888888887</x:v>
      </x:c>
      <x:c r="M1812" s="9" t="n">
        <x:f>'Physical_Arcs'!S12</x:f>
        <x:v>7.972222222222222</x:v>
      </x:c>
      <x:c r="N1812" s="9" t="n">
        <x:f>M1812*'Parameters'!$C$18</x:f>
        <x:v>1.5944444444444446</x:v>
      </x:c>
      <x:c r="O1812" s="9" t="n">
        <x:f>N1812*'Parameters'!$C$19</x:f>
        <x:v>1.9930555555555558</x:v>
      </x:c>
      <x:c r="P1812" s="9" t="n">
        <x:f>M1812*(1-0.40)-N1812</x:f>
        <x:v>3.1888888888888887</x:v>
      </x:c>
      <x:c r="Q1812" s="9" t="n">
        <x:f>'Physical_Arcs'!T12</x:f>
        <x:v>4</x:v>
      </x:c>
      <x:c r="R1812" s="9" t="n">
        <x:f>Q1812*'Parameters'!$C$18</x:f>
        <x:v>0.8</x:v>
      </x:c>
      <x:c r="S1812" s="9" t="n">
        <x:f>R1812*'Parameters'!$C$19</x:f>
        <x:v>1</x:v>
      </x:c>
      <x:c r="T1812" s="9" t="n">
        <x:f>Q1812*(1-0.40)-R1812</x:f>
        <x:v>1.5999999999999999</x:v>
      </x:c>
    </x:row>
    <x:row r="1813" ht="21" customHeight="1">
      <x:c r="A1813" s="3" t="n">
        <x:v>30</x:v>
      </x:c>
      <x:c r="B1813" s="3" t="str">
        <x:v>05:00</x:v>
      </x:c>
      <x:c r="C1813" s="3" t="n">
        <x:v>6</x:v>
      </x:c>
      <x:c r="D1813" s="3" t="n">
        <x:v>12</x:v>
      </x:c>
      <x:c r="E1813" s="3" t="n">
        <x:v>2</x:v>
      </x:c>
      <x:c r="F1813" s="3" t="n">
        <x:v>7</x:v>
      </x:c>
      <x:c r="G1813" s="9" t="n">
        <x:v>0.15</x:v>
      </x:c>
      <x:c r="H1813" s="9" t="n">
        <x:v>0.96729</x:v>
      </x:c>
      <x:c r="I1813" s="9" t="n">
        <x:f>'Physical_Arcs'!R13</x:f>
        <x:v>4.611111111111111</x:v>
      </x:c>
      <x:c r="J1813" s="9" t="n">
        <x:f>I1813*'Parameters'!$C$18</x:f>
        <x:v>0.9222222222222222</x:v>
      </x:c>
      <x:c r="K1813" s="9" t="n">
        <x:f>J1813*'Parameters'!$C$19</x:f>
        <x:v>1.1527777777777777</x:v>
      </x:c>
      <x:c r="L1813" s="9" t="n">
        <x:f>I1813*(1-0.40)-J1813</x:f>
        <x:v>1.844444444444444</x:v>
      </x:c>
      <x:c r="M1813" s="9" t="n">
        <x:f>'Physical_Arcs'!S13</x:f>
        <x:v>4.611111111111111</x:v>
      </x:c>
      <x:c r="N1813" s="9" t="n">
        <x:f>M1813*'Parameters'!$C$18</x:f>
        <x:v>0.9222222222222222</x:v>
      </x:c>
      <x:c r="O1813" s="9" t="n">
        <x:f>N1813*'Parameters'!$C$19</x:f>
        <x:v>1.1527777777777777</x:v>
      </x:c>
      <x:c r="P1813" s="9" t="n">
        <x:f>M1813*(1-0.40)-N1813</x:f>
        <x:v>1.844444444444444</x:v>
      </x:c>
      <x:c r="Q1813" s="9" t="n">
        <x:f>'Physical_Arcs'!T13</x:f>
        <x:v>2.3055555555555554</x:v>
      </x:c>
      <x:c r="R1813" s="9" t="n">
        <x:f>Q1813*'Parameters'!$C$18</x:f>
        <x:v>0.4611111111111111</x:v>
      </x:c>
      <x:c r="S1813" s="9" t="n">
        <x:f>R1813*'Parameters'!$C$19</x:f>
        <x:v>0.5763888888888888</x:v>
      </x:c>
      <x:c r="T1813" s="9" t="n">
        <x:f>Q1813*(1-0.40)-R1813</x:f>
        <x:v>0.922222222222222</x:v>
      </x:c>
    </x:row>
    <x:row r="1814" ht="21" customHeight="1">
      <x:c r="A1814" s="3" t="n">
        <x:v>30</x:v>
      </x:c>
      <x:c r="B1814" s="3" t="str">
        <x:v>05:00</x:v>
      </x:c>
      <x:c r="C1814" s="3" t="n">
        <x:v>6</x:v>
      </x:c>
      <x:c r="D1814" s="3" t="n">
        <x:v>13</x:v>
      </x:c>
      <x:c r="E1814" s="3" t="n">
        <x:v>2</x:v>
      </x:c>
      <x:c r="F1814" s="3" t="n">
        <x:v>9</x:v>
      </x:c>
      <x:c r="G1814" s="9" t="n">
        <x:v>0.15</x:v>
      </x:c>
      <x:c r="H1814" s="9" t="n">
        <x:v>1.117625</x:v>
      </x:c>
      <x:c r="I1814" s="9" t="n">
        <x:f>'Physical_Arcs'!R14</x:f>
        <x:v>8.666666666666666</x:v>
      </x:c>
      <x:c r="J1814" s="9" t="n">
        <x:f>I1814*'Parameters'!$C$18</x:f>
        <x:v>1.7333333333333334</x:v>
      </x:c>
      <x:c r="K1814" s="9" t="n">
        <x:f>J1814*'Parameters'!$C$19</x:f>
        <x:v>2.166666666666667</x:v>
      </x:c>
      <x:c r="L1814" s="9" t="n">
        <x:f>I1814*(1-0.40)-J1814</x:f>
        <x:v>3.466666666666666</x:v>
      </x:c>
      <x:c r="M1814" s="9" t="n">
        <x:f>'Physical_Arcs'!S14</x:f>
        <x:v>8.666666666666666</x:v>
      </x:c>
      <x:c r="N1814" s="9" t="n">
        <x:f>M1814*'Parameters'!$C$18</x:f>
        <x:v>1.7333333333333334</x:v>
      </x:c>
      <x:c r="O1814" s="9" t="n">
        <x:f>N1814*'Parameters'!$C$19</x:f>
        <x:v>2.166666666666667</x:v>
      </x:c>
      <x:c r="P1814" s="9" t="n">
        <x:f>M1814*(1-0.40)-N1814</x:f>
        <x:v>3.466666666666666</x:v>
      </x:c>
      <x:c r="Q1814" s="9" t="n">
        <x:f>'Physical_Arcs'!T14</x:f>
        <x:v>4.333333333333333</x:v>
      </x:c>
      <x:c r="R1814" s="9" t="n">
        <x:f>Q1814*'Parameters'!$C$18</x:f>
        <x:v>0.8666666666666667</x:v>
      </x:c>
      <x:c r="S1814" s="9" t="n">
        <x:f>R1814*'Parameters'!$C$19</x:f>
        <x:v>1.0833333333333335</x:v>
      </x:c>
      <x:c r="T1814" s="9" t="n">
        <x:f>Q1814*(1-0.40)-R1814</x:f>
        <x:v>1.733333333333333</x:v>
      </x:c>
    </x:row>
    <x:row r="1815" ht="21" customHeight="1">
      <x:c r="A1815" s="3" t="n">
        <x:v>30</x:v>
      </x:c>
      <x:c r="B1815" s="3" t="str">
        <x:v>05:00</x:v>
      </x:c>
      <x:c r="C1815" s="3" t="n">
        <x:v>6</x:v>
      </x:c>
      <x:c r="D1815" s="3" t="n">
        <x:v>14</x:v>
      </x:c>
      <x:c r="E1815" s="3" t="n">
        <x:v>2</x:v>
      </x:c>
      <x:c r="F1815" s="3" t="n">
        <x:v>8</x:v>
      </x:c>
      <x:c r="G1815" s="9" t="n">
        <x:v>0.15</x:v>
      </x:c>
      <x:c r="H1815" s="9" t="n">
        <x:v>1.144902</x:v>
      </x:c>
      <x:c r="I1815" s="9" t="n">
        <x:f>'Physical_Arcs'!R15</x:f>
        <x:v>7.75</x:v>
      </x:c>
      <x:c r="J1815" s="9" t="n">
        <x:f>I1815*'Parameters'!$C$18</x:f>
        <x:v>1.55</x:v>
      </x:c>
      <x:c r="K1815" s="9" t="n">
        <x:f>J1815*'Parameters'!$C$19</x:f>
        <x:v>1.9375</x:v>
      </x:c>
      <x:c r="L1815" s="9" t="n">
        <x:f>I1815*(1-0.40)-J1815</x:f>
        <x:v>3.0999999999999996</x:v>
      </x:c>
      <x:c r="M1815" s="9" t="n">
        <x:f>'Physical_Arcs'!S15</x:f>
        <x:v>7.75</x:v>
      </x:c>
      <x:c r="N1815" s="9" t="n">
        <x:f>M1815*'Parameters'!$C$18</x:f>
        <x:v>1.55</x:v>
      </x:c>
      <x:c r="O1815" s="9" t="n">
        <x:f>N1815*'Parameters'!$C$19</x:f>
        <x:v>1.9375</x:v>
      </x:c>
      <x:c r="P1815" s="9" t="n">
        <x:f>M1815*(1-0.40)-N1815</x:f>
        <x:v>3.0999999999999996</x:v>
      </x:c>
      <x:c r="Q1815" s="9" t="n">
        <x:f>'Physical_Arcs'!T15</x:f>
        <x:v>3.888888888888889</x:v>
      </x:c>
      <x:c r="R1815" s="9" t="n">
        <x:f>Q1815*'Parameters'!$C$18</x:f>
        <x:v>0.7777777777777778</x:v>
      </x:c>
      <x:c r="S1815" s="9" t="n">
        <x:f>R1815*'Parameters'!$C$19</x:f>
        <x:v>0.9722222222222222</x:v>
      </x:c>
      <x:c r="T1815" s="9" t="n">
        <x:f>Q1815*(1-0.40)-R1815</x:f>
        <x:v>1.5555555555555554</x:v>
      </x:c>
    </x:row>
    <x:row r="1816" ht="21" customHeight="1">
      <x:c r="A1816" s="3" t="n">
        <x:v>30</x:v>
      </x:c>
      <x:c r="B1816" s="3" t="str">
        <x:v>05:00</x:v>
      </x:c>
      <x:c r="C1816" s="3" t="n">
        <x:v>6</x:v>
      </x:c>
      <x:c r="D1816" s="3" t="n">
        <x:v>15</x:v>
      </x:c>
      <x:c r="E1816" s="3" t="n">
        <x:v>2</x:v>
      </x:c>
      <x:c r="F1816" s="3" t="n">
        <x:v>10</x:v>
      </x:c>
      <x:c r="G1816" s="9" t="n">
        <x:v>0.15</x:v>
      </x:c>
      <x:c r="H1816" s="9" t="n">
        <x:v>1.146684</x:v>
      </x:c>
      <x:c r="I1816" s="9" t="n">
        <x:f>'Physical_Arcs'!R16</x:f>
        <x:v>7.416666666666667</x:v>
      </x:c>
      <x:c r="J1816" s="9" t="n">
        <x:f>I1816*'Parameters'!$C$18</x:f>
        <x:v>1.4833333333333334</x:v>
      </x:c>
      <x:c r="K1816" s="9" t="n">
        <x:f>J1816*'Parameters'!$C$19</x:f>
        <x:v>1.8541666666666667</x:v>
      </x:c>
      <x:c r="L1816" s="9" t="n">
        <x:f>I1816*(1-0.40)-J1816</x:f>
        <x:v>2.966666666666667</x:v>
      </x:c>
      <x:c r="M1816" s="9" t="n">
        <x:f>'Physical_Arcs'!S16</x:f>
        <x:v>7.416666666666667</x:v>
      </x:c>
      <x:c r="N1816" s="9" t="n">
        <x:f>M1816*'Parameters'!$C$18</x:f>
        <x:v>1.4833333333333334</x:v>
      </x:c>
      <x:c r="O1816" s="9" t="n">
        <x:f>N1816*'Parameters'!$C$19</x:f>
        <x:v>1.8541666666666667</x:v>
      </x:c>
      <x:c r="P1816" s="9" t="n">
        <x:f>M1816*(1-0.40)-N1816</x:f>
        <x:v>2.966666666666667</x:v>
      </x:c>
      <x:c r="Q1816" s="9" t="n">
        <x:f>'Physical_Arcs'!T16</x:f>
        <x:v>3.7222222222222223</x:v>
      </x:c>
      <x:c r="R1816" s="9" t="n">
        <x:f>Q1816*'Parameters'!$C$18</x:f>
        <x:v>0.7444444444444445</x:v>
      </x:c>
      <x:c r="S1816" s="9" t="n">
        <x:f>R1816*'Parameters'!$C$19</x:f>
        <x:v>0.9305555555555556</x:v>
      </x:c>
      <x:c r="T1816" s="9" t="n">
        <x:f>Q1816*(1-0.40)-R1816</x:f>
        <x:v>1.488888888888889</x:v>
      </x:c>
    </x:row>
    <x:row r="1817" ht="21" customHeight="1">
      <x:c r="A1817" s="3" t="n">
        <x:v>30</x:v>
      </x:c>
      <x:c r="B1817" s="3" t="str">
        <x:v>05:00</x:v>
      </x:c>
      <x:c r="C1817" s="3" t="n">
        <x:v>6</x:v>
      </x:c>
      <x:c r="D1817" s="3" t="n">
        <x:v>16</x:v>
      </x:c>
      <x:c r="E1817" s="3" t="n">
        <x:v>3</x:v>
      </x:c>
      <x:c r="F1817" s="3" t="n">
        <x:v>4</x:v>
      </x:c>
      <x:c r="G1817" s="9" t="n">
        <x:v>0.15</x:v>
      </x:c>
      <x:c r="H1817" s="9" t="n">
        <x:v>1.017658</x:v>
      </x:c>
      <x:c r="I1817" s="9" t="n">
        <x:f>'Physical_Arcs'!R17</x:f>
        <x:v>17.02777777777778</x:v>
      </x:c>
      <x:c r="J1817" s="9" t="n">
        <x:f>I1817*'Parameters'!$C$18</x:f>
        <x:v>3.405555555555556</x:v>
      </x:c>
      <x:c r="K1817" s="9" t="n">
        <x:f>J1817*'Parameters'!$C$19</x:f>
        <x:v>4.256944444444445</x:v>
      </x:c>
      <x:c r="L1817" s="9" t="n">
        <x:f>I1817*(1-0.40)-J1817</x:f>
        <x:v>6.811111111111111</x:v>
      </x:c>
      <x:c r="M1817" s="9" t="n">
        <x:f>'Physical_Arcs'!S17</x:f>
        <x:v>17.02777777777778</x:v>
      </x:c>
      <x:c r="N1817" s="9" t="n">
        <x:f>M1817*'Parameters'!$C$18</x:f>
        <x:v>3.405555555555556</x:v>
      </x:c>
      <x:c r="O1817" s="9" t="n">
        <x:f>N1817*'Parameters'!$C$19</x:f>
        <x:v>4.256944444444445</x:v>
      </x:c>
      <x:c r="P1817" s="9" t="n">
        <x:f>M1817*(1-0.40)-N1817</x:f>
        <x:v>6.811111111111111</x:v>
      </x:c>
      <x:c r="Q1817" s="9" t="n">
        <x:f>'Physical_Arcs'!T17</x:f>
        <x:v>17.02777777777778</x:v>
      </x:c>
      <x:c r="R1817" s="9" t="n">
        <x:f>Q1817*'Parameters'!$C$18</x:f>
        <x:v>3.405555555555556</x:v>
      </x:c>
      <x:c r="S1817" s="9" t="n">
        <x:f>R1817*'Parameters'!$C$19</x:f>
        <x:v>4.256944444444445</x:v>
      </x:c>
      <x:c r="T1817" s="9" t="n">
        <x:f>Q1817*(1-0.40)-R1817</x:f>
        <x:v>6.811111111111111</x:v>
      </x:c>
    </x:row>
    <x:row r="1818" ht="21" customHeight="1">
      <x:c r="A1818" s="3" t="n">
        <x:v>30</x:v>
      </x:c>
      <x:c r="B1818" s="3" t="str">
        <x:v>05:00</x:v>
      </x:c>
      <x:c r="C1818" s="3" t="n">
        <x:v>6</x:v>
      </x:c>
      <x:c r="D1818" s="3" t="n">
        <x:v>17</x:v>
      </x:c>
      <x:c r="E1818" s="3" t="n">
        <x:v>3</x:v>
      </x:c>
      <x:c r="F1818" s="3" t="n">
        <x:v>2</x:v>
      </x:c>
      <x:c r="G1818" s="9" t="n">
        <x:v>0.15</x:v>
      </x:c>
      <x:c r="H1818" s="9" t="n">
        <x:v>0.875995</x:v>
      </x:c>
      <x:c r="I1818" s="9" t="n">
        <x:f>'Physical_Arcs'!R18</x:f>
        <x:v>10.666666666666666</x:v>
      </x:c>
      <x:c r="J1818" s="9" t="n">
        <x:f>I1818*'Parameters'!$C$18</x:f>
        <x:v>2.1333333333333333</x:v>
      </x:c>
      <x:c r="K1818" s="9" t="n">
        <x:f>J1818*'Parameters'!$C$19</x:f>
        <x:v>2.6666666666666665</x:v>
      </x:c>
      <x:c r="L1818" s="9" t="n">
        <x:f>I1818*(1-0.40)-J1818</x:f>
        <x:v>4.266666666666666</x:v>
      </x:c>
      <x:c r="M1818" s="9" t="n">
        <x:f>'Physical_Arcs'!S18</x:f>
        <x:v>10.666666666666666</x:v>
      </x:c>
      <x:c r="N1818" s="9" t="n">
        <x:f>M1818*'Parameters'!$C$18</x:f>
        <x:v>2.1333333333333333</x:v>
      </x:c>
      <x:c r="O1818" s="9" t="n">
        <x:f>N1818*'Parameters'!$C$19</x:f>
        <x:v>2.6666666666666665</x:v>
      </x:c>
      <x:c r="P1818" s="9" t="n">
        <x:f>M1818*(1-0.40)-N1818</x:f>
        <x:v>4.266666666666666</x:v>
      </x:c>
      <x:c r="Q1818" s="9" t="n">
        <x:f>'Physical_Arcs'!T18</x:f>
        <x:v>5.333333333333333</x:v>
      </x:c>
      <x:c r="R1818" s="9" t="n">
        <x:f>Q1818*'Parameters'!$C$18</x:f>
        <x:v>1.0666666666666667</x:v>
      </x:c>
      <x:c r="S1818" s="9" t="n">
        <x:f>R1818*'Parameters'!$C$19</x:f>
        <x:v>1.3333333333333333</x:v>
      </x:c>
      <x:c r="T1818" s="9" t="n">
        <x:f>Q1818*(1-0.40)-R1818</x:f>
        <x:v>2.133333333333333</x:v>
      </x:c>
    </x:row>
    <x:row r="1819" ht="21" customHeight="1">
      <x:c r="A1819" s="3" t="n">
        <x:v>30</x:v>
      </x:c>
      <x:c r="B1819" s="3" t="str">
        <x:v>05:00</x:v>
      </x:c>
      <x:c r="C1819" s="3" t="n">
        <x:v>6</x:v>
      </x:c>
      <x:c r="D1819" s="3" t="n">
        <x:v>18</x:v>
      </x:c>
      <x:c r="E1819" s="3" t="n">
        <x:v>3</x:v>
      </x:c>
      <x:c r="F1819" s="3" t="n">
        <x:v>1</x:v>
      </x:c>
      <x:c r="G1819" s="9" t="n">
        <x:v>0.15</x:v>
      </x:c>
      <x:c r="H1819" s="9" t="n">
        <x:v>1.015397</x:v>
      </x:c>
      <x:c r="I1819" s="9" t="n">
        <x:f>'Physical_Arcs'!R19</x:f>
        <x:v>5.166666666666667</x:v>
      </x:c>
      <x:c r="J1819" s="9" t="n">
        <x:f>I1819*'Parameters'!$C$18</x:f>
        <x:v>1.0333333333333334</x:v>
      </x:c>
      <x:c r="K1819" s="9" t="n">
        <x:f>J1819*'Parameters'!$C$19</x:f>
        <x:v>1.2916666666666667</x:v>
      </x:c>
      <x:c r="L1819" s="9" t="n">
        <x:f>I1819*(1-0.40)-J1819</x:f>
        <x:v>2.0666666666666664</x:v>
      </x:c>
      <x:c r="M1819" s="9" t="n">
        <x:f>'Physical_Arcs'!S19</x:f>
        <x:v>5.166666666666667</x:v>
      </x:c>
      <x:c r="N1819" s="9" t="n">
        <x:f>M1819*'Parameters'!$C$18</x:f>
        <x:v>1.0333333333333334</x:v>
      </x:c>
      <x:c r="O1819" s="9" t="n">
        <x:f>N1819*'Parameters'!$C$19</x:f>
        <x:v>1.2916666666666667</x:v>
      </x:c>
      <x:c r="P1819" s="9" t="n">
        <x:f>M1819*(1-0.40)-N1819</x:f>
        <x:v>2.0666666666666664</x:v>
      </x:c>
      <x:c r="Q1819" s="9" t="n">
        <x:f>'Physical_Arcs'!T19</x:f>
        <x:v>2.5833333333333335</x:v>
      </x:c>
      <x:c r="R1819" s="9" t="n">
        <x:f>Q1819*'Parameters'!$C$18</x:f>
        <x:v>0.5166666666666667</x:v>
      </x:c>
      <x:c r="S1819" s="9" t="n">
        <x:f>R1819*'Parameters'!$C$19</x:f>
        <x:v>0.6458333333333334</x:v>
      </x:c>
      <x:c r="T1819" s="9" t="n">
        <x:f>Q1819*(1-0.40)-R1819</x:f>
        <x:v>1.0333333333333332</x:v>
      </x:c>
    </x:row>
    <x:row r="1820" ht="21" customHeight="1">
      <x:c r="A1820" s="3" t="n">
        <x:v>30</x:v>
      </x:c>
      <x:c r="B1820" s="3" t="str">
        <x:v>05:00</x:v>
      </x:c>
      <x:c r="C1820" s="3" t="n">
        <x:v>6</x:v>
      </x:c>
      <x:c r="D1820" s="3" t="n">
        <x:v>19</x:v>
      </x:c>
      <x:c r="E1820" s="3" t="n">
        <x:v>3</x:v>
      </x:c>
      <x:c r="F1820" s="3" t="n">
        <x:v>7</x:v>
      </x:c>
      <x:c r="G1820" s="9" t="n">
        <x:v>0.15</x:v>
      </x:c>
      <x:c r="H1820" s="9" t="n">
        <x:v>0.996008</x:v>
      </x:c>
      <x:c r="I1820" s="9" t="n">
        <x:f>'Physical_Arcs'!R20</x:f>
        <x:v>5.75</x:v>
      </x:c>
      <x:c r="J1820" s="9" t="n">
        <x:f>I1820*'Parameters'!$C$18</x:f>
        <x:v>1.1500000000000001</x:v>
      </x:c>
      <x:c r="K1820" s="9" t="n">
        <x:f>J1820*'Parameters'!$C$19</x:f>
        <x:v>1.4375000000000002</x:v>
      </x:c>
      <x:c r="L1820" s="9" t="n">
        <x:f>I1820*(1-0.40)-J1820</x:f>
        <x:v>2.3</x:v>
      </x:c>
      <x:c r="M1820" s="9" t="n">
        <x:f>'Physical_Arcs'!S20</x:f>
        <x:v>5.75</x:v>
      </x:c>
      <x:c r="N1820" s="9" t="n">
        <x:f>M1820*'Parameters'!$C$18</x:f>
        <x:v>1.1500000000000001</x:v>
      </x:c>
      <x:c r="O1820" s="9" t="n">
        <x:f>N1820*'Parameters'!$C$19</x:f>
        <x:v>1.4375000000000002</x:v>
      </x:c>
      <x:c r="P1820" s="9" t="n">
        <x:f>M1820*(1-0.40)-N1820</x:f>
        <x:v>2.3</x:v>
      </x:c>
      <x:c r="Q1820" s="9" t="n">
        <x:f>'Physical_Arcs'!T20</x:f>
        <x:v>2.888888888888889</x:v>
      </x:c>
      <x:c r="R1820" s="9" t="n">
        <x:f>Q1820*'Parameters'!$C$18</x:f>
        <x:v>0.5777777777777778</x:v>
      </x:c>
      <x:c r="S1820" s="9" t="n">
        <x:f>R1820*'Parameters'!$C$19</x:f>
        <x:v>0.7222222222222223</x:v>
      </x:c>
      <x:c r="T1820" s="9" t="n">
        <x:f>Q1820*(1-0.40)-R1820</x:f>
        <x:v>1.1555555555555554</x:v>
      </x:c>
    </x:row>
    <x:row r="1821" ht="21" customHeight="1">
      <x:c r="A1821" s="3" t="n">
        <x:v>30</x:v>
      </x:c>
      <x:c r="B1821" s="3" t="str">
        <x:v>05:00</x:v>
      </x:c>
      <x:c r="C1821" s="3" t="n">
        <x:v>6</x:v>
      </x:c>
      <x:c r="D1821" s="3" t="n">
        <x:v>20</x:v>
      </x:c>
      <x:c r="E1821" s="3" t="n">
        <x:v>3</x:v>
      </x:c>
      <x:c r="F1821" s="3" t="n">
        <x:v>10</x:v>
      </x:c>
      <x:c r="G1821" s="9" t="n">
        <x:v>0.15</x:v>
      </x:c>
      <x:c r="H1821" s="9" t="n">
        <x:v>1.118855</x:v>
      </x:c>
      <x:c r="I1821" s="9" t="n">
        <x:f>'Physical_Arcs'!R21</x:f>
        <x:v>5.166666666666667</x:v>
      </x:c>
      <x:c r="J1821" s="9" t="n">
        <x:f>I1821*'Parameters'!$C$18</x:f>
        <x:v>1.0333333333333334</x:v>
      </x:c>
      <x:c r="K1821" s="9" t="n">
        <x:f>J1821*'Parameters'!$C$19</x:f>
        <x:v>1.2916666666666667</x:v>
      </x:c>
      <x:c r="L1821" s="9" t="n">
        <x:f>I1821*(1-0.40)-J1821</x:f>
        <x:v>2.0666666666666664</x:v>
      </x:c>
      <x:c r="M1821" s="9" t="n">
        <x:f>'Physical_Arcs'!S21</x:f>
        <x:v>5.166666666666667</x:v>
      </x:c>
      <x:c r="N1821" s="9" t="n">
        <x:f>M1821*'Parameters'!$C$18</x:f>
        <x:v>1.0333333333333334</x:v>
      </x:c>
      <x:c r="O1821" s="9" t="n">
        <x:f>N1821*'Parameters'!$C$19</x:f>
        <x:v>1.2916666666666667</x:v>
      </x:c>
      <x:c r="P1821" s="9" t="n">
        <x:f>M1821*(1-0.40)-N1821</x:f>
        <x:v>2.0666666666666664</x:v>
      </x:c>
      <x:c r="Q1821" s="9" t="n">
        <x:f>'Physical_Arcs'!T21</x:f>
        <x:v>2.5833333333333335</x:v>
      </x:c>
      <x:c r="R1821" s="9" t="n">
        <x:f>Q1821*'Parameters'!$C$18</x:f>
        <x:v>0.5166666666666667</x:v>
      </x:c>
      <x:c r="S1821" s="9" t="n">
        <x:f>R1821*'Parameters'!$C$19</x:f>
        <x:v>0.6458333333333334</x:v>
      </x:c>
      <x:c r="T1821" s="9" t="n">
        <x:f>Q1821*(1-0.40)-R1821</x:f>
        <x:v>1.0333333333333332</x:v>
      </x:c>
    </x:row>
    <x:row r="1822" ht="21" customHeight="1">
      <x:c r="A1822" s="3" t="n">
        <x:v>30</x:v>
      </x:c>
      <x:c r="B1822" s="3" t="str">
        <x:v>05:00</x:v>
      </x:c>
      <x:c r="C1822" s="3" t="n">
        <x:v>6</x:v>
      </x:c>
      <x:c r="D1822" s="3" t="n">
        <x:v>21</x:v>
      </x:c>
      <x:c r="E1822" s="3" t="n">
        <x:v>3</x:v>
      </x:c>
      <x:c r="F1822" s="3" t="n">
        <x:v>9</x:v>
      </x:c>
      <x:c r="G1822" s="9" t="n">
        <x:v>0.15</x:v>
      </x:c>
      <x:c r="H1822" s="9" t="n">
        <x:v>0.947299</x:v>
      </x:c>
      <x:c r="I1822" s="9" t="n">
        <x:f>'Physical_Arcs'!R22</x:f>
        <x:v>9.333333333333334</x:v>
      </x:c>
      <x:c r="J1822" s="9" t="n">
        <x:f>I1822*'Parameters'!$C$18</x:f>
        <x:v>1.866666666666667</x:v>
      </x:c>
      <x:c r="K1822" s="9" t="n">
        <x:f>J1822*'Parameters'!$C$19</x:f>
        <x:v>2.3333333333333335</x:v>
      </x:c>
      <x:c r="L1822" s="9" t="n">
        <x:f>I1822*(1-0.40)-J1822</x:f>
        <x:v>3.7333333333333334</x:v>
      </x:c>
      <x:c r="M1822" s="9" t="n">
        <x:f>'Physical_Arcs'!S22</x:f>
        <x:v>9.333333333333334</x:v>
      </x:c>
      <x:c r="N1822" s="9" t="n">
        <x:f>M1822*'Parameters'!$C$18</x:f>
        <x:v>1.866666666666667</x:v>
      </x:c>
      <x:c r="O1822" s="9" t="n">
        <x:f>N1822*'Parameters'!$C$19</x:f>
        <x:v>2.3333333333333335</x:v>
      </x:c>
      <x:c r="P1822" s="9" t="n">
        <x:f>M1822*(1-0.40)-N1822</x:f>
        <x:v>3.7333333333333334</x:v>
      </x:c>
      <x:c r="Q1822" s="9" t="n">
        <x:f>'Physical_Arcs'!T22</x:f>
        <x:v>4.666666666666667</x:v>
      </x:c>
      <x:c r="R1822" s="9" t="n">
        <x:f>Q1822*'Parameters'!$C$18</x:f>
        <x:v>0.9333333333333335</x:v>
      </x:c>
      <x:c r="S1822" s="9" t="n">
        <x:f>R1822*'Parameters'!$C$19</x:f>
        <x:v>1.1666666666666667</x:v>
      </x:c>
      <x:c r="T1822" s="9" t="n">
        <x:f>Q1822*(1-0.40)-R1822</x:f>
        <x:v>1.8666666666666667</x:v>
      </x:c>
    </x:row>
    <x:row r="1823" ht="21" customHeight="1">
      <x:c r="A1823" s="3" t="n">
        <x:v>30</x:v>
      </x:c>
      <x:c r="B1823" s="3" t="str">
        <x:v>05:00</x:v>
      </x:c>
      <x:c r="C1823" s="3" t="n">
        <x:v>6</x:v>
      </x:c>
      <x:c r="D1823" s="3" t="n">
        <x:v>22</x:v>
      </x:c>
      <x:c r="E1823" s="3" t="n">
        <x:v>4</x:v>
      </x:c>
      <x:c r="F1823" s="3" t="n">
        <x:v>5</x:v>
      </x:c>
      <x:c r="G1823" s="9" t="n">
        <x:v>0.15</x:v>
      </x:c>
      <x:c r="H1823" s="9" t="n">
        <x:v>0.958485</x:v>
      </x:c>
      <x:c r="I1823" s="9" t="n">
        <x:f>'Physical_Arcs'!R23</x:f>
        <x:v>17.02777777777778</x:v>
      </x:c>
      <x:c r="J1823" s="9" t="n">
        <x:f>I1823*'Parameters'!$C$18</x:f>
        <x:v>3.405555555555556</x:v>
      </x:c>
      <x:c r="K1823" s="9" t="n">
        <x:f>J1823*'Parameters'!$C$19</x:f>
        <x:v>4.256944444444445</x:v>
      </x:c>
      <x:c r="L1823" s="9" t="n">
        <x:f>I1823*(1-0.40)-J1823</x:f>
        <x:v>6.811111111111111</x:v>
      </x:c>
      <x:c r="M1823" s="9" t="n">
        <x:f>'Physical_Arcs'!S23</x:f>
        <x:v>17.02777777777778</x:v>
      </x:c>
      <x:c r="N1823" s="9" t="n">
        <x:f>M1823*'Parameters'!$C$18</x:f>
        <x:v>3.405555555555556</x:v>
      </x:c>
      <x:c r="O1823" s="9" t="n">
        <x:f>N1823*'Parameters'!$C$19</x:f>
        <x:v>4.256944444444445</x:v>
      </x:c>
      <x:c r="P1823" s="9" t="n">
        <x:f>M1823*(1-0.40)-N1823</x:f>
        <x:v>6.811111111111111</x:v>
      </x:c>
      <x:c r="Q1823" s="9" t="n">
        <x:f>'Physical_Arcs'!T23</x:f>
        <x:v>17.02777777777778</x:v>
      </x:c>
      <x:c r="R1823" s="9" t="n">
        <x:f>Q1823*'Parameters'!$C$18</x:f>
        <x:v>3.405555555555556</x:v>
      </x:c>
      <x:c r="S1823" s="9" t="n">
        <x:f>R1823*'Parameters'!$C$19</x:f>
        <x:v>4.256944444444445</x:v>
      </x:c>
      <x:c r="T1823" s="9" t="n">
        <x:f>Q1823*(1-0.40)-R1823</x:f>
        <x:v>6.811111111111111</x:v>
      </x:c>
    </x:row>
    <x:row r="1824" ht="21" customHeight="1">
      <x:c r="A1824" s="3" t="n">
        <x:v>30</x:v>
      </x:c>
      <x:c r="B1824" s="3" t="str">
        <x:v>05:00</x:v>
      </x:c>
      <x:c r="C1824" s="3" t="n">
        <x:v>6</x:v>
      </x:c>
      <x:c r="D1824" s="3" t="n">
        <x:v>23</x:v>
      </x:c>
      <x:c r="E1824" s="3" t="n">
        <x:v>4</x:v>
      </x:c>
      <x:c r="F1824" s="3" t="n">
        <x:v>3</x:v>
      </x:c>
      <x:c r="G1824" s="9" t="n">
        <x:v>0.15</x:v>
      </x:c>
      <x:c r="H1824" s="9" t="n">
        <x:v>0.944916</x:v>
      </x:c>
      <x:c r="I1824" s="9" t="n">
        <x:f>'Physical_Arcs'!R24</x:f>
        <x:v>9.333333333333334</x:v>
      </x:c>
      <x:c r="J1824" s="9" t="n">
        <x:f>I1824*'Parameters'!$C$18</x:f>
        <x:v>1.866666666666667</x:v>
      </x:c>
      <x:c r="K1824" s="9" t="n">
        <x:f>J1824*'Parameters'!$C$19</x:f>
        <x:v>2.3333333333333335</x:v>
      </x:c>
      <x:c r="L1824" s="9" t="n">
        <x:f>I1824*(1-0.40)-J1824</x:f>
        <x:v>3.7333333333333334</x:v>
      </x:c>
      <x:c r="M1824" s="9" t="n">
        <x:f>'Physical_Arcs'!S24</x:f>
        <x:v>9.333333333333334</x:v>
      </x:c>
      <x:c r="N1824" s="9" t="n">
        <x:f>M1824*'Parameters'!$C$18</x:f>
        <x:v>1.866666666666667</x:v>
      </x:c>
      <x:c r="O1824" s="9" t="n">
        <x:f>N1824*'Parameters'!$C$19</x:f>
        <x:v>2.3333333333333335</x:v>
      </x:c>
      <x:c r="P1824" s="9" t="n">
        <x:f>M1824*(1-0.40)-N1824</x:f>
        <x:v>3.7333333333333334</x:v>
      </x:c>
      <x:c r="Q1824" s="9" t="n">
        <x:f>'Physical_Arcs'!T24</x:f>
        <x:v>4.666666666666667</x:v>
      </x:c>
      <x:c r="R1824" s="9" t="n">
        <x:f>Q1824*'Parameters'!$C$18</x:f>
        <x:v>0.9333333333333335</x:v>
      </x:c>
      <x:c r="S1824" s="9" t="n">
        <x:f>R1824*'Parameters'!$C$19</x:f>
        <x:v>1.1666666666666667</x:v>
      </x:c>
      <x:c r="T1824" s="9" t="n">
        <x:f>Q1824*(1-0.40)-R1824</x:f>
        <x:v>1.8666666666666667</x:v>
      </x:c>
    </x:row>
    <x:row r="1825" ht="21" customHeight="1">
      <x:c r="A1825" s="3" t="n">
        <x:v>30</x:v>
      </x:c>
      <x:c r="B1825" s="3" t="str">
        <x:v>05:00</x:v>
      </x:c>
      <x:c r="C1825" s="3" t="n">
        <x:v>6</x:v>
      </x:c>
      <x:c r="D1825" s="3" t="n">
        <x:v>24</x:v>
      </x:c>
      <x:c r="E1825" s="3" t="n">
        <x:v>4</x:v>
      </x:c>
      <x:c r="F1825" s="3" t="n">
        <x:v>10</x:v>
      </x:c>
      <x:c r="G1825" s="9" t="n">
        <x:v>0.15</x:v>
      </x:c>
      <x:c r="H1825" s="9" t="n">
        <x:v>0.875461</x:v>
      </x:c>
      <x:c r="I1825" s="9" t="n">
        <x:f>'Physical_Arcs'!R25</x:f>
        <x:v>7.194444444444445</x:v>
      </x:c>
      <x:c r="J1825" s="9" t="n">
        <x:f>I1825*'Parameters'!$C$18</x:f>
        <x:v>1.438888888888889</x:v>
      </x:c>
      <x:c r="K1825" s="9" t="n">
        <x:f>J1825*'Parameters'!$C$19</x:f>
        <x:v>1.7986111111111114</x:v>
      </x:c>
      <x:c r="L1825" s="9" t="n">
        <x:f>I1825*(1-0.40)-J1825</x:f>
        <x:v>2.8777777777777773</x:v>
      </x:c>
      <x:c r="M1825" s="9" t="n">
        <x:f>'Physical_Arcs'!S25</x:f>
        <x:v>7.194444444444445</x:v>
      </x:c>
      <x:c r="N1825" s="9" t="n">
        <x:f>M1825*'Parameters'!$C$18</x:f>
        <x:v>1.438888888888889</x:v>
      </x:c>
      <x:c r="O1825" s="9" t="n">
        <x:f>N1825*'Parameters'!$C$19</x:f>
        <x:v>1.7986111111111114</x:v>
      </x:c>
      <x:c r="P1825" s="9" t="n">
        <x:f>M1825*(1-0.40)-N1825</x:f>
        <x:v>2.8777777777777773</x:v>
      </x:c>
      <x:c r="Q1825" s="9" t="n">
        <x:f>'Physical_Arcs'!T25</x:f>
        <x:v>3.611111111111111</x:v>
      </x:c>
      <x:c r="R1825" s="9" t="n">
        <x:f>Q1825*'Parameters'!$C$18</x:f>
        <x:v>0.7222222222222223</x:v>
      </x:c>
      <x:c r="S1825" s="9" t="n">
        <x:f>R1825*'Parameters'!$C$19</x:f>
        <x:v>0.9027777777777779</x:v>
      </x:c>
      <x:c r="T1825" s="9" t="n">
        <x:f>Q1825*(1-0.40)-R1825</x:f>
        <x:v>1.4444444444444442</x:v>
      </x:c>
    </x:row>
    <x:row r="1826" ht="21" customHeight="1">
      <x:c r="A1826" s="3" t="n">
        <x:v>30</x:v>
      </x:c>
      <x:c r="B1826" s="3" t="str">
        <x:v>05:00</x:v>
      </x:c>
      <x:c r="C1826" s="3" t="n">
        <x:v>6</x:v>
      </x:c>
      <x:c r="D1826" s="3" t="n">
        <x:v>25</x:v>
      </x:c>
      <x:c r="E1826" s="3" t="n">
        <x:v>4</x:v>
      </x:c>
      <x:c r="F1826" s="3" t="n">
        <x:v>8</x:v>
      </x:c>
      <x:c r="G1826" s="9" t="n">
        <x:v>0.15</x:v>
      </x:c>
      <x:c r="H1826" s="9" t="n">
        <x:v>0.993326</x:v>
      </x:c>
      <x:c r="I1826" s="9" t="n">
        <x:f>'Physical_Arcs'!R26</x:f>
        <x:v>5.277777777777778</x:v>
      </x:c>
      <x:c r="J1826" s="9" t="n">
        <x:f>I1826*'Parameters'!$C$18</x:f>
        <x:v>1.0555555555555556</x:v>
      </x:c>
      <x:c r="K1826" s="9" t="n">
        <x:f>J1826*'Parameters'!$C$19</x:f>
        <x:v>1.3194444444444444</x:v>
      </x:c>
      <x:c r="L1826" s="9" t="n">
        <x:f>I1826*(1-0.40)-J1826</x:f>
        <x:v>2.1111111111111107</x:v>
      </x:c>
      <x:c r="M1826" s="9" t="n">
        <x:f>'Physical_Arcs'!S26</x:f>
        <x:v>5.277777777777778</x:v>
      </x:c>
      <x:c r="N1826" s="9" t="n">
        <x:f>M1826*'Parameters'!$C$18</x:f>
        <x:v>1.0555555555555556</x:v>
      </x:c>
      <x:c r="O1826" s="9" t="n">
        <x:f>N1826*'Parameters'!$C$19</x:f>
        <x:v>1.3194444444444444</x:v>
      </x:c>
      <x:c r="P1826" s="9" t="n">
        <x:f>M1826*(1-0.40)-N1826</x:f>
        <x:v>2.1111111111111107</x:v>
      </x:c>
      <x:c r="Q1826" s="9" t="n">
        <x:f>'Physical_Arcs'!T26</x:f>
        <x:v>2.638888888888889</x:v>
      </x:c>
      <x:c r="R1826" s="9" t="n">
        <x:f>Q1826*'Parameters'!$C$18</x:f>
        <x:v>0.5277777777777778</x:v>
      </x:c>
      <x:c r="S1826" s="9" t="n">
        <x:f>R1826*'Parameters'!$C$19</x:f>
        <x:v>0.6597222222222222</x:v>
      </x:c>
      <x:c r="T1826" s="9" t="n">
        <x:f>Q1826*(1-0.40)-R1826</x:f>
        <x:v>1.0555555555555554</x:v>
      </x:c>
    </x:row>
    <x:row r="1827" ht="21" customHeight="1">
      <x:c r="A1827" s="3" t="n">
        <x:v>30</x:v>
      </x:c>
      <x:c r="B1827" s="3" t="str">
        <x:v>05:00</x:v>
      </x:c>
      <x:c r="C1827" s="3" t="n">
        <x:v>6</x:v>
      </x:c>
      <x:c r="D1827" s="3" t="n">
        <x:v>26</x:v>
      </x:c>
      <x:c r="E1827" s="3" t="n">
        <x:v>4</x:v>
      </x:c>
      <x:c r="F1827" s="3" t="n">
        <x:v>7</x:v>
      </x:c>
      <x:c r="G1827" s="9" t="n">
        <x:v>0.15</x:v>
      </x:c>
      <x:c r="H1827" s="9" t="n">
        <x:v>1.099203</x:v>
      </x:c>
      <x:c r="I1827" s="9" t="n">
        <x:f>'Physical_Arcs'!R27</x:f>
        <x:v>6.527777777777778</x:v>
      </x:c>
      <x:c r="J1827" s="9" t="n">
        <x:f>I1827*'Parameters'!$C$18</x:f>
        <x:v>1.3055555555555556</x:v>
      </x:c>
      <x:c r="K1827" s="9" t="n">
        <x:f>J1827*'Parameters'!$C$19</x:f>
        <x:v>1.6319444444444444</x:v>
      </x:c>
      <x:c r="L1827" s="9" t="n">
        <x:f>I1827*(1-0.40)-J1827</x:f>
        <x:v>2.6111111111111107</x:v>
      </x:c>
      <x:c r="M1827" s="9" t="n">
        <x:f>'Physical_Arcs'!S27</x:f>
        <x:v>6.527777777777778</x:v>
      </x:c>
      <x:c r="N1827" s="9" t="n">
        <x:f>M1827*'Parameters'!$C$18</x:f>
        <x:v>1.3055555555555556</x:v>
      </x:c>
      <x:c r="O1827" s="9" t="n">
        <x:f>N1827*'Parameters'!$C$19</x:f>
        <x:v>1.6319444444444444</x:v>
      </x:c>
      <x:c r="P1827" s="9" t="n">
        <x:f>M1827*(1-0.40)-N1827</x:f>
        <x:v>2.6111111111111107</x:v>
      </x:c>
      <x:c r="Q1827" s="9" t="n">
        <x:f>'Physical_Arcs'!T27</x:f>
        <x:v>3.2777777777777777</x:v>
      </x:c>
      <x:c r="R1827" s="9" t="n">
        <x:f>Q1827*'Parameters'!$C$18</x:f>
        <x:v>0.6555555555555556</x:v>
      </x:c>
      <x:c r="S1827" s="9" t="n">
        <x:f>R1827*'Parameters'!$C$19</x:f>
        <x:v>0.8194444444444444</x:v>
      </x:c>
      <x:c r="T1827" s="9" t="n">
        <x:f>Q1827*(1-0.40)-R1827</x:f>
        <x:v>1.311111111111111</x:v>
      </x:c>
    </x:row>
    <x:row r="1828" ht="21" customHeight="1">
      <x:c r="A1828" s="3" t="n">
        <x:v>30</x:v>
      </x:c>
      <x:c r="B1828" s="3" t="str">
        <x:v>05:00</x:v>
      </x:c>
      <x:c r="C1828" s="3" t="n">
        <x:v>6</x:v>
      </x:c>
      <x:c r="D1828" s="3" t="n">
        <x:v>27</x:v>
      </x:c>
      <x:c r="E1828" s="3" t="n">
        <x:v>4</x:v>
      </x:c>
      <x:c r="F1828" s="3" t="n">
        <x:v>2</x:v>
      </x:c>
      <x:c r="G1828" s="9" t="n">
        <x:v>0.15</x:v>
      </x:c>
      <x:c r="H1828" s="9" t="n">
        <x:v>0.861111</x:v>
      </x:c>
      <x:c r="I1828" s="9" t="n">
        <x:f>'Physical_Arcs'!R28</x:f>
        <x:v>4.944444444444445</x:v>
      </x:c>
      <x:c r="J1828" s="9" t="n">
        <x:f>I1828*'Parameters'!$C$18</x:f>
        <x:v>0.9888888888888889</x:v>
      </x:c>
      <x:c r="K1828" s="9" t="n">
        <x:f>J1828*'Parameters'!$C$19</x:f>
        <x:v>1.2361111111111112</x:v>
      </x:c>
      <x:c r="L1828" s="9" t="n">
        <x:f>I1828*(1-0.40)-J1828</x:f>
        <x:v>1.9777777777777779</x:v>
      </x:c>
      <x:c r="M1828" s="9" t="n">
        <x:f>'Physical_Arcs'!S28</x:f>
        <x:v>4.944444444444445</x:v>
      </x:c>
      <x:c r="N1828" s="9" t="n">
        <x:f>M1828*'Parameters'!$C$18</x:f>
        <x:v>0.9888888888888889</x:v>
      </x:c>
      <x:c r="O1828" s="9" t="n">
        <x:f>N1828*'Parameters'!$C$19</x:f>
        <x:v>1.2361111111111112</x:v>
      </x:c>
      <x:c r="P1828" s="9" t="n">
        <x:f>M1828*(1-0.40)-N1828</x:f>
        <x:v>1.9777777777777779</x:v>
      </x:c>
      <x:c r="Q1828" s="9" t="n">
        <x:f>'Physical_Arcs'!T28</x:f>
        <x:v>2.4722222222222223</x:v>
      </x:c>
      <x:c r="R1828" s="9" t="n">
        <x:f>Q1828*'Parameters'!$C$18</x:f>
        <x:v>0.49444444444444446</x:v>
      </x:c>
      <x:c r="S1828" s="9" t="n">
        <x:f>R1828*'Parameters'!$C$19</x:f>
        <x:v>0.6180555555555556</x:v>
      </x:c>
      <x:c r="T1828" s="9" t="n">
        <x:f>Q1828*(1-0.40)-R1828</x:f>
        <x:v>0.9888888888888889</x:v>
      </x:c>
    </x:row>
    <x:row r="1829" ht="21" customHeight="1">
      <x:c r="A1829" s="3" t="n">
        <x:v>30</x:v>
      </x:c>
      <x:c r="B1829" s="3" t="str">
        <x:v>05:00</x:v>
      </x:c>
      <x:c r="C1829" s="3" t="n">
        <x:v>6</x:v>
      </x:c>
      <x:c r="D1829" s="3" t="n">
        <x:v>28</x:v>
      </x:c>
      <x:c r="E1829" s="3" t="n">
        <x:v>4</x:v>
      </x:c>
      <x:c r="F1829" s="3" t="n">
        <x:v>6</x:v>
      </x:c>
      <x:c r="G1829" s="9" t="n">
        <x:v>0.15</x:v>
      </x:c>
      <x:c r="H1829" s="9" t="n">
        <x:v>1.137214</x:v>
      </x:c>
      <x:c r="I1829" s="9" t="n">
        <x:f>'Physical_Arcs'!R29</x:f>
        <x:v>3.388888888888889</x:v>
      </x:c>
      <x:c r="J1829" s="9" t="n">
        <x:f>I1829*'Parameters'!$C$18</x:f>
        <x:v>0.6777777777777778</x:v>
      </x:c>
      <x:c r="K1829" s="9" t="n">
        <x:f>J1829*'Parameters'!$C$19</x:f>
        <x:v>0.8472222222222223</x:v>
      </x:c>
      <x:c r="L1829" s="9" t="n">
        <x:f>I1829*(1-0.40)-J1829</x:f>
        <x:v>1.3555555555555554</x:v>
      </x:c>
      <x:c r="M1829" s="9" t="n">
        <x:f>'Physical_Arcs'!S29</x:f>
        <x:v>3.388888888888889</x:v>
      </x:c>
      <x:c r="N1829" s="9" t="n">
        <x:f>M1829*'Parameters'!$C$18</x:f>
        <x:v>0.6777777777777778</x:v>
      </x:c>
      <x:c r="O1829" s="9" t="n">
        <x:f>N1829*'Parameters'!$C$19</x:f>
        <x:v>0.8472222222222223</x:v>
      </x:c>
      <x:c r="P1829" s="9" t="n">
        <x:f>M1829*(1-0.40)-N1829</x:f>
        <x:v>1.3555555555555554</x:v>
      </x:c>
      <x:c r="Q1829" s="9" t="n">
        <x:f>'Physical_Arcs'!T29</x:f>
        <x:v>1.6944444444444444</x:v>
      </x:c>
      <x:c r="R1829" s="9" t="n">
        <x:f>Q1829*'Parameters'!$C$18</x:f>
        <x:v>0.3388888888888889</x:v>
      </x:c>
      <x:c r="S1829" s="9" t="n">
        <x:f>R1829*'Parameters'!$C$19</x:f>
        <x:v>0.42361111111111116</x:v>
      </x:c>
      <x:c r="T1829" s="9" t="n">
        <x:f>Q1829*(1-0.40)-R1829</x:f>
        <x:v>0.6777777777777777</x:v>
      </x:c>
    </x:row>
    <x:row r="1830" ht="21" customHeight="1">
      <x:c r="A1830" s="3" t="n">
        <x:v>30</x:v>
      </x:c>
      <x:c r="B1830" s="3" t="str">
        <x:v>05:00</x:v>
      </x:c>
      <x:c r="C1830" s="3" t="n">
        <x:v>6</x:v>
      </x:c>
      <x:c r="D1830" s="3" t="n">
        <x:v>29</x:v>
      </x:c>
      <x:c r="E1830" s="3" t="n">
        <x:v>5</x:v>
      </x:c>
      <x:c r="F1830" s="3" t="n">
        <x:v>6</x:v>
      </x:c>
      <x:c r="G1830" s="9" t="n">
        <x:v>0.15</x:v>
      </x:c>
      <x:c r="H1830" s="9" t="n">
        <x:v>0.949994</x:v>
      </x:c>
      <x:c r="I1830" s="9" t="n">
        <x:f>'Physical_Arcs'!R30</x:f>
        <x:v>17.02777777777778</x:v>
      </x:c>
      <x:c r="J1830" s="9" t="n">
        <x:f>I1830*'Parameters'!$C$18</x:f>
        <x:v>3.405555555555556</x:v>
      </x:c>
      <x:c r="K1830" s="9" t="n">
        <x:f>J1830*'Parameters'!$C$19</x:f>
        <x:v>4.256944444444445</x:v>
      </x:c>
      <x:c r="L1830" s="9" t="n">
        <x:f>I1830*(1-0.40)-J1830</x:f>
        <x:v>6.811111111111111</x:v>
      </x:c>
      <x:c r="M1830" s="9" t="n">
        <x:f>'Physical_Arcs'!S30</x:f>
        <x:v>17.02777777777778</x:v>
      </x:c>
      <x:c r="N1830" s="9" t="n">
        <x:f>M1830*'Parameters'!$C$18</x:f>
        <x:v>3.405555555555556</x:v>
      </x:c>
      <x:c r="O1830" s="9" t="n">
        <x:f>N1830*'Parameters'!$C$19</x:f>
        <x:v>4.256944444444445</x:v>
      </x:c>
      <x:c r="P1830" s="9" t="n">
        <x:f>M1830*(1-0.40)-N1830</x:f>
        <x:v>6.811111111111111</x:v>
      </x:c>
      <x:c r="Q1830" s="9" t="n">
        <x:f>'Physical_Arcs'!T30</x:f>
        <x:v>17.02777777777778</x:v>
      </x:c>
      <x:c r="R1830" s="9" t="n">
        <x:f>Q1830*'Parameters'!$C$18</x:f>
        <x:v>3.405555555555556</x:v>
      </x:c>
      <x:c r="S1830" s="9" t="n">
        <x:f>R1830*'Parameters'!$C$19</x:f>
        <x:v>4.256944444444445</x:v>
      </x:c>
      <x:c r="T1830" s="9" t="n">
        <x:f>Q1830*(1-0.40)-R1830</x:f>
        <x:v>6.811111111111111</x:v>
      </x:c>
    </x:row>
    <x:row r="1831" ht="21" customHeight="1">
      <x:c r="A1831" s="3" t="n">
        <x:v>30</x:v>
      </x:c>
      <x:c r="B1831" s="3" t="str">
        <x:v>05:00</x:v>
      </x:c>
      <x:c r="C1831" s="3" t="n">
        <x:v>6</x:v>
      </x:c>
      <x:c r="D1831" s="3" t="n">
        <x:v>30</x:v>
      </x:c>
      <x:c r="E1831" s="3" t="n">
        <x:v>5</x:v>
      </x:c>
      <x:c r="F1831" s="3" t="n">
        <x:v>2</x:v>
      </x:c>
      <x:c r="G1831" s="9" t="n">
        <x:v>0.15</x:v>
      </x:c>
      <x:c r="H1831" s="9" t="n">
        <x:v>0.882396</x:v>
      </x:c>
      <x:c r="I1831" s="9" t="n">
        <x:f>'Physical_Arcs'!R31</x:f>
        <x:v>2.9444444444444446</x:v>
      </x:c>
      <x:c r="J1831" s="9" t="n">
        <x:f>I1831*'Parameters'!$C$18</x:f>
        <x:v>0.5888888888888889</x:v>
      </x:c>
      <x:c r="K1831" s="9" t="n">
        <x:f>J1831*'Parameters'!$C$19</x:f>
        <x:v>0.7361111111111112</x:v>
      </x:c>
      <x:c r="L1831" s="9" t="n">
        <x:f>I1831*(1-0.40)-J1831</x:f>
        <x:v>1.177777777777778</x:v>
      </x:c>
      <x:c r="M1831" s="9" t="n">
        <x:f>'Physical_Arcs'!S31</x:f>
        <x:v>2.9444444444444446</x:v>
      </x:c>
      <x:c r="N1831" s="9" t="n">
        <x:f>M1831*'Parameters'!$C$18</x:f>
        <x:v>0.5888888888888889</x:v>
      </x:c>
      <x:c r="O1831" s="9" t="n">
        <x:f>N1831*'Parameters'!$C$19</x:f>
        <x:v>0.7361111111111112</x:v>
      </x:c>
      <x:c r="P1831" s="9" t="n">
        <x:f>M1831*(1-0.40)-N1831</x:f>
        <x:v>1.177777777777778</x:v>
      </x:c>
      <x:c r="Q1831" s="9" t="n">
        <x:f>'Physical_Arcs'!T31</x:f>
        <x:v>1.4722222222222223</x:v>
      </x:c>
      <x:c r="R1831" s="9" t="n">
        <x:f>Q1831*'Parameters'!$C$18</x:f>
        <x:v>0.29444444444444445</x:v>
      </x:c>
      <x:c r="S1831" s="9" t="n">
        <x:f>R1831*'Parameters'!$C$19</x:f>
        <x:v>0.3680555555555556</x:v>
      </x:c>
      <x:c r="T1831" s="9" t="n">
        <x:f>Q1831*(1-0.40)-R1831</x:f>
        <x:v>0.588888888888889</x:v>
      </x:c>
    </x:row>
    <x:row r="1832" ht="21" customHeight="1">
      <x:c r="A1832" s="3" t="n">
        <x:v>30</x:v>
      </x:c>
      <x:c r="B1832" s="3" t="str">
        <x:v>05:00</x:v>
      </x:c>
      <x:c r="C1832" s="3" t="n">
        <x:v>6</x:v>
      </x:c>
      <x:c r="D1832" s="3" t="n">
        <x:v>31</x:v>
      </x:c>
      <x:c r="E1832" s="3" t="n">
        <x:v>5</x:v>
      </x:c>
      <x:c r="F1832" s="3" t="n">
        <x:v>8</x:v>
      </x:c>
      <x:c r="G1832" s="9" t="n">
        <x:v>0.15</x:v>
      </x:c>
      <x:c r="H1832" s="9" t="n">
        <x:v>0.986718</x:v>
      </x:c>
      <x:c r="I1832" s="9" t="n">
        <x:f>'Physical_Arcs'!R32</x:f>
        <x:v>9.333333333333334</x:v>
      </x:c>
      <x:c r="J1832" s="9" t="n">
        <x:f>I1832*'Parameters'!$C$18</x:f>
        <x:v>1.866666666666667</x:v>
      </x:c>
      <x:c r="K1832" s="9" t="n">
        <x:f>J1832*'Parameters'!$C$19</x:f>
        <x:v>2.3333333333333335</x:v>
      </x:c>
      <x:c r="L1832" s="9" t="n">
        <x:f>I1832*(1-0.40)-J1832</x:f>
        <x:v>3.7333333333333334</x:v>
      </x:c>
      <x:c r="M1832" s="9" t="n">
        <x:f>'Physical_Arcs'!S32</x:f>
        <x:v>9.333333333333334</x:v>
      </x:c>
      <x:c r="N1832" s="9" t="n">
        <x:f>M1832*'Parameters'!$C$18</x:f>
        <x:v>1.866666666666667</x:v>
      </x:c>
      <x:c r="O1832" s="9" t="n">
        <x:f>N1832*'Parameters'!$C$19</x:f>
        <x:v>2.3333333333333335</x:v>
      </x:c>
      <x:c r="P1832" s="9" t="n">
        <x:f>M1832*(1-0.40)-N1832</x:f>
        <x:v>3.7333333333333334</x:v>
      </x:c>
      <x:c r="Q1832" s="9" t="n">
        <x:f>'Physical_Arcs'!T32</x:f>
        <x:v>4.666666666666667</x:v>
      </x:c>
      <x:c r="R1832" s="9" t="n">
        <x:f>Q1832*'Parameters'!$C$18</x:f>
        <x:v>0.9333333333333335</x:v>
      </x:c>
      <x:c r="S1832" s="9" t="n">
        <x:f>R1832*'Parameters'!$C$19</x:f>
        <x:v>1.1666666666666667</x:v>
      </x:c>
      <x:c r="T1832" s="9" t="n">
        <x:f>Q1832*(1-0.40)-R1832</x:f>
        <x:v>1.8666666666666667</x:v>
      </x:c>
    </x:row>
    <x:row r="1833" ht="21" customHeight="1">
      <x:c r="A1833" s="3" t="n">
        <x:v>30</x:v>
      </x:c>
      <x:c r="B1833" s="3" t="str">
        <x:v>05:00</x:v>
      </x:c>
      <x:c r="C1833" s="3" t="n">
        <x:v>6</x:v>
      </x:c>
      <x:c r="D1833" s="3" t="n">
        <x:v>32</x:v>
      </x:c>
      <x:c r="E1833" s="3" t="n">
        <x:v>5</x:v>
      </x:c>
      <x:c r="F1833" s="3" t="n">
        <x:v>3</x:v>
      </x:c>
      <x:c r="G1833" s="9" t="n">
        <x:v>0.15</x:v>
      </x:c>
      <x:c r="H1833" s="9" t="n">
        <x:v>1.089544</x:v>
      </x:c>
      <x:c r="I1833" s="9" t="n">
        <x:f>'Physical_Arcs'!R33</x:f>
        <x:v>11.13888888888889</x:v>
      </x:c>
      <x:c r="J1833" s="9" t="n">
        <x:f>I1833*'Parameters'!$C$18</x:f>
        <x:v>2.227777777777778</x:v>
      </x:c>
      <x:c r="K1833" s="9" t="n">
        <x:f>J1833*'Parameters'!$C$19</x:f>
        <x:v>2.7847222222222223</x:v>
      </x:c>
      <x:c r="L1833" s="9" t="n">
        <x:f>I1833*(1-0.40)-J1833</x:f>
        <x:v>4.455555555555556</x:v>
      </x:c>
      <x:c r="M1833" s="9" t="n">
        <x:f>'Physical_Arcs'!S33</x:f>
        <x:v>11.13888888888889</x:v>
      </x:c>
      <x:c r="N1833" s="9" t="n">
        <x:f>M1833*'Parameters'!$C$18</x:f>
        <x:v>2.227777777777778</x:v>
      </x:c>
      <x:c r="O1833" s="9" t="n">
        <x:f>N1833*'Parameters'!$C$19</x:f>
        <x:v>2.7847222222222223</x:v>
      </x:c>
      <x:c r="P1833" s="9" t="n">
        <x:f>M1833*(1-0.40)-N1833</x:f>
        <x:v>4.455555555555556</x:v>
      </x:c>
      <x:c r="Q1833" s="9" t="n">
        <x:f>'Physical_Arcs'!T33</x:f>
        <x:v>5.583333333333333</x:v>
      </x:c>
      <x:c r="R1833" s="9" t="n">
        <x:f>Q1833*'Parameters'!$C$18</x:f>
        <x:v>1.1166666666666667</x:v>
      </x:c>
      <x:c r="S1833" s="9" t="n">
        <x:f>R1833*'Parameters'!$C$19</x:f>
        <x:v>1.3958333333333335</x:v>
      </x:c>
      <x:c r="T1833" s="9" t="n">
        <x:f>Q1833*(1-0.40)-R1833</x:f>
        <x:v>2.233333333333333</x:v>
      </x:c>
    </x:row>
    <x:row r="1834" ht="21" customHeight="1">
      <x:c r="A1834" s="3" t="n">
        <x:v>30</x:v>
      </x:c>
      <x:c r="B1834" s="3" t="str">
        <x:v>05:00</x:v>
      </x:c>
      <x:c r="C1834" s="3" t="n">
        <x:v>6</x:v>
      </x:c>
      <x:c r="D1834" s="3" t="n">
        <x:v>33</x:v>
      </x:c>
      <x:c r="E1834" s="3" t="n">
        <x:v>5</x:v>
      </x:c>
      <x:c r="F1834" s="3" t="n">
        <x:v>10</x:v>
      </x:c>
      <x:c r="G1834" s="9" t="n">
        <x:v>0.15</x:v>
      </x:c>
      <x:c r="H1834" s="9" t="n">
        <x:v>1.103596</x:v>
      </x:c>
      <x:c r="I1834" s="9" t="n">
        <x:f>'Physical_Arcs'!R34</x:f>
        <x:v>4.611111111111111</x:v>
      </x:c>
      <x:c r="J1834" s="9" t="n">
        <x:f>I1834*'Parameters'!$C$18</x:f>
        <x:v>0.9222222222222222</x:v>
      </x:c>
      <x:c r="K1834" s="9" t="n">
        <x:f>J1834*'Parameters'!$C$19</x:f>
        <x:v>1.1527777777777777</x:v>
      </x:c>
      <x:c r="L1834" s="9" t="n">
        <x:f>I1834*(1-0.40)-J1834</x:f>
        <x:v>1.844444444444444</x:v>
      </x:c>
      <x:c r="M1834" s="9" t="n">
        <x:f>'Physical_Arcs'!S34</x:f>
        <x:v>4.611111111111111</x:v>
      </x:c>
      <x:c r="N1834" s="9" t="n">
        <x:f>M1834*'Parameters'!$C$18</x:f>
        <x:v>0.9222222222222222</x:v>
      </x:c>
      <x:c r="O1834" s="9" t="n">
        <x:f>N1834*'Parameters'!$C$19</x:f>
        <x:v>1.1527777777777777</x:v>
      </x:c>
      <x:c r="P1834" s="9" t="n">
        <x:f>M1834*(1-0.40)-N1834</x:f>
        <x:v>1.844444444444444</x:v>
      </x:c>
      <x:c r="Q1834" s="9" t="n">
        <x:f>'Physical_Arcs'!T34</x:f>
        <x:v>2.3055555555555554</x:v>
      </x:c>
      <x:c r="R1834" s="9" t="n">
        <x:f>Q1834*'Parameters'!$C$18</x:f>
        <x:v>0.4611111111111111</x:v>
      </x:c>
      <x:c r="S1834" s="9" t="n">
        <x:f>R1834*'Parameters'!$C$19</x:f>
        <x:v>0.5763888888888888</x:v>
      </x:c>
      <x:c r="T1834" s="9" t="n">
        <x:f>Q1834*(1-0.40)-R1834</x:f>
        <x:v>0.922222222222222</x:v>
      </x:c>
    </x:row>
    <x:row r="1835" ht="21" customHeight="1">
      <x:c r="A1835" s="3" t="n">
        <x:v>30</x:v>
      </x:c>
      <x:c r="B1835" s="3" t="str">
        <x:v>05:00</x:v>
      </x:c>
      <x:c r="C1835" s="3" t="n">
        <x:v>6</x:v>
      </x:c>
      <x:c r="D1835" s="3" t="n">
        <x:v>34</x:v>
      </x:c>
      <x:c r="E1835" s="3" t="n">
        <x:v>6</x:v>
      </x:c>
      <x:c r="F1835" s="3" t="n">
        <x:v>7</x:v>
      </x:c>
      <x:c r="G1835" s="9" t="n">
        <x:v>0.15</x:v>
      </x:c>
      <x:c r="H1835" s="9" t="n">
        <x:v>0.973887</x:v>
      </x:c>
      <x:c r="I1835" s="9" t="n">
        <x:f>'Physical_Arcs'!R35</x:f>
        <x:v>17.02777777777778</x:v>
      </x:c>
      <x:c r="J1835" s="9" t="n">
        <x:f>I1835*'Parameters'!$C$18</x:f>
        <x:v>3.405555555555556</x:v>
      </x:c>
      <x:c r="K1835" s="9" t="n">
        <x:f>J1835*'Parameters'!$C$19</x:f>
        <x:v>4.256944444444445</x:v>
      </x:c>
      <x:c r="L1835" s="9" t="n">
        <x:f>I1835*(1-0.40)-J1835</x:f>
        <x:v>6.811111111111111</x:v>
      </x:c>
      <x:c r="M1835" s="9" t="n">
        <x:f>'Physical_Arcs'!S35</x:f>
        <x:v>17.02777777777778</x:v>
      </x:c>
      <x:c r="N1835" s="9" t="n">
        <x:f>M1835*'Parameters'!$C$18</x:f>
        <x:v>3.405555555555556</x:v>
      </x:c>
      <x:c r="O1835" s="9" t="n">
        <x:f>N1835*'Parameters'!$C$19</x:f>
        <x:v>4.256944444444445</x:v>
      </x:c>
      <x:c r="P1835" s="9" t="n">
        <x:f>M1835*(1-0.40)-N1835</x:f>
        <x:v>6.811111111111111</x:v>
      </x:c>
      <x:c r="Q1835" s="9" t="n">
        <x:f>'Physical_Arcs'!T35</x:f>
        <x:v>17.02777777777778</x:v>
      </x:c>
      <x:c r="R1835" s="9" t="n">
        <x:f>Q1835*'Parameters'!$C$18</x:f>
        <x:v>3.405555555555556</x:v>
      </x:c>
      <x:c r="S1835" s="9" t="n">
        <x:f>R1835*'Parameters'!$C$19</x:f>
        <x:v>4.256944444444445</x:v>
      </x:c>
      <x:c r="T1835" s="9" t="n">
        <x:f>Q1835*(1-0.40)-R1835</x:f>
        <x:v>6.811111111111111</x:v>
      </x:c>
    </x:row>
    <x:row r="1836" ht="21" customHeight="1">
      <x:c r="A1836" s="3" t="n">
        <x:v>30</x:v>
      </x:c>
      <x:c r="B1836" s="3" t="str">
        <x:v>05:00</x:v>
      </x:c>
      <x:c r="C1836" s="3" t="n">
        <x:v>6</x:v>
      </x:c>
      <x:c r="D1836" s="3" t="n">
        <x:v>35</x:v>
      </x:c>
      <x:c r="E1836" s="3" t="n">
        <x:v>6</x:v>
      </x:c>
      <x:c r="F1836" s="3" t="n">
        <x:v>10</x:v>
      </x:c>
      <x:c r="G1836" s="9" t="n">
        <x:v>0.15</x:v>
      </x:c>
      <x:c r="H1836" s="9" t="n">
        <x:v>1.009062</x:v>
      </x:c>
      <x:c r="I1836" s="9" t="n">
        <x:f>'Physical_Arcs'!R36</x:f>
        <x:v>4.055555555555555</x:v>
      </x:c>
      <x:c r="J1836" s="9" t="n">
        <x:f>I1836*'Parameters'!$C$18</x:f>
        <x:v>0.8111111111111111</x:v>
      </x:c>
      <x:c r="K1836" s="9" t="n">
        <x:f>J1836*'Parameters'!$C$19</x:f>
        <x:v>1.0138888888888888</x:v>
      </x:c>
      <x:c r="L1836" s="9" t="n">
        <x:f>I1836*(1-0.40)-J1836</x:f>
        <x:v>1.622222222222222</x:v>
      </x:c>
      <x:c r="M1836" s="9" t="n">
        <x:f>'Physical_Arcs'!S36</x:f>
        <x:v>4.055555555555555</x:v>
      </x:c>
      <x:c r="N1836" s="9" t="n">
        <x:f>M1836*'Parameters'!$C$18</x:f>
        <x:v>0.8111111111111111</x:v>
      </x:c>
      <x:c r="O1836" s="9" t="n">
        <x:f>N1836*'Parameters'!$C$19</x:f>
        <x:v>1.0138888888888888</x:v>
      </x:c>
      <x:c r="P1836" s="9" t="n">
        <x:f>M1836*(1-0.40)-N1836</x:f>
        <x:v>1.622222222222222</x:v>
      </x:c>
      <x:c r="Q1836" s="9" t="n">
        <x:f>'Physical_Arcs'!T36</x:f>
        <x:v>2.0277777777777777</x:v>
      </x:c>
      <x:c r="R1836" s="9" t="n">
        <x:f>Q1836*'Parameters'!$C$18</x:f>
        <x:v>0.40555555555555556</x:v>
      </x:c>
      <x:c r="S1836" s="9" t="n">
        <x:f>R1836*'Parameters'!$C$19</x:f>
        <x:v>0.5069444444444444</x:v>
      </x:c>
      <x:c r="T1836" s="9" t="n">
        <x:f>Q1836*(1-0.40)-R1836</x:f>
        <x:v>0.811111111111111</x:v>
      </x:c>
    </x:row>
    <x:row r="1837" ht="21" customHeight="1">
      <x:c r="A1837" s="3" t="n">
        <x:v>30</x:v>
      </x:c>
      <x:c r="B1837" s="3" t="str">
        <x:v>05:00</x:v>
      </x:c>
      <x:c r="C1837" s="3" t="n">
        <x:v>6</x:v>
      </x:c>
      <x:c r="D1837" s="3" t="n">
        <x:v>36</x:v>
      </x:c>
      <x:c r="E1837" s="3" t="n">
        <x:v>6</x:v>
      </x:c>
      <x:c r="F1837" s="3" t="n">
        <x:v>8</x:v>
      </x:c>
      <x:c r="G1837" s="9" t="n">
        <x:v>0.15</x:v>
      </x:c>
      <x:c r="H1837" s="9" t="n">
        <x:v>1.132129</x:v>
      </x:c>
      <x:c r="I1837" s="9" t="n">
        <x:f>'Physical_Arcs'!R37</x:f>
        <x:v>6.972222222222222</x:v>
      </x:c>
      <x:c r="J1837" s="9" t="n">
        <x:f>I1837*'Parameters'!$C$18</x:f>
        <x:v>1.3944444444444446</x:v>
      </x:c>
      <x:c r="K1837" s="9" t="n">
        <x:f>J1837*'Parameters'!$C$19</x:f>
        <x:v>1.7430555555555558</x:v>
      </x:c>
      <x:c r="L1837" s="9" t="n">
        <x:f>I1837*(1-0.40)-J1837</x:f>
        <x:v>2.7888888888888888</x:v>
      </x:c>
      <x:c r="M1837" s="9" t="n">
        <x:f>'Physical_Arcs'!S37</x:f>
        <x:v>6.972222222222222</x:v>
      </x:c>
      <x:c r="N1837" s="9" t="n">
        <x:f>M1837*'Parameters'!$C$18</x:f>
        <x:v>1.3944444444444446</x:v>
      </x:c>
      <x:c r="O1837" s="9" t="n">
        <x:f>N1837*'Parameters'!$C$19</x:f>
        <x:v>1.7430555555555558</x:v>
      </x:c>
      <x:c r="P1837" s="9" t="n">
        <x:f>M1837*(1-0.40)-N1837</x:f>
        <x:v>2.7888888888888888</x:v>
      </x:c>
      <x:c r="Q1837" s="9" t="n">
        <x:f>'Physical_Arcs'!T37</x:f>
        <x:v>3.5</x:v>
      </x:c>
      <x:c r="R1837" s="9" t="n">
        <x:f>Q1837*'Parameters'!$C$18</x:f>
        <x:v>0.7000000000000001</x:v>
      </x:c>
      <x:c r="S1837" s="9" t="n">
        <x:f>R1837*'Parameters'!$C$19</x:f>
        <x:v>0.8750000000000001</x:v>
      </x:c>
      <x:c r="T1837" s="9" t="n">
        <x:f>Q1837*(1-0.40)-R1837</x:f>
        <x:v>1.4</x:v>
      </x:c>
    </x:row>
    <x:row r="1838" ht="21" customHeight="1">
      <x:c r="A1838" s="3" t="n">
        <x:v>30</x:v>
      </x:c>
      <x:c r="B1838" s="3" t="str">
        <x:v>05:00</x:v>
      </x:c>
      <x:c r="C1838" s="3" t="n">
        <x:v>6</x:v>
      </x:c>
      <x:c r="D1838" s="3" t="n">
        <x:v>37</x:v>
      </x:c>
      <x:c r="E1838" s="3" t="n">
        <x:v>6</x:v>
      </x:c>
      <x:c r="F1838" s="3" t="n">
        <x:v>1</x:v>
      </x:c>
      <x:c r="G1838" s="9" t="n">
        <x:v>0.15</x:v>
      </x:c>
      <x:c r="H1838" s="9" t="n">
        <x:v>1.020746</x:v>
      </x:c>
      <x:c r="I1838" s="9" t="n">
        <x:f>'Physical_Arcs'!R38</x:f>
        <x:v>6.305555555555555</x:v>
      </x:c>
      <x:c r="J1838" s="9" t="n">
        <x:f>I1838*'Parameters'!$C$18</x:f>
        <x:v>1.261111111111111</x:v>
      </x:c>
      <x:c r="K1838" s="9" t="n">
        <x:f>J1838*'Parameters'!$C$19</x:f>
        <x:v>1.5763888888888888</x:v>
      </x:c>
      <x:c r="L1838" s="9" t="n">
        <x:f>I1838*(1-0.40)-J1838</x:f>
        <x:v>2.522222222222222</x:v>
      </x:c>
      <x:c r="M1838" s="9" t="n">
        <x:f>'Physical_Arcs'!S38</x:f>
        <x:v>6.305555555555555</x:v>
      </x:c>
      <x:c r="N1838" s="9" t="n">
        <x:f>M1838*'Parameters'!$C$18</x:f>
        <x:v>1.261111111111111</x:v>
      </x:c>
      <x:c r="O1838" s="9" t="n">
        <x:f>N1838*'Parameters'!$C$19</x:f>
        <x:v>1.5763888888888888</x:v>
      </x:c>
      <x:c r="P1838" s="9" t="n">
        <x:f>M1838*(1-0.40)-N1838</x:f>
        <x:v>2.522222222222222</x:v>
      </x:c>
      <x:c r="Q1838" s="9" t="n">
        <x:f>'Physical_Arcs'!T38</x:f>
        <x:v>3.1666666666666665</x:v>
      </x:c>
      <x:c r="R1838" s="9" t="n">
        <x:f>Q1838*'Parameters'!$C$18</x:f>
        <x:v>0.6333333333333333</x:v>
      </x:c>
      <x:c r="S1838" s="9" t="n">
        <x:f>R1838*'Parameters'!$C$19</x:f>
        <x:v>0.7916666666666666</x:v>
      </x:c>
      <x:c r="T1838" s="9" t="n">
        <x:f>Q1838*(1-0.40)-R1838</x:f>
        <x:v>1.2666666666666666</x:v>
      </x:c>
    </x:row>
    <x:row r="1839" ht="21" customHeight="1">
      <x:c r="A1839" s="3" t="n">
        <x:v>30</x:v>
      </x:c>
      <x:c r="B1839" s="3" t="str">
        <x:v>05:00</x:v>
      </x:c>
      <x:c r="C1839" s="3" t="n">
        <x:v>6</x:v>
      </x:c>
      <x:c r="D1839" s="3" t="n">
        <x:v>38</x:v>
      </x:c>
      <x:c r="E1839" s="3" t="n">
        <x:v>6</x:v>
      </x:c>
      <x:c r="F1839" s="3" t="n">
        <x:v>3</x:v>
      </x:c>
      <x:c r="G1839" s="9" t="n">
        <x:v>0.15</x:v>
      </x:c>
      <x:c r="H1839" s="9" t="n">
        <x:v>1.149081</x:v>
      </x:c>
      <x:c r="I1839" s="9" t="n">
        <x:f>'Physical_Arcs'!R39</x:f>
        <x:v>1.9166666666666667</x:v>
      </x:c>
      <x:c r="J1839" s="9" t="n">
        <x:f>I1839*'Parameters'!$C$18</x:f>
        <x:v>0.38333333333333336</x:v>
      </x:c>
      <x:c r="K1839" s="9" t="n">
        <x:f>J1839*'Parameters'!$C$19</x:f>
        <x:v>0.4791666666666667</x:v>
      </x:c>
      <x:c r="L1839" s="9" t="n">
        <x:f>I1839*(1-0.40)-J1839</x:f>
        <x:v>0.7666666666666666</x:v>
      </x:c>
      <x:c r="M1839" s="9" t="n">
        <x:f>'Physical_Arcs'!S39</x:f>
        <x:v>1.9166666666666667</x:v>
      </x:c>
      <x:c r="N1839" s="9" t="n">
        <x:f>M1839*'Parameters'!$C$18</x:f>
        <x:v>0.38333333333333336</x:v>
      </x:c>
      <x:c r="O1839" s="9" t="n">
        <x:f>N1839*'Parameters'!$C$19</x:f>
        <x:v>0.4791666666666667</x:v>
      </x:c>
      <x:c r="P1839" s="9" t="n">
        <x:f>M1839*(1-0.40)-N1839</x:f>
        <x:v>0.7666666666666666</x:v>
      </x:c>
      <x:c r="Q1839" s="9" t="n">
        <x:f>'Physical_Arcs'!T39</x:f>
        <x:v>0.9722222222222222</x:v>
      </x:c>
      <x:c r="R1839" s="9" t="n">
        <x:f>Q1839*'Parameters'!$C$18</x:f>
        <x:v>0.19444444444444445</x:v>
      </x:c>
      <x:c r="S1839" s="9" t="n">
        <x:f>R1839*'Parameters'!$C$19</x:f>
        <x:v>0.24305555555555555</x:v>
      </x:c>
      <x:c r="T1839" s="9" t="n">
        <x:f>Q1839*(1-0.40)-R1839</x:f>
        <x:v>0.38888888888888884</x:v>
      </x:c>
    </x:row>
    <x:row r="1840" ht="21" customHeight="1">
      <x:c r="A1840" s="3" t="n">
        <x:v>30</x:v>
      </x:c>
      <x:c r="B1840" s="3" t="str">
        <x:v>05:00</x:v>
      </x:c>
      <x:c r="C1840" s="3" t="n">
        <x:v>6</x:v>
      </x:c>
      <x:c r="D1840" s="3" t="n">
        <x:v>39</x:v>
      </x:c>
      <x:c r="E1840" s="3" t="n">
        <x:v>7</x:v>
      </x:c>
      <x:c r="F1840" s="3" t="n">
        <x:v>8</x:v>
      </x:c>
      <x:c r="G1840" s="9" t="n">
        <x:v>0.15</x:v>
      </x:c>
      <x:c r="H1840" s="9" t="n">
        <x:v>1.003268</x:v>
      </x:c>
      <x:c r="I1840" s="9" t="n">
        <x:f>'Physical_Arcs'!R40</x:f>
        <x:v>17.02777777777778</x:v>
      </x:c>
      <x:c r="J1840" s="9" t="n">
        <x:f>I1840*'Parameters'!$C$18</x:f>
        <x:v>3.405555555555556</x:v>
      </x:c>
      <x:c r="K1840" s="9" t="n">
        <x:f>J1840*'Parameters'!$C$19</x:f>
        <x:v>4.256944444444445</x:v>
      </x:c>
      <x:c r="L1840" s="9" t="n">
        <x:f>I1840*(1-0.40)-J1840</x:f>
        <x:v>6.811111111111111</x:v>
      </x:c>
      <x:c r="M1840" s="9" t="n">
        <x:f>'Physical_Arcs'!S40</x:f>
        <x:v>17.02777777777778</x:v>
      </x:c>
      <x:c r="N1840" s="9" t="n">
        <x:f>M1840*'Parameters'!$C$18</x:f>
        <x:v>3.405555555555556</x:v>
      </x:c>
      <x:c r="O1840" s="9" t="n">
        <x:f>N1840*'Parameters'!$C$19</x:f>
        <x:v>4.256944444444445</x:v>
      </x:c>
      <x:c r="P1840" s="9" t="n">
        <x:f>M1840*(1-0.40)-N1840</x:f>
        <x:v>6.811111111111111</x:v>
      </x:c>
      <x:c r="Q1840" s="9" t="n">
        <x:f>'Physical_Arcs'!T40</x:f>
        <x:v>17.02777777777778</x:v>
      </x:c>
      <x:c r="R1840" s="9" t="n">
        <x:f>Q1840*'Parameters'!$C$18</x:f>
        <x:v>3.405555555555556</x:v>
      </x:c>
      <x:c r="S1840" s="9" t="n">
        <x:f>R1840*'Parameters'!$C$19</x:f>
        <x:v>4.256944444444445</x:v>
      </x:c>
      <x:c r="T1840" s="9" t="n">
        <x:f>Q1840*(1-0.40)-R1840</x:f>
        <x:v>6.811111111111111</x:v>
      </x:c>
    </x:row>
    <x:row r="1841" ht="21" customHeight="1">
      <x:c r="A1841" s="3" t="n">
        <x:v>30</x:v>
      </x:c>
      <x:c r="B1841" s="3" t="str">
        <x:v>05:00</x:v>
      </x:c>
      <x:c r="C1841" s="3" t="n">
        <x:v>6</x:v>
      </x:c>
      <x:c r="D1841" s="3" t="n">
        <x:v>40</x:v>
      </x:c>
      <x:c r="E1841" s="3" t="n">
        <x:v>7</x:v>
      </x:c>
      <x:c r="F1841" s="3" t="n">
        <x:v>1</x:v>
      </x:c>
      <x:c r="G1841" s="9" t="n">
        <x:v>0.15</x:v>
      </x:c>
      <x:c r="H1841" s="9" t="n">
        <x:v>1.057592</x:v>
      </x:c>
      <x:c r="I1841" s="9" t="n">
        <x:f>'Physical_Arcs'!R41</x:f>
        <x:v>7.972222222222222</x:v>
      </x:c>
      <x:c r="J1841" s="9" t="n">
        <x:f>I1841*'Parameters'!$C$18</x:f>
        <x:v>1.5944444444444446</x:v>
      </x:c>
      <x:c r="K1841" s="9" t="n">
        <x:f>J1841*'Parameters'!$C$19</x:f>
        <x:v>1.9930555555555558</x:v>
      </x:c>
      <x:c r="L1841" s="9" t="n">
        <x:f>I1841*(1-0.40)-J1841</x:f>
        <x:v>3.1888888888888887</x:v>
      </x:c>
      <x:c r="M1841" s="9" t="n">
        <x:f>'Physical_Arcs'!S41</x:f>
        <x:v>7.972222222222222</x:v>
      </x:c>
      <x:c r="N1841" s="9" t="n">
        <x:f>M1841*'Parameters'!$C$18</x:f>
        <x:v>1.5944444444444446</x:v>
      </x:c>
      <x:c r="O1841" s="9" t="n">
        <x:f>N1841*'Parameters'!$C$19</x:f>
        <x:v>1.9930555555555558</x:v>
      </x:c>
      <x:c r="P1841" s="9" t="n">
        <x:f>M1841*(1-0.40)-N1841</x:f>
        <x:v>3.1888888888888887</x:v>
      </x:c>
      <x:c r="Q1841" s="9" t="n">
        <x:f>'Physical_Arcs'!T41</x:f>
        <x:v>4</x:v>
      </x:c>
      <x:c r="R1841" s="9" t="n">
        <x:f>Q1841*'Parameters'!$C$18</x:f>
        <x:v>0.8</x:v>
      </x:c>
      <x:c r="S1841" s="9" t="n">
        <x:f>R1841*'Parameters'!$C$19</x:f>
        <x:v>1</x:v>
      </x:c>
      <x:c r="T1841" s="9" t="n">
        <x:f>Q1841*(1-0.40)-R1841</x:f>
        <x:v>1.5999999999999999</x:v>
      </x:c>
    </x:row>
    <x:row r="1842" ht="21" customHeight="1">
      <x:c r="A1842" s="3" t="n">
        <x:v>30</x:v>
      </x:c>
      <x:c r="B1842" s="3" t="str">
        <x:v>05:00</x:v>
      </x:c>
      <x:c r="C1842" s="3" t="n">
        <x:v>6</x:v>
      </x:c>
      <x:c r="D1842" s="3" t="n">
        <x:v>41</x:v>
      </x:c>
      <x:c r="E1842" s="3" t="n">
        <x:v>7</x:v>
      </x:c>
      <x:c r="F1842" s="3" t="n">
        <x:v>9</x:v>
      </x:c>
      <x:c r="G1842" s="9" t="n">
        <x:v>0.15</x:v>
      </x:c>
      <x:c r="H1842" s="9" t="n">
        <x:v>1.14801</x:v>
      </x:c>
      <x:c r="I1842" s="9" t="n">
        <x:f>'Physical_Arcs'!R42</x:f>
        <x:v>8.88888888888889</x:v>
      </x:c>
      <x:c r="J1842" s="9" t="n">
        <x:f>I1842*'Parameters'!$C$18</x:f>
        <x:v>1.777777777777778</x:v>
      </x:c>
      <x:c r="K1842" s="9" t="n">
        <x:f>J1842*'Parameters'!$C$19</x:f>
        <x:v>2.2222222222222223</x:v>
      </x:c>
      <x:c r="L1842" s="9" t="n">
        <x:f>I1842*(1-0.40)-J1842</x:f>
        <x:v>3.5555555555555554</x:v>
      </x:c>
      <x:c r="M1842" s="9" t="n">
        <x:f>'Physical_Arcs'!S42</x:f>
        <x:v>8.88888888888889</x:v>
      </x:c>
      <x:c r="N1842" s="9" t="n">
        <x:f>M1842*'Parameters'!$C$18</x:f>
        <x:v>1.777777777777778</x:v>
      </x:c>
      <x:c r="O1842" s="9" t="n">
        <x:f>N1842*'Parameters'!$C$19</x:f>
        <x:v>2.2222222222222223</x:v>
      </x:c>
      <x:c r="P1842" s="9" t="n">
        <x:f>M1842*(1-0.40)-N1842</x:f>
        <x:v>3.5555555555555554</x:v>
      </x:c>
      <x:c r="Q1842" s="9" t="n">
        <x:f>'Physical_Arcs'!T42</x:f>
        <x:v>4.444444444444445</x:v>
      </x:c>
      <x:c r="R1842" s="9" t="n">
        <x:f>Q1842*'Parameters'!$C$18</x:f>
        <x:v>0.888888888888889</x:v>
      </x:c>
      <x:c r="S1842" s="9" t="n">
        <x:f>R1842*'Parameters'!$C$19</x:f>
        <x:v>1.1111111111111112</x:v>
      </x:c>
      <x:c r="T1842" s="9" t="n">
        <x:f>Q1842*(1-0.40)-R1842</x:f>
        <x:v>1.7777777777777777</x:v>
      </x:c>
    </x:row>
    <x:row r="1843" ht="21" customHeight="1">
      <x:c r="A1843" s="3" t="n">
        <x:v>30</x:v>
      </x:c>
      <x:c r="B1843" s="3" t="str">
        <x:v>05:00</x:v>
      </x:c>
      <x:c r="C1843" s="3" t="n">
        <x:v>6</x:v>
      </x:c>
      <x:c r="D1843" s="3" t="n">
        <x:v>42</x:v>
      </x:c>
      <x:c r="E1843" s="3" t="n">
        <x:v>7</x:v>
      </x:c>
      <x:c r="F1843" s="3" t="n">
        <x:v>2</x:v>
      </x:c>
      <x:c r="G1843" s="9" t="n">
        <x:v>0.15</x:v>
      </x:c>
      <x:c r="H1843" s="9" t="n">
        <x:v>0.989237</x:v>
      </x:c>
      <x:c r="I1843" s="9" t="n">
        <x:f>'Physical_Arcs'!R43</x:f>
        <x:v>9</x:v>
      </x:c>
      <x:c r="J1843" s="9" t="n">
        <x:f>I1843*'Parameters'!$C$18</x:f>
        <x:v>1.8</x:v>
      </x:c>
      <x:c r="K1843" s="9" t="n">
        <x:f>J1843*'Parameters'!$C$19</x:f>
        <x:v>2.25</x:v>
      </x:c>
      <x:c r="L1843" s="9" t="n">
        <x:f>I1843*(1-0.40)-J1843</x:f>
        <x:v>3.5999999999999996</x:v>
      </x:c>
      <x:c r="M1843" s="9" t="n">
        <x:f>'Physical_Arcs'!S43</x:f>
        <x:v>9</x:v>
      </x:c>
      <x:c r="N1843" s="9" t="n">
        <x:f>M1843*'Parameters'!$C$18</x:f>
        <x:v>1.8</x:v>
      </x:c>
      <x:c r="O1843" s="9" t="n">
        <x:f>N1843*'Parameters'!$C$19</x:f>
        <x:v>2.25</x:v>
      </x:c>
      <x:c r="P1843" s="9" t="n">
        <x:f>M1843*(1-0.40)-N1843</x:f>
        <x:v>3.5999999999999996</x:v>
      </x:c>
      <x:c r="Q1843" s="9" t="n">
        <x:f>'Physical_Arcs'!T43</x:f>
        <x:v>4.5</x:v>
      </x:c>
      <x:c r="R1843" s="9" t="n">
        <x:f>Q1843*'Parameters'!$C$18</x:f>
        <x:v>0.9</x:v>
      </x:c>
      <x:c r="S1843" s="9" t="n">
        <x:f>R1843*'Parameters'!$C$19</x:f>
        <x:v>1.125</x:v>
      </x:c>
      <x:c r="T1843" s="9" t="n">
        <x:f>Q1843*(1-0.40)-R1843</x:f>
        <x:v>1.7999999999999998</x:v>
      </x:c>
    </x:row>
    <x:row r="1844" ht="21" customHeight="1">
      <x:c r="A1844" s="3" t="n">
        <x:v>30</x:v>
      </x:c>
      <x:c r="B1844" s="3" t="str">
        <x:v>05:00</x:v>
      </x:c>
      <x:c r="C1844" s="3" t="n">
        <x:v>6</x:v>
      </x:c>
      <x:c r="D1844" s="3" t="n">
        <x:v>43</x:v>
      </x:c>
      <x:c r="E1844" s="3" t="n">
        <x:v>7</x:v>
      </x:c>
      <x:c r="F1844" s="3" t="n">
        <x:v>3</x:v>
      </x:c>
      <x:c r="G1844" s="9" t="n">
        <x:v>0.15</x:v>
      </x:c>
      <x:c r="H1844" s="9" t="n">
        <x:v>1.050432</x:v>
      </x:c>
      <x:c r="I1844" s="9" t="n">
        <x:f>'Physical_Arcs'!R44</x:f>
        <x:v>7.638888888888889</x:v>
      </x:c>
      <x:c r="J1844" s="9" t="n">
        <x:f>I1844*'Parameters'!$C$18</x:f>
        <x:v>1.527777777777778</x:v>
      </x:c>
      <x:c r="K1844" s="9" t="n">
        <x:f>J1844*'Parameters'!$C$19</x:f>
        <x:v>1.9097222222222223</x:v>
      </x:c>
      <x:c r="L1844" s="9" t="n">
        <x:f>I1844*(1-0.40)-J1844</x:f>
        <x:v>3.0555555555555554</x:v>
      </x:c>
      <x:c r="M1844" s="9" t="n">
        <x:f>'Physical_Arcs'!S44</x:f>
        <x:v>7.638888888888889</x:v>
      </x:c>
      <x:c r="N1844" s="9" t="n">
        <x:f>M1844*'Parameters'!$C$18</x:f>
        <x:v>1.527777777777778</x:v>
      </x:c>
      <x:c r="O1844" s="9" t="n">
        <x:f>N1844*'Parameters'!$C$19</x:f>
        <x:v>1.9097222222222223</x:v>
      </x:c>
      <x:c r="P1844" s="9" t="n">
        <x:f>M1844*(1-0.40)-N1844</x:f>
        <x:v>3.0555555555555554</x:v>
      </x:c>
      <x:c r="Q1844" s="9" t="n">
        <x:f>'Physical_Arcs'!T44</x:f>
        <x:v>3.8333333333333335</x:v>
      </x:c>
      <x:c r="R1844" s="9" t="n">
        <x:f>Q1844*'Parameters'!$C$18</x:f>
        <x:v>0.7666666666666667</x:v>
      </x:c>
      <x:c r="S1844" s="9" t="n">
        <x:f>R1844*'Parameters'!$C$19</x:f>
        <x:v>0.9583333333333334</x:v>
      </x:c>
      <x:c r="T1844" s="9" t="n">
        <x:f>Q1844*(1-0.40)-R1844</x:f>
        <x:v>1.5333333333333332</x:v>
      </x:c>
    </x:row>
    <x:row r="1845" ht="21" customHeight="1">
      <x:c r="A1845" s="3" t="n">
        <x:v>30</x:v>
      </x:c>
      <x:c r="B1845" s="3" t="str">
        <x:v>05:00</x:v>
      </x:c>
      <x:c r="C1845" s="3" t="n">
        <x:v>6</x:v>
      </x:c>
      <x:c r="D1845" s="3" t="n">
        <x:v>44</x:v>
      </x:c>
      <x:c r="E1845" s="3" t="n">
        <x:v>8</x:v>
      </x:c>
      <x:c r="F1845" s="3" t="n">
        <x:v>9</x:v>
      </x:c>
      <x:c r="G1845" s="9" t="n">
        <x:v>0.15</x:v>
      </x:c>
      <x:c r="H1845" s="9" t="n">
        <x:v>0.868101</x:v>
      </x:c>
      <x:c r="I1845" s="9" t="n">
        <x:f>'Physical_Arcs'!R45</x:f>
        <x:v>17.02777777777778</x:v>
      </x:c>
      <x:c r="J1845" s="9" t="n">
        <x:f>I1845*'Parameters'!$C$18</x:f>
        <x:v>3.405555555555556</x:v>
      </x:c>
      <x:c r="K1845" s="9" t="n">
        <x:f>J1845*'Parameters'!$C$19</x:f>
        <x:v>4.256944444444445</x:v>
      </x:c>
      <x:c r="L1845" s="9" t="n">
        <x:f>I1845*(1-0.40)-J1845</x:f>
        <x:v>6.811111111111111</x:v>
      </x:c>
      <x:c r="M1845" s="9" t="n">
        <x:f>'Physical_Arcs'!S45</x:f>
        <x:v>17.02777777777778</x:v>
      </x:c>
      <x:c r="N1845" s="9" t="n">
        <x:f>M1845*'Parameters'!$C$18</x:f>
        <x:v>3.405555555555556</x:v>
      </x:c>
      <x:c r="O1845" s="9" t="n">
        <x:f>N1845*'Parameters'!$C$19</x:f>
        <x:v>4.256944444444445</x:v>
      </x:c>
      <x:c r="P1845" s="9" t="n">
        <x:f>M1845*(1-0.40)-N1845</x:f>
        <x:v>6.811111111111111</x:v>
      </x:c>
      <x:c r="Q1845" s="9" t="n">
        <x:f>'Physical_Arcs'!T45</x:f>
        <x:v>17.02777777777778</x:v>
      </x:c>
      <x:c r="R1845" s="9" t="n">
        <x:f>Q1845*'Parameters'!$C$18</x:f>
        <x:v>3.405555555555556</x:v>
      </x:c>
      <x:c r="S1845" s="9" t="n">
        <x:f>R1845*'Parameters'!$C$19</x:f>
        <x:v>4.256944444444445</x:v>
      </x:c>
      <x:c r="T1845" s="9" t="n">
        <x:f>Q1845*(1-0.40)-R1845</x:f>
        <x:v>6.811111111111111</x:v>
      </x:c>
    </x:row>
    <x:row r="1846" ht="21" customHeight="1">
      <x:c r="A1846" s="3" t="n">
        <x:v>30</x:v>
      </x:c>
      <x:c r="B1846" s="3" t="str">
        <x:v>05:00</x:v>
      </x:c>
      <x:c r="C1846" s="3" t="n">
        <x:v>6</x:v>
      </x:c>
      <x:c r="D1846" s="3" t="n">
        <x:v>45</x:v>
      </x:c>
      <x:c r="E1846" s="3" t="n">
        <x:v>8</x:v>
      </x:c>
      <x:c r="F1846" s="3" t="n">
        <x:v>3</x:v>
      </x:c>
      <x:c r="G1846" s="9" t="n">
        <x:v>0.15</x:v>
      </x:c>
      <x:c r="H1846" s="9" t="n">
        <x:v>0.944958</x:v>
      </x:c>
      <x:c r="I1846" s="9" t="n">
        <x:f>'Physical_Arcs'!R46</x:f>
        <x:v>5.388888888888889</x:v>
      </x:c>
      <x:c r="J1846" s="9" t="n">
        <x:f>I1846*'Parameters'!$C$18</x:f>
        <x:v>1.077777777777778</x:v>
      </x:c>
      <x:c r="K1846" s="9" t="n">
        <x:f>J1846*'Parameters'!$C$19</x:f>
        <x:v>1.3472222222222223</x:v>
      </x:c>
      <x:c r="L1846" s="9" t="n">
        <x:f>I1846*(1-0.40)-J1846</x:f>
        <x:v>2.1555555555555554</x:v>
      </x:c>
      <x:c r="M1846" s="9" t="n">
        <x:f>'Physical_Arcs'!S46</x:f>
        <x:v>5.388888888888889</x:v>
      </x:c>
      <x:c r="N1846" s="9" t="n">
        <x:f>M1846*'Parameters'!$C$18</x:f>
        <x:v>1.077777777777778</x:v>
      </x:c>
      <x:c r="O1846" s="9" t="n">
        <x:f>N1846*'Parameters'!$C$19</x:f>
        <x:v>1.3472222222222223</x:v>
      </x:c>
      <x:c r="P1846" s="9" t="n">
        <x:f>M1846*(1-0.40)-N1846</x:f>
        <x:v>2.1555555555555554</x:v>
      </x:c>
      <x:c r="Q1846" s="9" t="n">
        <x:f>'Physical_Arcs'!T46</x:f>
        <x:v>2.6944444444444446</x:v>
      </x:c>
      <x:c r="R1846" s="9" t="n">
        <x:f>Q1846*'Parameters'!$C$18</x:f>
        <x:v>0.538888888888889</x:v>
      </x:c>
      <x:c r="S1846" s="9" t="n">
        <x:f>R1846*'Parameters'!$C$19</x:f>
        <x:v>0.6736111111111112</x:v>
      </x:c>
      <x:c r="T1846" s="9" t="n">
        <x:f>Q1846*(1-0.40)-R1846</x:f>
        <x:v>1.0777777777777777</x:v>
      </x:c>
    </x:row>
    <x:row r="1847" ht="21" customHeight="1">
      <x:c r="A1847" s="3" t="n">
        <x:v>30</x:v>
      </x:c>
      <x:c r="B1847" s="3" t="str">
        <x:v>05:00</x:v>
      </x:c>
      <x:c r="C1847" s="3" t="n">
        <x:v>6</x:v>
      </x:c>
      <x:c r="D1847" s="3" t="n">
        <x:v>46</x:v>
      </x:c>
      <x:c r="E1847" s="3" t="n">
        <x:v>8</x:v>
      </x:c>
      <x:c r="F1847" s="3" t="n">
        <x:v>7</x:v>
      </x:c>
      <x:c r="G1847" s="9" t="n">
        <x:v>0.15</x:v>
      </x:c>
      <x:c r="H1847" s="9" t="n">
        <x:v>0.866232</x:v>
      </x:c>
      <x:c r="I1847" s="9" t="n">
        <x:f>'Physical_Arcs'!R47</x:f>
        <x:v>5.388888888888889</x:v>
      </x:c>
      <x:c r="J1847" s="9" t="n">
        <x:f>I1847*'Parameters'!$C$18</x:f>
        <x:v>1.077777777777778</x:v>
      </x:c>
      <x:c r="K1847" s="9" t="n">
        <x:f>J1847*'Parameters'!$C$19</x:f>
        <x:v>1.3472222222222223</x:v>
      </x:c>
      <x:c r="L1847" s="9" t="n">
        <x:f>I1847*(1-0.40)-J1847</x:f>
        <x:v>2.1555555555555554</x:v>
      </x:c>
      <x:c r="M1847" s="9" t="n">
        <x:f>'Physical_Arcs'!S47</x:f>
        <x:v>5.388888888888889</x:v>
      </x:c>
      <x:c r="N1847" s="9" t="n">
        <x:f>M1847*'Parameters'!$C$18</x:f>
        <x:v>1.077777777777778</x:v>
      </x:c>
      <x:c r="O1847" s="9" t="n">
        <x:f>N1847*'Parameters'!$C$19</x:f>
        <x:v>1.3472222222222223</x:v>
      </x:c>
      <x:c r="P1847" s="9" t="n">
        <x:f>M1847*(1-0.40)-N1847</x:f>
        <x:v>2.1555555555555554</x:v>
      </x:c>
      <x:c r="Q1847" s="9" t="n">
        <x:f>'Physical_Arcs'!T47</x:f>
        <x:v>2.6944444444444446</x:v>
      </x:c>
      <x:c r="R1847" s="9" t="n">
        <x:f>Q1847*'Parameters'!$C$18</x:f>
        <x:v>0.538888888888889</x:v>
      </x:c>
      <x:c r="S1847" s="9" t="n">
        <x:f>R1847*'Parameters'!$C$19</x:f>
        <x:v>0.6736111111111112</x:v>
      </x:c>
      <x:c r="T1847" s="9" t="n">
        <x:f>Q1847*(1-0.40)-R1847</x:f>
        <x:v>1.0777777777777777</x:v>
      </x:c>
    </x:row>
    <x:row r="1848" ht="21" customHeight="1">
      <x:c r="A1848" s="3" t="n">
        <x:v>30</x:v>
      </x:c>
      <x:c r="B1848" s="3" t="str">
        <x:v>05:00</x:v>
      </x:c>
      <x:c r="C1848" s="3" t="n">
        <x:v>6</x:v>
      </x:c>
      <x:c r="D1848" s="3" t="n">
        <x:v>47</x:v>
      </x:c>
      <x:c r="E1848" s="3" t="n">
        <x:v>8</x:v>
      </x:c>
      <x:c r="F1848" s="3" t="n">
        <x:v>2</x:v>
      </x:c>
      <x:c r="G1848" s="9" t="n">
        <x:v>0.15</x:v>
      </x:c>
      <x:c r="H1848" s="9" t="n">
        <x:v>1.135644</x:v>
      </x:c>
      <x:c r="I1848" s="9" t="n">
        <x:f>'Physical_Arcs'!R48</x:f>
        <x:v>8.083333333333334</x:v>
      </x:c>
      <x:c r="J1848" s="9" t="n">
        <x:f>I1848*'Parameters'!$C$18</x:f>
        <x:v>1.616666666666667</x:v>
      </x:c>
      <x:c r="K1848" s="9" t="n">
        <x:f>J1848*'Parameters'!$C$19</x:f>
        <x:v>2.0208333333333335</x:v>
      </x:c>
      <x:c r="L1848" s="9" t="n">
        <x:f>I1848*(1-0.40)-J1848</x:f>
        <x:v>3.2333333333333334</x:v>
      </x:c>
      <x:c r="M1848" s="9" t="n">
        <x:f>'Physical_Arcs'!S48</x:f>
        <x:v>8.083333333333334</x:v>
      </x:c>
      <x:c r="N1848" s="9" t="n">
        <x:f>M1848*'Parameters'!$C$18</x:f>
        <x:v>1.616666666666667</x:v>
      </x:c>
      <x:c r="O1848" s="9" t="n">
        <x:f>N1848*'Parameters'!$C$19</x:f>
        <x:v>2.0208333333333335</x:v>
      </x:c>
      <x:c r="P1848" s="9" t="n">
        <x:f>M1848*(1-0.40)-N1848</x:f>
        <x:v>3.2333333333333334</x:v>
      </x:c>
      <x:c r="Q1848" s="9" t="n">
        <x:f>'Physical_Arcs'!T48</x:f>
        <x:v>4.055555555555555</x:v>
      </x:c>
      <x:c r="R1848" s="9" t="n">
        <x:f>Q1848*'Parameters'!$C$18</x:f>
        <x:v>0.8111111111111111</x:v>
      </x:c>
      <x:c r="S1848" s="9" t="n">
        <x:f>R1848*'Parameters'!$C$19</x:f>
        <x:v>1.0138888888888888</x:v>
      </x:c>
      <x:c r="T1848" s="9" t="n">
        <x:f>Q1848*(1-0.40)-R1848</x:f>
        <x:v>1.622222222222222</x:v>
      </x:c>
    </x:row>
    <x:row r="1849" ht="21" customHeight="1">
      <x:c r="A1849" s="3" t="n">
        <x:v>30</x:v>
      </x:c>
      <x:c r="B1849" s="3" t="str">
        <x:v>05:00</x:v>
      </x:c>
      <x:c r="C1849" s="3" t="n">
        <x:v>6</x:v>
      </x:c>
      <x:c r="D1849" s="3" t="n">
        <x:v>48</x:v>
      </x:c>
      <x:c r="E1849" s="3" t="n">
        <x:v>8</x:v>
      </x:c>
      <x:c r="F1849" s="3" t="n">
        <x:v>6</x:v>
      </x:c>
      <x:c r="G1849" s="9" t="n">
        <x:v>0.15</x:v>
      </x:c>
      <x:c r="H1849" s="9" t="n">
        <x:v>0.850778</x:v>
      </x:c>
      <x:c r="I1849" s="9" t="n">
        <x:f>'Physical_Arcs'!R49</x:f>
        <x:v>10.555555555555555</x:v>
      </x:c>
      <x:c r="J1849" s="9" t="n">
        <x:f>I1849*'Parameters'!$C$18</x:f>
        <x:v>2.111111111111111</x:v>
      </x:c>
      <x:c r="K1849" s="9" t="n">
        <x:f>J1849*'Parameters'!$C$19</x:f>
        <x:v>2.638888888888889</x:v>
      </x:c>
      <x:c r="L1849" s="9" t="n">
        <x:f>I1849*(1-0.40)-J1849</x:f>
        <x:v>4.222222222222221</x:v>
      </x:c>
      <x:c r="M1849" s="9" t="n">
        <x:f>'Physical_Arcs'!S49</x:f>
        <x:v>10.555555555555555</x:v>
      </x:c>
      <x:c r="N1849" s="9" t="n">
        <x:f>M1849*'Parameters'!$C$18</x:f>
        <x:v>2.111111111111111</x:v>
      </x:c>
      <x:c r="O1849" s="9" t="n">
        <x:f>N1849*'Parameters'!$C$19</x:f>
        <x:v>2.638888888888889</x:v>
      </x:c>
      <x:c r="P1849" s="9" t="n">
        <x:f>M1849*(1-0.40)-N1849</x:f>
        <x:v>4.222222222222221</x:v>
      </x:c>
      <x:c r="Q1849" s="9" t="n">
        <x:f>'Physical_Arcs'!T49</x:f>
        <x:v>5.277777777777778</x:v>
      </x:c>
      <x:c r="R1849" s="9" t="n">
        <x:f>Q1849*'Parameters'!$C$18</x:f>
        <x:v>1.0555555555555556</x:v>
      </x:c>
      <x:c r="S1849" s="9" t="n">
        <x:f>R1849*'Parameters'!$C$19</x:f>
        <x:v>1.3194444444444444</x:v>
      </x:c>
      <x:c r="T1849" s="9" t="n">
        <x:f>Q1849*(1-0.40)-R1849</x:f>
        <x:v>2.1111111111111107</x:v>
      </x:c>
    </x:row>
    <x:row r="1850" ht="21" customHeight="1">
      <x:c r="A1850" s="3" t="n">
        <x:v>30</x:v>
      </x:c>
      <x:c r="B1850" s="3" t="str">
        <x:v>05:00</x:v>
      </x:c>
      <x:c r="C1850" s="3" t="n">
        <x:v>6</x:v>
      </x:c>
      <x:c r="D1850" s="3" t="n">
        <x:v>49</x:v>
      </x:c>
      <x:c r="E1850" s="3" t="n">
        <x:v>8</x:v>
      </x:c>
      <x:c r="F1850" s="3" t="n">
        <x:v>4</x:v>
      </x:c>
      <x:c r="G1850" s="9" t="n">
        <x:v>0.15</x:v>
      </x:c>
      <x:c r="H1850" s="9" t="n">
        <x:v>0.904949</x:v>
      </x:c>
      <x:c r="I1850" s="9" t="n">
        <x:f>'Physical_Arcs'!R50</x:f>
        <x:v>1.5833333333333333</x:v>
      </x:c>
      <x:c r="J1850" s="9" t="n">
        <x:f>I1850*'Parameters'!$C$18</x:f>
        <x:v>0.31666666666666665</x:v>
      </x:c>
      <x:c r="K1850" s="9" t="n">
        <x:f>J1850*'Parameters'!$C$19</x:f>
        <x:v>0.3958333333333333</x:v>
      </x:c>
      <x:c r="L1850" s="9" t="n">
        <x:f>I1850*(1-0.40)-J1850</x:f>
        <x:v>0.6333333333333333</x:v>
      </x:c>
      <x:c r="M1850" s="9" t="n">
        <x:f>'Physical_Arcs'!S50</x:f>
        <x:v>1.5833333333333333</x:v>
      </x:c>
      <x:c r="N1850" s="9" t="n">
        <x:f>M1850*'Parameters'!$C$18</x:f>
        <x:v>0.31666666666666665</x:v>
      </x:c>
      <x:c r="O1850" s="9" t="n">
        <x:f>N1850*'Parameters'!$C$19</x:f>
        <x:v>0.3958333333333333</x:v>
      </x:c>
      <x:c r="P1850" s="9" t="n">
        <x:f>M1850*(1-0.40)-N1850</x:f>
        <x:v>0.6333333333333333</x:v>
      </x:c>
      <x:c r="Q1850" s="9" t="n">
        <x:f>'Physical_Arcs'!T50</x:f>
        <x:v>0.8055555555555556</x:v>
      </x:c>
      <x:c r="R1850" s="9" t="n">
        <x:f>Q1850*'Parameters'!$C$18</x:f>
        <x:v>0.16111111111111112</x:v>
      </x:c>
      <x:c r="S1850" s="9" t="n">
        <x:f>R1850*'Parameters'!$C$19</x:f>
        <x:v>0.2013888888888889</x:v>
      </x:c>
      <x:c r="T1850" s="9" t="n">
        <x:f>Q1850*(1-0.40)-R1850</x:f>
        <x:v>0.3222222222222222</x:v>
      </x:c>
    </x:row>
    <x:row r="1851" ht="21" customHeight="1">
      <x:c r="A1851" s="3" t="n">
        <x:v>30</x:v>
      </x:c>
      <x:c r="B1851" s="3" t="str">
        <x:v>05:00</x:v>
      </x:c>
      <x:c r="C1851" s="3" t="n">
        <x:v>6</x:v>
      </x:c>
      <x:c r="D1851" s="3" t="n">
        <x:v>50</x:v>
      </x:c>
      <x:c r="E1851" s="3" t="n">
        <x:v>8</x:v>
      </x:c>
      <x:c r="F1851" s="3" t="n">
        <x:v>5</x:v>
      </x:c>
      <x:c r="G1851" s="9" t="n">
        <x:v>0.15</x:v>
      </x:c>
      <x:c r="H1851" s="9" t="n">
        <x:v>0.990416</x:v>
      </x:c>
      <x:c r="I1851" s="9" t="n">
        <x:f>'Physical_Arcs'!R51</x:f>
        <x:v>10.777777777777779</x:v>
      </x:c>
      <x:c r="J1851" s="9" t="n">
        <x:f>I1851*'Parameters'!$C$18</x:f>
        <x:v>2.155555555555556</x:v>
      </x:c>
      <x:c r="K1851" s="9" t="n">
        <x:f>J1851*'Parameters'!$C$19</x:f>
        <x:v>2.6944444444444446</x:v>
      </x:c>
      <x:c r="L1851" s="9" t="n">
        <x:f>I1851*(1-0.40)-J1851</x:f>
        <x:v>4.311111111111111</x:v>
      </x:c>
      <x:c r="M1851" s="9" t="n">
        <x:f>'Physical_Arcs'!S51</x:f>
        <x:v>10.777777777777779</x:v>
      </x:c>
      <x:c r="N1851" s="9" t="n">
        <x:f>M1851*'Parameters'!$C$18</x:f>
        <x:v>2.155555555555556</x:v>
      </x:c>
      <x:c r="O1851" s="9" t="n">
        <x:f>N1851*'Parameters'!$C$19</x:f>
        <x:v>2.6944444444444446</x:v>
      </x:c>
      <x:c r="P1851" s="9" t="n">
        <x:f>M1851*(1-0.40)-N1851</x:f>
        <x:v>4.311111111111111</x:v>
      </x:c>
      <x:c r="Q1851" s="9" t="n">
        <x:f>'Physical_Arcs'!T51</x:f>
        <x:v>5.388888888888889</x:v>
      </x:c>
      <x:c r="R1851" s="9" t="n">
        <x:f>Q1851*'Parameters'!$C$18</x:f>
        <x:v>1.077777777777778</x:v>
      </x:c>
      <x:c r="S1851" s="9" t="n">
        <x:f>R1851*'Parameters'!$C$19</x:f>
        <x:v>1.3472222222222223</x:v>
      </x:c>
      <x:c r="T1851" s="9" t="n">
        <x:f>Q1851*(1-0.40)-R1851</x:f>
        <x:v>2.1555555555555554</x:v>
      </x:c>
    </x:row>
    <x:row r="1852" ht="21" customHeight="1">
      <x:c r="A1852" s="3" t="n">
        <x:v>30</x:v>
      </x:c>
      <x:c r="B1852" s="3" t="str">
        <x:v>05:00</x:v>
      </x:c>
      <x:c r="C1852" s="3" t="n">
        <x:v>6</x:v>
      </x:c>
      <x:c r="D1852" s="3" t="n">
        <x:v>51</x:v>
      </x:c>
      <x:c r="E1852" s="3" t="n">
        <x:v>8</x:v>
      </x:c>
      <x:c r="F1852" s="3" t="n">
        <x:v>1</x:v>
      </x:c>
      <x:c r="G1852" s="9" t="n">
        <x:v>0.15</x:v>
      </x:c>
      <x:c r="H1852" s="9" t="n">
        <x:v>1.039066</x:v>
      </x:c>
      <x:c r="I1852" s="9" t="n">
        <x:f>'Physical_Arcs'!R52</x:f>
        <x:v>8.88888888888889</x:v>
      </x:c>
      <x:c r="J1852" s="9" t="n">
        <x:f>I1852*'Parameters'!$C$18</x:f>
        <x:v>1.777777777777778</x:v>
      </x:c>
      <x:c r="K1852" s="9" t="n">
        <x:f>J1852*'Parameters'!$C$19</x:f>
        <x:v>2.2222222222222223</x:v>
      </x:c>
      <x:c r="L1852" s="9" t="n">
        <x:f>I1852*(1-0.40)-J1852</x:f>
        <x:v>3.5555555555555554</x:v>
      </x:c>
      <x:c r="M1852" s="9" t="n">
        <x:f>'Physical_Arcs'!S52</x:f>
        <x:v>8.88888888888889</x:v>
      </x:c>
      <x:c r="N1852" s="9" t="n">
        <x:f>M1852*'Parameters'!$C$18</x:f>
        <x:v>1.777777777777778</x:v>
      </x:c>
      <x:c r="O1852" s="9" t="n">
        <x:f>N1852*'Parameters'!$C$19</x:f>
        <x:v>2.2222222222222223</x:v>
      </x:c>
      <x:c r="P1852" s="9" t="n">
        <x:f>M1852*(1-0.40)-N1852</x:f>
        <x:v>3.5555555555555554</x:v>
      </x:c>
      <x:c r="Q1852" s="9" t="n">
        <x:f>'Physical_Arcs'!T52</x:f>
        <x:v>4.444444444444445</x:v>
      </x:c>
      <x:c r="R1852" s="9" t="n">
        <x:f>Q1852*'Parameters'!$C$18</x:f>
        <x:v>0.888888888888889</x:v>
      </x:c>
      <x:c r="S1852" s="9" t="n">
        <x:f>R1852*'Parameters'!$C$19</x:f>
        <x:v>1.1111111111111112</x:v>
      </x:c>
      <x:c r="T1852" s="9" t="n">
        <x:f>Q1852*(1-0.40)-R1852</x:f>
        <x:v>1.7777777777777777</x:v>
      </x:c>
    </x:row>
    <x:row r="1853" ht="21" customHeight="1">
      <x:c r="A1853" s="3" t="n">
        <x:v>30</x:v>
      </x:c>
      <x:c r="B1853" s="3" t="str">
        <x:v>05:00</x:v>
      </x:c>
      <x:c r="C1853" s="3" t="n">
        <x:v>6</x:v>
      </x:c>
      <x:c r="D1853" s="3" t="n">
        <x:v>52</x:v>
      </x:c>
      <x:c r="E1853" s="3" t="n">
        <x:v>9</x:v>
      </x:c>
      <x:c r="F1853" s="3" t="n">
        <x:v>10</x:v>
      </x:c>
      <x:c r="G1853" s="9" t="n">
        <x:v>0.15</x:v>
      </x:c>
      <x:c r="H1853" s="9" t="n">
        <x:v>0.954096</x:v>
      </x:c>
      <x:c r="I1853" s="9" t="n">
        <x:f>'Physical_Arcs'!R53</x:f>
        <x:v>17.02777777777778</x:v>
      </x:c>
      <x:c r="J1853" s="9" t="n">
        <x:f>I1853*'Parameters'!$C$18</x:f>
        <x:v>3.405555555555556</x:v>
      </x:c>
      <x:c r="K1853" s="9" t="n">
        <x:f>J1853*'Parameters'!$C$19</x:f>
        <x:v>4.256944444444445</x:v>
      </x:c>
      <x:c r="L1853" s="9" t="n">
        <x:f>I1853*(1-0.40)-J1853</x:f>
        <x:v>6.811111111111111</x:v>
      </x:c>
      <x:c r="M1853" s="9" t="n">
        <x:f>'Physical_Arcs'!S53</x:f>
        <x:v>17.02777777777778</x:v>
      </x:c>
      <x:c r="N1853" s="9" t="n">
        <x:f>M1853*'Parameters'!$C$18</x:f>
        <x:v>3.405555555555556</x:v>
      </x:c>
      <x:c r="O1853" s="9" t="n">
        <x:f>N1853*'Parameters'!$C$19</x:f>
        <x:v>4.256944444444445</x:v>
      </x:c>
      <x:c r="P1853" s="9" t="n">
        <x:f>M1853*(1-0.40)-N1853</x:f>
        <x:v>6.811111111111111</x:v>
      </x:c>
      <x:c r="Q1853" s="9" t="n">
        <x:f>'Physical_Arcs'!T53</x:f>
        <x:v>17.02777777777778</x:v>
      </x:c>
      <x:c r="R1853" s="9" t="n">
        <x:f>Q1853*'Parameters'!$C$18</x:f>
        <x:v>3.405555555555556</x:v>
      </x:c>
      <x:c r="S1853" s="9" t="n">
        <x:f>R1853*'Parameters'!$C$19</x:f>
        <x:v>4.256944444444445</x:v>
      </x:c>
      <x:c r="T1853" s="9" t="n">
        <x:f>Q1853*(1-0.40)-R1853</x:f>
        <x:v>6.811111111111111</x:v>
      </x:c>
    </x:row>
    <x:row r="1854" ht="21" customHeight="1">
      <x:c r="A1854" s="3" t="n">
        <x:v>30</x:v>
      </x:c>
      <x:c r="B1854" s="3" t="str">
        <x:v>05:00</x:v>
      </x:c>
      <x:c r="C1854" s="3" t="n">
        <x:v>6</x:v>
      </x:c>
      <x:c r="D1854" s="3" t="n">
        <x:v>53</x:v>
      </x:c>
      <x:c r="E1854" s="3" t="n">
        <x:v>9</x:v>
      </x:c>
      <x:c r="F1854" s="3" t="n">
        <x:v>6</x:v>
      </x:c>
      <x:c r="G1854" s="9" t="n">
        <x:v>0.15</x:v>
      </x:c>
      <x:c r="H1854" s="9" t="n">
        <x:v>1.125574</x:v>
      </x:c>
      <x:c r="I1854" s="9" t="n">
        <x:f>'Physical_Arcs'!R54</x:f>
        <x:v>9.666666666666666</x:v>
      </x:c>
      <x:c r="J1854" s="9" t="n">
        <x:f>I1854*'Parameters'!$C$18</x:f>
        <x:v>1.9333333333333333</x:v>
      </x:c>
      <x:c r="K1854" s="9" t="n">
        <x:f>J1854*'Parameters'!$C$19</x:f>
        <x:v>2.4166666666666665</x:v>
      </x:c>
      <x:c r="L1854" s="9" t="n">
        <x:f>I1854*(1-0.40)-J1854</x:f>
        <x:v>3.8666666666666663</x:v>
      </x:c>
      <x:c r="M1854" s="9" t="n">
        <x:f>'Physical_Arcs'!S54</x:f>
        <x:v>9.666666666666666</x:v>
      </x:c>
      <x:c r="N1854" s="9" t="n">
        <x:f>M1854*'Parameters'!$C$18</x:f>
        <x:v>1.9333333333333333</x:v>
      </x:c>
      <x:c r="O1854" s="9" t="n">
        <x:f>N1854*'Parameters'!$C$19</x:f>
        <x:v>2.4166666666666665</x:v>
      </x:c>
      <x:c r="P1854" s="9" t="n">
        <x:f>M1854*(1-0.40)-N1854</x:f>
        <x:v>3.8666666666666663</x:v>
      </x:c>
      <x:c r="Q1854" s="9" t="n">
        <x:f>'Physical_Arcs'!T54</x:f>
        <x:v>4.833333333333333</x:v>
      </x:c>
      <x:c r="R1854" s="9" t="n">
        <x:f>Q1854*'Parameters'!$C$18</x:f>
        <x:v>0.9666666666666667</x:v>
      </x:c>
      <x:c r="S1854" s="9" t="n">
        <x:f>R1854*'Parameters'!$C$19</x:f>
        <x:v>1.2083333333333333</x:v>
      </x:c>
      <x:c r="T1854" s="9" t="n">
        <x:f>Q1854*(1-0.40)-R1854</x:f>
        <x:v>1.9333333333333331</x:v>
      </x:c>
    </x:row>
    <x:row r="1855" ht="21" customHeight="1">
      <x:c r="A1855" s="3" t="n">
        <x:v>30</x:v>
      </x:c>
      <x:c r="B1855" s="3" t="str">
        <x:v>05:00</x:v>
      </x:c>
      <x:c r="C1855" s="3" t="n">
        <x:v>6</x:v>
      </x:c>
      <x:c r="D1855" s="3" t="n">
        <x:v>54</x:v>
      </x:c>
      <x:c r="E1855" s="3" t="n">
        <x:v>9</x:v>
      </x:c>
      <x:c r="F1855" s="3" t="n">
        <x:v>2</x:v>
      </x:c>
      <x:c r="G1855" s="9" t="n">
        <x:v>0.15</x:v>
      </x:c>
      <x:c r="H1855" s="9" t="n">
        <x:v>0.854534</x:v>
      </x:c>
      <x:c r="I1855" s="9" t="n">
        <x:f>'Physical_Arcs'!R55</x:f>
        <x:v>9.88888888888889</x:v>
      </x:c>
      <x:c r="J1855" s="9" t="n">
        <x:f>I1855*'Parameters'!$C$18</x:f>
        <x:v>1.9777777777777779</x:v>
      </x:c>
      <x:c r="K1855" s="9" t="n">
        <x:f>J1855*'Parameters'!$C$19</x:f>
        <x:v>2.4722222222222223</x:v>
      </x:c>
      <x:c r="L1855" s="9" t="n">
        <x:f>I1855*(1-0.40)-J1855</x:f>
        <x:v>3.9555555555555557</x:v>
      </x:c>
      <x:c r="M1855" s="9" t="n">
        <x:f>'Physical_Arcs'!S55</x:f>
        <x:v>9.88888888888889</x:v>
      </x:c>
      <x:c r="N1855" s="9" t="n">
        <x:f>M1855*'Parameters'!$C$18</x:f>
        <x:v>1.9777777777777779</x:v>
      </x:c>
      <x:c r="O1855" s="9" t="n">
        <x:f>N1855*'Parameters'!$C$19</x:f>
        <x:v>2.4722222222222223</x:v>
      </x:c>
      <x:c r="P1855" s="9" t="n">
        <x:f>M1855*(1-0.40)-N1855</x:f>
        <x:v>3.9555555555555557</x:v>
      </x:c>
      <x:c r="Q1855" s="9" t="n">
        <x:f>'Physical_Arcs'!T55</x:f>
        <x:v>4.944444444444445</x:v>
      </x:c>
      <x:c r="R1855" s="9" t="n">
        <x:f>Q1855*'Parameters'!$C$18</x:f>
        <x:v>0.9888888888888889</x:v>
      </x:c>
      <x:c r="S1855" s="9" t="n">
        <x:f>R1855*'Parameters'!$C$19</x:f>
        <x:v>1.2361111111111112</x:v>
      </x:c>
      <x:c r="T1855" s="9" t="n">
        <x:f>Q1855*(1-0.40)-R1855</x:f>
        <x:v>1.9777777777777779</x:v>
      </x:c>
    </x:row>
    <x:row r="1856" ht="21" customHeight="1">
      <x:c r="A1856" s="3" t="n">
        <x:v>30</x:v>
      </x:c>
      <x:c r="B1856" s="3" t="str">
        <x:v>05:00</x:v>
      </x:c>
      <x:c r="C1856" s="3" t="n">
        <x:v>6</x:v>
      </x:c>
      <x:c r="D1856" s="3" t="n">
        <x:v>55</x:v>
      </x:c>
      <x:c r="E1856" s="3" t="n">
        <x:v>9</x:v>
      </x:c>
      <x:c r="F1856" s="3" t="n">
        <x:v>7</x:v>
      </x:c>
      <x:c r="G1856" s="9" t="n">
        <x:v>0.15</x:v>
      </x:c>
      <x:c r="H1856" s="9" t="n">
        <x:v>0.900033</x:v>
      </x:c>
      <x:c r="I1856" s="9" t="n">
        <x:f>'Physical_Arcs'!R56</x:f>
        <x:v>4.166666666666667</x:v>
      </x:c>
      <x:c r="J1856" s="9" t="n">
        <x:f>I1856*'Parameters'!$C$18</x:f>
        <x:v>0.8333333333333335</x:v>
      </x:c>
      <x:c r="K1856" s="9" t="n">
        <x:f>J1856*'Parameters'!$C$19</x:f>
        <x:v>1.041666666666667</x:v>
      </x:c>
      <x:c r="L1856" s="9" t="n">
        <x:f>I1856*(1-0.40)-J1856</x:f>
        <x:v>1.6666666666666665</x:v>
      </x:c>
      <x:c r="M1856" s="9" t="n">
        <x:f>'Physical_Arcs'!S56</x:f>
        <x:v>4.166666666666667</x:v>
      </x:c>
      <x:c r="N1856" s="9" t="n">
        <x:f>M1856*'Parameters'!$C$18</x:f>
        <x:v>0.8333333333333335</x:v>
      </x:c>
      <x:c r="O1856" s="9" t="n">
        <x:f>N1856*'Parameters'!$C$19</x:f>
        <x:v>1.041666666666667</x:v>
      </x:c>
      <x:c r="P1856" s="9" t="n">
        <x:f>M1856*(1-0.40)-N1856</x:f>
        <x:v>1.6666666666666665</x:v>
      </x:c>
      <x:c r="Q1856" s="9" t="n">
        <x:f>'Physical_Arcs'!T56</x:f>
        <x:v>2.0833333333333335</x:v>
      </x:c>
      <x:c r="R1856" s="9" t="n">
        <x:f>Q1856*'Parameters'!$C$18</x:f>
        <x:v>0.41666666666666674</x:v>
      </x:c>
      <x:c r="S1856" s="9" t="n">
        <x:f>R1856*'Parameters'!$C$19</x:f>
        <x:v>0.5208333333333335</x:v>
      </x:c>
      <x:c r="T1856" s="9" t="n">
        <x:f>Q1856*(1-0.40)-R1856</x:f>
        <x:v>0.8333333333333333</x:v>
      </x:c>
    </x:row>
    <x:row r="1857" ht="21" customHeight="1">
      <x:c r="A1857" s="3" t="n">
        <x:v>30</x:v>
      </x:c>
      <x:c r="B1857" s="3" t="str">
        <x:v>05:00</x:v>
      </x:c>
      <x:c r="C1857" s="3" t="n">
        <x:v>6</x:v>
      </x:c>
      <x:c r="D1857" s="3" t="n">
        <x:v>56</x:v>
      </x:c>
      <x:c r="E1857" s="3" t="n">
        <x:v>9</x:v>
      </x:c>
      <x:c r="F1857" s="3" t="n">
        <x:v>3</x:v>
      </x:c>
      <x:c r="G1857" s="9" t="n">
        <x:v>0.15</x:v>
      </x:c>
      <x:c r="H1857" s="9" t="n">
        <x:v>0.893428</x:v>
      </x:c>
      <x:c r="I1857" s="9" t="n">
        <x:f>'Physical_Arcs'!R57</x:f>
        <x:v>3.7222222222222223</x:v>
      </x:c>
      <x:c r="J1857" s="9" t="n">
        <x:f>I1857*'Parameters'!$C$18</x:f>
        <x:v>0.7444444444444445</x:v>
      </x:c>
      <x:c r="K1857" s="9" t="n">
        <x:f>J1857*'Parameters'!$C$19</x:f>
        <x:v>0.9305555555555556</x:v>
      </x:c>
      <x:c r="L1857" s="9" t="n">
        <x:f>I1857*(1-0.40)-J1857</x:f>
        <x:v>1.488888888888889</x:v>
      </x:c>
      <x:c r="M1857" s="9" t="n">
        <x:f>'Physical_Arcs'!S57</x:f>
        <x:v>3.7222222222222223</x:v>
      </x:c>
      <x:c r="N1857" s="9" t="n">
        <x:f>M1857*'Parameters'!$C$18</x:f>
        <x:v>0.7444444444444445</x:v>
      </x:c>
      <x:c r="O1857" s="9" t="n">
        <x:f>N1857*'Parameters'!$C$19</x:f>
        <x:v>0.9305555555555556</x:v>
      </x:c>
      <x:c r="P1857" s="9" t="n">
        <x:f>M1857*(1-0.40)-N1857</x:f>
        <x:v>1.488888888888889</x:v>
      </x:c>
      <x:c r="Q1857" s="9" t="n">
        <x:f>'Physical_Arcs'!T57</x:f>
        <x:v>1.8611111111111112</x:v>
      </x:c>
      <x:c r="R1857" s="9" t="n">
        <x:f>Q1857*'Parameters'!$C$18</x:f>
        <x:v>0.37222222222222223</x:v>
      </x:c>
      <x:c r="S1857" s="9" t="n">
        <x:f>R1857*'Parameters'!$C$19</x:f>
        <x:v>0.4652777777777778</x:v>
      </x:c>
      <x:c r="T1857" s="9" t="n">
        <x:f>Q1857*(1-0.40)-R1857</x:f>
        <x:v>0.7444444444444445</x:v>
      </x:c>
    </x:row>
    <x:row r="1858" ht="21" customHeight="1">
      <x:c r="A1858" s="3" t="n">
        <x:v>30</x:v>
      </x:c>
      <x:c r="B1858" s="3" t="str">
        <x:v>05:00</x:v>
      </x:c>
      <x:c r="C1858" s="3" t="n">
        <x:v>6</x:v>
      </x:c>
      <x:c r="D1858" s="3" t="n">
        <x:v>57</x:v>
      </x:c>
      <x:c r="E1858" s="3" t="n">
        <x:v>10</x:v>
      </x:c>
      <x:c r="F1858" s="3" t="n">
        <x:v>1</x:v>
      </x:c>
      <x:c r="G1858" s="9" t="n">
        <x:v>0.15</x:v>
      </x:c>
      <x:c r="H1858" s="9" t="n">
        <x:v>1.027979</x:v>
      </x:c>
      <x:c r="I1858" s="9" t="n">
        <x:f>'Physical_Arcs'!R58</x:f>
        <x:v>17.02777777777778</x:v>
      </x:c>
      <x:c r="J1858" s="9" t="n">
        <x:f>I1858*'Parameters'!$C$18</x:f>
        <x:v>3.405555555555556</x:v>
      </x:c>
      <x:c r="K1858" s="9" t="n">
        <x:f>J1858*'Parameters'!$C$19</x:f>
        <x:v>4.256944444444445</x:v>
      </x:c>
      <x:c r="L1858" s="9" t="n">
        <x:f>I1858*(1-0.40)-J1858</x:f>
        <x:v>6.811111111111111</x:v>
      </x:c>
      <x:c r="M1858" s="9" t="n">
        <x:f>'Physical_Arcs'!S58</x:f>
        <x:v>17.02777777777778</x:v>
      </x:c>
      <x:c r="N1858" s="9" t="n">
        <x:f>M1858*'Parameters'!$C$18</x:f>
        <x:v>3.405555555555556</x:v>
      </x:c>
      <x:c r="O1858" s="9" t="n">
        <x:f>N1858*'Parameters'!$C$19</x:f>
        <x:v>4.256944444444445</x:v>
      </x:c>
      <x:c r="P1858" s="9" t="n">
        <x:f>M1858*(1-0.40)-N1858</x:f>
        <x:v>6.811111111111111</x:v>
      </x:c>
      <x:c r="Q1858" s="9" t="n">
        <x:f>'Physical_Arcs'!T58</x:f>
        <x:v>17.02777777777778</x:v>
      </x:c>
      <x:c r="R1858" s="9" t="n">
        <x:f>Q1858*'Parameters'!$C$18</x:f>
        <x:v>3.405555555555556</x:v>
      </x:c>
      <x:c r="S1858" s="9" t="n">
        <x:f>R1858*'Parameters'!$C$19</x:f>
        <x:v>4.256944444444445</x:v>
      </x:c>
      <x:c r="T1858" s="9" t="n">
        <x:f>Q1858*(1-0.40)-R1858</x:f>
        <x:v>6.811111111111111</x:v>
      </x:c>
    </x:row>
    <x:row r="1859" ht="21" customHeight="1">
      <x:c r="A1859" s="3" t="n">
        <x:v>30</x:v>
      </x:c>
      <x:c r="B1859" s="3" t="str">
        <x:v>05:00</x:v>
      </x:c>
      <x:c r="C1859" s="3" t="n">
        <x:v>6</x:v>
      </x:c>
      <x:c r="D1859" s="3" t="n">
        <x:v>58</x:v>
      </x:c>
      <x:c r="E1859" s="3" t="n">
        <x:v>10</x:v>
      </x:c>
      <x:c r="F1859" s="3" t="n">
        <x:v>6</x:v>
      </x:c>
      <x:c r="G1859" s="9" t="n">
        <x:v>0.15</x:v>
      </x:c>
      <x:c r="H1859" s="9" t="n">
        <x:v>0.952676</x:v>
      </x:c>
      <x:c r="I1859" s="9" t="n">
        <x:f>'Physical_Arcs'!R59</x:f>
        <x:v>6.305555555555555</x:v>
      </x:c>
      <x:c r="J1859" s="9" t="n">
        <x:f>I1859*'Parameters'!$C$18</x:f>
        <x:v>1.261111111111111</x:v>
      </x:c>
      <x:c r="K1859" s="9" t="n">
        <x:f>J1859*'Parameters'!$C$19</x:f>
        <x:v>1.5763888888888888</x:v>
      </x:c>
      <x:c r="L1859" s="9" t="n">
        <x:f>I1859*(1-0.40)-J1859</x:f>
        <x:v>2.522222222222222</x:v>
      </x:c>
      <x:c r="M1859" s="9" t="n">
        <x:f>'Physical_Arcs'!S59</x:f>
        <x:v>6.305555555555555</x:v>
      </x:c>
      <x:c r="N1859" s="9" t="n">
        <x:f>M1859*'Parameters'!$C$18</x:f>
        <x:v>1.261111111111111</x:v>
      </x:c>
      <x:c r="O1859" s="9" t="n">
        <x:f>N1859*'Parameters'!$C$19</x:f>
        <x:v>1.5763888888888888</x:v>
      </x:c>
      <x:c r="P1859" s="9" t="n">
        <x:f>M1859*(1-0.40)-N1859</x:f>
        <x:v>2.522222222222222</x:v>
      </x:c>
      <x:c r="Q1859" s="9" t="n">
        <x:f>'Physical_Arcs'!T59</x:f>
        <x:v>3.1666666666666665</x:v>
      </x:c>
      <x:c r="R1859" s="9" t="n">
        <x:f>Q1859*'Parameters'!$C$18</x:f>
        <x:v>0.6333333333333333</x:v>
      </x:c>
      <x:c r="S1859" s="9" t="n">
        <x:f>R1859*'Parameters'!$C$19</x:f>
        <x:v>0.7916666666666666</x:v>
      </x:c>
      <x:c r="T1859" s="9" t="n">
        <x:f>Q1859*(1-0.40)-R1859</x:f>
        <x:v>1.2666666666666666</x:v>
      </x:c>
    </x:row>
    <x:row r="1860" ht="21" customHeight="1">
      <x:c r="A1860" s="3" t="n">
        <x:v>30</x:v>
      </x:c>
      <x:c r="B1860" s="3" t="str">
        <x:v>05:00</x:v>
      </x:c>
      <x:c r="C1860" s="3" t="n">
        <x:v>6</x:v>
      </x:c>
      <x:c r="D1860" s="3" t="n">
        <x:v>59</x:v>
      </x:c>
      <x:c r="E1860" s="3" t="n">
        <x:v>10</x:v>
      </x:c>
      <x:c r="F1860" s="3" t="n">
        <x:v>4</x:v>
      </x:c>
      <x:c r="G1860" s="9" t="n">
        <x:v>0.15</x:v>
      </x:c>
      <x:c r="H1860" s="9" t="n">
        <x:v>1.114542</x:v>
      </x:c>
      <x:c r="I1860" s="9" t="n">
        <x:f>'Physical_Arcs'!R60</x:f>
        <x:v>1.5833333333333333</x:v>
      </x:c>
      <x:c r="J1860" s="9" t="n">
        <x:f>I1860*'Parameters'!$C$18</x:f>
        <x:v>0.31666666666666665</x:v>
      </x:c>
      <x:c r="K1860" s="9" t="n">
        <x:f>J1860*'Parameters'!$C$19</x:f>
        <x:v>0.3958333333333333</x:v>
      </x:c>
      <x:c r="L1860" s="9" t="n">
        <x:f>I1860*(1-0.40)-J1860</x:f>
        <x:v>0.6333333333333333</x:v>
      </x:c>
      <x:c r="M1860" s="9" t="n">
        <x:f>'Physical_Arcs'!S60</x:f>
        <x:v>1.5833333333333333</x:v>
      </x:c>
      <x:c r="N1860" s="9" t="n">
        <x:f>M1860*'Parameters'!$C$18</x:f>
        <x:v>0.31666666666666665</x:v>
      </x:c>
      <x:c r="O1860" s="9" t="n">
        <x:f>N1860*'Parameters'!$C$19</x:f>
        <x:v>0.3958333333333333</x:v>
      </x:c>
      <x:c r="P1860" s="9" t="n">
        <x:f>M1860*(1-0.40)-N1860</x:f>
        <x:v>0.6333333333333333</x:v>
      </x:c>
      <x:c r="Q1860" s="9" t="n">
        <x:f>'Physical_Arcs'!T60</x:f>
        <x:v>0.8055555555555556</x:v>
      </x:c>
      <x:c r="R1860" s="9" t="n">
        <x:f>Q1860*'Parameters'!$C$18</x:f>
        <x:v>0.16111111111111112</x:v>
      </x:c>
      <x:c r="S1860" s="9" t="n">
        <x:f>R1860*'Parameters'!$C$19</x:f>
        <x:v>0.2013888888888889</x:v>
      </x:c>
      <x:c r="T1860" s="9" t="n">
        <x:f>Q1860*(1-0.40)-R1860</x:f>
        <x:v>0.3222222222222222</x:v>
      </x:c>
    </x:row>
    <x:row r="1861" ht="21" customHeight="1">
      <x:c r="A1861" s="3" t="n">
        <x:v>30</x:v>
      </x:c>
      <x:c r="B1861" s="3" t="str">
        <x:v>05:00</x:v>
      </x:c>
      <x:c r="C1861" s="3" t="n">
        <x:v>6</x:v>
      </x:c>
      <x:c r="D1861" s="3" t="n">
        <x:v>60</x:v>
      </x:c>
      <x:c r="E1861" s="3" t="n">
        <x:v>10</x:v>
      </x:c>
      <x:c r="F1861" s="3" t="n">
        <x:v>9</x:v>
      </x:c>
      <x:c r="G1861" s="9" t="n">
        <x:v>0.15</x:v>
      </x:c>
      <x:c r="H1861" s="9" t="n">
        <x:v>1.092245</x:v>
      </x:c>
      <x:c r="I1861" s="9" t="n">
        <x:f>'Physical_Arcs'!R61</x:f>
        <x:v>10.333333333333334</x:v>
      </x:c>
      <x:c r="J1861" s="9" t="n">
        <x:f>I1861*'Parameters'!$C$18</x:f>
        <x:v>2.066666666666667</x:v>
      </x:c>
      <x:c r="K1861" s="9" t="n">
        <x:f>J1861*'Parameters'!$C$19</x:f>
        <x:v>2.5833333333333335</x:v>
      </x:c>
      <x:c r="L1861" s="9" t="n">
        <x:f>I1861*(1-0.40)-J1861</x:f>
        <x:v>4.133333333333333</x:v>
      </x:c>
      <x:c r="M1861" s="9" t="n">
        <x:f>'Physical_Arcs'!S61</x:f>
        <x:v>10.333333333333334</x:v>
      </x:c>
      <x:c r="N1861" s="9" t="n">
        <x:f>M1861*'Parameters'!$C$18</x:f>
        <x:v>2.066666666666667</x:v>
      </x:c>
      <x:c r="O1861" s="9" t="n">
        <x:f>N1861*'Parameters'!$C$19</x:f>
        <x:v>2.5833333333333335</x:v>
      </x:c>
      <x:c r="P1861" s="9" t="n">
        <x:f>M1861*(1-0.40)-N1861</x:f>
        <x:v>4.133333333333333</x:v>
      </x:c>
      <x:c r="Q1861" s="9" t="n">
        <x:f>'Physical_Arcs'!T61</x:f>
        <x:v>5.166666666666667</x:v>
      </x:c>
      <x:c r="R1861" s="9" t="n">
        <x:f>Q1861*'Parameters'!$C$18</x:f>
        <x:v>1.0333333333333334</x:v>
      </x:c>
      <x:c r="S1861" s="9" t="n">
        <x:f>R1861*'Parameters'!$C$19</x:f>
        <x:v>1.2916666666666667</x:v>
      </x:c>
      <x:c r="T1861" s="9" t="n">
        <x:f>Q1861*(1-0.40)-R1861</x:f>
        <x:v>2.0666666666666664</x:v>
      </x:c>
    </x:row>
    <x:row r="1862" ht="21" customHeight="1">
      <x:c r="A1862" s="3" t="n">
        <x:v>31</x:v>
      </x:c>
      <x:c r="B1862" s="3" t="str">
        <x:v>05:10</x:v>
      </x:c>
      <x:c r="C1862" s="3" t="n">
        <x:v>6</x:v>
      </x:c>
      <x:c r="D1862" s="3" t="n">
        <x:v>1</x:v>
      </x:c>
      <x:c r="E1862" s="3" t="n">
        <x:v>1</x:v>
      </x:c>
      <x:c r="F1862" s="3" t="n">
        <x:v>2</x:v>
      </x:c>
      <x:c r="G1862" s="9" t="n">
        <x:v>0.15</x:v>
      </x:c>
      <x:c r="H1862" s="9" t="n">
        <x:v>0.914787</x:v>
      </x:c>
      <x:c r="I1862" s="9" t="n">
        <x:f>'Physical_Arcs'!R2</x:f>
        <x:v>17.02777777777778</x:v>
      </x:c>
      <x:c r="J1862" s="9" t="n">
        <x:f>I1862*'Parameters'!$C$18</x:f>
        <x:v>3.405555555555556</x:v>
      </x:c>
      <x:c r="K1862" s="9" t="n">
        <x:f>J1862*'Parameters'!$C$19</x:f>
        <x:v>4.256944444444445</x:v>
      </x:c>
      <x:c r="L1862" s="9" t="n">
        <x:f>I1862*(1-0.40)-J1862</x:f>
        <x:v>6.811111111111111</x:v>
      </x:c>
      <x:c r="M1862" s="9" t="n">
        <x:f>'Physical_Arcs'!S2</x:f>
        <x:v>17.02777777777778</x:v>
      </x:c>
      <x:c r="N1862" s="9" t="n">
        <x:f>M1862*'Parameters'!$C$18</x:f>
        <x:v>3.405555555555556</x:v>
      </x:c>
      <x:c r="O1862" s="9" t="n">
        <x:f>N1862*'Parameters'!$C$19</x:f>
        <x:v>4.256944444444445</x:v>
      </x:c>
      <x:c r="P1862" s="9" t="n">
        <x:f>M1862*(1-0.40)-N1862</x:f>
        <x:v>6.811111111111111</x:v>
      </x:c>
      <x:c r="Q1862" s="9" t="n">
        <x:f>'Physical_Arcs'!T2</x:f>
        <x:v>17.02777777777778</x:v>
      </x:c>
      <x:c r="R1862" s="9" t="n">
        <x:f>Q1862*'Parameters'!$C$18</x:f>
        <x:v>3.405555555555556</x:v>
      </x:c>
      <x:c r="S1862" s="9" t="n">
        <x:f>R1862*'Parameters'!$C$19</x:f>
        <x:v>4.256944444444445</x:v>
      </x:c>
      <x:c r="T1862" s="9" t="n">
        <x:f>Q1862*(1-0.40)-R1862</x:f>
        <x:v>6.811111111111111</x:v>
      </x:c>
    </x:row>
    <x:row r="1863" ht="21" customHeight="1">
      <x:c r="A1863" s="3" t="n">
        <x:v>31</x:v>
      </x:c>
      <x:c r="B1863" s="3" t="str">
        <x:v>05:10</x:v>
      </x:c>
      <x:c r="C1863" s="3" t="n">
        <x:v>6</x:v>
      </x:c>
      <x:c r="D1863" s="3" t="n">
        <x:v>2</x:v>
      </x:c>
      <x:c r="E1863" s="3" t="n">
        <x:v>1</x:v>
      </x:c>
      <x:c r="F1863" s="3" t="n">
        <x:v>10</x:v>
      </x:c>
      <x:c r="G1863" s="9" t="n">
        <x:v>0.15</x:v>
      </x:c>
      <x:c r="H1863" s="9" t="n">
        <x:v>1.003995</x:v>
      </x:c>
      <x:c r="I1863" s="9" t="n">
        <x:f>'Physical_Arcs'!R3</x:f>
        <x:v>3.2777777777777777</x:v>
      </x:c>
      <x:c r="J1863" s="9" t="n">
        <x:f>I1863*'Parameters'!$C$18</x:f>
        <x:v>0.6555555555555556</x:v>
      </x:c>
      <x:c r="K1863" s="9" t="n">
        <x:f>J1863*'Parameters'!$C$19</x:f>
        <x:v>0.8194444444444444</x:v>
      </x:c>
      <x:c r="L1863" s="9" t="n">
        <x:f>I1863*(1-0.40)-J1863</x:f>
        <x:v>1.311111111111111</x:v>
      </x:c>
      <x:c r="M1863" s="9" t="n">
        <x:f>'Physical_Arcs'!S3</x:f>
        <x:v>3.2777777777777777</x:v>
      </x:c>
      <x:c r="N1863" s="9" t="n">
        <x:f>M1863*'Parameters'!$C$18</x:f>
        <x:v>0.6555555555555556</x:v>
      </x:c>
      <x:c r="O1863" s="9" t="n">
        <x:f>N1863*'Parameters'!$C$19</x:f>
        <x:v>0.8194444444444444</x:v>
      </x:c>
      <x:c r="P1863" s="9" t="n">
        <x:f>M1863*(1-0.40)-N1863</x:f>
        <x:v>1.311111111111111</x:v>
      </x:c>
      <x:c r="Q1863" s="9" t="n">
        <x:f>'Physical_Arcs'!T3</x:f>
        <x:v>1.6388888888888888</x:v>
      </x:c>
      <x:c r="R1863" s="9" t="n">
        <x:f>Q1863*'Parameters'!$C$18</x:f>
        <x:v>0.3277777777777778</x:v>
      </x:c>
      <x:c r="S1863" s="9" t="n">
        <x:f>R1863*'Parameters'!$C$19</x:f>
        <x:v>0.4097222222222222</x:v>
      </x:c>
      <x:c r="T1863" s="9" t="n">
        <x:f>Q1863*(1-0.40)-R1863</x:f>
        <x:v>0.6555555555555554</x:v>
      </x:c>
    </x:row>
    <x:row r="1864" ht="21" customHeight="1">
      <x:c r="A1864" s="3" t="n">
        <x:v>31</x:v>
      </x:c>
      <x:c r="B1864" s="3" t="str">
        <x:v>05:10</x:v>
      </x:c>
      <x:c r="C1864" s="3" t="n">
        <x:v>6</x:v>
      </x:c>
      <x:c r="D1864" s="3" t="n">
        <x:v>3</x:v>
      </x:c>
      <x:c r="E1864" s="3" t="n">
        <x:v>1</x:v>
      </x:c>
      <x:c r="F1864" s="3" t="n">
        <x:v>8</x:v>
      </x:c>
      <x:c r="G1864" s="9" t="n">
        <x:v>0.15</x:v>
      </x:c>
      <x:c r="H1864" s="9" t="n">
        <x:v>0.923863</x:v>
      </x:c>
      <x:c r="I1864" s="9" t="n">
        <x:f>'Physical_Arcs'!R4</x:f>
        <x:v>6.083333333333333</x:v>
      </x:c>
      <x:c r="J1864" s="9" t="n">
        <x:f>I1864*'Parameters'!$C$18</x:f>
        <x:v>1.2166666666666668</x:v>
      </x:c>
      <x:c r="K1864" s="9" t="n">
        <x:f>J1864*'Parameters'!$C$19</x:f>
        <x:v>1.5208333333333335</x:v>
      </x:c>
      <x:c r="L1864" s="9" t="n">
        <x:f>I1864*(1-0.40)-J1864</x:f>
        <x:v>2.4333333333333327</x:v>
      </x:c>
      <x:c r="M1864" s="9" t="n">
        <x:f>'Physical_Arcs'!S4</x:f>
        <x:v>6.083333333333333</x:v>
      </x:c>
      <x:c r="N1864" s="9" t="n">
        <x:f>M1864*'Parameters'!$C$18</x:f>
        <x:v>1.2166666666666668</x:v>
      </x:c>
      <x:c r="O1864" s="9" t="n">
        <x:f>N1864*'Parameters'!$C$19</x:f>
        <x:v>1.5208333333333335</x:v>
      </x:c>
      <x:c r="P1864" s="9" t="n">
        <x:f>M1864*(1-0.40)-N1864</x:f>
        <x:v>2.4333333333333327</x:v>
      </x:c>
      <x:c r="Q1864" s="9" t="n">
        <x:f>'Physical_Arcs'!T4</x:f>
        <x:v>3.0555555555555554</x:v>
      </x:c>
      <x:c r="R1864" s="9" t="n">
        <x:f>Q1864*'Parameters'!$C$18</x:f>
        <x:v>0.6111111111111112</x:v>
      </x:c>
      <x:c r="S1864" s="9" t="n">
        <x:f>R1864*'Parameters'!$C$19</x:f>
        <x:v>0.763888888888889</x:v>
      </x:c>
      <x:c r="T1864" s="9" t="n">
        <x:f>Q1864*(1-0.40)-R1864</x:f>
        <x:v>1.2222222222222219</x:v>
      </x:c>
    </x:row>
    <x:row r="1865" ht="21" customHeight="1">
      <x:c r="A1865" s="3" t="n">
        <x:v>31</x:v>
      </x:c>
      <x:c r="B1865" s="3" t="str">
        <x:v>05:10</x:v>
      </x:c>
      <x:c r="C1865" s="3" t="n">
        <x:v>6</x:v>
      </x:c>
      <x:c r="D1865" s="3" t="n">
        <x:v>4</x:v>
      </x:c>
      <x:c r="E1865" s="3" t="n">
        <x:v>1</x:v>
      </x:c>
      <x:c r="F1865" s="3" t="n">
        <x:v>7</x:v>
      </x:c>
      <x:c r="G1865" s="9" t="n">
        <x:v>0.15</x:v>
      </x:c>
      <x:c r="H1865" s="9" t="n">
        <x:v>1.111072</x:v>
      </x:c>
      <x:c r="I1865" s="9" t="n">
        <x:f>'Physical_Arcs'!R5</x:f>
        <x:v>9</x:v>
      </x:c>
      <x:c r="J1865" s="9" t="n">
        <x:f>I1865*'Parameters'!$C$18</x:f>
        <x:v>1.8</x:v>
      </x:c>
      <x:c r="K1865" s="9" t="n">
        <x:f>J1865*'Parameters'!$C$19</x:f>
        <x:v>2.25</x:v>
      </x:c>
      <x:c r="L1865" s="9" t="n">
        <x:f>I1865*(1-0.40)-J1865</x:f>
        <x:v>3.5999999999999996</x:v>
      </x:c>
      <x:c r="M1865" s="9" t="n">
        <x:f>'Physical_Arcs'!S5</x:f>
        <x:v>9</x:v>
      </x:c>
      <x:c r="N1865" s="9" t="n">
        <x:f>M1865*'Parameters'!$C$18</x:f>
        <x:v>1.8</x:v>
      </x:c>
      <x:c r="O1865" s="9" t="n">
        <x:f>N1865*'Parameters'!$C$19</x:f>
        <x:v>2.25</x:v>
      </x:c>
      <x:c r="P1865" s="9" t="n">
        <x:f>M1865*(1-0.40)-N1865</x:f>
        <x:v>3.5999999999999996</x:v>
      </x:c>
      <x:c r="Q1865" s="9" t="n">
        <x:f>'Physical_Arcs'!T5</x:f>
        <x:v>4.5</x:v>
      </x:c>
      <x:c r="R1865" s="9" t="n">
        <x:f>Q1865*'Parameters'!$C$18</x:f>
        <x:v>0.9</x:v>
      </x:c>
      <x:c r="S1865" s="9" t="n">
        <x:f>R1865*'Parameters'!$C$19</x:f>
        <x:v>1.125</x:v>
      </x:c>
      <x:c r="T1865" s="9" t="n">
        <x:f>Q1865*(1-0.40)-R1865</x:f>
        <x:v>1.7999999999999998</x:v>
      </x:c>
    </x:row>
    <x:row r="1866" ht="21" customHeight="1">
      <x:c r="A1866" s="3" t="n">
        <x:v>31</x:v>
      </x:c>
      <x:c r="B1866" s="3" t="str">
        <x:v>05:10</x:v>
      </x:c>
      <x:c r="C1866" s="3" t="n">
        <x:v>6</x:v>
      </x:c>
      <x:c r="D1866" s="3" t="n">
        <x:v>5</x:v>
      </x:c>
      <x:c r="E1866" s="3" t="n">
        <x:v>1</x:v>
      </x:c>
      <x:c r="F1866" s="3" t="n">
        <x:v>4</x:v>
      </x:c>
      <x:c r="G1866" s="9" t="n">
        <x:v>0.15</x:v>
      </x:c>
      <x:c r="H1866" s="9" t="n">
        <x:v>1.001665</x:v>
      </x:c>
      <x:c r="I1866" s="9" t="n">
        <x:f>'Physical_Arcs'!R6</x:f>
        <x:v>4.166666666666667</x:v>
      </x:c>
      <x:c r="J1866" s="9" t="n">
        <x:f>I1866*'Parameters'!$C$18</x:f>
        <x:v>0.8333333333333335</x:v>
      </x:c>
      <x:c r="K1866" s="9" t="n">
        <x:f>J1866*'Parameters'!$C$19</x:f>
        <x:v>1.041666666666667</x:v>
      </x:c>
      <x:c r="L1866" s="9" t="n">
        <x:f>I1866*(1-0.40)-J1866</x:f>
        <x:v>1.6666666666666665</x:v>
      </x:c>
      <x:c r="M1866" s="9" t="n">
        <x:f>'Physical_Arcs'!S6</x:f>
        <x:v>4.166666666666667</x:v>
      </x:c>
      <x:c r="N1866" s="9" t="n">
        <x:f>M1866*'Parameters'!$C$18</x:f>
        <x:v>0.8333333333333335</x:v>
      </x:c>
      <x:c r="O1866" s="9" t="n">
        <x:f>N1866*'Parameters'!$C$19</x:f>
        <x:v>1.041666666666667</x:v>
      </x:c>
      <x:c r="P1866" s="9" t="n">
        <x:f>M1866*(1-0.40)-N1866</x:f>
        <x:v>1.6666666666666665</x:v>
      </x:c>
      <x:c r="Q1866" s="9" t="n">
        <x:f>'Physical_Arcs'!T6</x:f>
        <x:v>2.0833333333333335</x:v>
      </x:c>
      <x:c r="R1866" s="9" t="n">
        <x:f>Q1866*'Parameters'!$C$18</x:f>
        <x:v>0.41666666666666674</x:v>
      </x:c>
      <x:c r="S1866" s="9" t="n">
        <x:f>R1866*'Parameters'!$C$19</x:f>
        <x:v>0.5208333333333335</x:v>
      </x:c>
      <x:c r="T1866" s="9" t="n">
        <x:f>Q1866*(1-0.40)-R1866</x:f>
        <x:v>0.8333333333333333</x:v>
      </x:c>
    </x:row>
    <x:row r="1867" ht="21" customHeight="1">
      <x:c r="A1867" s="3" t="n">
        <x:v>31</x:v>
      </x:c>
      <x:c r="B1867" s="3" t="str">
        <x:v>05:10</x:v>
      </x:c>
      <x:c r="C1867" s="3" t="n">
        <x:v>6</x:v>
      </x:c>
      <x:c r="D1867" s="3" t="n">
        <x:v>6</x:v>
      </x:c>
      <x:c r="E1867" s="3" t="n">
        <x:v>1</x:v>
      </x:c>
      <x:c r="F1867" s="3" t="n">
        <x:v>9</x:v>
      </x:c>
      <x:c r="G1867" s="9" t="n">
        <x:v>0.15</x:v>
      </x:c>
      <x:c r="H1867" s="9" t="n">
        <x:v>0.942884</x:v>
      </x:c>
      <x:c r="I1867" s="9" t="n">
        <x:f>'Physical_Arcs'!R7</x:f>
        <x:v>11.027777777777779</x:v>
      </x:c>
      <x:c r="J1867" s="9" t="n">
        <x:f>I1867*'Parameters'!$C$18</x:f>
        <x:v>2.2055555555555557</x:v>
      </x:c>
      <x:c r="K1867" s="9" t="n">
        <x:f>J1867*'Parameters'!$C$19</x:f>
        <x:v>2.7569444444444446</x:v>
      </x:c>
      <x:c r="L1867" s="9" t="n">
        <x:f>I1867*(1-0.40)-J1867</x:f>
        <x:v>4.411111111111111</x:v>
      </x:c>
      <x:c r="M1867" s="9" t="n">
        <x:f>'Physical_Arcs'!S7</x:f>
        <x:v>11.027777777777779</x:v>
      </x:c>
      <x:c r="N1867" s="9" t="n">
        <x:f>M1867*'Parameters'!$C$18</x:f>
        <x:v>2.2055555555555557</x:v>
      </x:c>
      <x:c r="O1867" s="9" t="n">
        <x:f>N1867*'Parameters'!$C$19</x:f>
        <x:v>2.7569444444444446</x:v>
      </x:c>
      <x:c r="P1867" s="9" t="n">
        <x:f>M1867*(1-0.40)-N1867</x:f>
        <x:v>4.411111111111111</x:v>
      </x:c>
      <x:c r="Q1867" s="9" t="n">
        <x:f>'Physical_Arcs'!T7</x:f>
        <x:v>5.527777777777778</x:v>
      </x:c>
      <x:c r="R1867" s="9" t="n">
        <x:f>Q1867*'Parameters'!$C$18</x:f>
        <x:v>1.1055555555555556</x:v>
      </x:c>
      <x:c r="S1867" s="9" t="n">
        <x:f>R1867*'Parameters'!$C$19</x:f>
        <x:v>1.3819444444444446</x:v>
      </x:c>
      <x:c r="T1867" s="9" t="n">
        <x:f>Q1867*(1-0.40)-R1867</x:f>
        <x:v>2.211111111111111</x:v>
      </x:c>
    </x:row>
    <x:row r="1868" ht="21" customHeight="1">
      <x:c r="A1868" s="3" t="n">
        <x:v>31</x:v>
      </x:c>
      <x:c r="B1868" s="3" t="str">
        <x:v>05:10</x:v>
      </x:c>
      <x:c r="C1868" s="3" t="n">
        <x:v>6</x:v>
      </x:c>
      <x:c r="D1868" s="3" t="n">
        <x:v>7</x:v>
      </x:c>
      <x:c r="E1868" s="3" t="n">
        <x:v>1</x:v>
      </x:c>
      <x:c r="F1868" s="3" t="n">
        <x:v>5</x:v>
      </x:c>
      <x:c r="G1868" s="9" t="n">
        <x:v>0.15</x:v>
      </x:c>
      <x:c r="H1868" s="9" t="n">
        <x:v>1.038222</x:v>
      </x:c>
      <x:c r="I1868" s="9" t="n">
        <x:f>'Physical_Arcs'!R8</x:f>
        <x:v>7.972222222222222</x:v>
      </x:c>
      <x:c r="J1868" s="9" t="n">
        <x:f>I1868*'Parameters'!$C$18</x:f>
        <x:v>1.5944444444444446</x:v>
      </x:c>
      <x:c r="K1868" s="9" t="n">
        <x:f>J1868*'Parameters'!$C$19</x:f>
        <x:v>1.9930555555555558</x:v>
      </x:c>
      <x:c r="L1868" s="9" t="n">
        <x:f>I1868*(1-0.40)-J1868</x:f>
        <x:v>3.1888888888888887</x:v>
      </x:c>
      <x:c r="M1868" s="9" t="n">
        <x:f>'Physical_Arcs'!S8</x:f>
        <x:v>7.972222222222222</x:v>
      </x:c>
      <x:c r="N1868" s="9" t="n">
        <x:f>M1868*'Parameters'!$C$18</x:f>
        <x:v>1.5944444444444446</x:v>
      </x:c>
      <x:c r="O1868" s="9" t="n">
        <x:f>N1868*'Parameters'!$C$19</x:f>
        <x:v>1.9930555555555558</x:v>
      </x:c>
      <x:c r="P1868" s="9" t="n">
        <x:f>M1868*(1-0.40)-N1868</x:f>
        <x:v>3.1888888888888887</x:v>
      </x:c>
      <x:c r="Q1868" s="9" t="n">
        <x:f>'Physical_Arcs'!T8</x:f>
        <x:v>4</x:v>
      </x:c>
      <x:c r="R1868" s="9" t="n">
        <x:f>Q1868*'Parameters'!$C$18</x:f>
        <x:v>0.8</x:v>
      </x:c>
      <x:c r="S1868" s="9" t="n">
        <x:f>R1868*'Parameters'!$C$19</x:f>
        <x:v>1</x:v>
      </x:c>
      <x:c r="T1868" s="9" t="n">
        <x:f>Q1868*(1-0.40)-R1868</x:f>
        <x:v>1.5999999999999999</x:v>
      </x:c>
    </x:row>
    <x:row r="1869" ht="21" customHeight="1">
      <x:c r="A1869" s="3" t="n">
        <x:v>31</x:v>
      </x:c>
      <x:c r="B1869" s="3" t="str">
        <x:v>05:10</x:v>
      </x:c>
      <x:c r="C1869" s="3" t="n">
        <x:v>6</x:v>
      </x:c>
      <x:c r="D1869" s="3" t="n">
        <x:v>8</x:v>
      </x:c>
      <x:c r="E1869" s="3" t="n">
        <x:v>1</x:v>
      </x:c>
      <x:c r="F1869" s="3" t="n">
        <x:v>3</x:v>
      </x:c>
      <x:c r="G1869" s="9" t="n">
        <x:v>0.15</x:v>
      </x:c>
      <x:c r="H1869" s="9" t="n">
        <x:v>1.122297</x:v>
      </x:c>
      <x:c r="I1869" s="9" t="n">
        <x:f>'Physical_Arcs'!R9</x:f>
        <x:v>4.166666666666667</x:v>
      </x:c>
      <x:c r="J1869" s="9" t="n">
        <x:f>I1869*'Parameters'!$C$18</x:f>
        <x:v>0.8333333333333335</x:v>
      </x:c>
      <x:c r="K1869" s="9" t="n">
        <x:f>J1869*'Parameters'!$C$19</x:f>
        <x:v>1.041666666666667</x:v>
      </x:c>
      <x:c r="L1869" s="9" t="n">
        <x:f>I1869*(1-0.40)-J1869</x:f>
        <x:v>1.6666666666666665</x:v>
      </x:c>
      <x:c r="M1869" s="9" t="n">
        <x:f>'Physical_Arcs'!S9</x:f>
        <x:v>4.166666666666667</x:v>
      </x:c>
      <x:c r="N1869" s="9" t="n">
        <x:f>M1869*'Parameters'!$C$18</x:f>
        <x:v>0.8333333333333335</x:v>
      </x:c>
      <x:c r="O1869" s="9" t="n">
        <x:f>N1869*'Parameters'!$C$19</x:f>
        <x:v>1.041666666666667</x:v>
      </x:c>
      <x:c r="P1869" s="9" t="n">
        <x:f>M1869*(1-0.40)-N1869</x:f>
        <x:v>1.6666666666666665</x:v>
      </x:c>
      <x:c r="Q1869" s="9" t="n">
        <x:f>'Physical_Arcs'!T9</x:f>
        <x:v>2.0833333333333335</x:v>
      </x:c>
      <x:c r="R1869" s="9" t="n">
        <x:f>Q1869*'Parameters'!$C$18</x:f>
        <x:v>0.41666666666666674</x:v>
      </x:c>
      <x:c r="S1869" s="9" t="n">
        <x:f>R1869*'Parameters'!$C$19</x:f>
        <x:v>0.5208333333333335</x:v>
      </x:c>
      <x:c r="T1869" s="9" t="n">
        <x:f>Q1869*(1-0.40)-R1869</x:f>
        <x:v>0.8333333333333333</x:v>
      </x:c>
    </x:row>
    <x:row r="1870" ht="21" customHeight="1">
      <x:c r="A1870" s="3" t="n">
        <x:v>31</x:v>
      </x:c>
      <x:c r="B1870" s="3" t="str">
        <x:v>05:10</x:v>
      </x:c>
      <x:c r="C1870" s="3" t="n">
        <x:v>6</x:v>
      </x:c>
      <x:c r="D1870" s="3" t="n">
        <x:v>9</x:v>
      </x:c>
      <x:c r="E1870" s="3" t="n">
        <x:v>1</x:v>
      </x:c>
      <x:c r="F1870" s="3" t="n">
        <x:v>6</x:v>
      </x:c>
      <x:c r="G1870" s="9" t="n">
        <x:v>0.15</x:v>
      </x:c>
      <x:c r="H1870" s="9" t="n">
        <x:v>1.132682</x:v>
      </x:c>
      <x:c r="I1870" s="9" t="n">
        <x:f>'Physical_Arcs'!R10</x:f>
        <x:v>2.138888888888889</x:v>
      </x:c>
      <x:c r="J1870" s="9" t="n">
        <x:f>I1870*'Parameters'!$C$18</x:f>
        <x:v>0.4277777777777778</x:v>
      </x:c>
      <x:c r="K1870" s="9" t="n">
        <x:f>J1870*'Parameters'!$C$19</x:f>
        <x:v>0.5347222222222223</x:v>
      </x:c>
      <x:c r="L1870" s="9" t="n">
        <x:f>I1870*(1-0.40)-J1870</x:f>
        <x:v>0.8555555555555554</x:v>
      </x:c>
      <x:c r="M1870" s="9" t="n">
        <x:f>'Physical_Arcs'!S10</x:f>
        <x:v>2.138888888888889</x:v>
      </x:c>
      <x:c r="N1870" s="9" t="n">
        <x:f>M1870*'Parameters'!$C$18</x:f>
        <x:v>0.4277777777777778</x:v>
      </x:c>
      <x:c r="O1870" s="9" t="n">
        <x:f>N1870*'Parameters'!$C$19</x:f>
        <x:v>0.5347222222222223</x:v>
      </x:c>
      <x:c r="P1870" s="9" t="n">
        <x:f>M1870*(1-0.40)-N1870</x:f>
        <x:v>0.8555555555555554</x:v>
      </x:c>
      <x:c r="Q1870" s="9" t="n">
        <x:f>'Physical_Arcs'!T10</x:f>
        <x:v>1.0833333333333333</x:v>
      </x:c>
      <x:c r="R1870" s="9" t="n">
        <x:f>Q1870*'Parameters'!$C$18</x:f>
        <x:v>0.21666666666666667</x:v>
      </x:c>
      <x:c r="S1870" s="9" t="n">
        <x:f>R1870*'Parameters'!$C$19</x:f>
        <x:v>0.27083333333333337</x:v>
      </x:c>
      <x:c r="T1870" s="9" t="n">
        <x:f>Q1870*(1-0.40)-R1870</x:f>
        <x:v>0.43333333333333324</x:v>
      </x:c>
    </x:row>
    <x:row r="1871" ht="21" customHeight="1">
      <x:c r="A1871" s="3" t="n">
        <x:v>31</x:v>
      </x:c>
      <x:c r="B1871" s="3" t="str">
        <x:v>05:10</x:v>
      </x:c>
      <x:c r="C1871" s="3" t="n">
        <x:v>6</x:v>
      </x:c>
      <x:c r="D1871" s="3" t="n">
        <x:v>10</x:v>
      </x:c>
      <x:c r="E1871" s="3" t="n">
        <x:v>2</x:v>
      </x:c>
      <x:c r="F1871" s="3" t="n">
        <x:v>3</x:v>
      </x:c>
      <x:c r="G1871" s="9" t="n">
        <x:v>0.15</x:v>
      </x:c>
      <x:c r="H1871" s="9" t="n">
        <x:v>0.871154</x:v>
      </x:c>
      <x:c r="I1871" s="9" t="n">
        <x:f>'Physical_Arcs'!R11</x:f>
        <x:v>17.02777777777778</x:v>
      </x:c>
      <x:c r="J1871" s="9" t="n">
        <x:f>I1871*'Parameters'!$C$18</x:f>
        <x:v>3.405555555555556</x:v>
      </x:c>
      <x:c r="K1871" s="9" t="n">
        <x:f>J1871*'Parameters'!$C$19</x:f>
        <x:v>4.256944444444445</x:v>
      </x:c>
      <x:c r="L1871" s="9" t="n">
        <x:f>I1871*(1-0.40)-J1871</x:f>
        <x:v>6.811111111111111</x:v>
      </x:c>
      <x:c r="M1871" s="9" t="n">
        <x:f>'Physical_Arcs'!S11</x:f>
        <x:v>17.02777777777778</x:v>
      </x:c>
      <x:c r="N1871" s="9" t="n">
        <x:f>M1871*'Parameters'!$C$18</x:f>
        <x:v>3.405555555555556</x:v>
      </x:c>
      <x:c r="O1871" s="9" t="n">
        <x:f>N1871*'Parameters'!$C$19</x:f>
        <x:v>4.256944444444445</x:v>
      </x:c>
      <x:c r="P1871" s="9" t="n">
        <x:f>M1871*(1-0.40)-N1871</x:f>
        <x:v>6.811111111111111</x:v>
      </x:c>
      <x:c r="Q1871" s="9" t="n">
        <x:f>'Physical_Arcs'!T11</x:f>
        <x:v>17.02777777777778</x:v>
      </x:c>
      <x:c r="R1871" s="9" t="n">
        <x:f>Q1871*'Parameters'!$C$18</x:f>
        <x:v>3.405555555555556</x:v>
      </x:c>
      <x:c r="S1871" s="9" t="n">
        <x:f>R1871*'Parameters'!$C$19</x:f>
        <x:v>4.256944444444445</x:v>
      </x:c>
      <x:c r="T1871" s="9" t="n">
        <x:f>Q1871*(1-0.40)-R1871</x:f>
        <x:v>6.811111111111111</x:v>
      </x:c>
    </x:row>
    <x:row r="1872" ht="21" customHeight="1">
      <x:c r="A1872" s="3" t="n">
        <x:v>31</x:v>
      </x:c>
      <x:c r="B1872" s="3" t="str">
        <x:v>05:10</x:v>
      </x:c>
      <x:c r="C1872" s="3" t="n">
        <x:v>6</x:v>
      </x:c>
      <x:c r="D1872" s="3" t="n">
        <x:v>11</x:v>
      </x:c>
      <x:c r="E1872" s="3" t="n">
        <x:v>2</x:v>
      </x:c>
      <x:c r="F1872" s="3" t="n">
        <x:v>4</x:v>
      </x:c>
      <x:c r="G1872" s="9" t="n">
        <x:v>0.15</x:v>
      </x:c>
      <x:c r="H1872" s="9" t="n">
        <x:v>1.147412</x:v>
      </x:c>
      <x:c r="I1872" s="9" t="n">
        <x:f>'Physical_Arcs'!R12</x:f>
        <x:v>7.972222222222222</x:v>
      </x:c>
      <x:c r="J1872" s="9" t="n">
        <x:f>I1872*'Parameters'!$C$18</x:f>
        <x:v>1.5944444444444446</x:v>
      </x:c>
      <x:c r="K1872" s="9" t="n">
        <x:f>J1872*'Parameters'!$C$19</x:f>
        <x:v>1.9930555555555558</x:v>
      </x:c>
      <x:c r="L1872" s="9" t="n">
        <x:f>I1872*(1-0.40)-J1872</x:f>
        <x:v>3.1888888888888887</x:v>
      </x:c>
      <x:c r="M1872" s="9" t="n">
        <x:f>'Physical_Arcs'!S12</x:f>
        <x:v>7.972222222222222</x:v>
      </x:c>
      <x:c r="N1872" s="9" t="n">
        <x:f>M1872*'Parameters'!$C$18</x:f>
        <x:v>1.5944444444444446</x:v>
      </x:c>
      <x:c r="O1872" s="9" t="n">
        <x:f>N1872*'Parameters'!$C$19</x:f>
        <x:v>1.9930555555555558</x:v>
      </x:c>
      <x:c r="P1872" s="9" t="n">
        <x:f>M1872*(1-0.40)-N1872</x:f>
        <x:v>3.1888888888888887</x:v>
      </x:c>
      <x:c r="Q1872" s="9" t="n">
        <x:f>'Physical_Arcs'!T12</x:f>
        <x:v>4</x:v>
      </x:c>
      <x:c r="R1872" s="9" t="n">
        <x:f>Q1872*'Parameters'!$C$18</x:f>
        <x:v>0.8</x:v>
      </x:c>
      <x:c r="S1872" s="9" t="n">
        <x:f>R1872*'Parameters'!$C$19</x:f>
        <x:v>1</x:v>
      </x:c>
      <x:c r="T1872" s="9" t="n">
        <x:f>Q1872*(1-0.40)-R1872</x:f>
        <x:v>1.5999999999999999</x:v>
      </x:c>
    </x:row>
    <x:row r="1873" ht="21" customHeight="1">
      <x:c r="A1873" s="3" t="n">
        <x:v>31</x:v>
      </x:c>
      <x:c r="B1873" s="3" t="str">
        <x:v>05:10</x:v>
      </x:c>
      <x:c r="C1873" s="3" t="n">
        <x:v>6</x:v>
      </x:c>
      <x:c r="D1873" s="3" t="n">
        <x:v>12</x:v>
      </x:c>
      <x:c r="E1873" s="3" t="n">
        <x:v>2</x:v>
      </x:c>
      <x:c r="F1873" s="3" t="n">
        <x:v>7</x:v>
      </x:c>
      <x:c r="G1873" s="9" t="n">
        <x:v>0.15</x:v>
      </x:c>
      <x:c r="H1873" s="9" t="n">
        <x:v>0.96729</x:v>
      </x:c>
      <x:c r="I1873" s="9" t="n">
        <x:f>'Physical_Arcs'!R13</x:f>
        <x:v>4.611111111111111</x:v>
      </x:c>
      <x:c r="J1873" s="9" t="n">
        <x:f>I1873*'Parameters'!$C$18</x:f>
        <x:v>0.9222222222222222</x:v>
      </x:c>
      <x:c r="K1873" s="9" t="n">
        <x:f>J1873*'Parameters'!$C$19</x:f>
        <x:v>1.1527777777777777</x:v>
      </x:c>
      <x:c r="L1873" s="9" t="n">
        <x:f>I1873*(1-0.40)-J1873</x:f>
        <x:v>1.844444444444444</x:v>
      </x:c>
      <x:c r="M1873" s="9" t="n">
        <x:f>'Physical_Arcs'!S13</x:f>
        <x:v>4.611111111111111</x:v>
      </x:c>
      <x:c r="N1873" s="9" t="n">
        <x:f>M1873*'Parameters'!$C$18</x:f>
        <x:v>0.9222222222222222</x:v>
      </x:c>
      <x:c r="O1873" s="9" t="n">
        <x:f>N1873*'Parameters'!$C$19</x:f>
        <x:v>1.1527777777777777</x:v>
      </x:c>
      <x:c r="P1873" s="9" t="n">
        <x:f>M1873*(1-0.40)-N1873</x:f>
        <x:v>1.844444444444444</x:v>
      </x:c>
      <x:c r="Q1873" s="9" t="n">
        <x:f>'Physical_Arcs'!T13</x:f>
        <x:v>2.3055555555555554</x:v>
      </x:c>
      <x:c r="R1873" s="9" t="n">
        <x:f>Q1873*'Parameters'!$C$18</x:f>
        <x:v>0.4611111111111111</x:v>
      </x:c>
      <x:c r="S1873" s="9" t="n">
        <x:f>R1873*'Parameters'!$C$19</x:f>
        <x:v>0.5763888888888888</x:v>
      </x:c>
      <x:c r="T1873" s="9" t="n">
        <x:f>Q1873*(1-0.40)-R1873</x:f>
        <x:v>0.922222222222222</x:v>
      </x:c>
    </x:row>
    <x:row r="1874" ht="21" customHeight="1">
      <x:c r="A1874" s="3" t="n">
        <x:v>31</x:v>
      </x:c>
      <x:c r="B1874" s="3" t="str">
        <x:v>05:10</x:v>
      </x:c>
      <x:c r="C1874" s="3" t="n">
        <x:v>6</x:v>
      </x:c>
      <x:c r="D1874" s="3" t="n">
        <x:v>13</x:v>
      </x:c>
      <x:c r="E1874" s="3" t="n">
        <x:v>2</x:v>
      </x:c>
      <x:c r="F1874" s="3" t="n">
        <x:v>9</x:v>
      </x:c>
      <x:c r="G1874" s="9" t="n">
        <x:v>0.15</x:v>
      </x:c>
      <x:c r="H1874" s="9" t="n">
        <x:v>1.117625</x:v>
      </x:c>
      <x:c r="I1874" s="9" t="n">
        <x:f>'Physical_Arcs'!R14</x:f>
        <x:v>8.666666666666666</x:v>
      </x:c>
      <x:c r="J1874" s="9" t="n">
        <x:f>I1874*'Parameters'!$C$18</x:f>
        <x:v>1.7333333333333334</x:v>
      </x:c>
      <x:c r="K1874" s="9" t="n">
        <x:f>J1874*'Parameters'!$C$19</x:f>
        <x:v>2.166666666666667</x:v>
      </x:c>
      <x:c r="L1874" s="9" t="n">
        <x:f>I1874*(1-0.40)-J1874</x:f>
        <x:v>3.466666666666666</x:v>
      </x:c>
      <x:c r="M1874" s="9" t="n">
        <x:f>'Physical_Arcs'!S14</x:f>
        <x:v>8.666666666666666</x:v>
      </x:c>
      <x:c r="N1874" s="9" t="n">
        <x:f>M1874*'Parameters'!$C$18</x:f>
        <x:v>1.7333333333333334</x:v>
      </x:c>
      <x:c r="O1874" s="9" t="n">
        <x:f>N1874*'Parameters'!$C$19</x:f>
        <x:v>2.166666666666667</x:v>
      </x:c>
      <x:c r="P1874" s="9" t="n">
        <x:f>M1874*(1-0.40)-N1874</x:f>
        <x:v>3.466666666666666</x:v>
      </x:c>
      <x:c r="Q1874" s="9" t="n">
        <x:f>'Physical_Arcs'!T14</x:f>
        <x:v>4.333333333333333</x:v>
      </x:c>
      <x:c r="R1874" s="9" t="n">
        <x:f>Q1874*'Parameters'!$C$18</x:f>
        <x:v>0.8666666666666667</x:v>
      </x:c>
      <x:c r="S1874" s="9" t="n">
        <x:f>R1874*'Parameters'!$C$19</x:f>
        <x:v>1.0833333333333335</x:v>
      </x:c>
      <x:c r="T1874" s="9" t="n">
        <x:f>Q1874*(1-0.40)-R1874</x:f>
        <x:v>1.733333333333333</x:v>
      </x:c>
    </x:row>
    <x:row r="1875" ht="21" customHeight="1">
      <x:c r="A1875" s="3" t="n">
        <x:v>31</x:v>
      </x:c>
      <x:c r="B1875" s="3" t="str">
        <x:v>05:10</x:v>
      </x:c>
      <x:c r="C1875" s="3" t="n">
        <x:v>6</x:v>
      </x:c>
      <x:c r="D1875" s="3" t="n">
        <x:v>14</x:v>
      </x:c>
      <x:c r="E1875" s="3" t="n">
        <x:v>2</x:v>
      </x:c>
      <x:c r="F1875" s="3" t="n">
        <x:v>8</x:v>
      </x:c>
      <x:c r="G1875" s="9" t="n">
        <x:v>0.15</x:v>
      </x:c>
      <x:c r="H1875" s="9" t="n">
        <x:v>1.144902</x:v>
      </x:c>
      <x:c r="I1875" s="9" t="n">
        <x:f>'Physical_Arcs'!R15</x:f>
        <x:v>7.75</x:v>
      </x:c>
      <x:c r="J1875" s="9" t="n">
        <x:f>I1875*'Parameters'!$C$18</x:f>
        <x:v>1.55</x:v>
      </x:c>
      <x:c r="K1875" s="9" t="n">
        <x:f>J1875*'Parameters'!$C$19</x:f>
        <x:v>1.9375</x:v>
      </x:c>
      <x:c r="L1875" s="9" t="n">
        <x:f>I1875*(1-0.40)-J1875</x:f>
        <x:v>3.0999999999999996</x:v>
      </x:c>
      <x:c r="M1875" s="9" t="n">
        <x:f>'Physical_Arcs'!S15</x:f>
        <x:v>7.75</x:v>
      </x:c>
      <x:c r="N1875" s="9" t="n">
        <x:f>M1875*'Parameters'!$C$18</x:f>
        <x:v>1.55</x:v>
      </x:c>
      <x:c r="O1875" s="9" t="n">
        <x:f>N1875*'Parameters'!$C$19</x:f>
        <x:v>1.9375</x:v>
      </x:c>
      <x:c r="P1875" s="9" t="n">
        <x:f>M1875*(1-0.40)-N1875</x:f>
        <x:v>3.0999999999999996</x:v>
      </x:c>
      <x:c r="Q1875" s="9" t="n">
        <x:f>'Physical_Arcs'!T15</x:f>
        <x:v>3.888888888888889</x:v>
      </x:c>
      <x:c r="R1875" s="9" t="n">
        <x:f>Q1875*'Parameters'!$C$18</x:f>
        <x:v>0.7777777777777778</x:v>
      </x:c>
      <x:c r="S1875" s="9" t="n">
        <x:f>R1875*'Parameters'!$C$19</x:f>
        <x:v>0.9722222222222222</x:v>
      </x:c>
      <x:c r="T1875" s="9" t="n">
        <x:f>Q1875*(1-0.40)-R1875</x:f>
        <x:v>1.5555555555555554</x:v>
      </x:c>
    </x:row>
    <x:row r="1876" ht="21" customHeight="1">
      <x:c r="A1876" s="3" t="n">
        <x:v>31</x:v>
      </x:c>
      <x:c r="B1876" s="3" t="str">
        <x:v>05:10</x:v>
      </x:c>
      <x:c r="C1876" s="3" t="n">
        <x:v>6</x:v>
      </x:c>
      <x:c r="D1876" s="3" t="n">
        <x:v>15</x:v>
      </x:c>
      <x:c r="E1876" s="3" t="n">
        <x:v>2</x:v>
      </x:c>
      <x:c r="F1876" s="3" t="n">
        <x:v>10</x:v>
      </x:c>
      <x:c r="G1876" s="9" t="n">
        <x:v>0.15</x:v>
      </x:c>
      <x:c r="H1876" s="9" t="n">
        <x:v>1.146684</x:v>
      </x:c>
      <x:c r="I1876" s="9" t="n">
        <x:f>'Physical_Arcs'!R16</x:f>
        <x:v>7.416666666666667</x:v>
      </x:c>
      <x:c r="J1876" s="9" t="n">
        <x:f>I1876*'Parameters'!$C$18</x:f>
        <x:v>1.4833333333333334</x:v>
      </x:c>
      <x:c r="K1876" s="9" t="n">
        <x:f>J1876*'Parameters'!$C$19</x:f>
        <x:v>1.8541666666666667</x:v>
      </x:c>
      <x:c r="L1876" s="9" t="n">
        <x:f>I1876*(1-0.40)-J1876</x:f>
        <x:v>2.966666666666667</x:v>
      </x:c>
      <x:c r="M1876" s="9" t="n">
        <x:f>'Physical_Arcs'!S16</x:f>
        <x:v>7.416666666666667</x:v>
      </x:c>
      <x:c r="N1876" s="9" t="n">
        <x:f>M1876*'Parameters'!$C$18</x:f>
        <x:v>1.4833333333333334</x:v>
      </x:c>
      <x:c r="O1876" s="9" t="n">
        <x:f>N1876*'Parameters'!$C$19</x:f>
        <x:v>1.8541666666666667</x:v>
      </x:c>
      <x:c r="P1876" s="9" t="n">
        <x:f>M1876*(1-0.40)-N1876</x:f>
        <x:v>2.966666666666667</x:v>
      </x:c>
      <x:c r="Q1876" s="9" t="n">
        <x:f>'Physical_Arcs'!T16</x:f>
        <x:v>3.7222222222222223</x:v>
      </x:c>
      <x:c r="R1876" s="9" t="n">
        <x:f>Q1876*'Parameters'!$C$18</x:f>
        <x:v>0.7444444444444445</x:v>
      </x:c>
      <x:c r="S1876" s="9" t="n">
        <x:f>R1876*'Parameters'!$C$19</x:f>
        <x:v>0.9305555555555556</x:v>
      </x:c>
      <x:c r="T1876" s="9" t="n">
        <x:f>Q1876*(1-0.40)-R1876</x:f>
        <x:v>1.488888888888889</x:v>
      </x:c>
    </x:row>
    <x:row r="1877" ht="21" customHeight="1">
      <x:c r="A1877" s="3" t="n">
        <x:v>31</x:v>
      </x:c>
      <x:c r="B1877" s="3" t="str">
        <x:v>05:10</x:v>
      </x:c>
      <x:c r="C1877" s="3" t="n">
        <x:v>6</x:v>
      </x:c>
      <x:c r="D1877" s="3" t="n">
        <x:v>16</x:v>
      </x:c>
      <x:c r="E1877" s="3" t="n">
        <x:v>3</x:v>
      </x:c>
      <x:c r="F1877" s="3" t="n">
        <x:v>4</x:v>
      </x:c>
      <x:c r="G1877" s="9" t="n">
        <x:v>0.15</x:v>
      </x:c>
      <x:c r="H1877" s="9" t="n">
        <x:v>1.017658</x:v>
      </x:c>
      <x:c r="I1877" s="9" t="n">
        <x:f>'Physical_Arcs'!R17</x:f>
        <x:v>17.02777777777778</x:v>
      </x:c>
      <x:c r="J1877" s="9" t="n">
        <x:f>I1877*'Parameters'!$C$18</x:f>
        <x:v>3.405555555555556</x:v>
      </x:c>
      <x:c r="K1877" s="9" t="n">
        <x:f>J1877*'Parameters'!$C$19</x:f>
        <x:v>4.256944444444445</x:v>
      </x:c>
      <x:c r="L1877" s="9" t="n">
        <x:f>I1877*(1-0.40)-J1877</x:f>
        <x:v>6.811111111111111</x:v>
      </x:c>
      <x:c r="M1877" s="9" t="n">
        <x:f>'Physical_Arcs'!S17</x:f>
        <x:v>17.02777777777778</x:v>
      </x:c>
      <x:c r="N1877" s="9" t="n">
        <x:f>M1877*'Parameters'!$C$18</x:f>
        <x:v>3.405555555555556</x:v>
      </x:c>
      <x:c r="O1877" s="9" t="n">
        <x:f>N1877*'Parameters'!$C$19</x:f>
        <x:v>4.256944444444445</x:v>
      </x:c>
      <x:c r="P1877" s="9" t="n">
        <x:f>M1877*(1-0.40)-N1877</x:f>
        <x:v>6.811111111111111</x:v>
      </x:c>
      <x:c r="Q1877" s="9" t="n">
        <x:f>'Physical_Arcs'!T17</x:f>
        <x:v>17.02777777777778</x:v>
      </x:c>
      <x:c r="R1877" s="9" t="n">
        <x:f>Q1877*'Parameters'!$C$18</x:f>
        <x:v>3.405555555555556</x:v>
      </x:c>
      <x:c r="S1877" s="9" t="n">
        <x:f>R1877*'Parameters'!$C$19</x:f>
        <x:v>4.256944444444445</x:v>
      </x:c>
      <x:c r="T1877" s="9" t="n">
        <x:f>Q1877*(1-0.40)-R1877</x:f>
        <x:v>6.811111111111111</x:v>
      </x:c>
    </x:row>
    <x:row r="1878" ht="21" customHeight="1">
      <x:c r="A1878" s="3" t="n">
        <x:v>31</x:v>
      </x:c>
      <x:c r="B1878" s="3" t="str">
        <x:v>05:10</x:v>
      </x:c>
      <x:c r="C1878" s="3" t="n">
        <x:v>6</x:v>
      </x:c>
      <x:c r="D1878" s="3" t="n">
        <x:v>17</x:v>
      </x:c>
      <x:c r="E1878" s="3" t="n">
        <x:v>3</x:v>
      </x:c>
      <x:c r="F1878" s="3" t="n">
        <x:v>2</x:v>
      </x:c>
      <x:c r="G1878" s="9" t="n">
        <x:v>0.15</x:v>
      </x:c>
      <x:c r="H1878" s="9" t="n">
        <x:v>0.875995</x:v>
      </x:c>
      <x:c r="I1878" s="9" t="n">
        <x:f>'Physical_Arcs'!R18</x:f>
        <x:v>10.666666666666666</x:v>
      </x:c>
      <x:c r="J1878" s="9" t="n">
        <x:f>I1878*'Parameters'!$C$18</x:f>
        <x:v>2.1333333333333333</x:v>
      </x:c>
      <x:c r="K1878" s="9" t="n">
        <x:f>J1878*'Parameters'!$C$19</x:f>
        <x:v>2.6666666666666665</x:v>
      </x:c>
      <x:c r="L1878" s="9" t="n">
        <x:f>I1878*(1-0.40)-J1878</x:f>
        <x:v>4.266666666666666</x:v>
      </x:c>
      <x:c r="M1878" s="9" t="n">
        <x:f>'Physical_Arcs'!S18</x:f>
        <x:v>10.666666666666666</x:v>
      </x:c>
      <x:c r="N1878" s="9" t="n">
        <x:f>M1878*'Parameters'!$C$18</x:f>
        <x:v>2.1333333333333333</x:v>
      </x:c>
      <x:c r="O1878" s="9" t="n">
        <x:f>N1878*'Parameters'!$C$19</x:f>
        <x:v>2.6666666666666665</x:v>
      </x:c>
      <x:c r="P1878" s="9" t="n">
        <x:f>M1878*(1-0.40)-N1878</x:f>
        <x:v>4.266666666666666</x:v>
      </x:c>
      <x:c r="Q1878" s="9" t="n">
        <x:f>'Physical_Arcs'!T18</x:f>
        <x:v>5.333333333333333</x:v>
      </x:c>
      <x:c r="R1878" s="9" t="n">
        <x:f>Q1878*'Parameters'!$C$18</x:f>
        <x:v>1.0666666666666667</x:v>
      </x:c>
      <x:c r="S1878" s="9" t="n">
        <x:f>R1878*'Parameters'!$C$19</x:f>
        <x:v>1.3333333333333333</x:v>
      </x:c>
      <x:c r="T1878" s="9" t="n">
        <x:f>Q1878*(1-0.40)-R1878</x:f>
        <x:v>2.133333333333333</x:v>
      </x:c>
    </x:row>
    <x:row r="1879" ht="21" customHeight="1">
      <x:c r="A1879" s="3" t="n">
        <x:v>31</x:v>
      </x:c>
      <x:c r="B1879" s="3" t="str">
        <x:v>05:10</x:v>
      </x:c>
      <x:c r="C1879" s="3" t="n">
        <x:v>6</x:v>
      </x:c>
      <x:c r="D1879" s="3" t="n">
        <x:v>18</x:v>
      </x:c>
      <x:c r="E1879" s="3" t="n">
        <x:v>3</x:v>
      </x:c>
      <x:c r="F1879" s="3" t="n">
        <x:v>1</x:v>
      </x:c>
      <x:c r="G1879" s="9" t="n">
        <x:v>0.15</x:v>
      </x:c>
      <x:c r="H1879" s="9" t="n">
        <x:v>1.015397</x:v>
      </x:c>
      <x:c r="I1879" s="9" t="n">
        <x:f>'Physical_Arcs'!R19</x:f>
        <x:v>5.166666666666667</x:v>
      </x:c>
      <x:c r="J1879" s="9" t="n">
        <x:f>I1879*'Parameters'!$C$18</x:f>
        <x:v>1.0333333333333334</x:v>
      </x:c>
      <x:c r="K1879" s="9" t="n">
        <x:f>J1879*'Parameters'!$C$19</x:f>
        <x:v>1.2916666666666667</x:v>
      </x:c>
      <x:c r="L1879" s="9" t="n">
        <x:f>I1879*(1-0.40)-J1879</x:f>
        <x:v>2.0666666666666664</x:v>
      </x:c>
      <x:c r="M1879" s="9" t="n">
        <x:f>'Physical_Arcs'!S19</x:f>
        <x:v>5.166666666666667</x:v>
      </x:c>
      <x:c r="N1879" s="9" t="n">
        <x:f>M1879*'Parameters'!$C$18</x:f>
        <x:v>1.0333333333333334</x:v>
      </x:c>
      <x:c r="O1879" s="9" t="n">
        <x:f>N1879*'Parameters'!$C$19</x:f>
        <x:v>1.2916666666666667</x:v>
      </x:c>
      <x:c r="P1879" s="9" t="n">
        <x:f>M1879*(1-0.40)-N1879</x:f>
        <x:v>2.0666666666666664</x:v>
      </x:c>
      <x:c r="Q1879" s="9" t="n">
        <x:f>'Physical_Arcs'!T19</x:f>
        <x:v>2.5833333333333335</x:v>
      </x:c>
      <x:c r="R1879" s="9" t="n">
        <x:f>Q1879*'Parameters'!$C$18</x:f>
        <x:v>0.5166666666666667</x:v>
      </x:c>
      <x:c r="S1879" s="9" t="n">
        <x:f>R1879*'Parameters'!$C$19</x:f>
        <x:v>0.6458333333333334</x:v>
      </x:c>
      <x:c r="T1879" s="9" t="n">
        <x:f>Q1879*(1-0.40)-R1879</x:f>
        <x:v>1.0333333333333332</x:v>
      </x:c>
    </x:row>
    <x:row r="1880" ht="21" customHeight="1">
      <x:c r="A1880" s="3" t="n">
        <x:v>31</x:v>
      </x:c>
      <x:c r="B1880" s="3" t="str">
        <x:v>05:10</x:v>
      </x:c>
      <x:c r="C1880" s="3" t="n">
        <x:v>6</x:v>
      </x:c>
      <x:c r="D1880" s="3" t="n">
        <x:v>19</x:v>
      </x:c>
      <x:c r="E1880" s="3" t="n">
        <x:v>3</x:v>
      </x:c>
      <x:c r="F1880" s="3" t="n">
        <x:v>7</x:v>
      </x:c>
      <x:c r="G1880" s="9" t="n">
        <x:v>0.15</x:v>
      </x:c>
      <x:c r="H1880" s="9" t="n">
        <x:v>0.996008</x:v>
      </x:c>
      <x:c r="I1880" s="9" t="n">
        <x:f>'Physical_Arcs'!R20</x:f>
        <x:v>5.75</x:v>
      </x:c>
      <x:c r="J1880" s="9" t="n">
        <x:f>I1880*'Parameters'!$C$18</x:f>
        <x:v>1.1500000000000001</x:v>
      </x:c>
      <x:c r="K1880" s="9" t="n">
        <x:f>J1880*'Parameters'!$C$19</x:f>
        <x:v>1.4375000000000002</x:v>
      </x:c>
      <x:c r="L1880" s="9" t="n">
        <x:f>I1880*(1-0.40)-J1880</x:f>
        <x:v>2.3</x:v>
      </x:c>
      <x:c r="M1880" s="9" t="n">
        <x:f>'Physical_Arcs'!S20</x:f>
        <x:v>5.75</x:v>
      </x:c>
      <x:c r="N1880" s="9" t="n">
        <x:f>M1880*'Parameters'!$C$18</x:f>
        <x:v>1.1500000000000001</x:v>
      </x:c>
      <x:c r="O1880" s="9" t="n">
        <x:f>N1880*'Parameters'!$C$19</x:f>
        <x:v>1.4375000000000002</x:v>
      </x:c>
      <x:c r="P1880" s="9" t="n">
        <x:f>M1880*(1-0.40)-N1880</x:f>
        <x:v>2.3</x:v>
      </x:c>
      <x:c r="Q1880" s="9" t="n">
        <x:f>'Physical_Arcs'!T20</x:f>
        <x:v>2.888888888888889</x:v>
      </x:c>
      <x:c r="R1880" s="9" t="n">
        <x:f>Q1880*'Parameters'!$C$18</x:f>
        <x:v>0.5777777777777778</x:v>
      </x:c>
      <x:c r="S1880" s="9" t="n">
        <x:f>R1880*'Parameters'!$C$19</x:f>
        <x:v>0.7222222222222223</x:v>
      </x:c>
      <x:c r="T1880" s="9" t="n">
        <x:f>Q1880*(1-0.40)-R1880</x:f>
        <x:v>1.1555555555555554</x:v>
      </x:c>
    </x:row>
    <x:row r="1881" ht="21" customHeight="1">
      <x:c r="A1881" s="3" t="n">
        <x:v>31</x:v>
      </x:c>
      <x:c r="B1881" s="3" t="str">
        <x:v>05:10</x:v>
      </x:c>
      <x:c r="C1881" s="3" t="n">
        <x:v>6</x:v>
      </x:c>
      <x:c r="D1881" s="3" t="n">
        <x:v>20</x:v>
      </x:c>
      <x:c r="E1881" s="3" t="n">
        <x:v>3</x:v>
      </x:c>
      <x:c r="F1881" s="3" t="n">
        <x:v>10</x:v>
      </x:c>
      <x:c r="G1881" s="9" t="n">
        <x:v>0.15</x:v>
      </x:c>
      <x:c r="H1881" s="9" t="n">
        <x:v>1.118855</x:v>
      </x:c>
      <x:c r="I1881" s="9" t="n">
        <x:f>'Physical_Arcs'!R21</x:f>
        <x:v>5.166666666666667</x:v>
      </x:c>
      <x:c r="J1881" s="9" t="n">
        <x:f>I1881*'Parameters'!$C$18</x:f>
        <x:v>1.0333333333333334</x:v>
      </x:c>
      <x:c r="K1881" s="9" t="n">
        <x:f>J1881*'Parameters'!$C$19</x:f>
        <x:v>1.2916666666666667</x:v>
      </x:c>
      <x:c r="L1881" s="9" t="n">
        <x:f>I1881*(1-0.40)-J1881</x:f>
        <x:v>2.0666666666666664</x:v>
      </x:c>
      <x:c r="M1881" s="9" t="n">
        <x:f>'Physical_Arcs'!S21</x:f>
        <x:v>5.166666666666667</x:v>
      </x:c>
      <x:c r="N1881" s="9" t="n">
        <x:f>M1881*'Parameters'!$C$18</x:f>
        <x:v>1.0333333333333334</x:v>
      </x:c>
      <x:c r="O1881" s="9" t="n">
        <x:f>N1881*'Parameters'!$C$19</x:f>
        <x:v>1.2916666666666667</x:v>
      </x:c>
      <x:c r="P1881" s="9" t="n">
        <x:f>M1881*(1-0.40)-N1881</x:f>
        <x:v>2.0666666666666664</x:v>
      </x:c>
      <x:c r="Q1881" s="9" t="n">
        <x:f>'Physical_Arcs'!T21</x:f>
        <x:v>2.5833333333333335</x:v>
      </x:c>
      <x:c r="R1881" s="9" t="n">
        <x:f>Q1881*'Parameters'!$C$18</x:f>
        <x:v>0.5166666666666667</x:v>
      </x:c>
      <x:c r="S1881" s="9" t="n">
        <x:f>R1881*'Parameters'!$C$19</x:f>
        <x:v>0.6458333333333334</x:v>
      </x:c>
      <x:c r="T1881" s="9" t="n">
        <x:f>Q1881*(1-0.40)-R1881</x:f>
        <x:v>1.0333333333333332</x:v>
      </x:c>
    </x:row>
    <x:row r="1882" ht="21" customHeight="1">
      <x:c r="A1882" s="3" t="n">
        <x:v>31</x:v>
      </x:c>
      <x:c r="B1882" s="3" t="str">
        <x:v>05:10</x:v>
      </x:c>
      <x:c r="C1882" s="3" t="n">
        <x:v>6</x:v>
      </x:c>
      <x:c r="D1882" s="3" t="n">
        <x:v>21</x:v>
      </x:c>
      <x:c r="E1882" s="3" t="n">
        <x:v>3</x:v>
      </x:c>
      <x:c r="F1882" s="3" t="n">
        <x:v>9</x:v>
      </x:c>
      <x:c r="G1882" s="9" t="n">
        <x:v>0.15</x:v>
      </x:c>
      <x:c r="H1882" s="9" t="n">
        <x:v>0.947299</x:v>
      </x:c>
      <x:c r="I1882" s="9" t="n">
        <x:f>'Physical_Arcs'!R22</x:f>
        <x:v>9.333333333333334</x:v>
      </x:c>
      <x:c r="J1882" s="9" t="n">
        <x:f>I1882*'Parameters'!$C$18</x:f>
        <x:v>1.866666666666667</x:v>
      </x:c>
      <x:c r="K1882" s="9" t="n">
        <x:f>J1882*'Parameters'!$C$19</x:f>
        <x:v>2.3333333333333335</x:v>
      </x:c>
      <x:c r="L1882" s="9" t="n">
        <x:f>I1882*(1-0.40)-J1882</x:f>
        <x:v>3.7333333333333334</x:v>
      </x:c>
      <x:c r="M1882" s="9" t="n">
        <x:f>'Physical_Arcs'!S22</x:f>
        <x:v>9.333333333333334</x:v>
      </x:c>
      <x:c r="N1882" s="9" t="n">
        <x:f>M1882*'Parameters'!$C$18</x:f>
        <x:v>1.866666666666667</x:v>
      </x:c>
      <x:c r="O1882" s="9" t="n">
        <x:f>N1882*'Parameters'!$C$19</x:f>
        <x:v>2.3333333333333335</x:v>
      </x:c>
      <x:c r="P1882" s="9" t="n">
        <x:f>M1882*(1-0.40)-N1882</x:f>
        <x:v>3.7333333333333334</x:v>
      </x:c>
      <x:c r="Q1882" s="9" t="n">
        <x:f>'Physical_Arcs'!T22</x:f>
        <x:v>4.666666666666667</x:v>
      </x:c>
      <x:c r="R1882" s="9" t="n">
        <x:f>Q1882*'Parameters'!$C$18</x:f>
        <x:v>0.9333333333333335</x:v>
      </x:c>
      <x:c r="S1882" s="9" t="n">
        <x:f>R1882*'Parameters'!$C$19</x:f>
        <x:v>1.1666666666666667</x:v>
      </x:c>
      <x:c r="T1882" s="9" t="n">
        <x:f>Q1882*(1-0.40)-R1882</x:f>
        <x:v>1.8666666666666667</x:v>
      </x:c>
    </x:row>
    <x:row r="1883" ht="21" customHeight="1">
      <x:c r="A1883" s="3" t="n">
        <x:v>31</x:v>
      </x:c>
      <x:c r="B1883" s="3" t="str">
        <x:v>05:10</x:v>
      </x:c>
      <x:c r="C1883" s="3" t="n">
        <x:v>6</x:v>
      </x:c>
      <x:c r="D1883" s="3" t="n">
        <x:v>22</x:v>
      </x:c>
      <x:c r="E1883" s="3" t="n">
        <x:v>4</x:v>
      </x:c>
      <x:c r="F1883" s="3" t="n">
        <x:v>5</x:v>
      </x:c>
      <x:c r="G1883" s="9" t="n">
        <x:v>0.15</x:v>
      </x:c>
      <x:c r="H1883" s="9" t="n">
        <x:v>0.958485</x:v>
      </x:c>
      <x:c r="I1883" s="9" t="n">
        <x:f>'Physical_Arcs'!R23</x:f>
        <x:v>17.02777777777778</x:v>
      </x:c>
      <x:c r="J1883" s="9" t="n">
        <x:f>I1883*'Parameters'!$C$18</x:f>
        <x:v>3.405555555555556</x:v>
      </x:c>
      <x:c r="K1883" s="9" t="n">
        <x:f>J1883*'Parameters'!$C$19</x:f>
        <x:v>4.256944444444445</x:v>
      </x:c>
      <x:c r="L1883" s="9" t="n">
        <x:f>I1883*(1-0.40)-J1883</x:f>
        <x:v>6.811111111111111</x:v>
      </x:c>
      <x:c r="M1883" s="9" t="n">
        <x:f>'Physical_Arcs'!S23</x:f>
        <x:v>17.02777777777778</x:v>
      </x:c>
      <x:c r="N1883" s="9" t="n">
        <x:f>M1883*'Parameters'!$C$18</x:f>
        <x:v>3.405555555555556</x:v>
      </x:c>
      <x:c r="O1883" s="9" t="n">
        <x:f>N1883*'Parameters'!$C$19</x:f>
        <x:v>4.256944444444445</x:v>
      </x:c>
      <x:c r="P1883" s="9" t="n">
        <x:f>M1883*(1-0.40)-N1883</x:f>
        <x:v>6.811111111111111</x:v>
      </x:c>
      <x:c r="Q1883" s="9" t="n">
        <x:f>'Physical_Arcs'!T23</x:f>
        <x:v>17.02777777777778</x:v>
      </x:c>
      <x:c r="R1883" s="9" t="n">
        <x:f>Q1883*'Parameters'!$C$18</x:f>
        <x:v>3.405555555555556</x:v>
      </x:c>
      <x:c r="S1883" s="9" t="n">
        <x:f>R1883*'Parameters'!$C$19</x:f>
        <x:v>4.256944444444445</x:v>
      </x:c>
      <x:c r="T1883" s="9" t="n">
        <x:f>Q1883*(1-0.40)-R1883</x:f>
        <x:v>6.811111111111111</x:v>
      </x:c>
    </x:row>
    <x:row r="1884" ht="21" customHeight="1">
      <x:c r="A1884" s="3" t="n">
        <x:v>31</x:v>
      </x:c>
      <x:c r="B1884" s="3" t="str">
        <x:v>05:10</x:v>
      </x:c>
      <x:c r="C1884" s="3" t="n">
        <x:v>6</x:v>
      </x:c>
      <x:c r="D1884" s="3" t="n">
        <x:v>23</x:v>
      </x:c>
      <x:c r="E1884" s="3" t="n">
        <x:v>4</x:v>
      </x:c>
      <x:c r="F1884" s="3" t="n">
        <x:v>3</x:v>
      </x:c>
      <x:c r="G1884" s="9" t="n">
        <x:v>0.15</x:v>
      </x:c>
      <x:c r="H1884" s="9" t="n">
        <x:v>0.944916</x:v>
      </x:c>
      <x:c r="I1884" s="9" t="n">
        <x:f>'Physical_Arcs'!R24</x:f>
        <x:v>9.333333333333334</x:v>
      </x:c>
      <x:c r="J1884" s="9" t="n">
        <x:f>I1884*'Parameters'!$C$18</x:f>
        <x:v>1.866666666666667</x:v>
      </x:c>
      <x:c r="K1884" s="9" t="n">
        <x:f>J1884*'Parameters'!$C$19</x:f>
        <x:v>2.3333333333333335</x:v>
      </x:c>
      <x:c r="L1884" s="9" t="n">
        <x:f>I1884*(1-0.40)-J1884</x:f>
        <x:v>3.7333333333333334</x:v>
      </x:c>
      <x:c r="M1884" s="9" t="n">
        <x:f>'Physical_Arcs'!S24</x:f>
        <x:v>9.333333333333334</x:v>
      </x:c>
      <x:c r="N1884" s="9" t="n">
        <x:f>M1884*'Parameters'!$C$18</x:f>
        <x:v>1.866666666666667</x:v>
      </x:c>
      <x:c r="O1884" s="9" t="n">
        <x:f>N1884*'Parameters'!$C$19</x:f>
        <x:v>2.3333333333333335</x:v>
      </x:c>
      <x:c r="P1884" s="9" t="n">
        <x:f>M1884*(1-0.40)-N1884</x:f>
        <x:v>3.7333333333333334</x:v>
      </x:c>
      <x:c r="Q1884" s="9" t="n">
        <x:f>'Physical_Arcs'!T24</x:f>
        <x:v>4.666666666666667</x:v>
      </x:c>
      <x:c r="R1884" s="9" t="n">
        <x:f>Q1884*'Parameters'!$C$18</x:f>
        <x:v>0.9333333333333335</x:v>
      </x:c>
      <x:c r="S1884" s="9" t="n">
        <x:f>R1884*'Parameters'!$C$19</x:f>
        <x:v>1.1666666666666667</x:v>
      </x:c>
      <x:c r="T1884" s="9" t="n">
        <x:f>Q1884*(1-0.40)-R1884</x:f>
        <x:v>1.8666666666666667</x:v>
      </x:c>
    </x:row>
    <x:row r="1885" ht="21" customHeight="1">
      <x:c r="A1885" s="3" t="n">
        <x:v>31</x:v>
      </x:c>
      <x:c r="B1885" s="3" t="str">
        <x:v>05:10</x:v>
      </x:c>
      <x:c r="C1885" s="3" t="n">
        <x:v>6</x:v>
      </x:c>
      <x:c r="D1885" s="3" t="n">
        <x:v>24</x:v>
      </x:c>
      <x:c r="E1885" s="3" t="n">
        <x:v>4</x:v>
      </x:c>
      <x:c r="F1885" s="3" t="n">
        <x:v>10</x:v>
      </x:c>
      <x:c r="G1885" s="9" t="n">
        <x:v>0.15</x:v>
      </x:c>
      <x:c r="H1885" s="9" t="n">
        <x:v>0.875461</x:v>
      </x:c>
      <x:c r="I1885" s="9" t="n">
        <x:f>'Physical_Arcs'!R25</x:f>
        <x:v>7.194444444444445</x:v>
      </x:c>
      <x:c r="J1885" s="9" t="n">
        <x:f>I1885*'Parameters'!$C$18</x:f>
        <x:v>1.438888888888889</x:v>
      </x:c>
      <x:c r="K1885" s="9" t="n">
        <x:f>J1885*'Parameters'!$C$19</x:f>
        <x:v>1.7986111111111114</x:v>
      </x:c>
      <x:c r="L1885" s="9" t="n">
        <x:f>I1885*(1-0.40)-J1885</x:f>
        <x:v>2.8777777777777773</x:v>
      </x:c>
      <x:c r="M1885" s="9" t="n">
        <x:f>'Physical_Arcs'!S25</x:f>
        <x:v>7.194444444444445</x:v>
      </x:c>
      <x:c r="N1885" s="9" t="n">
        <x:f>M1885*'Parameters'!$C$18</x:f>
        <x:v>1.438888888888889</x:v>
      </x:c>
      <x:c r="O1885" s="9" t="n">
        <x:f>N1885*'Parameters'!$C$19</x:f>
        <x:v>1.7986111111111114</x:v>
      </x:c>
      <x:c r="P1885" s="9" t="n">
        <x:f>M1885*(1-0.40)-N1885</x:f>
        <x:v>2.8777777777777773</x:v>
      </x:c>
      <x:c r="Q1885" s="9" t="n">
        <x:f>'Physical_Arcs'!T25</x:f>
        <x:v>3.611111111111111</x:v>
      </x:c>
      <x:c r="R1885" s="9" t="n">
        <x:f>Q1885*'Parameters'!$C$18</x:f>
        <x:v>0.7222222222222223</x:v>
      </x:c>
      <x:c r="S1885" s="9" t="n">
        <x:f>R1885*'Parameters'!$C$19</x:f>
        <x:v>0.9027777777777779</x:v>
      </x:c>
      <x:c r="T1885" s="9" t="n">
        <x:f>Q1885*(1-0.40)-R1885</x:f>
        <x:v>1.4444444444444442</x:v>
      </x:c>
    </x:row>
    <x:row r="1886" ht="21" customHeight="1">
      <x:c r="A1886" s="3" t="n">
        <x:v>31</x:v>
      </x:c>
      <x:c r="B1886" s="3" t="str">
        <x:v>05:10</x:v>
      </x:c>
      <x:c r="C1886" s="3" t="n">
        <x:v>6</x:v>
      </x:c>
      <x:c r="D1886" s="3" t="n">
        <x:v>25</x:v>
      </x:c>
      <x:c r="E1886" s="3" t="n">
        <x:v>4</x:v>
      </x:c>
      <x:c r="F1886" s="3" t="n">
        <x:v>8</x:v>
      </x:c>
      <x:c r="G1886" s="9" t="n">
        <x:v>0.15</x:v>
      </x:c>
      <x:c r="H1886" s="9" t="n">
        <x:v>0.993326</x:v>
      </x:c>
      <x:c r="I1886" s="9" t="n">
        <x:f>'Physical_Arcs'!R26</x:f>
        <x:v>5.277777777777778</x:v>
      </x:c>
      <x:c r="J1886" s="9" t="n">
        <x:f>I1886*'Parameters'!$C$18</x:f>
        <x:v>1.0555555555555556</x:v>
      </x:c>
      <x:c r="K1886" s="9" t="n">
        <x:f>J1886*'Parameters'!$C$19</x:f>
        <x:v>1.3194444444444444</x:v>
      </x:c>
      <x:c r="L1886" s="9" t="n">
        <x:f>I1886*(1-0.40)-J1886</x:f>
        <x:v>2.1111111111111107</x:v>
      </x:c>
      <x:c r="M1886" s="9" t="n">
        <x:f>'Physical_Arcs'!S26</x:f>
        <x:v>5.277777777777778</x:v>
      </x:c>
      <x:c r="N1886" s="9" t="n">
        <x:f>M1886*'Parameters'!$C$18</x:f>
        <x:v>1.0555555555555556</x:v>
      </x:c>
      <x:c r="O1886" s="9" t="n">
        <x:f>N1886*'Parameters'!$C$19</x:f>
        <x:v>1.3194444444444444</x:v>
      </x:c>
      <x:c r="P1886" s="9" t="n">
        <x:f>M1886*(1-0.40)-N1886</x:f>
        <x:v>2.1111111111111107</x:v>
      </x:c>
      <x:c r="Q1886" s="9" t="n">
        <x:f>'Physical_Arcs'!T26</x:f>
        <x:v>2.638888888888889</x:v>
      </x:c>
      <x:c r="R1886" s="9" t="n">
        <x:f>Q1886*'Parameters'!$C$18</x:f>
        <x:v>0.5277777777777778</x:v>
      </x:c>
      <x:c r="S1886" s="9" t="n">
        <x:f>R1886*'Parameters'!$C$19</x:f>
        <x:v>0.6597222222222222</x:v>
      </x:c>
      <x:c r="T1886" s="9" t="n">
        <x:f>Q1886*(1-0.40)-R1886</x:f>
        <x:v>1.0555555555555554</x:v>
      </x:c>
    </x:row>
    <x:row r="1887" ht="21" customHeight="1">
      <x:c r="A1887" s="3" t="n">
        <x:v>31</x:v>
      </x:c>
      <x:c r="B1887" s="3" t="str">
        <x:v>05:10</x:v>
      </x:c>
      <x:c r="C1887" s="3" t="n">
        <x:v>6</x:v>
      </x:c>
      <x:c r="D1887" s="3" t="n">
        <x:v>26</x:v>
      </x:c>
      <x:c r="E1887" s="3" t="n">
        <x:v>4</x:v>
      </x:c>
      <x:c r="F1887" s="3" t="n">
        <x:v>7</x:v>
      </x:c>
      <x:c r="G1887" s="9" t="n">
        <x:v>0.15</x:v>
      </x:c>
      <x:c r="H1887" s="9" t="n">
        <x:v>1.099203</x:v>
      </x:c>
      <x:c r="I1887" s="9" t="n">
        <x:f>'Physical_Arcs'!R27</x:f>
        <x:v>6.527777777777778</x:v>
      </x:c>
      <x:c r="J1887" s="9" t="n">
        <x:f>I1887*'Parameters'!$C$18</x:f>
        <x:v>1.3055555555555556</x:v>
      </x:c>
      <x:c r="K1887" s="9" t="n">
        <x:f>J1887*'Parameters'!$C$19</x:f>
        <x:v>1.6319444444444444</x:v>
      </x:c>
      <x:c r="L1887" s="9" t="n">
        <x:f>I1887*(1-0.40)-J1887</x:f>
        <x:v>2.6111111111111107</x:v>
      </x:c>
      <x:c r="M1887" s="9" t="n">
        <x:f>'Physical_Arcs'!S27</x:f>
        <x:v>6.527777777777778</x:v>
      </x:c>
      <x:c r="N1887" s="9" t="n">
        <x:f>M1887*'Parameters'!$C$18</x:f>
        <x:v>1.3055555555555556</x:v>
      </x:c>
      <x:c r="O1887" s="9" t="n">
        <x:f>N1887*'Parameters'!$C$19</x:f>
        <x:v>1.6319444444444444</x:v>
      </x:c>
      <x:c r="P1887" s="9" t="n">
        <x:f>M1887*(1-0.40)-N1887</x:f>
        <x:v>2.6111111111111107</x:v>
      </x:c>
      <x:c r="Q1887" s="9" t="n">
        <x:f>'Physical_Arcs'!T27</x:f>
        <x:v>3.2777777777777777</x:v>
      </x:c>
      <x:c r="R1887" s="9" t="n">
        <x:f>Q1887*'Parameters'!$C$18</x:f>
        <x:v>0.6555555555555556</x:v>
      </x:c>
      <x:c r="S1887" s="9" t="n">
        <x:f>R1887*'Parameters'!$C$19</x:f>
        <x:v>0.8194444444444444</x:v>
      </x:c>
      <x:c r="T1887" s="9" t="n">
        <x:f>Q1887*(1-0.40)-R1887</x:f>
        <x:v>1.311111111111111</x:v>
      </x:c>
    </x:row>
    <x:row r="1888" ht="21" customHeight="1">
      <x:c r="A1888" s="3" t="n">
        <x:v>31</x:v>
      </x:c>
      <x:c r="B1888" s="3" t="str">
        <x:v>05:10</x:v>
      </x:c>
      <x:c r="C1888" s="3" t="n">
        <x:v>6</x:v>
      </x:c>
      <x:c r="D1888" s="3" t="n">
        <x:v>27</x:v>
      </x:c>
      <x:c r="E1888" s="3" t="n">
        <x:v>4</x:v>
      </x:c>
      <x:c r="F1888" s="3" t="n">
        <x:v>2</x:v>
      </x:c>
      <x:c r="G1888" s="9" t="n">
        <x:v>0.15</x:v>
      </x:c>
      <x:c r="H1888" s="9" t="n">
        <x:v>0.861111</x:v>
      </x:c>
      <x:c r="I1888" s="9" t="n">
        <x:f>'Physical_Arcs'!R28</x:f>
        <x:v>4.944444444444445</x:v>
      </x:c>
      <x:c r="J1888" s="9" t="n">
        <x:f>I1888*'Parameters'!$C$18</x:f>
        <x:v>0.9888888888888889</x:v>
      </x:c>
      <x:c r="K1888" s="9" t="n">
        <x:f>J1888*'Parameters'!$C$19</x:f>
        <x:v>1.2361111111111112</x:v>
      </x:c>
      <x:c r="L1888" s="9" t="n">
        <x:f>I1888*(1-0.40)-J1888</x:f>
        <x:v>1.9777777777777779</x:v>
      </x:c>
      <x:c r="M1888" s="9" t="n">
        <x:f>'Physical_Arcs'!S28</x:f>
        <x:v>4.944444444444445</x:v>
      </x:c>
      <x:c r="N1888" s="9" t="n">
        <x:f>M1888*'Parameters'!$C$18</x:f>
        <x:v>0.9888888888888889</x:v>
      </x:c>
      <x:c r="O1888" s="9" t="n">
        <x:f>N1888*'Parameters'!$C$19</x:f>
        <x:v>1.2361111111111112</x:v>
      </x:c>
      <x:c r="P1888" s="9" t="n">
        <x:f>M1888*(1-0.40)-N1888</x:f>
        <x:v>1.9777777777777779</x:v>
      </x:c>
      <x:c r="Q1888" s="9" t="n">
        <x:f>'Physical_Arcs'!T28</x:f>
        <x:v>2.4722222222222223</x:v>
      </x:c>
      <x:c r="R1888" s="9" t="n">
        <x:f>Q1888*'Parameters'!$C$18</x:f>
        <x:v>0.49444444444444446</x:v>
      </x:c>
      <x:c r="S1888" s="9" t="n">
        <x:f>R1888*'Parameters'!$C$19</x:f>
        <x:v>0.6180555555555556</x:v>
      </x:c>
      <x:c r="T1888" s="9" t="n">
        <x:f>Q1888*(1-0.40)-R1888</x:f>
        <x:v>0.9888888888888889</x:v>
      </x:c>
    </x:row>
    <x:row r="1889" ht="21" customHeight="1">
      <x:c r="A1889" s="3" t="n">
        <x:v>31</x:v>
      </x:c>
      <x:c r="B1889" s="3" t="str">
        <x:v>05:10</x:v>
      </x:c>
      <x:c r="C1889" s="3" t="n">
        <x:v>6</x:v>
      </x:c>
      <x:c r="D1889" s="3" t="n">
        <x:v>28</x:v>
      </x:c>
      <x:c r="E1889" s="3" t="n">
        <x:v>4</x:v>
      </x:c>
      <x:c r="F1889" s="3" t="n">
        <x:v>6</x:v>
      </x:c>
      <x:c r="G1889" s="9" t="n">
        <x:v>0.15</x:v>
      </x:c>
      <x:c r="H1889" s="9" t="n">
        <x:v>1.137214</x:v>
      </x:c>
      <x:c r="I1889" s="9" t="n">
        <x:f>'Physical_Arcs'!R29</x:f>
        <x:v>3.388888888888889</x:v>
      </x:c>
      <x:c r="J1889" s="9" t="n">
        <x:f>I1889*'Parameters'!$C$18</x:f>
        <x:v>0.6777777777777778</x:v>
      </x:c>
      <x:c r="K1889" s="9" t="n">
        <x:f>J1889*'Parameters'!$C$19</x:f>
        <x:v>0.8472222222222223</x:v>
      </x:c>
      <x:c r="L1889" s="9" t="n">
        <x:f>I1889*(1-0.40)-J1889</x:f>
        <x:v>1.3555555555555554</x:v>
      </x:c>
      <x:c r="M1889" s="9" t="n">
        <x:f>'Physical_Arcs'!S29</x:f>
        <x:v>3.388888888888889</x:v>
      </x:c>
      <x:c r="N1889" s="9" t="n">
        <x:f>M1889*'Parameters'!$C$18</x:f>
        <x:v>0.6777777777777778</x:v>
      </x:c>
      <x:c r="O1889" s="9" t="n">
        <x:f>N1889*'Parameters'!$C$19</x:f>
        <x:v>0.8472222222222223</x:v>
      </x:c>
      <x:c r="P1889" s="9" t="n">
        <x:f>M1889*(1-0.40)-N1889</x:f>
        <x:v>1.3555555555555554</x:v>
      </x:c>
      <x:c r="Q1889" s="9" t="n">
        <x:f>'Physical_Arcs'!T29</x:f>
        <x:v>1.6944444444444444</x:v>
      </x:c>
      <x:c r="R1889" s="9" t="n">
        <x:f>Q1889*'Parameters'!$C$18</x:f>
        <x:v>0.3388888888888889</x:v>
      </x:c>
      <x:c r="S1889" s="9" t="n">
        <x:f>R1889*'Parameters'!$C$19</x:f>
        <x:v>0.42361111111111116</x:v>
      </x:c>
      <x:c r="T1889" s="9" t="n">
        <x:f>Q1889*(1-0.40)-R1889</x:f>
        <x:v>0.6777777777777777</x:v>
      </x:c>
    </x:row>
    <x:row r="1890" ht="21" customHeight="1">
      <x:c r="A1890" s="3" t="n">
        <x:v>31</x:v>
      </x:c>
      <x:c r="B1890" s="3" t="str">
        <x:v>05:10</x:v>
      </x:c>
      <x:c r="C1890" s="3" t="n">
        <x:v>6</x:v>
      </x:c>
      <x:c r="D1890" s="3" t="n">
        <x:v>29</x:v>
      </x:c>
      <x:c r="E1890" s="3" t="n">
        <x:v>5</x:v>
      </x:c>
      <x:c r="F1890" s="3" t="n">
        <x:v>6</x:v>
      </x:c>
      <x:c r="G1890" s="9" t="n">
        <x:v>0.15</x:v>
      </x:c>
      <x:c r="H1890" s="9" t="n">
        <x:v>0.949994</x:v>
      </x:c>
      <x:c r="I1890" s="9" t="n">
        <x:f>'Physical_Arcs'!R30</x:f>
        <x:v>17.02777777777778</x:v>
      </x:c>
      <x:c r="J1890" s="9" t="n">
        <x:f>I1890*'Parameters'!$C$18</x:f>
        <x:v>3.405555555555556</x:v>
      </x:c>
      <x:c r="K1890" s="9" t="n">
        <x:f>J1890*'Parameters'!$C$19</x:f>
        <x:v>4.256944444444445</x:v>
      </x:c>
      <x:c r="L1890" s="9" t="n">
        <x:f>I1890*(1-0.40)-J1890</x:f>
        <x:v>6.811111111111111</x:v>
      </x:c>
      <x:c r="M1890" s="9" t="n">
        <x:f>'Physical_Arcs'!S30</x:f>
        <x:v>17.02777777777778</x:v>
      </x:c>
      <x:c r="N1890" s="9" t="n">
        <x:f>M1890*'Parameters'!$C$18</x:f>
        <x:v>3.405555555555556</x:v>
      </x:c>
      <x:c r="O1890" s="9" t="n">
        <x:f>N1890*'Parameters'!$C$19</x:f>
        <x:v>4.256944444444445</x:v>
      </x:c>
      <x:c r="P1890" s="9" t="n">
        <x:f>M1890*(1-0.40)-N1890</x:f>
        <x:v>6.811111111111111</x:v>
      </x:c>
      <x:c r="Q1890" s="9" t="n">
        <x:f>'Physical_Arcs'!T30</x:f>
        <x:v>17.02777777777778</x:v>
      </x:c>
      <x:c r="R1890" s="9" t="n">
        <x:f>Q1890*'Parameters'!$C$18</x:f>
        <x:v>3.405555555555556</x:v>
      </x:c>
      <x:c r="S1890" s="9" t="n">
        <x:f>R1890*'Parameters'!$C$19</x:f>
        <x:v>4.256944444444445</x:v>
      </x:c>
      <x:c r="T1890" s="9" t="n">
        <x:f>Q1890*(1-0.40)-R1890</x:f>
        <x:v>6.811111111111111</x:v>
      </x:c>
    </x:row>
    <x:row r="1891" ht="21" customHeight="1">
      <x:c r="A1891" s="3" t="n">
        <x:v>31</x:v>
      </x:c>
      <x:c r="B1891" s="3" t="str">
        <x:v>05:10</x:v>
      </x:c>
      <x:c r="C1891" s="3" t="n">
        <x:v>6</x:v>
      </x:c>
      <x:c r="D1891" s="3" t="n">
        <x:v>30</x:v>
      </x:c>
      <x:c r="E1891" s="3" t="n">
        <x:v>5</x:v>
      </x:c>
      <x:c r="F1891" s="3" t="n">
        <x:v>2</x:v>
      </x:c>
      <x:c r="G1891" s="9" t="n">
        <x:v>0.15</x:v>
      </x:c>
      <x:c r="H1891" s="9" t="n">
        <x:v>0.882396</x:v>
      </x:c>
      <x:c r="I1891" s="9" t="n">
        <x:f>'Physical_Arcs'!R31</x:f>
        <x:v>2.9444444444444446</x:v>
      </x:c>
      <x:c r="J1891" s="9" t="n">
        <x:f>I1891*'Parameters'!$C$18</x:f>
        <x:v>0.5888888888888889</x:v>
      </x:c>
      <x:c r="K1891" s="9" t="n">
        <x:f>J1891*'Parameters'!$C$19</x:f>
        <x:v>0.7361111111111112</x:v>
      </x:c>
      <x:c r="L1891" s="9" t="n">
        <x:f>I1891*(1-0.40)-J1891</x:f>
        <x:v>1.177777777777778</x:v>
      </x:c>
      <x:c r="M1891" s="9" t="n">
        <x:f>'Physical_Arcs'!S31</x:f>
        <x:v>2.9444444444444446</x:v>
      </x:c>
      <x:c r="N1891" s="9" t="n">
        <x:f>M1891*'Parameters'!$C$18</x:f>
        <x:v>0.5888888888888889</x:v>
      </x:c>
      <x:c r="O1891" s="9" t="n">
        <x:f>N1891*'Parameters'!$C$19</x:f>
        <x:v>0.7361111111111112</x:v>
      </x:c>
      <x:c r="P1891" s="9" t="n">
        <x:f>M1891*(1-0.40)-N1891</x:f>
        <x:v>1.177777777777778</x:v>
      </x:c>
      <x:c r="Q1891" s="9" t="n">
        <x:f>'Physical_Arcs'!T31</x:f>
        <x:v>1.4722222222222223</x:v>
      </x:c>
      <x:c r="R1891" s="9" t="n">
        <x:f>Q1891*'Parameters'!$C$18</x:f>
        <x:v>0.29444444444444445</x:v>
      </x:c>
      <x:c r="S1891" s="9" t="n">
        <x:f>R1891*'Parameters'!$C$19</x:f>
        <x:v>0.3680555555555556</x:v>
      </x:c>
      <x:c r="T1891" s="9" t="n">
        <x:f>Q1891*(1-0.40)-R1891</x:f>
        <x:v>0.588888888888889</x:v>
      </x:c>
    </x:row>
    <x:row r="1892" ht="21" customHeight="1">
      <x:c r="A1892" s="3" t="n">
        <x:v>31</x:v>
      </x:c>
      <x:c r="B1892" s="3" t="str">
        <x:v>05:10</x:v>
      </x:c>
      <x:c r="C1892" s="3" t="n">
        <x:v>6</x:v>
      </x:c>
      <x:c r="D1892" s="3" t="n">
        <x:v>31</x:v>
      </x:c>
      <x:c r="E1892" s="3" t="n">
        <x:v>5</x:v>
      </x:c>
      <x:c r="F1892" s="3" t="n">
        <x:v>8</x:v>
      </x:c>
      <x:c r="G1892" s="9" t="n">
        <x:v>0.15</x:v>
      </x:c>
      <x:c r="H1892" s="9" t="n">
        <x:v>0.986718</x:v>
      </x:c>
      <x:c r="I1892" s="9" t="n">
        <x:f>'Physical_Arcs'!R32</x:f>
        <x:v>9.333333333333334</x:v>
      </x:c>
      <x:c r="J1892" s="9" t="n">
        <x:f>I1892*'Parameters'!$C$18</x:f>
        <x:v>1.866666666666667</x:v>
      </x:c>
      <x:c r="K1892" s="9" t="n">
        <x:f>J1892*'Parameters'!$C$19</x:f>
        <x:v>2.3333333333333335</x:v>
      </x:c>
      <x:c r="L1892" s="9" t="n">
        <x:f>I1892*(1-0.40)-J1892</x:f>
        <x:v>3.7333333333333334</x:v>
      </x:c>
      <x:c r="M1892" s="9" t="n">
        <x:f>'Physical_Arcs'!S32</x:f>
        <x:v>9.333333333333334</x:v>
      </x:c>
      <x:c r="N1892" s="9" t="n">
        <x:f>M1892*'Parameters'!$C$18</x:f>
        <x:v>1.866666666666667</x:v>
      </x:c>
      <x:c r="O1892" s="9" t="n">
        <x:f>N1892*'Parameters'!$C$19</x:f>
        <x:v>2.3333333333333335</x:v>
      </x:c>
      <x:c r="P1892" s="9" t="n">
        <x:f>M1892*(1-0.40)-N1892</x:f>
        <x:v>3.7333333333333334</x:v>
      </x:c>
      <x:c r="Q1892" s="9" t="n">
        <x:f>'Physical_Arcs'!T32</x:f>
        <x:v>4.666666666666667</x:v>
      </x:c>
      <x:c r="R1892" s="9" t="n">
        <x:f>Q1892*'Parameters'!$C$18</x:f>
        <x:v>0.9333333333333335</x:v>
      </x:c>
      <x:c r="S1892" s="9" t="n">
        <x:f>R1892*'Parameters'!$C$19</x:f>
        <x:v>1.1666666666666667</x:v>
      </x:c>
      <x:c r="T1892" s="9" t="n">
        <x:f>Q1892*(1-0.40)-R1892</x:f>
        <x:v>1.8666666666666667</x:v>
      </x:c>
    </x:row>
    <x:row r="1893" ht="21" customHeight="1">
      <x:c r="A1893" s="3" t="n">
        <x:v>31</x:v>
      </x:c>
      <x:c r="B1893" s="3" t="str">
        <x:v>05:10</x:v>
      </x:c>
      <x:c r="C1893" s="3" t="n">
        <x:v>6</x:v>
      </x:c>
      <x:c r="D1893" s="3" t="n">
        <x:v>32</x:v>
      </x:c>
      <x:c r="E1893" s="3" t="n">
        <x:v>5</x:v>
      </x:c>
      <x:c r="F1893" s="3" t="n">
        <x:v>3</x:v>
      </x:c>
      <x:c r="G1893" s="9" t="n">
        <x:v>0.15</x:v>
      </x:c>
      <x:c r="H1893" s="9" t="n">
        <x:v>1.089544</x:v>
      </x:c>
      <x:c r="I1893" s="9" t="n">
        <x:f>'Physical_Arcs'!R33</x:f>
        <x:v>11.13888888888889</x:v>
      </x:c>
      <x:c r="J1893" s="9" t="n">
        <x:f>I1893*'Parameters'!$C$18</x:f>
        <x:v>2.227777777777778</x:v>
      </x:c>
      <x:c r="K1893" s="9" t="n">
        <x:f>J1893*'Parameters'!$C$19</x:f>
        <x:v>2.7847222222222223</x:v>
      </x:c>
      <x:c r="L1893" s="9" t="n">
        <x:f>I1893*(1-0.40)-J1893</x:f>
        <x:v>4.455555555555556</x:v>
      </x:c>
      <x:c r="M1893" s="9" t="n">
        <x:f>'Physical_Arcs'!S33</x:f>
        <x:v>11.13888888888889</x:v>
      </x:c>
      <x:c r="N1893" s="9" t="n">
        <x:f>M1893*'Parameters'!$C$18</x:f>
        <x:v>2.227777777777778</x:v>
      </x:c>
      <x:c r="O1893" s="9" t="n">
        <x:f>N1893*'Parameters'!$C$19</x:f>
        <x:v>2.7847222222222223</x:v>
      </x:c>
      <x:c r="P1893" s="9" t="n">
        <x:f>M1893*(1-0.40)-N1893</x:f>
        <x:v>4.455555555555556</x:v>
      </x:c>
      <x:c r="Q1893" s="9" t="n">
        <x:f>'Physical_Arcs'!T33</x:f>
        <x:v>5.583333333333333</x:v>
      </x:c>
      <x:c r="R1893" s="9" t="n">
        <x:f>Q1893*'Parameters'!$C$18</x:f>
        <x:v>1.1166666666666667</x:v>
      </x:c>
      <x:c r="S1893" s="9" t="n">
        <x:f>R1893*'Parameters'!$C$19</x:f>
        <x:v>1.3958333333333335</x:v>
      </x:c>
      <x:c r="T1893" s="9" t="n">
        <x:f>Q1893*(1-0.40)-R1893</x:f>
        <x:v>2.233333333333333</x:v>
      </x:c>
    </x:row>
    <x:row r="1894" ht="21" customHeight="1">
      <x:c r="A1894" s="3" t="n">
        <x:v>31</x:v>
      </x:c>
      <x:c r="B1894" s="3" t="str">
        <x:v>05:10</x:v>
      </x:c>
      <x:c r="C1894" s="3" t="n">
        <x:v>6</x:v>
      </x:c>
      <x:c r="D1894" s="3" t="n">
        <x:v>33</x:v>
      </x:c>
      <x:c r="E1894" s="3" t="n">
        <x:v>5</x:v>
      </x:c>
      <x:c r="F1894" s="3" t="n">
        <x:v>10</x:v>
      </x:c>
      <x:c r="G1894" s="9" t="n">
        <x:v>0.15</x:v>
      </x:c>
      <x:c r="H1894" s="9" t="n">
        <x:v>1.103596</x:v>
      </x:c>
      <x:c r="I1894" s="9" t="n">
        <x:f>'Physical_Arcs'!R34</x:f>
        <x:v>4.611111111111111</x:v>
      </x:c>
      <x:c r="J1894" s="9" t="n">
        <x:f>I1894*'Parameters'!$C$18</x:f>
        <x:v>0.9222222222222222</x:v>
      </x:c>
      <x:c r="K1894" s="9" t="n">
        <x:f>J1894*'Parameters'!$C$19</x:f>
        <x:v>1.1527777777777777</x:v>
      </x:c>
      <x:c r="L1894" s="9" t="n">
        <x:f>I1894*(1-0.40)-J1894</x:f>
        <x:v>1.844444444444444</x:v>
      </x:c>
      <x:c r="M1894" s="9" t="n">
        <x:f>'Physical_Arcs'!S34</x:f>
        <x:v>4.611111111111111</x:v>
      </x:c>
      <x:c r="N1894" s="9" t="n">
        <x:f>M1894*'Parameters'!$C$18</x:f>
        <x:v>0.9222222222222222</x:v>
      </x:c>
      <x:c r="O1894" s="9" t="n">
        <x:f>N1894*'Parameters'!$C$19</x:f>
        <x:v>1.1527777777777777</x:v>
      </x:c>
      <x:c r="P1894" s="9" t="n">
        <x:f>M1894*(1-0.40)-N1894</x:f>
        <x:v>1.844444444444444</x:v>
      </x:c>
      <x:c r="Q1894" s="9" t="n">
        <x:f>'Physical_Arcs'!T34</x:f>
        <x:v>2.3055555555555554</x:v>
      </x:c>
      <x:c r="R1894" s="9" t="n">
        <x:f>Q1894*'Parameters'!$C$18</x:f>
        <x:v>0.4611111111111111</x:v>
      </x:c>
      <x:c r="S1894" s="9" t="n">
        <x:f>R1894*'Parameters'!$C$19</x:f>
        <x:v>0.5763888888888888</x:v>
      </x:c>
      <x:c r="T1894" s="9" t="n">
        <x:f>Q1894*(1-0.40)-R1894</x:f>
        <x:v>0.922222222222222</x:v>
      </x:c>
    </x:row>
    <x:row r="1895" ht="21" customHeight="1">
      <x:c r="A1895" s="3" t="n">
        <x:v>31</x:v>
      </x:c>
      <x:c r="B1895" s="3" t="str">
        <x:v>05:10</x:v>
      </x:c>
      <x:c r="C1895" s="3" t="n">
        <x:v>6</x:v>
      </x:c>
      <x:c r="D1895" s="3" t="n">
        <x:v>34</x:v>
      </x:c>
      <x:c r="E1895" s="3" t="n">
        <x:v>6</x:v>
      </x:c>
      <x:c r="F1895" s="3" t="n">
        <x:v>7</x:v>
      </x:c>
      <x:c r="G1895" s="9" t="n">
        <x:v>0.15</x:v>
      </x:c>
      <x:c r="H1895" s="9" t="n">
        <x:v>0.973887</x:v>
      </x:c>
      <x:c r="I1895" s="9" t="n">
        <x:f>'Physical_Arcs'!R35</x:f>
        <x:v>17.02777777777778</x:v>
      </x:c>
      <x:c r="J1895" s="9" t="n">
        <x:f>I1895*'Parameters'!$C$18</x:f>
        <x:v>3.405555555555556</x:v>
      </x:c>
      <x:c r="K1895" s="9" t="n">
        <x:f>J1895*'Parameters'!$C$19</x:f>
        <x:v>4.256944444444445</x:v>
      </x:c>
      <x:c r="L1895" s="9" t="n">
        <x:f>I1895*(1-0.40)-J1895</x:f>
        <x:v>6.811111111111111</x:v>
      </x:c>
      <x:c r="M1895" s="9" t="n">
        <x:f>'Physical_Arcs'!S35</x:f>
        <x:v>17.02777777777778</x:v>
      </x:c>
      <x:c r="N1895" s="9" t="n">
        <x:f>M1895*'Parameters'!$C$18</x:f>
        <x:v>3.405555555555556</x:v>
      </x:c>
      <x:c r="O1895" s="9" t="n">
        <x:f>N1895*'Parameters'!$C$19</x:f>
        <x:v>4.256944444444445</x:v>
      </x:c>
      <x:c r="P1895" s="9" t="n">
        <x:f>M1895*(1-0.40)-N1895</x:f>
        <x:v>6.811111111111111</x:v>
      </x:c>
      <x:c r="Q1895" s="9" t="n">
        <x:f>'Physical_Arcs'!T35</x:f>
        <x:v>17.02777777777778</x:v>
      </x:c>
      <x:c r="R1895" s="9" t="n">
        <x:f>Q1895*'Parameters'!$C$18</x:f>
        <x:v>3.405555555555556</x:v>
      </x:c>
      <x:c r="S1895" s="9" t="n">
        <x:f>R1895*'Parameters'!$C$19</x:f>
        <x:v>4.256944444444445</x:v>
      </x:c>
      <x:c r="T1895" s="9" t="n">
        <x:f>Q1895*(1-0.40)-R1895</x:f>
        <x:v>6.811111111111111</x:v>
      </x:c>
    </x:row>
    <x:row r="1896" ht="21" customHeight="1">
      <x:c r="A1896" s="3" t="n">
        <x:v>31</x:v>
      </x:c>
      <x:c r="B1896" s="3" t="str">
        <x:v>05:10</x:v>
      </x:c>
      <x:c r="C1896" s="3" t="n">
        <x:v>6</x:v>
      </x:c>
      <x:c r="D1896" s="3" t="n">
        <x:v>35</x:v>
      </x:c>
      <x:c r="E1896" s="3" t="n">
        <x:v>6</x:v>
      </x:c>
      <x:c r="F1896" s="3" t="n">
        <x:v>10</x:v>
      </x:c>
      <x:c r="G1896" s="9" t="n">
        <x:v>0.15</x:v>
      </x:c>
      <x:c r="H1896" s="9" t="n">
        <x:v>1.009062</x:v>
      </x:c>
      <x:c r="I1896" s="9" t="n">
        <x:f>'Physical_Arcs'!R36</x:f>
        <x:v>4.055555555555555</x:v>
      </x:c>
      <x:c r="J1896" s="9" t="n">
        <x:f>I1896*'Parameters'!$C$18</x:f>
        <x:v>0.8111111111111111</x:v>
      </x:c>
      <x:c r="K1896" s="9" t="n">
        <x:f>J1896*'Parameters'!$C$19</x:f>
        <x:v>1.0138888888888888</x:v>
      </x:c>
      <x:c r="L1896" s="9" t="n">
        <x:f>I1896*(1-0.40)-J1896</x:f>
        <x:v>1.622222222222222</x:v>
      </x:c>
      <x:c r="M1896" s="9" t="n">
        <x:f>'Physical_Arcs'!S36</x:f>
        <x:v>4.055555555555555</x:v>
      </x:c>
      <x:c r="N1896" s="9" t="n">
        <x:f>M1896*'Parameters'!$C$18</x:f>
        <x:v>0.8111111111111111</x:v>
      </x:c>
      <x:c r="O1896" s="9" t="n">
        <x:f>N1896*'Parameters'!$C$19</x:f>
        <x:v>1.0138888888888888</x:v>
      </x:c>
      <x:c r="P1896" s="9" t="n">
        <x:f>M1896*(1-0.40)-N1896</x:f>
        <x:v>1.622222222222222</x:v>
      </x:c>
      <x:c r="Q1896" s="9" t="n">
        <x:f>'Physical_Arcs'!T36</x:f>
        <x:v>2.0277777777777777</x:v>
      </x:c>
      <x:c r="R1896" s="9" t="n">
        <x:f>Q1896*'Parameters'!$C$18</x:f>
        <x:v>0.40555555555555556</x:v>
      </x:c>
      <x:c r="S1896" s="9" t="n">
        <x:f>R1896*'Parameters'!$C$19</x:f>
        <x:v>0.5069444444444444</x:v>
      </x:c>
      <x:c r="T1896" s="9" t="n">
        <x:f>Q1896*(1-0.40)-R1896</x:f>
        <x:v>0.811111111111111</x:v>
      </x:c>
    </x:row>
    <x:row r="1897" ht="21" customHeight="1">
      <x:c r="A1897" s="3" t="n">
        <x:v>31</x:v>
      </x:c>
      <x:c r="B1897" s="3" t="str">
        <x:v>05:10</x:v>
      </x:c>
      <x:c r="C1897" s="3" t="n">
        <x:v>6</x:v>
      </x:c>
      <x:c r="D1897" s="3" t="n">
        <x:v>36</x:v>
      </x:c>
      <x:c r="E1897" s="3" t="n">
        <x:v>6</x:v>
      </x:c>
      <x:c r="F1897" s="3" t="n">
        <x:v>8</x:v>
      </x:c>
      <x:c r="G1897" s="9" t="n">
        <x:v>0.15</x:v>
      </x:c>
      <x:c r="H1897" s="9" t="n">
        <x:v>1.132129</x:v>
      </x:c>
      <x:c r="I1897" s="9" t="n">
        <x:f>'Physical_Arcs'!R37</x:f>
        <x:v>6.972222222222222</x:v>
      </x:c>
      <x:c r="J1897" s="9" t="n">
        <x:f>I1897*'Parameters'!$C$18</x:f>
        <x:v>1.3944444444444446</x:v>
      </x:c>
      <x:c r="K1897" s="9" t="n">
        <x:f>J1897*'Parameters'!$C$19</x:f>
        <x:v>1.7430555555555558</x:v>
      </x:c>
      <x:c r="L1897" s="9" t="n">
        <x:f>I1897*(1-0.40)-J1897</x:f>
        <x:v>2.7888888888888888</x:v>
      </x:c>
      <x:c r="M1897" s="9" t="n">
        <x:f>'Physical_Arcs'!S37</x:f>
        <x:v>6.972222222222222</x:v>
      </x:c>
      <x:c r="N1897" s="9" t="n">
        <x:f>M1897*'Parameters'!$C$18</x:f>
        <x:v>1.3944444444444446</x:v>
      </x:c>
      <x:c r="O1897" s="9" t="n">
        <x:f>N1897*'Parameters'!$C$19</x:f>
        <x:v>1.7430555555555558</x:v>
      </x:c>
      <x:c r="P1897" s="9" t="n">
        <x:f>M1897*(1-0.40)-N1897</x:f>
        <x:v>2.7888888888888888</x:v>
      </x:c>
      <x:c r="Q1897" s="9" t="n">
        <x:f>'Physical_Arcs'!T37</x:f>
        <x:v>3.5</x:v>
      </x:c>
      <x:c r="R1897" s="9" t="n">
        <x:f>Q1897*'Parameters'!$C$18</x:f>
        <x:v>0.7000000000000001</x:v>
      </x:c>
      <x:c r="S1897" s="9" t="n">
        <x:f>R1897*'Parameters'!$C$19</x:f>
        <x:v>0.8750000000000001</x:v>
      </x:c>
      <x:c r="T1897" s="9" t="n">
        <x:f>Q1897*(1-0.40)-R1897</x:f>
        <x:v>1.4</x:v>
      </x:c>
    </x:row>
    <x:row r="1898" ht="21" customHeight="1">
      <x:c r="A1898" s="3" t="n">
        <x:v>31</x:v>
      </x:c>
      <x:c r="B1898" s="3" t="str">
        <x:v>05:10</x:v>
      </x:c>
      <x:c r="C1898" s="3" t="n">
        <x:v>6</x:v>
      </x:c>
      <x:c r="D1898" s="3" t="n">
        <x:v>37</x:v>
      </x:c>
      <x:c r="E1898" s="3" t="n">
        <x:v>6</x:v>
      </x:c>
      <x:c r="F1898" s="3" t="n">
        <x:v>1</x:v>
      </x:c>
      <x:c r="G1898" s="9" t="n">
        <x:v>0.15</x:v>
      </x:c>
      <x:c r="H1898" s="9" t="n">
        <x:v>1.020746</x:v>
      </x:c>
      <x:c r="I1898" s="9" t="n">
        <x:f>'Physical_Arcs'!R38</x:f>
        <x:v>6.305555555555555</x:v>
      </x:c>
      <x:c r="J1898" s="9" t="n">
        <x:f>I1898*'Parameters'!$C$18</x:f>
        <x:v>1.261111111111111</x:v>
      </x:c>
      <x:c r="K1898" s="9" t="n">
        <x:f>J1898*'Parameters'!$C$19</x:f>
        <x:v>1.5763888888888888</x:v>
      </x:c>
      <x:c r="L1898" s="9" t="n">
        <x:f>I1898*(1-0.40)-J1898</x:f>
        <x:v>2.522222222222222</x:v>
      </x:c>
      <x:c r="M1898" s="9" t="n">
        <x:f>'Physical_Arcs'!S38</x:f>
        <x:v>6.305555555555555</x:v>
      </x:c>
      <x:c r="N1898" s="9" t="n">
        <x:f>M1898*'Parameters'!$C$18</x:f>
        <x:v>1.261111111111111</x:v>
      </x:c>
      <x:c r="O1898" s="9" t="n">
        <x:f>N1898*'Parameters'!$C$19</x:f>
        <x:v>1.5763888888888888</x:v>
      </x:c>
      <x:c r="P1898" s="9" t="n">
        <x:f>M1898*(1-0.40)-N1898</x:f>
        <x:v>2.522222222222222</x:v>
      </x:c>
      <x:c r="Q1898" s="9" t="n">
        <x:f>'Physical_Arcs'!T38</x:f>
        <x:v>3.1666666666666665</x:v>
      </x:c>
      <x:c r="R1898" s="9" t="n">
        <x:f>Q1898*'Parameters'!$C$18</x:f>
        <x:v>0.6333333333333333</x:v>
      </x:c>
      <x:c r="S1898" s="9" t="n">
        <x:f>R1898*'Parameters'!$C$19</x:f>
        <x:v>0.7916666666666666</x:v>
      </x:c>
      <x:c r="T1898" s="9" t="n">
        <x:f>Q1898*(1-0.40)-R1898</x:f>
        <x:v>1.2666666666666666</x:v>
      </x:c>
    </x:row>
    <x:row r="1899" ht="21" customHeight="1">
      <x:c r="A1899" s="3" t="n">
        <x:v>31</x:v>
      </x:c>
      <x:c r="B1899" s="3" t="str">
        <x:v>05:10</x:v>
      </x:c>
      <x:c r="C1899" s="3" t="n">
        <x:v>6</x:v>
      </x:c>
      <x:c r="D1899" s="3" t="n">
        <x:v>38</x:v>
      </x:c>
      <x:c r="E1899" s="3" t="n">
        <x:v>6</x:v>
      </x:c>
      <x:c r="F1899" s="3" t="n">
        <x:v>3</x:v>
      </x:c>
      <x:c r="G1899" s="9" t="n">
        <x:v>0.15</x:v>
      </x:c>
      <x:c r="H1899" s="9" t="n">
        <x:v>1.149081</x:v>
      </x:c>
      <x:c r="I1899" s="9" t="n">
        <x:f>'Physical_Arcs'!R39</x:f>
        <x:v>1.9166666666666667</x:v>
      </x:c>
      <x:c r="J1899" s="9" t="n">
        <x:f>I1899*'Parameters'!$C$18</x:f>
        <x:v>0.38333333333333336</x:v>
      </x:c>
      <x:c r="K1899" s="9" t="n">
        <x:f>J1899*'Parameters'!$C$19</x:f>
        <x:v>0.4791666666666667</x:v>
      </x:c>
      <x:c r="L1899" s="9" t="n">
        <x:f>I1899*(1-0.40)-J1899</x:f>
        <x:v>0.7666666666666666</x:v>
      </x:c>
      <x:c r="M1899" s="9" t="n">
        <x:f>'Physical_Arcs'!S39</x:f>
        <x:v>1.9166666666666667</x:v>
      </x:c>
      <x:c r="N1899" s="9" t="n">
        <x:f>M1899*'Parameters'!$C$18</x:f>
        <x:v>0.38333333333333336</x:v>
      </x:c>
      <x:c r="O1899" s="9" t="n">
        <x:f>N1899*'Parameters'!$C$19</x:f>
        <x:v>0.4791666666666667</x:v>
      </x:c>
      <x:c r="P1899" s="9" t="n">
        <x:f>M1899*(1-0.40)-N1899</x:f>
        <x:v>0.7666666666666666</x:v>
      </x:c>
      <x:c r="Q1899" s="9" t="n">
        <x:f>'Physical_Arcs'!T39</x:f>
        <x:v>0.9722222222222222</x:v>
      </x:c>
      <x:c r="R1899" s="9" t="n">
        <x:f>Q1899*'Parameters'!$C$18</x:f>
        <x:v>0.19444444444444445</x:v>
      </x:c>
      <x:c r="S1899" s="9" t="n">
        <x:f>R1899*'Parameters'!$C$19</x:f>
        <x:v>0.24305555555555555</x:v>
      </x:c>
      <x:c r="T1899" s="9" t="n">
        <x:f>Q1899*(1-0.40)-R1899</x:f>
        <x:v>0.38888888888888884</x:v>
      </x:c>
    </x:row>
    <x:row r="1900" ht="21" customHeight="1">
      <x:c r="A1900" s="3" t="n">
        <x:v>31</x:v>
      </x:c>
      <x:c r="B1900" s="3" t="str">
        <x:v>05:10</x:v>
      </x:c>
      <x:c r="C1900" s="3" t="n">
        <x:v>6</x:v>
      </x:c>
      <x:c r="D1900" s="3" t="n">
        <x:v>39</x:v>
      </x:c>
      <x:c r="E1900" s="3" t="n">
        <x:v>7</x:v>
      </x:c>
      <x:c r="F1900" s="3" t="n">
        <x:v>8</x:v>
      </x:c>
      <x:c r="G1900" s="9" t="n">
        <x:v>0.15</x:v>
      </x:c>
      <x:c r="H1900" s="9" t="n">
        <x:v>1.003268</x:v>
      </x:c>
      <x:c r="I1900" s="9" t="n">
        <x:f>'Physical_Arcs'!R40</x:f>
        <x:v>17.02777777777778</x:v>
      </x:c>
      <x:c r="J1900" s="9" t="n">
        <x:f>I1900*'Parameters'!$C$18</x:f>
        <x:v>3.405555555555556</x:v>
      </x:c>
      <x:c r="K1900" s="9" t="n">
        <x:f>J1900*'Parameters'!$C$19</x:f>
        <x:v>4.256944444444445</x:v>
      </x:c>
      <x:c r="L1900" s="9" t="n">
        <x:f>I1900*(1-0.40)-J1900</x:f>
        <x:v>6.811111111111111</x:v>
      </x:c>
      <x:c r="M1900" s="9" t="n">
        <x:f>'Physical_Arcs'!S40</x:f>
        <x:v>17.02777777777778</x:v>
      </x:c>
      <x:c r="N1900" s="9" t="n">
        <x:f>M1900*'Parameters'!$C$18</x:f>
        <x:v>3.405555555555556</x:v>
      </x:c>
      <x:c r="O1900" s="9" t="n">
        <x:f>N1900*'Parameters'!$C$19</x:f>
        <x:v>4.256944444444445</x:v>
      </x:c>
      <x:c r="P1900" s="9" t="n">
        <x:f>M1900*(1-0.40)-N1900</x:f>
        <x:v>6.811111111111111</x:v>
      </x:c>
      <x:c r="Q1900" s="9" t="n">
        <x:f>'Physical_Arcs'!T40</x:f>
        <x:v>17.02777777777778</x:v>
      </x:c>
      <x:c r="R1900" s="9" t="n">
        <x:f>Q1900*'Parameters'!$C$18</x:f>
        <x:v>3.405555555555556</x:v>
      </x:c>
      <x:c r="S1900" s="9" t="n">
        <x:f>R1900*'Parameters'!$C$19</x:f>
        <x:v>4.256944444444445</x:v>
      </x:c>
      <x:c r="T1900" s="9" t="n">
        <x:f>Q1900*(1-0.40)-R1900</x:f>
        <x:v>6.811111111111111</x:v>
      </x:c>
    </x:row>
    <x:row r="1901" ht="21" customHeight="1">
      <x:c r="A1901" s="3" t="n">
        <x:v>31</x:v>
      </x:c>
      <x:c r="B1901" s="3" t="str">
        <x:v>05:10</x:v>
      </x:c>
      <x:c r="C1901" s="3" t="n">
        <x:v>6</x:v>
      </x:c>
      <x:c r="D1901" s="3" t="n">
        <x:v>40</x:v>
      </x:c>
      <x:c r="E1901" s="3" t="n">
        <x:v>7</x:v>
      </x:c>
      <x:c r="F1901" s="3" t="n">
        <x:v>1</x:v>
      </x:c>
      <x:c r="G1901" s="9" t="n">
        <x:v>0.15</x:v>
      </x:c>
      <x:c r="H1901" s="9" t="n">
        <x:v>1.057592</x:v>
      </x:c>
      <x:c r="I1901" s="9" t="n">
        <x:f>'Physical_Arcs'!R41</x:f>
        <x:v>7.972222222222222</x:v>
      </x:c>
      <x:c r="J1901" s="9" t="n">
        <x:f>I1901*'Parameters'!$C$18</x:f>
        <x:v>1.5944444444444446</x:v>
      </x:c>
      <x:c r="K1901" s="9" t="n">
        <x:f>J1901*'Parameters'!$C$19</x:f>
        <x:v>1.9930555555555558</x:v>
      </x:c>
      <x:c r="L1901" s="9" t="n">
        <x:f>I1901*(1-0.40)-J1901</x:f>
        <x:v>3.1888888888888887</x:v>
      </x:c>
      <x:c r="M1901" s="9" t="n">
        <x:f>'Physical_Arcs'!S41</x:f>
        <x:v>7.972222222222222</x:v>
      </x:c>
      <x:c r="N1901" s="9" t="n">
        <x:f>M1901*'Parameters'!$C$18</x:f>
        <x:v>1.5944444444444446</x:v>
      </x:c>
      <x:c r="O1901" s="9" t="n">
        <x:f>N1901*'Parameters'!$C$19</x:f>
        <x:v>1.9930555555555558</x:v>
      </x:c>
      <x:c r="P1901" s="9" t="n">
        <x:f>M1901*(1-0.40)-N1901</x:f>
        <x:v>3.1888888888888887</x:v>
      </x:c>
      <x:c r="Q1901" s="9" t="n">
        <x:f>'Physical_Arcs'!T41</x:f>
        <x:v>4</x:v>
      </x:c>
      <x:c r="R1901" s="9" t="n">
        <x:f>Q1901*'Parameters'!$C$18</x:f>
        <x:v>0.8</x:v>
      </x:c>
      <x:c r="S1901" s="9" t="n">
        <x:f>R1901*'Parameters'!$C$19</x:f>
        <x:v>1</x:v>
      </x:c>
      <x:c r="T1901" s="9" t="n">
        <x:f>Q1901*(1-0.40)-R1901</x:f>
        <x:v>1.5999999999999999</x:v>
      </x:c>
    </x:row>
    <x:row r="1902" ht="21" customHeight="1">
      <x:c r="A1902" s="3" t="n">
        <x:v>31</x:v>
      </x:c>
      <x:c r="B1902" s="3" t="str">
        <x:v>05:10</x:v>
      </x:c>
      <x:c r="C1902" s="3" t="n">
        <x:v>6</x:v>
      </x:c>
      <x:c r="D1902" s="3" t="n">
        <x:v>41</x:v>
      </x:c>
      <x:c r="E1902" s="3" t="n">
        <x:v>7</x:v>
      </x:c>
      <x:c r="F1902" s="3" t="n">
        <x:v>9</x:v>
      </x:c>
      <x:c r="G1902" s="9" t="n">
        <x:v>0.15</x:v>
      </x:c>
      <x:c r="H1902" s="9" t="n">
        <x:v>1.14801</x:v>
      </x:c>
      <x:c r="I1902" s="9" t="n">
        <x:f>'Physical_Arcs'!R42</x:f>
        <x:v>8.88888888888889</x:v>
      </x:c>
      <x:c r="J1902" s="9" t="n">
        <x:f>I1902*'Parameters'!$C$18</x:f>
        <x:v>1.777777777777778</x:v>
      </x:c>
      <x:c r="K1902" s="9" t="n">
        <x:f>J1902*'Parameters'!$C$19</x:f>
        <x:v>2.2222222222222223</x:v>
      </x:c>
      <x:c r="L1902" s="9" t="n">
        <x:f>I1902*(1-0.40)-J1902</x:f>
        <x:v>3.5555555555555554</x:v>
      </x:c>
      <x:c r="M1902" s="9" t="n">
        <x:f>'Physical_Arcs'!S42</x:f>
        <x:v>8.88888888888889</x:v>
      </x:c>
      <x:c r="N1902" s="9" t="n">
        <x:f>M1902*'Parameters'!$C$18</x:f>
        <x:v>1.777777777777778</x:v>
      </x:c>
      <x:c r="O1902" s="9" t="n">
        <x:f>N1902*'Parameters'!$C$19</x:f>
        <x:v>2.2222222222222223</x:v>
      </x:c>
      <x:c r="P1902" s="9" t="n">
        <x:f>M1902*(1-0.40)-N1902</x:f>
        <x:v>3.5555555555555554</x:v>
      </x:c>
      <x:c r="Q1902" s="9" t="n">
        <x:f>'Physical_Arcs'!T42</x:f>
        <x:v>4.444444444444445</x:v>
      </x:c>
      <x:c r="R1902" s="9" t="n">
        <x:f>Q1902*'Parameters'!$C$18</x:f>
        <x:v>0.888888888888889</x:v>
      </x:c>
      <x:c r="S1902" s="9" t="n">
        <x:f>R1902*'Parameters'!$C$19</x:f>
        <x:v>1.1111111111111112</x:v>
      </x:c>
      <x:c r="T1902" s="9" t="n">
        <x:f>Q1902*(1-0.40)-R1902</x:f>
        <x:v>1.7777777777777777</x:v>
      </x:c>
    </x:row>
    <x:row r="1903" ht="21" customHeight="1">
      <x:c r="A1903" s="3" t="n">
        <x:v>31</x:v>
      </x:c>
      <x:c r="B1903" s="3" t="str">
        <x:v>05:10</x:v>
      </x:c>
      <x:c r="C1903" s="3" t="n">
        <x:v>6</x:v>
      </x:c>
      <x:c r="D1903" s="3" t="n">
        <x:v>42</x:v>
      </x:c>
      <x:c r="E1903" s="3" t="n">
        <x:v>7</x:v>
      </x:c>
      <x:c r="F1903" s="3" t="n">
        <x:v>2</x:v>
      </x:c>
      <x:c r="G1903" s="9" t="n">
        <x:v>0.15</x:v>
      </x:c>
      <x:c r="H1903" s="9" t="n">
        <x:v>0.989237</x:v>
      </x:c>
      <x:c r="I1903" s="9" t="n">
        <x:f>'Physical_Arcs'!R43</x:f>
        <x:v>9</x:v>
      </x:c>
      <x:c r="J1903" s="9" t="n">
        <x:f>I1903*'Parameters'!$C$18</x:f>
        <x:v>1.8</x:v>
      </x:c>
      <x:c r="K1903" s="9" t="n">
        <x:f>J1903*'Parameters'!$C$19</x:f>
        <x:v>2.25</x:v>
      </x:c>
      <x:c r="L1903" s="9" t="n">
        <x:f>I1903*(1-0.40)-J1903</x:f>
        <x:v>3.5999999999999996</x:v>
      </x:c>
      <x:c r="M1903" s="9" t="n">
        <x:f>'Physical_Arcs'!S43</x:f>
        <x:v>9</x:v>
      </x:c>
      <x:c r="N1903" s="9" t="n">
        <x:f>M1903*'Parameters'!$C$18</x:f>
        <x:v>1.8</x:v>
      </x:c>
      <x:c r="O1903" s="9" t="n">
        <x:f>N1903*'Parameters'!$C$19</x:f>
        <x:v>2.25</x:v>
      </x:c>
      <x:c r="P1903" s="9" t="n">
        <x:f>M1903*(1-0.40)-N1903</x:f>
        <x:v>3.5999999999999996</x:v>
      </x:c>
      <x:c r="Q1903" s="9" t="n">
        <x:f>'Physical_Arcs'!T43</x:f>
        <x:v>4.5</x:v>
      </x:c>
      <x:c r="R1903" s="9" t="n">
        <x:f>Q1903*'Parameters'!$C$18</x:f>
        <x:v>0.9</x:v>
      </x:c>
      <x:c r="S1903" s="9" t="n">
        <x:f>R1903*'Parameters'!$C$19</x:f>
        <x:v>1.125</x:v>
      </x:c>
      <x:c r="T1903" s="9" t="n">
        <x:f>Q1903*(1-0.40)-R1903</x:f>
        <x:v>1.7999999999999998</x:v>
      </x:c>
    </x:row>
    <x:row r="1904" ht="21" customHeight="1">
      <x:c r="A1904" s="3" t="n">
        <x:v>31</x:v>
      </x:c>
      <x:c r="B1904" s="3" t="str">
        <x:v>05:10</x:v>
      </x:c>
      <x:c r="C1904" s="3" t="n">
        <x:v>6</x:v>
      </x:c>
      <x:c r="D1904" s="3" t="n">
        <x:v>43</x:v>
      </x:c>
      <x:c r="E1904" s="3" t="n">
        <x:v>7</x:v>
      </x:c>
      <x:c r="F1904" s="3" t="n">
        <x:v>3</x:v>
      </x:c>
      <x:c r="G1904" s="9" t="n">
        <x:v>0.15</x:v>
      </x:c>
      <x:c r="H1904" s="9" t="n">
        <x:v>1.050432</x:v>
      </x:c>
      <x:c r="I1904" s="9" t="n">
        <x:f>'Physical_Arcs'!R44</x:f>
        <x:v>7.638888888888889</x:v>
      </x:c>
      <x:c r="J1904" s="9" t="n">
        <x:f>I1904*'Parameters'!$C$18</x:f>
        <x:v>1.527777777777778</x:v>
      </x:c>
      <x:c r="K1904" s="9" t="n">
        <x:f>J1904*'Parameters'!$C$19</x:f>
        <x:v>1.9097222222222223</x:v>
      </x:c>
      <x:c r="L1904" s="9" t="n">
        <x:f>I1904*(1-0.40)-J1904</x:f>
        <x:v>3.0555555555555554</x:v>
      </x:c>
      <x:c r="M1904" s="9" t="n">
        <x:f>'Physical_Arcs'!S44</x:f>
        <x:v>7.638888888888889</x:v>
      </x:c>
      <x:c r="N1904" s="9" t="n">
        <x:f>M1904*'Parameters'!$C$18</x:f>
        <x:v>1.527777777777778</x:v>
      </x:c>
      <x:c r="O1904" s="9" t="n">
        <x:f>N1904*'Parameters'!$C$19</x:f>
        <x:v>1.9097222222222223</x:v>
      </x:c>
      <x:c r="P1904" s="9" t="n">
        <x:f>M1904*(1-0.40)-N1904</x:f>
        <x:v>3.0555555555555554</x:v>
      </x:c>
      <x:c r="Q1904" s="9" t="n">
        <x:f>'Physical_Arcs'!T44</x:f>
        <x:v>3.8333333333333335</x:v>
      </x:c>
      <x:c r="R1904" s="9" t="n">
        <x:f>Q1904*'Parameters'!$C$18</x:f>
        <x:v>0.7666666666666667</x:v>
      </x:c>
      <x:c r="S1904" s="9" t="n">
        <x:f>R1904*'Parameters'!$C$19</x:f>
        <x:v>0.9583333333333334</x:v>
      </x:c>
      <x:c r="T1904" s="9" t="n">
        <x:f>Q1904*(1-0.40)-R1904</x:f>
        <x:v>1.5333333333333332</x:v>
      </x:c>
    </x:row>
    <x:row r="1905" ht="21" customHeight="1">
      <x:c r="A1905" s="3" t="n">
        <x:v>31</x:v>
      </x:c>
      <x:c r="B1905" s="3" t="str">
        <x:v>05:10</x:v>
      </x:c>
      <x:c r="C1905" s="3" t="n">
        <x:v>6</x:v>
      </x:c>
      <x:c r="D1905" s="3" t="n">
        <x:v>44</x:v>
      </x:c>
      <x:c r="E1905" s="3" t="n">
        <x:v>8</x:v>
      </x:c>
      <x:c r="F1905" s="3" t="n">
        <x:v>9</x:v>
      </x:c>
      <x:c r="G1905" s="9" t="n">
        <x:v>0.15</x:v>
      </x:c>
      <x:c r="H1905" s="9" t="n">
        <x:v>0.868101</x:v>
      </x:c>
      <x:c r="I1905" s="9" t="n">
        <x:f>'Physical_Arcs'!R45</x:f>
        <x:v>17.02777777777778</x:v>
      </x:c>
      <x:c r="J1905" s="9" t="n">
        <x:f>I1905*'Parameters'!$C$18</x:f>
        <x:v>3.405555555555556</x:v>
      </x:c>
      <x:c r="K1905" s="9" t="n">
        <x:f>J1905*'Parameters'!$C$19</x:f>
        <x:v>4.256944444444445</x:v>
      </x:c>
      <x:c r="L1905" s="9" t="n">
        <x:f>I1905*(1-0.40)-J1905</x:f>
        <x:v>6.811111111111111</x:v>
      </x:c>
      <x:c r="M1905" s="9" t="n">
        <x:f>'Physical_Arcs'!S45</x:f>
        <x:v>17.02777777777778</x:v>
      </x:c>
      <x:c r="N1905" s="9" t="n">
        <x:f>M1905*'Parameters'!$C$18</x:f>
        <x:v>3.405555555555556</x:v>
      </x:c>
      <x:c r="O1905" s="9" t="n">
        <x:f>N1905*'Parameters'!$C$19</x:f>
        <x:v>4.256944444444445</x:v>
      </x:c>
      <x:c r="P1905" s="9" t="n">
        <x:f>M1905*(1-0.40)-N1905</x:f>
        <x:v>6.811111111111111</x:v>
      </x:c>
      <x:c r="Q1905" s="9" t="n">
        <x:f>'Physical_Arcs'!T45</x:f>
        <x:v>17.02777777777778</x:v>
      </x:c>
      <x:c r="R1905" s="9" t="n">
        <x:f>Q1905*'Parameters'!$C$18</x:f>
        <x:v>3.405555555555556</x:v>
      </x:c>
      <x:c r="S1905" s="9" t="n">
        <x:f>R1905*'Parameters'!$C$19</x:f>
        <x:v>4.256944444444445</x:v>
      </x:c>
      <x:c r="T1905" s="9" t="n">
        <x:f>Q1905*(1-0.40)-R1905</x:f>
        <x:v>6.811111111111111</x:v>
      </x:c>
    </x:row>
    <x:row r="1906" ht="21" customHeight="1">
      <x:c r="A1906" s="3" t="n">
        <x:v>31</x:v>
      </x:c>
      <x:c r="B1906" s="3" t="str">
        <x:v>05:10</x:v>
      </x:c>
      <x:c r="C1906" s="3" t="n">
        <x:v>6</x:v>
      </x:c>
      <x:c r="D1906" s="3" t="n">
        <x:v>45</x:v>
      </x:c>
      <x:c r="E1906" s="3" t="n">
        <x:v>8</x:v>
      </x:c>
      <x:c r="F1906" s="3" t="n">
        <x:v>3</x:v>
      </x:c>
      <x:c r="G1906" s="9" t="n">
        <x:v>0.15</x:v>
      </x:c>
      <x:c r="H1906" s="9" t="n">
        <x:v>0.944958</x:v>
      </x:c>
      <x:c r="I1906" s="9" t="n">
        <x:f>'Physical_Arcs'!R46</x:f>
        <x:v>5.388888888888889</x:v>
      </x:c>
      <x:c r="J1906" s="9" t="n">
        <x:f>I1906*'Parameters'!$C$18</x:f>
        <x:v>1.077777777777778</x:v>
      </x:c>
      <x:c r="K1906" s="9" t="n">
        <x:f>J1906*'Parameters'!$C$19</x:f>
        <x:v>1.3472222222222223</x:v>
      </x:c>
      <x:c r="L1906" s="9" t="n">
        <x:f>I1906*(1-0.40)-J1906</x:f>
        <x:v>2.1555555555555554</x:v>
      </x:c>
      <x:c r="M1906" s="9" t="n">
        <x:f>'Physical_Arcs'!S46</x:f>
        <x:v>5.388888888888889</x:v>
      </x:c>
      <x:c r="N1906" s="9" t="n">
        <x:f>M1906*'Parameters'!$C$18</x:f>
        <x:v>1.077777777777778</x:v>
      </x:c>
      <x:c r="O1906" s="9" t="n">
        <x:f>N1906*'Parameters'!$C$19</x:f>
        <x:v>1.3472222222222223</x:v>
      </x:c>
      <x:c r="P1906" s="9" t="n">
        <x:f>M1906*(1-0.40)-N1906</x:f>
        <x:v>2.1555555555555554</x:v>
      </x:c>
      <x:c r="Q1906" s="9" t="n">
        <x:f>'Physical_Arcs'!T46</x:f>
        <x:v>2.6944444444444446</x:v>
      </x:c>
      <x:c r="R1906" s="9" t="n">
        <x:f>Q1906*'Parameters'!$C$18</x:f>
        <x:v>0.538888888888889</x:v>
      </x:c>
      <x:c r="S1906" s="9" t="n">
        <x:f>R1906*'Parameters'!$C$19</x:f>
        <x:v>0.6736111111111112</x:v>
      </x:c>
      <x:c r="T1906" s="9" t="n">
        <x:f>Q1906*(1-0.40)-R1906</x:f>
        <x:v>1.0777777777777777</x:v>
      </x:c>
    </x:row>
    <x:row r="1907" ht="21" customHeight="1">
      <x:c r="A1907" s="3" t="n">
        <x:v>31</x:v>
      </x:c>
      <x:c r="B1907" s="3" t="str">
        <x:v>05:10</x:v>
      </x:c>
      <x:c r="C1907" s="3" t="n">
        <x:v>6</x:v>
      </x:c>
      <x:c r="D1907" s="3" t="n">
        <x:v>46</x:v>
      </x:c>
      <x:c r="E1907" s="3" t="n">
        <x:v>8</x:v>
      </x:c>
      <x:c r="F1907" s="3" t="n">
        <x:v>7</x:v>
      </x:c>
      <x:c r="G1907" s="9" t="n">
        <x:v>0.15</x:v>
      </x:c>
      <x:c r="H1907" s="9" t="n">
        <x:v>0.866232</x:v>
      </x:c>
      <x:c r="I1907" s="9" t="n">
        <x:f>'Physical_Arcs'!R47</x:f>
        <x:v>5.388888888888889</x:v>
      </x:c>
      <x:c r="J1907" s="9" t="n">
        <x:f>I1907*'Parameters'!$C$18</x:f>
        <x:v>1.077777777777778</x:v>
      </x:c>
      <x:c r="K1907" s="9" t="n">
        <x:f>J1907*'Parameters'!$C$19</x:f>
        <x:v>1.3472222222222223</x:v>
      </x:c>
      <x:c r="L1907" s="9" t="n">
        <x:f>I1907*(1-0.40)-J1907</x:f>
        <x:v>2.1555555555555554</x:v>
      </x:c>
      <x:c r="M1907" s="9" t="n">
        <x:f>'Physical_Arcs'!S47</x:f>
        <x:v>5.388888888888889</x:v>
      </x:c>
      <x:c r="N1907" s="9" t="n">
        <x:f>M1907*'Parameters'!$C$18</x:f>
        <x:v>1.077777777777778</x:v>
      </x:c>
      <x:c r="O1907" s="9" t="n">
        <x:f>N1907*'Parameters'!$C$19</x:f>
        <x:v>1.3472222222222223</x:v>
      </x:c>
      <x:c r="P1907" s="9" t="n">
        <x:f>M1907*(1-0.40)-N1907</x:f>
        <x:v>2.1555555555555554</x:v>
      </x:c>
      <x:c r="Q1907" s="9" t="n">
        <x:f>'Physical_Arcs'!T47</x:f>
        <x:v>2.6944444444444446</x:v>
      </x:c>
      <x:c r="R1907" s="9" t="n">
        <x:f>Q1907*'Parameters'!$C$18</x:f>
        <x:v>0.538888888888889</x:v>
      </x:c>
      <x:c r="S1907" s="9" t="n">
        <x:f>R1907*'Parameters'!$C$19</x:f>
        <x:v>0.6736111111111112</x:v>
      </x:c>
      <x:c r="T1907" s="9" t="n">
        <x:f>Q1907*(1-0.40)-R1907</x:f>
        <x:v>1.0777777777777777</x:v>
      </x:c>
    </x:row>
    <x:row r="1908" ht="21" customHeight="1">
      <x:c r="A1908" s="3" t="n">
        <x:v>31</x:v>
      </x:c>
      <x:c r="B1908" s="3" t="str">
        <x:v>05:10</x:v>
      </x:c>
      <x:c r="C1908" s="3" t="n">
        <x:v>6</x:v>
      </x:c>
      <x:c r="D1908" s="3" t="n">
        <x:v>47</x:v>
      </x:c>
      <x:c r="E1908" s="3" t="n">
        <x:v>8</x:v>
      </x:c>
      <x:c r="F1908" s="3" t="n">
        <x:v>2</x:v>
      </x:c>
      <x:c r="G1908" s="9" t="n">
        <x:v>0.15</x:v>
      </x:c>
      <x:c r="H1908" s="9" t="n">
        <x:v>1.135644</x:v>
      </x:c>
      <x:c r="I1908" s="9" t="n">
        <x:f>'Physical_Arcs'!R48</x:f>
        <x:v>8.083333333333334</x:v>
      </x:c>
      <x:c r="J1908" s="9" t="n">
        <x:f>I1908*'Parameters'!$C$18</x:f>
        <x:v>1.616666666666667</x:v>
      </x:c>
      <x:c r="K1908" s="9" t="n">
        <x:f>J1908*'Parameters'!$C$19</x:f>
        <x:v>2.0208333333333335</x:v>
      </x:c>
      <x:c r="L1908" s="9" t="n">
        <x:f>I1908*(1-0.40)-J1908</x:f>
        <x:v>3.2333333333333334</x:v>
      </x:c>
      <x:c r="M1908" s="9" t="n">
        <x:f>'Physical_Arcs'!S48</x:f>
        <x:v>8.083333333333334</x:v>
      </x:c>
      <x:c r="N1908" s="9" t="n">
        <x:f>M1908*'Parameters'!$C$18</x:f>
        <x:v>1.616666666666667</x:v>
      </x:c>
      <x:c r="O1908" s="9" t="n">
        <x:f>N1908*'Parameters'!$C$19</x:f>
        <x:v>2.0208333333333335</x:v>
      </x:c>
      <x:c r="P1908" s="9" t="n">
        <x:f>M1908*(1-0.40)-N1908</x:f>
        <x:v>3.2333333333333334</x:v>
      </x:c>
      <x:c r="Q1908" s="9" t="n">
        <x:f>'Physical_Arcs'!T48</x:f>
        <x:v>4.055555555555555</x:v>
      </x:c>
      <x:c r="R1908" s="9" t="n">
        <x:f>Q1908*'Parameters'!$C$18</x:f>
        <x:v>0.8111111111111111</x:v>
      </x:c>
      <x:c r="S1908" s="9" t="n">
        <x:f>R1908*'Parameters'!$C$19</x:f>
        <x:v>1.0138888888888888</x:v>
      </x:c>
      <x:c r="T1908" s="9" t="n">
        <x:f>Q1908*(1-0.40)-R1908</x:f>
        <x:v>1.622222222222222</x:v>
      </x:c>
    </x:row>
    <x:row r="1909" ht="21" customHeight="1">
      <x:c r="A1909" s="3" t="n">
        <x:v>31</x:v>
      </x:c>
      <x:c r="B1909" s="3" t="str">
        <x:v>05:10</x:v>
      </x:c>
      <x:c r="C1909" s="3" t="n">
        <x:v>6</x:v>
      </x:c>
      <x:c r="D1909" s="3" t="n">
        <x:v>48</x:v>
      </x:c>
      <x:c r="E1909" s="3" t="n">
        <x:v>8</x:v>
      </x:c>
      <x:c r="F1909" s="3" t="n">
        <x:v>6</x:v>
      </x:c>
      <x:c r="G1909" s="9" t="n">
        <x:v>0.15</x:v>
      </x:c>
      <x:c r="H1909" s="9" t="n">
        <x:v>0.850778</x:v>
      </x:c>
      <x:c r="I1909" s="9" t="n">
        <x:f>'Physical_Arcs'!R49</x:f>
        <x:v>10.555555555555555</x:v>
      </x:c>
      <x:c r="J1909" s="9" t="n">
        <x:f>I1909*'Parameters'!$C$18</x:f>
        <x:v>2.111111111111111</x:v>
      </x:c>
      <x:c r="K1909" s="9" t="n">
        <x:f>J1909*'Parameters'!$C$19</x:f>
        <x:v>2.638888888888889</x:v>
      </x:c>
      <x:c r="L1909" s="9" t="n">
        <x:f>I1909*(1-0.40)-J1909</x:f>
        <x:v>4.222222222222221</x:v>
      </x:c>
      <x:c r="M1909" s="9" t="n">
        <x:f>'Physical_Arcs'!S49</x:f>
        <x:v>10.555555555555555</x:v>
      </x:c>
      <x:c r="N1909" s="9" t="n">
        <x:f>M1909*'Parameters'!$C$18</x:f>
        <x:v>2.111111111111111</x:v>
      </x:c>
      <x:c r="O1909" s="9" t="n">
        <x:f>N1909*'Parameters'!$C$19</x:f>
        <x:v>2.638888888888889</x:v>
      </x:c>
      <x:c r="P1909" s="9" t="n">
        <x:f>M1909*(1-0.40)-N1909</x:f>
        <x:v>4.222222222222221</x:v>
      </x:c>
      <x:c r="Q1909" s="9" t="n">
        <x:f>'Physical_Arcs'!T49</x:f>
        <x:v>5.277777777777778</x:v>
      </x:c>
      <x:c r="R1909" s="9" t="n">
        <x:f>Q1909*'Parameters'!$C$18</x:f>
        <x:v>1.0555555555555556</x:v>
      </x:c>
      <x:c r="S1909" s="9" t="n">
        <x:f>R1909*'Parameters'!$C$19</x:f>
        <x:v>1.3194444444444444</x:v>
      </x:c>
      <x:c r="T1909" s="9" t="n">
        <x:f>Q1909*(1-0.40)-R1909</x:f>
        <x:v>2.1111111111111107</x:v>
      </x:c>
    </x:row>
    <x:row r="1910" ht="21" customHeight="1">
      <x:c r="A1910" s="3" t="n">
        <x:v>31</x:v>
      </x:c>
      <x:c r="B1910" s="3" t="str">
        <x:v>05:10</x:v>
      </x:c>
      <x:c r="C1910" s="3" t="n">
        <x:v>6</x:v>
      </x:c>
      <x:c r="D1910" s="3" t="n">
        <x:v>49</x:v>
      </x:c>
      <x:c r="E1910" s="3" t="n">
        <x:v>8</x:v>
      </x:c>
      <x:c r="F1910" s="3" t="n">
        <x:v>4</x:v>
      </x:c>
      <x:c r="G1910" s="9" t="n">
        <x:v>0.15</x:v>
      </x:c>
      <x:c r="H1910" s="9" t="n">
        <x:v>0.904949</x:v>
      </x:c>
      <x:c r="I1910" s="9" t="n">
        <x:f>'Physical_Arcs'!R50</x:f>
        <x:v>1.5833333333333333</x:v>
      </x:c>
      <x:c r="J1910" s="9" t="n">
        <x:f>I1910*'Parameters'!$C$18</x:f>
        <x:v>0.31666666666666665</x:v>
      </x:c>
      <x:c r="K1910" s="9" t="n">
        <x:f>J1910*'Parameters'!$C$19</x:f>
        <x:v>0.3958333333333333</x:v>
      </x:c>
      <x:c r="L1910" s="9" t="n">
        <x:f>I1910*(1-0.40)-J1910</x:f>
        <x:v>0.6333333333333333</x:v>
      </x:c>
      <x:c r="M1910" s="9" t="n">
        <x:f>'Physical_Arcs'!S50</x:f>
        <x:v>1.5833333333333333</x:v>
      </x:c>
      <x:c r="N1910" s="9" t="n">
        <x:f>M1910*'Parameters'!$C$18</x:f>
        <x:v>0.31666666666666665</x:v>
      </x:c>
      <x:c r="O1910" s="9" t="n">
        <x:f>N1910*'Parameters'!$C$19</x:f>
        <x:v>0.3958333333333333</x:v>
      </x:c>
      <x:c r="P1910" s="9" t="n">
        <x:f>M1910*(1-0.40)-N1910</x:f>
        <x:v>0.6333333333333333</x:v>
      </x:c>
      <x:c r="Q1910" s="9" t="n">
        <x:f>'Physical_Arcs'!T50</x:f>
        <x:v>0.8055555555555556</x:v>
      </x:c>
      <x:c r="R1910" s="9" t="n">
        <x:f>Q1910*'Parameters'!$C$18</x:f>
        <x:v>0.16111111111111112</x:v>
      </x:c>
      <x:c r="S1910" s="9" t="n">
        <x:f>R1910*'Parameters'!$C$19</x:f>
        <x:v>0.2013888888888889</x:v>
      </x:c>
      <x:c r="T1910" s="9" t="n">
        <x:f>Q1910*(1-0.40)-R1910</x:f>
        <x:v>0.3222222222222222</x:v>
      </x:c>
    </x:row>
    <x:row r="1911" ht="21" customHeight="1">
      <x:c r="A1911" s="3" t="n">
        <x:v>31</x:v>
      </x:c>
      <x:c r="B1911" s="3" t="str">
        <x:v>05:10</x:v>
      </x:c>
      <x:c r="C1911" s="3" t="n">
        <x:v>6</x:v>
      </x:c>
      <x:c r="D1911" s="3" t="n">
        <x:v>50</x:v>
      </x:c>
      <x:c r="E1911" s="3" t="n">
        <x:v>8</x:v>
      </x:c>
      <x:c r="F1911" s="3" t="n">
        <x:v>5</x:v>
      </x:c>
      <x:c r="G1911" s="9" t="n">
        <x:v>0.15</x:v>
      </x:c>
      <x:c r="H1911" s="9" t="n">
        <x:v>0.990416</x:v>
      </x:c>
      <x:c r="I1911" s="9" t="n">
        <x:f>'Physical_Arcs'!R51</x:f>
        <x:v>10.777777777777779</x:v>
      </x:c>
      <x:c r="J1911" s="9" t="n">
        <x:f>I1911*'Parameters'!$C$18</x:f>
        <x:v>2.155555555555556</x:v>
      </x:c>
      <x:c r="K1911" s="9" t="n">
        <x:f>J1911*'Parameters'!$C$19</x:f>
        <x:v>2.6944444444444446</x:v>
      </x:c>
      <x:c r="L1911" s="9" t="n">
        <x:f>I1911*(1-0.40)-J1911</x:f>
        <x:v>4.311111111111111</x:v>
      </x:c>
      <x:c r="M1911" s="9" t="n">
        <x:f>'Physical_Arcs'!S51</x:f>
        <x:v>10.777777777777779</x:v>
      </x:c>
      <x:c r="N1911" s="9" t="n">
        <x:f>M1911*'Parameters'!$C$18</x:f>
        <x:v>2.155555555555556</x:v>
      </x:c>
      <x:c r="O1911" s="9" t="n">
        <x:f>N1911*'Parameters'!$C$19</x:f>
        <x:v>2.6944444444444446</x:v>
      </x:c>
      <x:c r="P1911" s="9" t="n">
        <x:f>M1911*(1-0.40)-N1911</x:f>
        <x:v>4.311111111111111</x:v>
      </x:c>
      <x:c r="Q1911" s="9" t="n">
        <x:f>'Physical_Arcs'!T51</x:f>
        <x:v>5.388888888888889</x:v>
      </x:c>
      <x:c r="R1911" s="9" t="n">
        <x:f>Q1911*'Parameters'!$C$18</x:f>
        <x:v>1.077777777777778</x:v>
      </x:c>
      <x:c r="S1911" s="9" t="n">
        <x:f>R1911*'Parameters'!$C$19</x:f>
        <x:v>1.3472222222222223</x:v>
      </x:c>
      <x:c r="T1911" s="9" t="n">
        <x:f>Q1911*(1-0.40)-R1911</x:f>
        <x:v>2.1555555555555554</x:v>
      </x:c>
    </x:row>
    <x:row r="1912" ht="21" customHeight="1">
      <x:c r="A1912" s="3" t="n">
        <x:v>31</x:v>
      </x:c>
      <x:c r="B1912" s="3" t="str">
        <x:v>05:10</x:v>
      </x:c>
      <x:c r="C1912" s="3" t="n">
        <x:v>6</x:v>
      </x:c>
      <x:c r="D1912" s="3" t="n">
        <x:v>51</x:v>
      </x:c>
      <x:c r="E1912" s="3" t="n">
        <x:v>8</x:v>
      </x:c>
      <x:c r="F1912" s="3" t="n">
        <x:v>1</x:v>
      </x:c>
      <x:c r="G1912" s="9" t="n">
        <x:v>0.15</x:v>
      </x:c>
      <x:c r="H1912" s="9" t="n">
        <x:v>1.039066</x:v>
      </x:c>
      <x:c r="I1912" s="9" t="n">
        <x:f>'Physical_Arcs'!R52</x:f>
        <x:v>8.88888888888889</x:v>
      </x:c>
      <x:c r="J1912" s="9" t="n">
        <x:f>I1912*'Parameters'!$C$18</x:f>
        <x:v>1.777777777777778</x:v>
      </x:c>
      <x:c r="K1912" s="9" t="n">
        <x:f>J1912*'Parameters'!$C$19</x:f>
        <x:v>2.2222222222222223</x:v>
      </x:c>
      <x:c r="L1912" s="9" t="n">
        <x:f>I1912*(1-0.40)-J1912</x:f>
        <x:v>3.5555555555555554</x:v>
      </x:c>
      <x:c r="M1912" s="9" t="n">
        <x:f>'Physical_Arcs'!S52</x:f>
        <x:v>8.88888888888889</x:v>
      </x:c>
      <x:c r="N1912" s="9" t="n">
        <x:f>M1912*'Parameters'!$C$18</x:f>
        <x:v>1.777777777777778</x:v>
      </x:c>
      <x:c r="O1912" s="9" t="n">
        <x:f>N1912*'Parameters'!$C$19</x:f>
        <x:v>2.2222222222222223</x:v>
      </x:c>
      <x:c r="P1912" s="9" t="n">
        <x:f>M1912*(1-0.40)-N1912</x:f>
        <x:v>3.5555555555555554</x:v>
      </x:c>
      <x:c r="Q1912" s="9" t="n">
        <x:f>'Physical_Arcs'!T52</x:f>
        <x:v>4.444444444444445</x:v>
      </x:c>
      <x:c r="R1912" s="9" t="n">
        <x:f>Q1912*'Parameters'!$C$18</x:f>
        <x:v>0.888888888888889</x:v>
      </x:c>
      <x:c r="S1912" s="9" t="n">
        <x:f>R1912*'Parameters'!$C$19</x:f>
        <x:v>1.1111111111111112</x:v>
      </x:c>
      <x:c r="T1912" s="9" t="n">
        <x:f>Q1912*(1-0.40)-R1912</x:f>
        <x:v>1.7777777777777777</x:v>
      </x:c>
    </x:row>
    <x:row r="1913" ht="21" customHeight="1">
      <x:c r="A1913" s="3" t="n">
        <x:v>31</x:v>
      </x:c>
      <x:c r="B1913" s="3" t="str">
        <x:v>05:10</x:v>
      </x:c>
      <x:c r="C1913" s="3" t="n">
        <x:v>6</x:v>
      </x:c>
      <x:c r="D1913" s="3" t="n">
        <x:v>52</x:v>
      </x:c>
      <x:c r="E1913" s="3" t="n">
        <x:v>9</x:v>
      </x:c>
      <x:c r="F1913" s="3" t="n">
        <x:v>10</x:v>
      </x:c>
      <x:c r="G1913" s="9" t="n">
        <x:v>0.15</x:v>
      </x:c>
      <x:c r="H1913" s="9" t="n">
        <x:v>0.954096</x:v>
      </x:c>
      <x:c r="I1913" s="9" t="n">
        <x:f>'Physical_Arcs'!R53</x:f>
        <x:v>17.02777777777778</x:v>
      </x:c>
      <x:c r="J1913" s="9" t="n">
        <x:f>I1913*'Parameters'!$C$18</x:f>
        <x:v>3.405555555555556</x:v>
      </x:c>
      <x:c r="K1913" s="9" t="n">
        <x:f>J1913*'Parameters'!$C$19</x:f>
        <x:v>4.256944444444445</x:v>
      </x:c>
      <x:c r="L1913" s="9" t="n">
        <x:f>I1913*(1-0.40)-J1913</x:f>
        <x:v>6.811111111111111</x:v>
      </x:c>
      <x:c r="M1913" s="9" t="n">
        <x:f>'Physical_Arcs'!S53</x:f>
        <x:v>17.02777777777778</x:v>
      </x:c>
      <x:c r="N1913" s="9" t="n">
        <x:f>M1913*'Parameters'!$C$18</x:f>
        <x:v>3.405555555555556</x:v>
      </x:c>
      <x:c r="O1913" s="9" t="n">
        <x:f>N1913*'Parameters'!$C$19</x:f>
        <x:v>4.256944444444445</x:v>
      </x:c>
      <x:c r="P1913" s="9" t="n">
        <x:f>M1913*(1-0.40)-N1913</x:f>
        <x:v>6.811111111111111</x:v>
      </x:c>
      <x:c r="Q1913" s="9" t="n">
        <x:f>'Physical_Arcs'!T53</x:f>
        <x:v>17.02777777777778</x:v>
      </x:c>
      <x:c r="R1913" s="9" t="n">
        <x:f>Q1913*'Parameters'!$C$18</x:f>
        <x:v>3.405555555555556</x:v>
      </x:c>
      <x:c r="S1913" s="9" t="n">
        <x:f>R1913*'Parameters'!$C$19</x:f>
        <x:v>4.256944444444445</x:v>
      </x:c>
      <x:c r="T1913" s="9" t="n">
        <x:f>Q1913*(1-0.40)-R1913</x:f>
        <x:v>6.811111111111111</x:v>
      </x:c>
    </x:row>
    <x:row r="1914" ht="21" customHeight="1">
      <x:c r="A1914" s="3" t="n">
        <x:v>31</x:v>
      </x:c>
      <x:c r="B1914" s="3" t="str">
        <x:v>05:10</x:v>
      </x:c>
      <x:c r="C1914" s="3" t="n">
        <x:v>6</x:v>
      </x:c>
      <x:c r="D1914" s="3" t="n">
        <x:v>53</x:v>
      </x:c>
      <x:c r="E1914" s="3" t="n">
        <x:v>9</x:v>
      </x:c>
      <x:c r="F1914" s="3" t="n">
        <x:v>6</x:v>
      </x:c>
      <x:c r="G1914" s="9" t="n">
        <x:v>0.15</x:v>
      </x:c>
      <x:c r="H1914" s="9" t="n">
        <x:v>1.125574</x:v>
      </x:c>
      <x:c r="I1914" s="9" t="n">
        <x:f>'Physical_Arcs'!R54</x:f>
        <x:v>9.666666666666666</x:v>
      </x:c>
      <x:c r="J1914" s="9" t="n">
        <x:f>I1914*'Parameters'!$C$18</x:f>
        <x:v>1.9333333333333333</x:v>
      </x:c>
      <x:c r="K1914" s="9" t="n">
        <x:f>J1914*'Parameters'!$C$19</x:f>
        <x:v>2.4166666666666665</x:v>
      </x:c>
      <x:c r="L1914" s="9" t="n">
        <x:f>I1914*(1-0.40)-J1914</x:f>
        <x:v>3.8666666666666663</x:v>
      </x:c>
      <x:c r="M1914" s="9" t="n">
        <x:f>'Physical_Arcs'!S54</x:f>
        <x:v>9.666666666666666</x:v>
      </x:c>
      <x:c r="N1914" s="9" t="n">
        <x:f>M1914*'Parameters'!$C$18</x:f>
        <x:v>1.9333333333333333</x:v>
      </x:c>
      <x:c r="O1914" s="9" t="n">
        <x:f>N1914*'Parameters'!$C$19</x:f>
        <x:v>2.4166666666666665</x:v>
      </x:c>
      <x:c r="P1914" s="9" t="n">
        <x:f>M1914*(1-0.40)-N1914</x:f>
        <x:v>3.8666666666666663</x:v>
      </x:c>
      <x:c r="Q1914" s="9" t="n">
        <x:f>'Physical_Arcs'!T54</x:f>
        <x:v>4.833333333333333</x:v>
      </x:c>
      <x:c r="R1914" s="9" t="n">
        <x:f>Q1914*'Parameters'!$C$18</x:f>
        <x:v>0.9666666666666667</x:v>
      </x:c>
      <x:c r="S1914" s="9" t="n">
        <x:f>R1914*'Parameters'!$C$19</x:f>
        <x:v>1.2083333333333333</x:v>
      </x:c>
      <x:c r="T1914" s="9" t="n">
        <x:f>Q1914*(1-0.40)-R1914</x:f>
        <x:v>1.9333333333333331</x:v>
      </x:c>
    </x:row>
    <x:row r="1915" ht="21" customHeight="1">
      <x:c r="A1915" s="3" t="n">
        <x:v>31</x:v>
      </x:c>
      <x:c r="B1915" s="3" t="str">
        <x:v>05:10</x:v>
      </x:c>
      <x:c r="C1915" s="3" t="n">
        <x:v>6</x:v>
      </x:c>
      <x:c r="D1915" s="3" t="n">
        <x:v>54</x:v>
      </x:c>
      <x:c r="E1915" s="3" t="n">
        <x:v>9</x:v>
      </x:c>
      <x:c r="F1915" s="3" t="n">
        <x:v>2</x:v>
      </x:c>
      <x:c r="G1915" s="9" t="n">
        <x:v>0.15</x:v>
      </x:c>
      <x:c r="H1915" s="9" t="n">
        <x:v>0.854534</x:v>
      </x:c>
      <x:c r="I1915" s="9" t="n">
        <x:f>'Physical_Arcs'!R55</x:f>
        <x:v>9.88888888888889</x:v>
      </x:c>
      <x:c r="J1915" s="9" t="n">
        <x:f>I1915*'Parameters'!$C$18</x:f>
        <x:v>1.9777777777777779</x:v>
      </x:c>
      <x:c r="K1915" s="9" t="n">
        <x:f>J1915*'Parameters'!$C$19</x:f>
        <x:v>2.4722222222222223</x:v>
      </x:c>
      <x:c r="L1915" s="9" t="n">
        <x:f>I1915*(1-0.40)-J1915</x:f>
        <x:v>3.9555555555555557</x:v>
      </x:c>
      <x:c r="M1915" s="9" t="n">
        <x:f>'Physical_Arcs'!S55</x:f>
        <x:v>9.88888888888889</x:v>
      </x:c>
      <x:c r="N1915" s="9" t="n">
        <x:f>M1915*'Parameters'!$C$18</x:f>
        <x:v>1.9777777777777779</x:v>
      </x:c>
      <x:c r="O1915" s="9" t="n">
        <x:f>N1915*'Parameters'!$C$19</x:f>
        <x:v>2.4722222222222223</x:v>
      </x:c>
      <x:c r="P1915" s="9" t="n">
        <x:f>M1915*(1-0.40)-N1915</x:f>
        <x:v>3.9555555555555557</x:v>
      </x:c>
      <x:c r="Q1915" s="9" t="n">
        <x:f>'Physical_Arcs'!T55</x:f>
        <x:v>4.944444444444445</x:v>
      </x:c>
      <x:c r="R1915" s="9" t="n">
        <x:f>Q1915*'Parameters'!$C$18</x:f>
        <x:v>0.9888888888888889</x:v>
      </x:c>
      <x:c r="S1915" s="9" t="n">
        <x:f>R1915*'Parameters'!$C$19</x:f>
        <x:v>1.2361111111111112</x:v>
      </x:c>
      <x:c r="T1915" s="9" t="n">
        <x:f>Q1915*(1-0.40)-R1915</x:f>
        <x:v>1.9777777777777779</x:v>
      </x:c>
    </x:row>
    <x:row r="1916" ht="21" customHeight="1">
      <x:c r="A1916" s="3" t="n">
        <x:v>31</x:v>
      </x:c>
      <x:c r="B1916" s="3" t="str">
        <x:v>05:10</x:v>
      </x:c>
      <x:c r="C1916" s="3" t="n">
        <x:v>6</x:v>
      </x:c>
      <x:c r="D1916" s="3" t="n">
        <x:v>55</x:v>
      </x:c>
      <x:c r="E1916" s="3" t="n">
        <x:v>9</x:v>
      </x:c>
      <x:c r="F1916" s="3" t="n">
        <x:v>7</x:v>
      </x:c>
      <x:c r="G1916" s="9" t="n">
        <x:v>0.15</x:v>
      </x:c>
      <x:c r="H1916" s="9" t="n">
        <x:v>0.900033</x:v>
      </x:c>
      <x:c r="I1916" s="9" t="n">
        <x:f>'Physical_Arcs'!R56</x:f>
        <x:v>4.166666666666667</x:v>
      </x:c>
      <x:c r="J1916" s="9" t="n">
        <x:f>I1916*'Parameters'!$C$18</x:f>
        <x:v>0.8333333333333335</x:v>
      </x:c>
      <x:c r="K1916" s="9" t="n">
        <x:f>J1916*'Parameters'!$C$19</x:f>
        <x:v>1.041666666666667</x:v>
      </x:c>
      <x:c r="L1916" s="9" t="n">
        <x:f>I1916*(1-0.40)-J1916</x:f>
        <x:v>1.6666666666666665</x:v>
      </x:c>
      <x:c r="M1916" s="9" t="n">
        <x:f>'Physical_Arcs'!S56</x:f>
        <x:v>4.166666666666667</x:v>
      </x:c>
      <x:c r="N1916" s="9" t="n">
        <x:f>M1916*'Parameters'!$C$18</x:f>
        <x:v>0.8333333333333335</x:v>
      </x:c>
      <x:c r="O1916" s="9" t="n">
        <x:f>N1916*'Parameters'!$C$19</x:f>
        <x:v>1.041666666666667</x:v>
      </x:c>
      <x:c r="P1916" s="9" t="n">
        <x:f>M1916*(1-0.40)-N1916</x:f>
        <x:v>1.6666666666666665</x:v>
      </x:c>
      <x:c r="Q1916" s="9" t="n">
        <x:f>'Physical_Arcs'!T56</x:f>
        <x:v>2.0833333333333335</x:v>
      </x:c>
      <x:c r="R1916" s="9" t="n">
        <x:f>Q1916*'Parameters'!$C$18</x:f>
        <x:v>0.41666666666666674</x:v>
      </x:c>
      <x:c r="S1916" s="9" t="n">
        <x:f>R1916*'Parameters'!$C$19</x:f>
        <x:v>0.5208333333333335</x:v>
      </x:c>
      <x:c r="T1916" s="9" t="n">
        <x:f>Q1916*(1-0.40)-R1916</x:f>
        <x:v>0.8333333333333333</x:v>
      </x:c>
    </x:row>
    <x:row r="1917" ht="21" customHeight="1">
      <x:c r="A1917" s="3" t="n">
        <x:v>31</x:v>
      </x:c>
      <x:c r="B1917" s="3" t="str">
        <x:v>05:10</x:v>
      </x:c>
      <x:c r="C1917" s="3" t="n">
        <x:v>6</x:v>
      </x:c>
      <x:c r="D1917" s="3" t="n">
        <x:v>56</x:v>
      </x:c>
      <x:c r="E1917" s="3" t="n">
        <x:v>9</x:v>
      </x:c>
      <x:c r="F1917" s="3" t="n">
        <x:v>3</x:v>
      </x:c>
      <x:c r="G1917" s="9" t="n">
        <x:v>0.15</x:v>
      </x:c>
      <x:c r="H1917" s="9" t="n">
        <x:v>0.893428</x:v>
      </x:c>
      <x:c r="I1917" s="9" t="n">
        <x:f>'Physical_Arcs'!R57</x:f>
        <x:v>3.7222222222222223</x:v>
      </x:c>
      <x:c r="J1917" s="9" t="n">
        <x:f>I1917*'Parameters'!$C$18</x:f>
        <x:v>0.7444444444444445</x:v>
      </x:c>
      <x:c r="K1917" s="9" t="n">
        <x:f>J1917*'Parameters'!$C$19</x:f>
        <x:v>0.9305555555555556</x:v>
      </x:c>
      <x:c r="L1917" s="9" t="n">
        <x:f>I1917*(1-0.40)-J1917</x:f>
        <x:v>1.488888888888889</x:v>
      </x:c>
      <x:c r="M1917" s="9" t="n">
        <x:f>'Physical_Arcs'!S57</x:f>
        <x:v>3.7222222222222223</x:v>
      </x:c>
      <x:c r="N1917" s="9" t="n">
        <x:f>M1917*'Parameters'!$C$18</x:f>
        <x:v>0.7444444444444445</x:v>
      </x:c>
      <x:c r="O1917" s="9" t="n">
        <x:f>N1917*'Parameters'!$C$19</x:f>
        <x:v>0.9305555555555556</x:v>
      </x:c>
      <x:c r="P1917" s="9" t="n">
        <x:f>M1917*(1-0.40)-N1917</x:f>
        <x:v>1.488888888888889</x:v>
      </x:c>
      <x:c r="Q1917" s="9" t="n">
        <x:f>'Physical_Arcs'!T57</x:f>
        <x:v>1.8611111111111112</x:v>
      </x:c>
      <x:c r="R1917" s="9" t="n">
        <x:f>Q1917*'Parameters'!$C$18</x:f>
        <x:v>0.37222222222222223</x:v>
      </x:c>
      <x:c r="S1917" s="9" t="n">
        <x:f>R1917*'Parameters'!$C$19</x:f>
        <x:v>0.4652777777777778</x:v>
      </x:c>
      <x:c r="T1917" s="9" t="n">
        <x:f>Q1917*(1-0.40)-R1917</x:f>
        <x:v>0.7444444444444445</x:v>
      </x:c>
    </x:row>
    <x:row r="1918" ht="21" customHeight="1">
      <x:c r="A1918" s="3" t="n">
        <x:v>31</x:v>
      </x:c>
      <x:c r="B1918" s="3" t="str">
        <x:v>05:10</x:v>
      </x:c>
      <x:c r="C1918" s="3" t="n">
        <x:v>6</x:v>
      </x:c>
      <x:c r="D1918" s="3" t="n">
        <x:v>57</x:v>
      </x:c>
      <x:c r="E1918" s="3" t="n">
        <x:v>10</x:v>
      </x:c>
      <x:c r="F1918" s="3" t="n">
        <x:v>1</x:v>
      </x:c>
      <x:c r="G1918" s="9" t="n">
        <x:v>0.15</x:v>
      </x:c>
      <x:c r="H1918" s="9" t="n">
        <x:v>1.027979</x:v>
      </x:c>
      <x:c r="I1918" s="9" t="n">
        <x:f>'Physical_Arcs'!R58</x:f>
        <x:v>17.02777777777778</x:v>
      </x:c>
      <x:c r="J1918" s="9" t="n">
        <x:f>I1918*'Parameters'!$C$18</x:f>
        <x:v>3.405555555555556</x:v>
      </x:c>
      <x:c r="K1918" s="9" t="n">
        <x:f>J1918*'Parameters'!$C$19</x:f>
        <x:v>4.256944444444445</x:v>
      </x:c>
      <x:c r="L1918" s="9" t="n">
        <x:f>I1918*(1-0.40)-J1918</x:f>
        <x:v>6.811111111111111</x:v>
      </x:c>
      <x:c r="M1918" s="9" t="n">
        <x:f>'Physical_Arcs'!S58</x:f>
        <x:v>17.02777777777778</x:v>
      </x:c>
      <x:c r="N1918" s="9" t="n">
        <x:f>M1918*'Parameters'!$C$18</x:f>
        <x:v>3.405555555555556</x:v>
      </x:c>
      <x:c r="O1918" s="9" t="n">
        <x:f>N1918*'Parameters'!$C$19</x:f>
        <x:v>4.256944444444445</x:v>
      </x:c>
      <x:c r="P1918" s="9" t="n">
        <x:f>M1918*(1-0.40)-N1918</x:f>
        <x:v>6.811111111111111</x:v>
      </x:c>
      <x:c r="Q1918" s="9" t="n">
        <x:f>'Physical_Arcs'!T58</x:f>
        <x:v>17.02777777777778</x:v>
      </x:c>
      <x:c r="R1918" s="9" t="n">
        <x:f>Q1918*'Parameters'!$C$18</x:f>
        <x:v>3.405555555555556</x:v>
      </x:c>
      <x:c r="S1918" s="9" t="n">
        <x:f>R1918*'Parameters'!$C$19</x:f>
        <x:v>4.256944444444445</x:v>
      </x:c>
      <x:c r="T1918" s="9" t="n">
        <x:f>Q1918*(1-0.40)-R1918</x:f>
        <x:v>6.811111111111111</x:v>
      </x:c>
    </x:row>
    <x:row r="1919" ht="21" customHeight="1">
      <x:c r="A1919" s="3" t="n">
        <x:v>31</x:v>
      </x:c>
      <x:c r="B1919" s="3" t="str">
        <x:v>05:10</x:v>
      </x:c>
      <x:c r="C1919" s="3" t="n">
        <x:v>6</x:v>
      </x:c>
      <x:c r="D1919" s="3" t="n">
        <x:v>58</x:v>
      </x:c>
      <x:c r="E1919" s="3" t="n">
        <x:v>10</x:v>
      </x:c>
      <x:c r="F1919" s="3" t="n">
        <x:v>6</x:v>
      </x:c>
      <x:c r="G1919" s="9" t="n">
        <x:v>0.15</x:v>
      </x:c>
      <x:c r="H1919" s="9" t="n">
        <x:v>0.952676</x:v>
      </x:c>
      <x:c r="I1919" s="9" t="n">
        <x:f>'Physical_Arcs'!R59</x:f>
        <x:v>6.305555555555555</x:v>
      </x:c>
      <x:c r="J1919" s="9" t="n">
        <x:f>I1919*'Parameters'!$C$18</x:f>
        <x:v>1.261111111111111</x:v>
      </x:c>
      <x:c r="K1919" s="9" t="n">
        <x:f>J1919*'Parameters'!$C$19</x:f>
        <x:v>1.5763888888888888</x:v>
      </x:c>
      <x:c r="L1919" s="9" t="n">
        <x:f>I1919*(1-0.40)-J1919</x:f>
        <x:v>2.522222222222222</x:v>
      </x:c>
      <x:c r="M1919" s="9" t="n">
        <x:f>'Physical_Arcs'!S59</x:f>
        <x:v>6.305555555555555</x:v>
      </x:c>
      <x:c r="N1919" s="9" t="n">
        <x:f>M1919*'Parameters'!$C$18</x:f>
        <x:v>1.261111111111111</x:v>
      </x:c>
      <x:c r="O1919" s="9" t="n">
        <x:f>N1919*'Parameters'!$C$19</x:f>
        <x:v>1.5763888888888888</x:v>
      </x:c>
      <x:c r="P1919" s="9" t="n">
        <x:f>M1919*(1-0.40)-N1919</x:f>
        <x:v>2.522222222222222</x:v>
      </x:c>
      <x:c r="Q1919" s="9" t="n">
        <x:f>'Physical_Arcs'!T59</x:f>
        <x:v>3.1666666666666665</x:v>
      </x:c>
      <x:c r="R1919" s="9" t="n">
        <x:f>Q1919*'Parameters'!$C$18</x:f>
        <x:v>0.6333333333333333</x:v>
      </x:c>
      <x:c r="S1919" s="9" t="n">
        <x:f>R1919*'Parameters'!$C$19</x:f>
        <x:v>0.7916666666666666</x:v>
      </x:c>
      <x:c r="T1919" s="9" t="n">
        <x:f>Q1919*(1-0.40)-R1919</x:f>
        <x:v>1.2666666666666666</x:v>
      </x:c>
    </x:row>
    <x:row r="1920" ht="21" customHeight="1">
      <x:c r="A1920" s="3" t="n">
        <x:v>31</x:v>
      </x:c>
      <x:c r="B1920" s="3" t="str">
        <x:v>05:10</x:v>
      </x:c>
      <x:c r="C1920" s="3" t="n">
        <x:v>6</x:v>
      </x:c>
      <x:c r="D1920" s="3" t="n">
        <x:v>59</x:v>
      </x:c>
      <x:c r="E1920" s="3" t="n">
        <x:v>10</x:v>
      </x:c>
      <x:c r="F1920" s="3" t="n">
        <x:v>4</x:v>
      </x:c>
      <x:c r="G1920" s="9" t="n">
        <x:v>0.15</x:v>
      </x:c>
      <x:c r="H1920" s="9" t="n">
        <x:v>1.114542</x:v>
      </x:c>
      <x:c r="I1920" s="9" t="n">
        <x:f>'Physical_Arcs'!R60</x:f>
        <x:v>1.5833333333333333</x:v>
      </x:c>
      <x:c r="J1920" s="9" t="n">
        <x:f>I1920*'Parameters'!$C$18</x:f>
        <x:v>0.31666666666666665</x:v>
      </x:c>
      <x:c r="K1920" s="9" t="n">
        <x:f>J1920*'Parameters'!$C$19</x:f>
        <x:v>0.3958333333333333</x:v>
      </x:c>
      <x:c r="L1920" s="9" t="n">
        <x:f>I1920*(1-0.40)-J1920</x:f>
        <x:v>0.6333333333333333</x:v>
      </x:c>
      <x:c r="M1920" s="9" t="n">
        <x:f>'Physical_Arcs'!S60</x:f>
        <x:v>1.5833333333333333</x:v>
      </x:c>
      <x:c r="N1920" s="9" t="n">
        <x:f>M1920*'Parameters'!$C$18</x:f>
        <x:v>0.31666666666666665</x:v>
      </x:c>
      <x:c r="O1920" s="9" t="n">
        <x:f>N1920*'Parameters'!$C$19</x:f>
        <x:v>0.3958333333333333</x:v>
      </x:c>
      <x:c r="P1920" s="9" t="n">
        <x:f>M1920*(1-0.40)-N1920</x:f>
        <x:v>0.6333333333333333</x:v>
      </x:c>
      <x:c r="Q1920" s="9" t="n">
        <x:f>'Physical_Arcs'!T60</x:f>
        <x:v>0.8055555555555556</x:v>
      </x:c>
      <x:c r="R1920" s="9" t="n">
        <x:f>Q1920*'Parameters'!$C$18</x:f>
        <x:v>0.16111111111111112</x:v>
      </x:c>
      <x:c r="S1920" s="9" t="n">
        <x:f>R1920*'Parameters'!$C$19</x:f>
        <x:v>0.2013888888888889</x:v>
      </x:c>
      <x:c r="T1920" s="9" t="n">
        <x:f>Q1920*(1-0.40)-R1920</x:f>
        <x:v>0.3222222222222222</x:v>
      </x:c>
    </x:row>
    <x:row r="1921" ht="21" customHeight="1">
      <x:c r="A1921" s="3" t="n">
        <x:v>31</x:v>
      </x:c>
      <x:c r="B1921" s="3" t="str">
        <x:v>05:10</x:v>
      </x:c>
      <x:c r="C1921" s="3" t="n">
        <x:v>6</x:v>
      </x:c>
      <x:c r="D1921" s="3" t="n">
        <x:v>60</x:v>
      </x:c>
      <x:c r="E1921" s="3" t="n">
        <x:v>10</x:v>
      </x:c>
      <x:c r="F1921" s="3" t="n">
        <x:v>9</x:v>
      </x:c>
      <x:c r="G1921" s="9" t="n">
        <x:v>0.15</x:v>
      </x:c>
      <x:c r="H1921" s="9" t="n">
        <x:v>1.092245</x:v>
      </x:c>
      <x:c r="I1921" s="9" t="n">
        <x:f>'Physical_Arcs'!R61</x:f>
        <x:v>10.333333333333334</x:v>
      </x:c>
      <x:c r="J1921" s="9" t="n">
        <x:f>I1921*'Parameters'!$C$18</x:f>
        <x:v>2.066666666666667</x:v>
      </x:c>
      <x:c r="K1921" s="9" t="n">
        <x:f>J1921*'Parameters'!$C$19</x:f>
        <x:v>2.5833333333333335</x:v>
      </x:c>
      <x:c r="L1921" s="9" t="n">
        <x:f>I1921*(1-0.40)-J1921</x:f>
        <x:v>4.133333333333333</x:v>
      </x:c>
      <x:c r="M1921" s="9" t="n">
        <x:f>'Physical_Arcs'!S61</x:f>
        <x:v>10.333333333333334</x:v>
      </x:c>
      <x:c r="N1921" s="9" t="n">
        <x:f>M1921*'Parameters'!$C$18</x:f>
        <x:v>2.066666666666667</x:v>
      </x:c>
      <x:c r="O1921" s="9" t="n">
        <x:f>N1921*'Parameters'!$C$19</x:f>
        <x:v>2.5833333333333335</x:v>
      </x:c>
      <x:c r="P1921" s="9" t="n">
        <x:f>M1921*(1-0.40)-N1921</x:f>
        <x:v>4.133333333333333</x:v>
      </x:c>
      <x:c r="Q1921" s="9" t="n">
        <x:f>'Physical_Arcs'!T61</x:f>
        <x:v>5.166666666666667</x:v>
      </x:c>
      <x:c r="R1921" s="9" t="n">
        <x:f>Q1921*'Parameters'!$C$18</x:f>
        <x:v>1.0333333333333334</x:v>
      </x:c>
      <x:c r="S1921" s="9" t="n">
        <x:f>R1921*'Parameters'!$C$19</x:f>
        <x:v>1.2916666666666667</x:v>
      </x:c>
      <x:c r="T1921" s="9" t="n">
        <x:f>Q1921*(1-0.40)-R1921</x:f>
        <x:v>2.0666666666666664</x:v>
      </x:c>
    </x:row>
    <x:row r="1922" ht="21" customHeight="1">
      <x:c r="A1922" s="3" t="n">
        <x:v>32</x:v>
      </x:c>
      <x:c r="B1922" s="3" t="str">
        <x:v>05:20</x:v>
      </x:c>
      <x:c r="C1922" s="3" t="n">
        <x:v>6</x:v>
      </x:c>
      <x:c r="D1922" s="3" t="n">
        <x:v>1</x:v>
      </x:c>
      <x:c r="E1922" s="3" t="n">
        <x:v>1</x:v>
      </x:c>
      <x:c r="F1922" s="3" t="n">
        <x:v>2</x:v>
      </x:c>
      <x:c r="G1922" s="9" t="n">
        <x:v>0.15</x:v>
      </x:c>
      <x:c r="H1922" s="9" t="n">
        <x:v>0.914787</x:v>
      </x:c>
      <x:c r="I1922" s="9" t="n">
        <x:f>'Physical_Arcs'!R2</x:f>
        <x:v>17.02777777777778</x:v>
      </x:c>
      <x:c r="J1922" s="9" t="n">
        <x:f>I1922*'Parameters'!$C$18</x:f>
        <x:v>3.405555555555556</x:v>
      </x:c>
      <x:c r="K1922" s="9" t="n">
        <x:f>J1922*'Parameters'!$C$19</x:f>
        <x:v>4.256944444444445</x:v>
      </x:c>
      <x:c r="L1922" s="9" t="n">
        <x:f>I1922*(1-0.40)-J1922</x:f>
        <x:v>6.811111111111111</x:v>
      </x:c>
      <x:c r="M1922" s="9" t="n">
        <x:f>'Physical_Arcs'!S2</x:f>
        <x:v>17.02777777777778</x:v>
      </x:c>
      <x:c r="N1922" s="9" t="n">
        <x:f>M1922*'Parameters'!$C$18</x:f>
        <x:v>3.405555555555556</x:v>
      </x:c>
      <x:c r="O1922" s="9" t="n">
        <x:f>N1922*'Parameters'!$C$19</x:f>
        <x:v>4.256944444444445</x:v>
      </x:c>
      <x:c r="P1922" s="9" t="n">
        <x:f>M1922*(1-0.40)-N1922</x:f>
        <x:v>6.811111111111111</x:v>
      </x:c>
      <x:c r="Q1922" s="9" t="n">
        <x:f>'Physical_Arcs'!T2</x:f>
        <x:v>17.02777777777778</x:v>
      </x:c>
      <x:c r="R1922" s="9" t="n">
        <x:f>Q1922*'Parameters'!$C$18</x:f>
        <x:v>3.405555555555556</x:v>
      </x:c>
      <x:c r="S1922" s="9" t="n">
        <x:f>R1922*'Parameters'!$C$19</x:f>
        <x:v>4.256944444444445</x:v>
      </x:c>
      <x:c r="T1922" s="9" t="n">
        <x:f>Q1922*(1-0.40)-R1922</x:f>
        <x:v>6.811111111111111</x:v>
      </x:c>
    </x:row>
    <x:row r="1923" ht="21" customHeight="1">
      <x:c r="A1923" s="3" t="n">
        <x:v>32</x:v>
      </x:c>
      <x:c r="B1923" s="3" t="str">
        <x:v>05:20</x:v>
      </x:c>
      <x:c r="C1923" s="3" t="n">
        <x:v>6</x:v>
      </x:c>
      <x:c r="D1923" s="3" t="n">
        <x:v>2</x:v>
      </x:c>
      <x:c r="E1923" s="3" t="n">
        <x:v>1</x:v>
      </x:c>
      <x:c r="F1923" s="3" t="n">
        <x:v>10</x:v>
      </x:c>
      <x:c r="G1923" s="9" t="n">
        <x:v>0.15</x:v>
      </x:c>
      <x:c r="H1923" s="9" t="n">
        <x:v>1.003995</x:v>
      </x:c>
      <x:c r="I1923" s="9" t="n">
        <x:f>'Physical_Arcs'!R3</x:f>
        <x:v>3.2777777777777777</x:v>
      </x:c>
      <x:c r="J1923" s="9" t="n">
        <x:f>I1923*'Parameters'!$C$18</x:f>
        <x:v>0.6555555555555556</x:v>
      </x:c>
      <x:c r="K1923" s="9" t="n">
        <x:f>J1923*'Parameters'!$C$19</x:f>
        <x:v>0.8194444444444444</x:v>
      </x:c>
      <x:c r="L1923" s="9" t="n">
        <x:f>I1923*(1-0.40)-J1923</x:f>
        <x:v>1.311111111111111</x:v>
      </x:c>
      <x:c r="M1923" s="9" t="n">
        <x:f>'Physical_Arcs'!S3</x:f>
        <x:v>3.2777777777777777</x:v>
      </x:c>
      <x:c r="N1923" s="9" t="n">
        <x:f>M1923*'Parameters'!$C$18</x:f>
        <x:v>0.6555555555555556</x:v>
      </x:c>
      <x:c r="O1923" s="9" t="n">
        <x:f>N1923*'Parameters'!$C$19</x:f>
        <x:v>0.8194444444444444</x:v>
      </x:c>
      <x:c r="P1923" s="9" t="n">
        <x:f>M1923*(1-0.40)-N1923</x:f>
        <x:v>1.311111111111111</x:v>
      </x:c>
      <x:c r="Q1923" s="9" t="n">
        <x:f>'Physical_Arcs'!T3</x:f>
        <x:v>1.6388888888888888</x:v>
      </x:c>
      <x:c r="R1923" s="9" t="n">
        <x:f>Q1923*'Parameters'!$C$18</x:f>
        <x:v>0.3277777777777778</x:v>
      </x:c>
      <x:c r="S1923" s="9" t="n">
        <x:f>R1923*'Parameters'!$C$19</x:f>
        <x:v>0.4097222222222222</x:v>
      </x:c>
      <x:c r="T1923" s="9" t="n">
        <x:f>Q1923*(1-0.40)-R1923</x:f>
        <x:v>0.6555555555555554</x:v>
      </x:c>
    </x:row>
    <x:row r="1924" ht="21" customHeight="1">
      <x:c r="A1924" s="3" t="n">
        <x:v>32</x:v>
      </x:c>
      <x:c r="B1924" s="3" t="str">
        <x:v>05:20</x:v>
      </x:c>
      <x:c r="C1924" s="3" t="n">
        <x:v>6</x:v>
      </x:c>
      <x:c r="D1924" s="3" t="n">
        <x:v>3</x:v>
      </x:c>
      <x:c r="E1924" s="3" t="n">
        <x:v>1</x:v>
      </x:c>
      <x:c r="F1924" s="3" t="n">
        <x:v>8</x:v>
      </x:c>
      <x:c r="G1924" s="9" t="n">
        <x:v>0.15</x:v>
      </x:c>
      <x:c r="H1924" s="9" t="n">
        <x:v>0.923863</x:v>
      </x:c>
      <x:c r="I1924" s="9" t="n">
        <x:f>'Physical_Arcs'!R4</x:f>
        <x:v>6.083333333333333</x:v>
      </x:c>
      <x:c r="J1924" s="9" t="n">
        <x:f>I1924*'Parameters'!$C$18</x:f>
        <x:v>1.2166666666666668</x:v>
      </x:c>
      <x:c r="K1924" s="9" t="n">
        <x:f>J1924*'Parameters'!$C$19</x:f>
        <x:v>1.5208333333333335</x:v>
      </x:c>
      <x:c r="L1924" s="9" t="n">
        <x:f>I1924*(1-0.40)-J1924</x:f>
        <x:v>2.4333333333333327</x:v>
      </x:c>
      <x:c r="M1924" s="9" t="n">
        <x:f>'Physical_Arcs'!S4</x:f>
        <x:v>6.083333333333333</x:v>
      </x:c>
      <x:c r="N1924" s="9" t="n">
        <x:f>M1924*'Parameters'!$C$18</x:f>
        <x:v>1.2166666666666668</x:v>
      </x:c>
      <x:c r="O1924" s="9" t="n">
        <x:f>N1924*'Parameters'!$C$19</x:f>
        <x:v>1.5208333333333335</x:v>
      </x:c>
      <x:c r="P1924" s="9" t="n">
        <x:f>M1924*(1-0.40)-N1924</x:f>
        <x:v>2.4333333333333327</x:v>
      </x:c>
      <x:c r="Q1924" s="9" t="n">
        <x:f>'Physical_Arcs'!T4</x:f>
        <x:v>3.0555555555555554</x:v>
      </x:c>
      <x:c r="R1924" s="9" t="n">
        <x:f>Q1924*'Parameters'!$C$18</x:f>
        <x:v>0.6111111111111112</x:v>
      </x:c>
      <x:c r="S1924" s="9" t="n">
        <x:f>R1924*'Parameters'!$C$19</x:f>
        <x:v>0.763888888888889</x:v>
      </x:c>
      <x:c r="T1924" s="9" t="n">
        <x:f>Q1924*(1-0.40)-R1924</x:f>
        <x:v>1.2222222222222219</x:v>
      </x:c>
    </x:row>
    <x:row r="1925" ht="21" customHeight="1">
      <x:c r="A1925" s="3" t="n">
        <x:v>32</x:v>
      </x:c>
      <x:c r="B1925" s="3" t="str">
        <x:v>05:20</x:v>
      </x:c>
      <x:c r="C1925" s="3" t="n">
        <x:v>6</x:v>
      </x:c>
      <x:c r="D1925" s="3" t="n">
        <x:v>4</x:v>
      </x:c>
      <x:c r="E1925" s="3" t="n">
        <x:v>1</x:v>
      </x:c>
      <x:c r="F1925" s="3" t="n">
        <x:v>7</x:v>
      </x:c>
      <x:c r="G1925" s="9" t="n">
        <x:v>0.15</x:v>
      </x:c>
      <x:c r="H1925" s="9" t="n">
        <x:v>1.111072</x:v>
      </x:c>
      <x:c r="I1925" s="9" t="n">
        <x:f>'Physical_Arcs'!R5</x:f>
        <x:v>9</x:v>
      </x:c>
      <x:c r="J1925" s="9" t="n">
        <x:f>I1925*'Parameters'!$C$18</x:f>
        <x:v>1.8</x:v>
      </x:c>
      <x:c r="K1925" s="9" t="n">
        <x:f>J1925*'Parameters'!$C$19</x:f>
        <x:v>2.25</x:v>
      </x:c>
      <x:c r="L1925" s="9" t="n">
        <x:f>I1925*(1-0.40)-J1925</x:f>
        <x:v>3.5999999999999996</x:v>
      </x:c>
      <x:c r="M1925" s="9" t="n">
        <x:f>'Physical_Arcs'!S5</x:f>
        <x:v>9</x:v>
      </x:c>
      <x:c r="N1925" s="9" t="n">
        <x:f>M1925*'Parameters'!$C$18</x:f>
        <x:v>1.8</x:v>
      </x:c>
      <x:c r="O1925" s="9" t="n">
        <x:f>N1925*'Parameters'!$C$19</x:f>
        <x:v>2.25</x:v>
      </x:c>
      <x:c r="P1925" s="9" t="n">
        <x:f>M1925*(1-0.40)-N1925</x:f>
        <x:v>3.5999999999999996</x:v>
      </x:c>
      <x:c r="Q1925" s="9" t="n">
        <x:f>'Physical_Arcs'!T5</x:f>
        <x:v>4.5</x:v>
      </x:c>
      <x:c r="R1925" s="9" t="n">
        <x:f>Q1925*'Parameters'!$C$18</x:f>
        <x:v>0.9</x:v>
      </x:c>
      <x:c r="S1925" s="9" t="n">
        <x:f>R1925*'Parameters'!$C$19</x:f>
        <x:v>1.125</x:v>
      </x:c>
      <x:c r="T1925" s="9" t="n">
        <x:f>Q1925*(1-0.40)-R1925</x:f>
        <x:v>1.7999999999999998</x:v>
      </x:c>
    </x:row>
    <x:row r="1926" ht="21" customHeight="1">
      <x:c r="A1926" s="3" t="n">
        <x:v>32</x:v>
      </x:c>
      <x:c r="B1926" s="3" t="str">
        <x:v>05:20</x:v>
      </x:c>
      <x:c r="C1926" s="3" t="n">
        <x:v>6</x:v>
      </x:c>
      <x:c r="D1926" s="3" t="n">
        <x:v>5</x:v>
      </x:c>
      <x:c r="E1926" s="3" t="n">
        <x:v>1</x:v>
      </x:c>
      <x:c r="F1926" s="3" t="n">
        <x:v>4</x:v>
      </x:c>
      <x:c r="G1926" s="9" t="n">
        <x:v>0.15</x:v>
      </x:c>
      <x:c r="H1926" s="9" t="n">
        <x:v>1.001665</x:v>
      </x:c>
      <x:c r="I1926" s="9" t="n">
        <x:f>'Physical_Arcs'!R6</x:f>
        <x:v>4.166666666666667</x:v>
      </x:c>
      <x:c r="J1926" s="9" t="n">
        <x:f>I1926*'Parameters'!$C$18</x:f>
        <x:v>0.8333333333333335</x:v>
      </x:c>
      <x:c r="K1926" s="9" t="n">
        <x:f>J1926*'Parameters'!$C$19</x:f>
        <x:v>1.041666666666667</x:v>
      </x:c>
      <x:c r="L1926" s="9" t="n">
        <x:f>I1926*(1-0.40)-J1926</x:f>
        <x:v>1.6666666666666665</x:v>
      </x:c>
      <x:c r="M1926" s="9" t="n">
        <x:f>'Physical_Arcs'!S6</x:f>
        <x:v>4.166666666666667</x:v>
      </x:c>
      <x:c r="N1926" s="9" t="n">
        <x:f>M1926*'Parameters'!$C$18</x:f>
        <x:v>0.8333333333333335</x:v>
      </x:c>
      <x:c r="O1926" s="9" t="n">
        <x:f>N1926*'Parameters'!$C$19</x:f>
        <x:v>1.041666666666667</x:v>
      </x:c>
      <x:c r="P1926" s="9" t="n">
        <x:f>M1926*(1-0.40)-N1926</x:f>
        <x:v>1.6666666666666665</x:v>
      </x:c>
      <x:c r="Q1926" s="9" t="n">
        <x:f>'Physical_Arcs'!T6</x:f>
        <x:v>2.0833333333333335</x:v>
      </x:c>
      <x:c r="R1926" s="9" t="n">
        <x:f>Q1926*'Parameters'!$C$18</x:f>
        <x:v>0.41666666666666674</x:v>
      </x:c>
      <x:c r="S1926" s="9" t="n">
        <x:f>R1926*'Parameters'!$C$19</x:f>
        <x:v>0.5208333333333335</x:v>
      </x:c>
      <x:c r="T1926" s="9" t="n">
        <x:f>Q1926*(1-0.40)-R1926</x:f>
        <x:v>0.8333333333333333</x:v>
      </x:c>
    </x:row>
    <x:row r="1927" ht="21" customHeight="1">
      <x:c r="A1927" s="3" t="n">
        <x:v>32</x:v>
      </x:c>
      <x:c r="B1927" s="3" t="str">
        <x:v>05:20</x:v>
      </x:c>
      <x:c r="C1927" s="3" t="n">
        <x:v>6</x:v>
      </x:c>
      <x:c r="D1927" s="3" t="n">
        <x:v>6</x:v>
      </x:c>
      <x:c r="E1927" s="3" t="n">
        <x:v>1</x:v>
      </x:c>
      <x:c r="F1927" s="3" t="n">
        <x:v>9</x:v>
      </x:c>
      <x:c r="G1927" s="9" t="n">
        <x:v>0.15</x:v>
      </x:c>
      <x:c r="H1927" s="9" t="n">
        <x:v>0.942884</x:v>
      </x:c>
      <x:c r="I1927" s="9" t="n">
        <x:f>'Physical_Arcs'!R7</x:f>
        <x:v>11.027777777777779</x:v>
      </x:c>
      <x:c r="J1927" s="9" t="n">
        <x:f>I1927*'Parameters'!$C$18</x:f>
        <x:v>2.2055555555555557</x:v>
      </x:c>
      <x:c r="K1927" s="9" t="n">
        <x:f>J1927*'Parameters'!$C$19</x:f>
        <x:v>2.7569444444444446</x:v>
      </x:c>
      <x:c r="L1927" s="9" t="n">
        <x:f>I1927*(1-0.40)-J1927</x:f>
        <x:v>4.411111111111111</x:v>
      </x:c>
      <x:c r="M1927" s="9" t="n">
        <x:f>'Physical_Arcs'!S7</x:f>
        <x:v>11.027777777777779</x:v>
      </x:c>
      <x:c r="N1927" s="9" t="n">
        <x:f>M1927*'Parameters'!$C$18</x:f>
        <x:v>2.2055555555555557</x:v>
      </x:c>
      <x:c r="O1927" s="9" t="n">
        <x:f>N1927*'Parameters'!$C$19</x:f>
        <x:v>2.7569444444444446</x:v>
      </x:c>
      <x:c r="P1927" s="9" t="n">
        <x:f>M1927*(1-0.40)-N1927</x:f>
        <x:v>4.411111111111111</x:v>
      </x:c>
      <x:c r="Q1927" s="9" t="n">
        <x:f>'Physical_Arcs'!T7</x:f>
        <x:v>5.527777777777778</x:v>
      </x:c>
      <x:c r="R1927" s="9" t="n">
        <x:f>Q1927*'Parameters'!$C$18</x:f>
        <x:v>1.1055555555555556</x:v>
      </x:c>
      <x:c r="S1927" s="9" t="n">
        <x:f>R1927*'Parameters'!$C$19</x:f>
        <x:v>1.3819444444444446</x:v>
      </x:c>
      <x:c r="T1927" s="9" t="n">
        <x:f>Q1927*(1-0.40)-R1927</x:f>
        <x:v>2.211111111111111</x:v>
      </x:c>
    </x:row>
    <x:row r="1928" ht="21" customHeight="1">
      <x:c r="A1928" s="3" t="n">
        <x:v>32</x:v>
      </x:c>
      <x:c r="B1928" s="3" t="str">
        <x:v>05:20</x:v>
      </x:c>
      <x:c r="C1928" s="3" t="n">
        <x:v>6</x:v>
      </x:c>
      <x:c r="D1928" s="3" t="n">
        <x:v>7</x:v>
      </x:c>
      <x:c r="E1928" s="3" t="n">
        <x:v>1</x:v>
      </x:c>
      <x:c r="F1928" s="3" t="n">
        <x:v>5</x:v>
      </x:c>
      <x:c r="G1928" s="9" t="n">
        <x:v>0.15</x:v>
      </x:c>
      <x:c r="H1928" s="9" t="n">
        <x:v>1.038222</x:v>
      </x:c>
      <x:c r="I1928" s="9" t="n">
        <x:f>'Physical_Arcs'!R8</x:f>
        <x:v>7.972222222222222</x:v>
      </x:c>
      <x:c r="J1928" s="9" t="n">
        <x:f>I1928*'Parameters'!$C$18</x:f>
        <x:v>1.5944444444444446</x:v>
      </x:c>
      <x:c r="K1928" s="9" t="n">
        <x:f>J1928*'Parameters'!$C$19</x:f>
        <x:v>1.9930555555555558</x:v>
      </x:c>
      <x:c r="L1928" s="9" t="n">
        <x:f>I1928*(1-0.40)-J1928</x:f>
        <x:v>3.1888888888888887</x:v>
      </x:c>
      <x:c r="M1928" s="9" t="n">
        <x:f>'Physical_Arcs'!S8</x:f>
        <x:v>7.972222222222222</x:v>
      </x:c>
      <x:c r="N1928" s="9" t="n">
        <x:f>M1928*'Parameters'!$C$18</x:f>
        <x:v>1.5944444444444446</x:v>
      </x:c>
      <x:c r="O1928" s="9" t="n">
        <x:f>N1928*'Parameters'!$C$19</x:f>
        <x:v>1.9930555555555558</x:v>
      </x:c>
      <x:c r="P1928" s="9" t="n">
        <x:f>M1928*(1-0.40)-N1928</x:f>
        <x:v>3.1888888888888887</x:v>
      </x:c>
      <x:c r="Q1928" s="9" t="n">
        <x:f>'Physical_Arcs'!T8</x:f>
        <x:v>4</x:v>
      </x:c>
      <x:c r="R1928" s="9" t="n">
        <x:f>Q1928*'Parameters'!$C$18</x:f>
        <x:v>0.8</x:v>
      </x:c>
      <x:c r="S1928" s="9" t="n">
        <x:f>R1928*'Parameters'!$C$19</x:f>
        <x:v>1</x:v>
      </x:c>
      <x:c r="T1928" s="9" t="n">
        <x:f>Q1928*(1-0.40)-R1928</x:f>
        <x:v>1.5999999999999999</x:v>
      </x:c>
    </x:row>
    <x:row r="1929" ht="21" customHeight="1">
      <x:c r="A1929" s="3" t="n">
        <x:v>32</x:v>
      </x:c>
      <x:c r="B1929" s="3" t="str">
        <x:v>05:20</x:v>
      </x:c>
      <x:c r="C1929" s="3" t="n">
        <x:v>6</x:v>
      </x:c>
      <x:c r="D1929" s="3" t="n">
        <x:v>8</x:v>
      </x:c>
      <x:c r="E1929" s="3" t="n">
        <x:v>1</x:v>
      </x:c>
      <x:c r="F1929" s="3" t="n">
        <x:v>3</x:v>
      </x:c>
      <x:c r="G1929" s="9" t="n">
        <x:v>0.15</x:v>
      </x:c>
      <x:c r="H1929" s="9" t="n">
        <x:v>1.122297</x:v>
      </x:c>
      <x:c r="I1929" s="9" t="n">
        <x:f>'Physical_Arcs'!R9</x:f>
        <x:v>4.166666666666667</x:v>
      </x:c>
      <x:c r="J1929" s="9" t="n">
        <x:f>I1929*'Parameters'!$C$18</x:f>
        <x:v>0.8333333333333335</x:v>
      </x:c>
      <x:c r="K1929" s="9" t="n">
        <x:f>J1929*'Parameters'!$C$19</x:f>
        <x:v>1.041666666666667</x:v>
      </x:c>
      <x:c r="L1929" s="9" t="n">
        <x:f>I1929*(1-0.40)-J1929</x:f>
        <x:v>1.6666666666666665</x:v>
      </x:c>
      <x:c r="M1929" s="9" t="n">
        <x:f>'Physical_Arcs'!S9</x:f>
        <x:v>4.166666666666667</x:v>
      </x:c>
      <x:c r="N1929" s="9" t="n">
        <x:f>M1929*'Parameters'!$C$18</x:f>
        <x:v>0.8333333333333335</x:v>
      </x:c>
      <x:c r="O1929" s="9" t="n">
        <x:f>N1929*'Parameters'!$C$19</x:f>
        <x:v>1.041666666666667</x:v>
      </x:c>
      <x:c r="P1929" s="9" t="n">
        <x:f>M1929*(1-0.40)-N1929</x:f>
        <x:v>1.6666666666666665</x:v>
      </x:c>
      <x:c r="Q1929" s="9" t="n">
        <x:f>'Physical_Arcs'!T9</x:f>
        <x:v>2.0833333333333335</x:v>
      </x:c>
      <x:c r="R1929" s="9" t="n">
        <x:f>Q1929*'Parameters'!$C$18</x:f>
        <x:v>0.41666666666666674</x:v>
      </x:c>
      <x:c r="S1929" s="9" t="n">
        <x:f>R1929*'Parameters'!$C$19</x:f>
        <x:v>0.5208333333333335</x:v>
      </x:c>
      <x:c r="T1929" s="9" t="n">
        <x:f>Q1929*(1-0.40)-R1929</x:f>
        <x:v>0.8333333333333333</x:v>
      </x:c>
    </x:row>
    <x:row r="1930" ht="21" customHeight="1">
      <x:c r="A1930" s="3" t="n">
        <x:v>32</x:v>
      </x:c>
      <x:c r="B1930" s="3" t="str">
        <x:v>05:20</x:v>
      </x:c>
      <x:c r="C1930" s="3" t="n">
        <x:v>6</x:v>
      </x:c>
      <x:c r="D1930" s="3" t="n">
        <x:v>9</x:v>
      </x:c>
      <x:c r="E1930" s="3" t="n">
        <x:v>1</x:v>
      </x:c>
      <x:c r="F1930" s="3" t="n">
        <x:v>6</x:v>
      </x:c>
      <x:c r="G1930" s="9" t="n">
        <x:v>0.15</x:v>
      </x:c>
      <x:c r="H1930" s="9" t="n">
        <x:v>1.132682</x:v>
      </x:c>
      <x:c r="I1930" s="9" t="n">
        <x:f>'Physical_Arcs'!R10</x:f>
        <x:v>2.138888888888889</x:v>
      </x:c>
      <x:c r="J1930" s="9" t="n">
        <x:f>I1930*'Parameters'!$C$18</x:f>
        <x:v>0.4277777777777778</x:v>
      </x:c>
      <x:c r="K1930" s="9" t="n">
        <x:f>J1930*'Parameters'!$C$19</x:f>
        <x:v>0.5347222222222223</x:v>
      </x:c>
      <x:c r="L1930" s="9" t="n">
        <x:f>I1930*(1-0.40)-J1930</x:f>
        <x:v>0.8555555555555554</x:v>
      </x:c>
      <x:c r="M1930" s="9" t="n">
        <x:f>'Physical_Arcs'!S10</x:f>
        <x:v>2.138888888888889</x:v>
      </x:c>
      <x:c r="N1930" s="9" t="n">
        <x:f>M1930*'Parameters'!$C$18</x:f>
        <x:v>0.4277777777777778</x:v>
      </x:c>
      <x:c r="O1930" s="9" t="n">
        <x:f>N1930*'Parameters'!$C$19</x:f>
        <x:v>0.5347222222222223</x:v>
      </x:c>
      <x:c r="P1930" s="9" t="n">
        <x:f>M1930*(1-0.40)-N1930</x:f>
        <x:v>0.8555555555555554</x:v>
      </x:c>
      <x:c r="Q1930" s="9" t="n">
        <x:f>'Physical_Arcs'!T10</x:f>
        <x:v>1.0833333333333333</x:v>
      </x:c>
      <x:c r="R1930" s="9" t="n">
        <x:f>Q1930*'Parameters'!$C$18</x:f>
        <x:v>0.21666666666666667</x:v>
      </x:c>
      <x:c r="S1930" s="9" t="n">
        <x:f>R1930*'Parameters'!$C$19</x:f>
        <x:v>0.27083333333333337</x:v>
      </x:c>
      <x:c r="T1930" s="9" t="n">
        <x:f>Q1930*(1-0.40)-R1930</x:f>
        <x:v>0.43333333333333324</x:v>
      </x:c>
    </x:row>
    <x:row r="1931" ht="21" customHeight="1">
      <x:c r="A1931" s="3" t="n">
        <x:v>32</x:v>
      </x:c>
      <x:c r="B1931" s="3" t="str">
        <x:v>05:20</x:v>
      </x:c>
      <x:c r="C1931" s="3" t="n">
        <x:v>6</x:v>
      </x:c>
      <x:c r="D1931" s="3" t="n">
        <x:v>10</x:v>
      </x:c>
      <x:c r="E1931" s="3" t="n">
        <x:v>2</x:v>
      </x:c>
      <x:c r="F1931" s="3" t="n">
        <x:v>3</x:v>
      </x:c>
      <x:c r="G1931" s="9" t="n">
        <x:v>0.15</x:v>
      </x:c>
      <x:c r="H1931" s="9" t="n">
        <x:v>0.871154</x:v>
      </x:c>
      <x:c r="I1931" s="9" t="n">
        <x:f>'Physical_Arcs'!R11</x:f>
        <x:v>17.02777777777778</x:v>
      </x:c>
      <x:c r="J1931" s="9" t="n">
        <x:f>I1931*'Parameters'!$C$18</x:f>
        <x:v>3.405555555555556</x:v>
      </x:c>
      <x:c r="K1931" s="9" t="n">
        <x:f>J1931*'Parameters'!$C$19</x:f>
        <x:v>4.256944444444445</x:v>
      </x:c>
      <x:c r="L1931" s="9" t="n">
        <x:f>I1931*(1-0.40)-J1931</x:f>
        <x:v>6.811111111111111</x:v>
      </x:c>
      <x:c r="M1931" s="9" t="n">
        <x:f>'Physical_Arcs'!S11</x:f>
        <x:v>17.02777777777778</x:v>
      </x:c>
      <x:c r="N1931" s="9" t="n">
        <x:f>M1931*'Parameters'!$C$18</x:f>
        <x:v>3.405555555555556</x:v>
      </x:c>
      <x:c r="O1931" s="9" t="n">
        <x:f>N1931*'Parameters'!$C$19</x:f>
        <x:v>4.256944444444445</x:v>
      </x:c>
      <x:c r="P1931" s="9" t="n">
        <x:f>M1931*(1-0.40)-N1931</x:f>
        <x:v>6.811111111111111</x:v>
      </x:c>
      <x:c r="Q1931" s="9" t="n">
        <x:f>'Physical_Arcs'!T11</x:f>
        <x:v>17.02777777777778</x:v>
      </x:c>
      <x:c r="R1931" s="9" t="n">
        <x:f>Q1931*'Parameters'!$C$18</x:f>
        <x:v>3.405555555555556</x:v>
      </x:c>
      <x:c r="S1931" s="9" t="n">
        <x:f>R1931*'Parameters'!$C$19</x:f>
        <x:v>4.256944444444445</x:v>
      </x:c>
      <x:c r="T1931" s="9" t="n">
        <x:f>Q1931*(1-0.40)-R1931</x:f>
        <x:v>6.811111111111111</x:v>
      </x:c>
    </x:row>
    <x:row r="1932" ht="21" customHeight="1">
      <x:c r="A1932" s="3" t="n">
        <x:v>32</x:v>
      </x:c>
      <x:c r="B1932" s="3" t="str">
        <x:v>05:20</x:v>
      </x:c>
      <x:c r="C1932" s="3" t="n">
        <x:v>6</x:v>
      </x:c>
      <x:c r="D1932" s="3" t="n">
        <x:v>11</x:v>
      </x:c>
      <x:c r="E1932" s="3" t="n">
        <x:v>2</x:v>
      </x:c>
      <x:c r="F1932" s="3" t="n">
        <x:v>4</x:v>
      </x:c>
      <x:c r="G1932" s="9" t="n">
        <x:v>0.15</x:v>
      </x:c>
      <x:c r="H1932" s="9" t="n">
        <x:v>1.147412</x:v>
      </x:c>
      <x:c r="I1932" s="9" t="n">
        <x:f>'Physical_Arcs'!R12</x:f>
        <x:v>7.972222222222222</x:v>
      </x:c>
      <x:c r="J1932" s="9" t="n">
        <x:f>I1932*'Parameters'!$C$18</x:f>
        <x:v>1.5944444444444446</x:v>
      </x:c>
      <x:c r="K1932" s="9" t="n">
        <x:f>J1932*'Parameters'!$C$19</x:f>
        <x:v>1.9930555555555558</x:v>
      </x:c>
      <x:c r="L1932" s="9" t="n">
        <x:f>I1932*(1-0.40)-J1932</x:f>
        <x:v>3.1888888888888887</x:v>
      </x:c>
      <x:c r="M1932" s="9" t="n">
        <x:f>'Physical_Arcs'!S12</x:f>
        <x:v>7.972222222222222</x:v>
      </x:c>
      <x:c r="N1932" s="9" t="n">
        <x:f>M1932*'Parameters'!$C$18</x:f>
        <x:v>1.5944444444444446</x:v>
      </x:c>
      <x:c r="O1932" s="9" t="n">
        <x:f>N1932*'Parameters'!$C$19</x:f>
        <x:v>1.9930555555555558</x:v>
      </x:c>
      <x:c r="P1932" s="9" t="n">
        <x:f>M1932*(1-0.40)-N1932</x:f>
        <x:v>3.1888888888888887</x:v>
      </x:c>
      <x:c r="Q1932" s="9" t="n">
        <x:f>'Physical_Arcs'!T12</x:f>
        <x:v>4</x:v>
      </x:c>
      <x:c r="R1932" s="9" t="n">
        <x:f>Q1932*'Parameters'!$C$18</x:f>
        <x:v>0.8</x:v>
      </x:c>
      <x:c r="S1932" s="9" t="n">
        <x:f>R1932*'Parameters'!$C$19</x:f>
        <x:v>1</x:v>
      </x:c>
      <x:c r="T1932" s="9" t="n">
        <x:f>Q1932*(1-0.40)-R1932</x:f>
        <x:v>1.5999999999999999</x:v>
      </x:c>
    </x:row>
    <x:row r="1933" ht="21" customHeight="1">
      <x:c r="A1933" s="3" t="n">
        <x:v>32</x:v>
      </x:c>
      <x:c r="B1933" s="3" t="str">
        <x:v>05:20</x:v>
      </x:c>
      <x:c r="C1933" s="3" t="n">
        <x:v>6</x:v>
      </x:c>
      <x:c r="D1933" s="3" t="n">
        <x:v>12</x:v>
      </x:c>
      <x:c r="E1933" s="3" t="n">
        <x:v>2</x:v>
      </x:c>
      <x:c r="F1933" s="3" t="n">
        <x:v>7</x:v>
      </x:c>
      <x:c r="G1933" s="9" t="n">
        <x:v>0.15</x:v>
      </x:c>
      <x:c r="H1933" s="9" t="n">
        <x:v>0.96729</x:v>
      </x:c>
      <x:c r="I1933" s="9" t="n">
        <x:f>'Physical_Arcs'!R13</x:f>
        <x:v>4.611111111111111</x:v>
      </x:c>
      <x:c r="J1933" s="9" t="n">
        <x:f>I1933*'Parameters'!$C$18</x:f>
        <x:v>0.9222222222222222</x:v>
      </x:c>
      <x:c r="K1933" s="9" t="n">
        <x:f>J1933*'Parameters'!$C$19</x:f>
        <x:v>1.1527777777777777</x:v>
      </x:c>
      <x:c r="L1933" s="9" t="n">
        <x:f>I1933*(1-0.40)-J1933</x:f>
        <x:v>1.844444444444444</x:v>
      </x:c>
      <x:c r="M1933" s="9" t="n">
        <x:f>'Physical_Arcs'!S13</x:f>
        <x:v>4.611111111111111</x:v>
      </x:c>
      <x:c r="N1933" s="9" t="n">
        <x:f>M1933*'Parameters'!$C$18</x:f>
        <x:v>0.9222222222222222</x:v>
      </x:c>
      <x:c r="O1933" s="9" t="n">
        <x:f>N1933*'Parameters'!$C$19</x:f>
        <x:v>1.1527777777777777</x:v>
      </x:c>
      <x:c r="P1933" s="9" t="n">
        <x:f>M1933*(1-0.40)-N1933</x:f>
        <x:v>1.844444444444444</x:v>
      </x:c>
      <x:c r="Q1933" s="9" t="n">
        <x:f>'Physical_Arcs'!T13</x:f>
        <x:v>2.3055555555555554</x:v>
      </x:c>
      <x:c r="R1933" s="9" t="n">
        <x:f>Q1933*'Parameters'!$C$18</x:f>
        <x:v>0.4611111111111111</x:v>
      </x:c>
      <x:c r="S1933" s="9" t="n">
        <x:f>R1933*'Parameters'!$C$19</x:f>
        <x:v>0.5763888888888888</x:v>
      </x:c>
      <x:c r="T1933" s="9" t="n">
        <x:f>Q1933*(1-0.40)-R1933</x:f>
        <x:v>0.922222222222222</x:v>
      </x:c>
    </x:row>
    <x:row r="1934" ht="21" customHeight="1">
      <x:c r="A1934" s="3" t="n">
        <x:v>32</x:v>
      </x:c>
      <x:c r="B1934" s="3" t="str">
        <x:v>05:20</x:v>
      </x:c>
      <x:c r="C1934" s="3" t="n">
        <x:v>6</x:v>
      </x:c>
      <x:c r="D1934" s="3" t="n">
        <x:v>13</x:v>
      </x:c>
      <x:c r="E1934" s="3" t="n">
        <x:v>2</x:v>
      </x:c>
      <x:c r="F1934" s="3" t="n">
        <x:v>9</x:v>
      </x:c>
      <x:c r="G1934" s="9" t="n">
        <x:v>0.15</x:v>
      </x:c>
      <x:c r="H1934" s="9" t="n">
        <x:v>1.117625</x:v>
      </x:c>
      <x:c r="I1934" s="9" t="n">
        <x:f>'Physical_Arcs'!R14</x:f>
        <x:v>8.666666666666666</x:v>
      </x:c>
      <x:c r="J1934" s="9" t="n">
        <x:f>I1934*'Parameters'!$C$18</x:f>
        <x:v>1.7333333333333334</x:v>
      </x:c>
      <x:c r="K1934" s="9" t="n">
        <x:f>J1934*'Parameters'!$C$19</x:f>
        <x:v>2.166666666666667</x:v>
      </x:c>
      <x:c r="L1934" s="9" t="n">
        <x:f>I1934*(1-0.40)-J1934</x:f>
        <x:v>3.466666666666666</x:v>
      </x:c>
      <x:c r="M1934" s="9" t="n">
        <x:f>'Physical_Arcs'!S14</x:f>
        <x:v>8.666666666666666</x:v>
      </x:c>
      <x:c r="N1934" s="9" t="n">
        <x:f>M1934*'Parameters'!$C$18</x:f>
        <x:v>1.7333333333333334</x:v>
      </x:c>
      <x:c r="O1934" s="9" t="n">
        <x:f>N1934*'Parameters'!$C$19</x:f>
        <x:v>2.166666666666667</x:v>
      </x:c>
      <x:c r="P1934" s="9" t="n">
        <x:f>M1934*(1-0.40)-N1934</x:f>
        <x:v>3.466666666666666</x:v>
      </x:c>
      <x:c r="Q1934" s="9" t="n">
        <x:f>'Physical_Arcs'!T14</x:f>
        <x:v>4.333333333333333</x:v>
      </x:c>
      <x:c r="R1934" s="9" t="n">
        <x:f>Q1934*'Parameters'!$C$18</x:f>
        <x:v>0.8666666666666667</x:v>
      </x:c>
      <x:c r="S1934" s="9" t="n">
        <x:f>R1934*'Parameters'!$C$19</x:f>
        <x:v>1.0833333333333335</x:v>
      </x:c>
      <x:c r="T1934" s="9" t="n">
        <x:f>Q1934*(1-0.40)-R1934</x:f>
        <x:v>1.733333333333333</x:v>
      </x:c>
    </x:row>
    <x:row r="1935" ht="21" customHeight="1">
      <x:c r="A1935" s="3" t="n">
        <x:v>32</x:v>
      </x:c>
      <x:c r="B1935" s="3" t="str">
        <x:v>05:20</x:v>
      </x:c>
      <x:c r="C1935" s="3" t="n">
        <x:v>6</x:v>
      </x:c>
      <x:c r="D1935" s="3" t="n">
        <x:v>14</x:v>
      </x:c>
      <x:c r="E1935" s="3" t="n">
        <x:v>2</x:v>
      </x:c>
      <x:c r="F1935" s="3" t="n">
        <x:v>8</x:v>
      </x:c>
      <x:c r="G1935" s="9" t="n">
        <x:v>0.15</x:v>
      </x:c>
      <x:c r="H1935" s="9" t="n">
        <x:v>1.144902</x:v>
      </x:c>
      <x:c r="I1935" s="9" t="n">
        <x:f>'Physical_Arcs'!R15</x:f>
        <x:v>7.75</x:v>
      </x:c>
      <x:c r="J1935" s="9" t="n">
        <x:f>I1935*'Parameters'!$C$18</x:f>
        <x:v>1.55</x:v>
      </x:c>
      <x:c r="K1935" s="9" t="n">
        <x:f>J1935*'Parameters'!$C$19</x:f>
        <x:v>1.9375</x:v>
      </x:c>
      <x:c r="L1935" s="9" t="n">
        <x:f>I1935*(1-0.40)-J1935</x:f>
        <x:v>3.0999999999999996</x:v>
      </x:c>
      <x:c r="M1935" s="9" t="n">
        <x:f>'Physical_Arcs'!S15</x:f>
        <x:v>7.75</x:v>
      </x:c>
      <x:c r="N1935" s="9" t="n">
        <x:f>M1935*'Parameters'!$C$18</x:f>
        <x:v>1.55</x:v>
      </x:c>
      <x:c r="O1935" s="9" t="n">
        <x:f>N1935*'Parameters'!$C$19</x:f>
        <x:v>1.9375</x:v>
      </x:c>
      <x:c r="P1935" s="9" t="n">
        <x:f>M1935*(1-0.40)-N1935</x:f>
        <x:v>3.0999999999999996</x:v>
      </x:c>
      <x:c r="Q1935" s="9" t="n">
        <x:f>'Physical_Arcs'!T15</x:f>
        <x:v>3.888888888888889</x:v>
      </x:c>
      <x:c r="R1935" s="9" t="n">
        <x:f>Q1935*'Parameters'!$C$18</x:f>
        <x:v>0.7777777777777778</x:v>
      </x:c>
      <x:c r="S1935" s="9" t="n">
        <x:f>R1935*'Parameters'!$C$19</x:f>
        <x:v>0.9722222222222222</x:v>
      </x:c>
      <x:c r="T1935" s="9" t="n">
        <x:f>Q1935*(1-0.40)-R1935</x:f>
        <x:v>1.5555555555555554</x:v>
      </x:c>
    </x:row>
    <x:row r="1936" ht="21" customHeight="1">
      <x:c r="A1936" s="3" t="n">
        <x:v>32</x:v>
      </x:c>
      <x:c r="B1936" s="3" t="str">
        <x:v>05:20</x:v>
      </x:c>
      <x:c r="C1936" s="3" t="n">
        <x:v>6</x:v>
      </x:c>
      <x:c r="D1936" s="3" t="n">
        <x:v>15</x:v>
      </x:c>
      <x:c r="E1936" s="3" t="n">
        <x:v>2</x:v>
      </x:c>
      <x:c r="F1936" s="3" t="n">
        <x:v>10</x:v>
      </x:c>
      <x:c r="G1936" s="9" t="n">
        <x:v>0.15</x:v>
      </x:c>
      <x:c r="H1936" s="9" t="n">
        <x:v>1.146684</x:v>
      </x:c>
      <x:c r="I1936" s="9" t="n">
        <x:f>'Physical_Arcs'!R16</x:f>
        <x:v>7.416666666666667</x:v>
      </x:c>
      <x:c r="J1936" s="9" t="n">
        <x:f>I1936*'Parameters'!$C$18</x:f>
        <x:v>1.4833333333333334</x:v>
      </x:c>
      <x:c r="K1936" s="9" t="n">
        <x:f>J1936*'Parameters'!$C$19</x:f>
        <x:v>1.8541666666666667</x:v>
      </x:c>
      <x:c r="L1936" s="9" t="n">
        <x:f>I1936*(1-0.40)-J1936</x:f>
        <x:v>2.966666666666667</x:v>
      </x:c>
      <x:c r="M1936" s="9" t="n">
        <x:f>'Physical_Arcs'!S16</x:f>
        <x:v>7.416666666666667</x:v>
      </x:c>
      <x:c r="N1936" s="9" t="n">
        <x:f>M1936*'Parameters'!$C$18</x:f>
        <x:v>1.4833333333333334</x:v>
      </x:c>
      <x:c r="O1936" s="9" t="n">
        <x:f>N1936*'Parameters'!$C$19</x:f>
        <x:v>1.8541666666666667</x:v>
      </x:c>
      <x:c r="P1936" s="9" t="n">
        <x:f>M1936*(1-0.40)-N1936</x:f>
        <x:v>2.966666666666667</x:v>
      </x:c>
      <x:c r="Q1936" s="9" t="n">
        <x:f>'Physical_Arcs'!T16</x:f>
        <x:v>3.7222222222222223</x:v>
      </x:c>
      <x:c r="R1936" s="9" t="n">
        <x:f>Q1936*'Parameters'!$C$18</x:f>
        <x:v>0.7444444444444445</x:v>
      </x:c>
      <x:c r="S1936" s="9" t="n">
        <x:f>R1936*'Parameters'!$C$19</x:f>
        <x:v>0.9305555555555556</x:v>
      </x:c>
      <x:c r="T1936" s="9" t="n">
        <x:f>Q1936*(1-0.40)-R1936</x:f>
        <x:v>1.488888888888889</x:v>
      </x:c>
    </x:row>
    <x:row r="1937" ht="21" customHeight="1">
      <x:c r="A1937" s="3" t="n">
        <x:v>32</x:v>
      </x:c>
      <x:c r="B1937" s="3" t="str">
        <x:v>05:20</x:v>
      </x:c>
      <x:c r="C1937" s="3" t="n">
        <x:v>6</x:v>
      </x:c>
      <x:c r="D1937" s="3" t="n">
        <x:v>16</x:v>
      </x:c>
      <x:c r="E1937" s="3" t="n">
        <x:v>3</x:v>
      </x:c>
      <x:c r="F1937" s="3" t="n">
        <x:v>4</x:v>
      </x:c>
      <x:c r="G1937" s="9" t="n">
        <x:v>0.15</x:v>
      </x:c>
      <x:c r="H1937" s="9" t="n">
        <x:v>1.017658</x:v>
      </x:c>
      <x:c r="I1937" s="9" t="n">
        <x:f>'Physical_Arcs'!R17</x:f>
        <x:v>17.02777777777778</x:v>
      </x:c>
      <x:c r="J1937" s="9" t="n">
        <x:f>I1937*'Parameters'!$C$18</x:f>
        <x:v>3.405555555555556</x:v>
      </x:c>
      <x:c r="K1937" s="9" t="n">
        <x:f>J1937*'Parameters'!$C$19</x:f>
        <x:v>4.256944444444445</x:v>
      </x:c>
      <x:c r="L1937" s="9" t="n">
        <x:f>I1937*(1-0.40)-J1937</x:f>
        <x:v>6.811111111111111</x:v>
      </x:c>
      <x:c r="M1937" s="9" t="n">
        <x:f>'Physical_Arcs'!S17</x:f>
        <x:v>17.02777777777778</x:v>
      </x:c>
      <x:c r="N1937" s="9" t="n">
        <x:f>M1937*'Parameters'!$C$18</x:f>
        <x:v>3.405555555555556</x:v>
      </x:c>
      <x:c r="O1937" s="9" t="n">
        <x:f>N1937*'Parameters'!$C$19</x:f>
        <x:v>4.256944444444445</x:v>
      </x:c>
      <x:c r="P1937" s="9" t="n">
        <x:f>M1937*(1-0.40)-N1937</x:f>
        <x:v>6.811111111111111</x:v>
      </x:c>
      <x:c r="Q1937" s="9" t="n">
        <x:f>'Physical_Arcs'!T17</x:f>
        <x:v>17.02777777777778</x:v>
      </x:c>
      <x:c r="R1937" s="9" t="n">
        <x:f>Q1937*'Parameters'!$C$18</x:f>
        <x:v>3.405555555555556</x:v>
      </x:c>
      <x:c r="S1937" s="9" t="n">
        <x:f>R1937*'Parameters'!$C$19</x:f>
        <x:v>4.256944444444445</x:v>
      </x:c>
      <x:c r="T1937" s="9" t="n">
        <x:f>Q1937*(1-0.40)-R1937</x:f>
        <x:v>6.811111111111111</x:v>
      </x:c>
    </x:row>
    <x:row r="1938" ht="21" customHeight="1">
      <x:c r="A1938" s="3" t="n">
        <x:v>32</x:v>
      </x:c>
      <x:c r="B1938" s="3" t="str">
        <x:v>05:20</x:v>
      </x:c>
      <x:c r="C1938" s="3" t="n">
        <x:v>6</x:v>
      </x:c>
      <x:c r="D1938" s="3" t="n">
        <x:v>17</x:v>
      </x:c>
      <x:c r="E1938" s="3" t="n">
        <x:v>3</x:v>
      </x:c>
      <x:c r="F1938" s="3" t="n">
        <x:v>2</x:v>
      </x:c>
      <x:c r="G1938" s="9" t="n">
        <x:v>0.15</x:v>
      </x:c>
      <x:c r="H1938" s="9" t="n">
        <x:v>0.875995</x:v>
      </x:c>
      <x:c r="I1938" s="9" t="n">
        <x:f>'Physical_Arcs'!R18</x:f>
        <x:v>10.666666666666666</x:v>
      </x:c>
      <x:c r="J1938" s="9" t="n">
        <x:f>I1938*'Parameters'!$C$18</x:f>
        <x:v>2.1333333333333333</x:v>
      </x:c>
      <x:c r="K1938" s="9" t="n">
        <x:f>J1938*'Parameters'!$C$19</x:f>
        <x:v>2.6666666666666665</x:v>
      </x:c>
      <x:c r="L1938" s="9" t="n">
        <x:f>I1938*(1-0.40)-J1938</x:f>
        <x:v>4.266666666666666</x:v>
      </x:c>
      <x:c r="M1938" s="9" t="n">
        <x:f>'Physical_Arcs'!S18</x:f>
        <x:v>10.666666666666666</x:v>
      </x:c>
      <x:c r="N1938" s="9" t="n">
        <x:f>M1938*'Parameters'!$C$18</x:f>
        <x:v>2.1333333333333333</x:v>
      </x:c>
      <x:c r="O1938" s="9" t="n">
        <x:f>N1938*'Parameters'!$C$19</x:f>
        <x:v>2.6666666666666665</x:v>
      </x:c>
      <x:c r="P1938" s="9" t="n">
        <x:f>M1938*(1-0.40)-N1938</x:f>
        <x:v>4.266666666666666</x:v>
      </x:c>
      <x:c r="Q1938" s="9" t="n">
        <x:f>'Physical_Arcs'!T18</x:f>
        <x:v>5.333333333333333</x:v>
      </x:c>
      <x:c r="R1938" s="9" t="n">
        <x:f>Q1938*'Parameters'!$C$18</x:f>
        <x:v>1.0666666666666667</x:v>
      </x:c>
      <x:c r="S1938" s="9" t="n">
        <x:f>R1938*'Parameters'!$C$19</x:f>
        <x:v>1.3333333333333333</x:v>
      </x:c>
      <x:c r="T1938" s="9" t="n">
        <x:f>Q1938*(1-0.40)-R1938</x:f>
        <x:v>2.133333333333333</x:v>
      </x:c>
    </x:row>
    <x:row r="1939" ht="21" customHeight="1">
      <x:c r="A1939" s="3" t="n">
        <x:v>32</x:v>
      </x:c>
      <x:c r="B1939" s="3" t="str">
        <x:v>05:20</x:v>
      </x:c>
      <x:c r="C1939" s="3" t="n">
        <x:v>6</x:v>
      </x:c>
      <x:c r="D1939" s="3" t="n">
        <x:v>18</x:v>
      </x:c>
      <x:c r="E1939" s="3" t="n">
        <x:v>3</x:v>
      </x:c>
      <x:c r="F1939" s="3" t="n">
        <x:v>1</x:v>
      </x:c>
      <x:c r="G1939" s="9" t="n">
        <x:v>0.15</x:v>
      </x:c>
      <x:c r="H1939" s="9" t="n">
        <x:v>1.015397</x:v>
      </x:c>
      <x:c r="I1939" s="9" t="n">
        <x:f>'Physical_Arcs'!R19</x:f>
        <x:v>5.166666666666667</x:v>
      </x:c>
      <x:c r="J1939" s="9" t="n">
        <x:f>I1939*'Parameters'!$C$18</x:f>
        <x:v>1.0333333333333334</x:v>
      </x:c>
      <x:c r="K1939" s="9" t="n">
        <x:f>J1939*'Parameters'!$C$19</x:f>
        <x:v>1.2916666666666667</x:v>
      </x:c>
      <x:c r="L1939" s="9" t="n">
        <x:f>I1939*(1-0.40)-J1939</x:f>
        <x:v>2.0666666666666664</x:v>
      </x:c>
      <x:c r="M1939" s="9" t="n">
        <x:f>'Physical_Arcs'!S19</x:f>
        <x:v>5.166666666666667</x:v>
      </x:c>
      <x:c r="N1939" s="9" t="n">
        <x:f>M1939*'Parameters'!$C$18</x:f>
        <x:v>1.0333333333333334</x:v>
      </x:c>
      <x:c r="O1939" s="9" t="n">
        <x:f>N1939*'Parameters'!$C$19</x:f>
        <x:v>1.2916666666666667</x:v>
      </x:c>
      <x:c r="P1939" s="9" t="n">
        <x:f>M1939*(1-0.40)-N1939</x:f>
        <x:v>2.0666666666666664</x:v>
      </x:c>
      <x:c r="Q1939" s="9" t="n">
        <x:f>'Physical_Arcs'!T19</x:f>
        <x:v>2.5833333333333335</x:v>
      </x:c>
      <x:c r="R1939" s="9" t="n">
        <x:f>Q1939*'Parameters'!$C$18</x:f>
        <x:v>0.5166666666666667</x:v>
      </x:c>
      <x:c r="S1939" s="9" t="n">
        <x:f>R1939*'Parameters'!$C$19</x:f>
        <x:v>0.6458333333333334</x:v>
      </x:c>
      <x:c r="T1939" s="9" t="n">
        <x:f>Q1939*(1-0.40)-R1939</x:f>
        <x:v>1.0333333333333332</x:v>
      </x:c>
    </x:row>
    <x:row r="1940" ht="21" customHeight="1">
      <x:c r="A1940" s="3" t="n">
        <x:v>32</x:v>
      </x:c>
      <x:c r="B1940" s="3" t="str">
        <x:v>05:20</x:v>
      </x:c>
      <x:c r="C1940" s="3" t="n">
        <x:v>6</x:v>
      </x:c>
      <x:c r="D1940" s="3" t="n">
        <x:v>19</x:v>
      </x:c>
      <x:c r="E1940" s="3" t="n">
        <x:v>3</x:v>
      </x:c>
      <x:c r="F1940" s="3" t="n">
        <x:v>7</x:v>
      </x:c>
      <x:c r="G1940" s="9" t="n">
        <x:v>0.15</x:v>
      </x:c>
      <x:c r="H1940" s="9" t="n">
        <x:v>0.996008</x:v>
      </x:c>
      <x:c r="I1940" s="9" t="n">
        <x:f>'Physical_Arcs'!R20</x:f>
        <x:v>5.75</x:v>
      </x:c>
      <x:c r="J1940" s="9" t="n">
        <x:f>I1940*'Parameters'!$C$18</x:f>
        <x:v>1.1500000000000001</x:v>
      </x:c>
      <x:c r="K1940" s="9" t="n">
        <x:f>J1940*'Parameters'!$C$19</x:f>
        <x:v>1.4375000000000002</x:v>
      </x:c>
      <x:c r="L1940" s="9" t="n">
        <x:f>I1940*(1-0.40)-J1940</x:f>
        <x:v>2.3</x:v>
      </x:c>
      <x:c r="M1940" s="9" t="n">
        <x:f>'Physical_Arcs'!S20</x:f>
        <x:v>5.75</x:v>
      </x:c>
      <x:c r="N1940" s="9" t="n">
        <x:f>M1940*'Parameters'!$C$18</x:f>
        <x:v>1.1500000000000001</x:v>
      </x:c>
      <x:c r="O1940" s="9" t="n">
        <x:f>N1940*'Parameters'!$C$19</x:f>
        <x:v>1.4375000000000002</x:v>
      </x:c>
      <x:c r="P1940" s="9" t="n">
        <x:f>M1940*(1-0.40)-N1940</x:f>
        <x:v>2.3</x:v>
      </x:c>
      <x:c r="Q1940" s="9" t="n">
        <x:f>'Physical_Arcs'!T20</x:f>
        <x:v>2.888888888888889</x:v>
      </x:c>
      <x:c r="R1940" s="9" t="n">
        <x:f>Q1940*'Parameters'!$C$18</x:f>
        <x:v>0.5777777777777778</x:v>
      </x:c>
      <x:c r="S1940" s="9" t="n">
        <x:f>R1940*'Parameters'!$C$19</x:f>
        <x:v>0.7222222222222223</x:v>
      </x:c>
      <x:c r="T1940" s="9" t="n">
        <x:f>Q1940*(1-0.40)-R1940</x:f>
        <x:v>1.1555555555555554</x:v>
      </x:c>
    </x:row>
    <x:row r="1941" ht="21" customHeight="1">
      <x:c r="A1941" s="3" t="n">
        <x:v>32</x:v>
      </x:c>
      <x:c r="B1941" s="3" t="str">
        <x:v>05:20</x:v>
      </x:c>
      <x:c r="C1941" s="3" t="n">
        <x:v>6</x:v>
      </x:c>
      <x:c r="D1941" s="3" t="n">
        <x:v>20</x:v>
      </x:c>
      <x:c r="E1941" s="3" t="n">
        <x:v>3</x:v>
      </x:c>
      <x:c r="F1941" s="3" t="n">
        <x:v>10</x:v>
      </x:c>
      <x:c r="G1941" s="9" t="n">
        <x:v>0.15</x:v>
      </x:c>
      <x:c r="H1941" s="9" t="n">
        <x:v>1.118855</x:v>
      </x:c>
      <x:c r="I1941" s="9" t="n">
        <x:f>'Physical_Arcs'!R21</x:f>
        <x:v>5.166666666666667</x:v>
      </x:c>
      <x:c r="J1941" s="9" t="n">
        <x:f>I1941*'Parameters'!$C$18</x:f>
        <x:v>1.0333333333333334</x:v>
      </x:c>
      <x:c r="K1941" s="9" t="n">
        <x:f>J1941*'Parameters'!$C$19</x:f>
        <x:v>1.2916666666666667</x:v>
      </x:c>
      <x:c r="L1941" s="9" t="n">
        <x:f>I1941*(1-0.40)-J1941</x:f>
        <x:v>2.0666666666666664</x:v>
      </x:c>
      <x:c r="M1941" s="9" t="n">
        <x:f>'Physical_Arcs'!S21</x:f>
        <x:v>5.166666666666667</x:v>
      </x:c>
      <x:c r="N1941" s="9" t="n">
        <x:f>M1941*'Parameters'!$C$18</x:f>
        <x:v>1.0333333333333334</x:v>
      </x:c>
      <x:c r="O1941" s="9" t="n">
        <x:f>N1941*'Parameters'!$C$19</x:f>
        <x:v>1.2916666666666667</x:v>
      </x:c>
      <x:c r="P1941" s="9" t="n">
        <x:f>M1941*(1-0.40)-N1941</x:f>
        <x:v>2.0666666666666664</x:v>
      </x:c>
      <x:c r="Q1941" s="9" t="n">
        <x:f>'Physical_Arcs'!T21</x:f>
        <x:v>2.5833333333333335</x:v>
      </x:c>
      <x:c r="R1941" s="9" t="n">
        <x:f>Q1941*'Parameters'!$C$18</x:f>
        <x:v>0.5166666666666667</x:v>
      </x:c>
      <x:c r="S1941" s="9" t="n">
        <x:f>R1941*'Parameters'!$C$19</x:f>
        <x:v>0.6458333333333334</x:v>
      </x:c>
      <x:c r="T1941" s="9" t="n">
        <x:f>Q1941*(1-0.40)-R1941</x:f>
        <x:v>1.0333333333333332</x:v>
      </x:c>
    </x:row>
    <x:row r="1942" ht="21" customHeight="1">
      <x:c r="A1942" s="3" t="n">
        <x:v>32</x:v>
      </x:c>
      <x:c r="B1942" s="3" t="str">
        <x:v>05:20</x:v>
      </x:c>
      <x:c r="C1942" s="3" t="n">
        <x:v>6</x:v>
      </x:c>
      <x:c r="D1942" s="3" t="n">
        <x:v>21</x:v>
      </x:c>
      <x:c r="E1942" s="3" t="n">
        <x:v>3</x:v>
      </x:c>
      <x:c r="F1942" s="3" t="n">
        <x:v>9</x:v>
      </x:c>
      <x:c r="G1942" s="9" t="n">
        <x:v>0.15</x:v>
      </x:c>
      <x:c r="H1942" s="9" t="n">
        <x:v>0.947299</x:v>
      </x:c>
      <x:c r="I1942" s="9" t="n">
        <x:f>'Physical_Arcs'!R22</x:f>
        <x:v>9.333333333333334</x:v>
      </x:c>
      <x:c r="J1942" s="9" t="n">
        <x:f>I1942*'Parameters'!$C$18</x:f>
        <x:v>1.866666666666667</x:v>
      </x:c>
      <x:c r="K1942" s="9" t="n">
        <x:f>J1942*'Parameters'!$C$19</x:f>
        <x:v>2.3333333333333335</x:v>
      </x:c>
      <x:c r="L1942" s="9" t="n">
        <x:f>I1942*(1-0.40)-J1942</x:f>
        <x:v>3.7333333333333334</x:v>
      </x:c>
      <x:c r="M1942" s="9" t="n">
        <x:f>'Physical_Arcs'!S22</x:f>
        <x:v>9.333333333333334</x:v>
      </x:c>
      <x:c r="N1942" s="9" t="n">
        <x:f>M1942*'Parameters'!$C$18</x:f>
        <x:v>1.866666666666667</x:v>
      </x:c>
      <x:c r="O1942" s="9" t="n">
        <x:f>N1942*'Parameters'!$C$19</x:f>
        <x:v>2.3333333333333335</x:v>
      </x:c>
      <x:c r="P1942" s="9" t="n">
        <x:f>M1942*(1-0.40)-N1942</x:f>
        <x:v>3.7333333333333334</x:v>
      </x:c>
      <x:c r="Q1942" s="9" t="n">
        <x:f>'Physical_Arcs'!T22</x:f>
        <x:v>4.666666666666667</x:v>
      </x:c>
      <x:c r="R1942" s="9" t="n">
        <x:f>Q1942*'Parameters'!$C$18</x:f>
        <x:v>0.9333333333333335</x:v>
      </x:c>
      <x:c r="S1942" s="9" t="n">
        <x:f>R1942*'Parameters'!$C$19</x:f>
        <x:v>1.1666666666666667</x:v>
      </x:c>
      <x:c r="T1942" s="9" t="n">
        <x:f>Q1942*(1-0.40)-R1942</x:f>
        <x:v>1.8666666666666667</x:v>
      </x:c>
    </x:row>
    <x:row r="1943" ht="21" customHeight="1">
      <x:c r="A1943" s="3" t="n">
        <x:v>32</x:v>
      </x:c>
      <x:c r="B1943" s="3" t="str">
        <x:v>05:20</x:v>
      </x:c>
      <x:c r="C1943" s="3" t="n">
        <x:v>6</x:v>
      </x:c>
      <x:c r="D1943" s="3" t="n">
        <x:v>22</x:v>
      </x:c>
      <x:c r="E1943" s="3" t="n">
        <x:v>4</x:v>
      </x:c>
      <x:c r="F1943" s="3" t="n">
        <x:v>5</x:v>
      </x:c>
      <x:c r="G1943" s="9" t="n">
        <x:v>0.15</x:v>
      </x:c>
      <x:c r="H1943" s="9" t="n">
        <x:v>0.958485</x:v>
      </x:c>
      <x:c r="I1943" s="9" t="n">
        <x:f>'Physical_Arcs'!R23</x:f>
        <x:v>17.02777777777778</x:v>
      </x:c>
      <x:c r="J1943" s="9" t="n">
        <x:f>I1943*'Parameters'!$C$18</x:f>
        <x:v>3.405555555555556</x:v>
      </x:c>
      <x:c r="K1943" s="9" t="n">
        <x:f>J1943*'Parameters'!$C$19</x:f>
        <x:v>4.256944444444445</x:v>
      </x:c>
      <x:c r="L1943" s="9" t="n">
        <x:f>I1943*(1-0.40)-J1943</x:f>
        <x:v>6.811111111111111</x:v>
      </x:c>
      <x:c r="M1943" s="9" t="n">
        <x:f>'Physical_Arcs'!S23</x:f>
        <x:v>17.02777777777778</x:v>
      </x:c>
      <x:c r="N1943" s="9" t="n">
        <x:f>M1943*'Parameters'!$C$18</x:f>
        <x:v>3.405555555555556</x:v>
      </x:c>
      <x:c r="O1943" s="9" t="n">
        <x:f>N1943*'Parameters'!$C$19</x:f>
        <x:v>4.256944444444445</x:v>
      </x:c>
      <x:c r="P1943" s="9" t="n">
        <x:f>M1943*(1-0.40)-N1943</x:f>
        <x:v>6.811111111111111</x:v>
      </x:c>
      <x:c r="Q1943" s="9" t="n">
        <x:f>'Physical_Arcs'!T23</x:f>
        <x:v>17.02777777777778</x:v>
      </x:c>
      <x:c r="R1943" s="9" t="n">
        <x:f>Q1943*'Parameters'!$C$18</x:f>
        <x:v>3.405555555555556</x:v>
      </x:c>
      <x:c r="S1943" s="9" t="n">
        <x:f>R1943*'Parameters'!$C$19</x:f>
        <x:v>4.256944444444445</x:v>
      </x:c>
      <x:c r="T1943" s="9" t="n">
        <x:f>Q1943*(1-0.40)-R1943</x:f>
        <x:v>6.811111111111111</x:v>
      </x:c>
    </x:row>
    <x:row r="1944" ht="21" customHeight="1">
      <x:c r="A1944" s="3" t="n">
        <x:v>32</x:v>
      </x:c>
      <x:c r="B1944" s="3" t="str">
        <x:v>05:20</x:v>
      </x:c>
      <x:c r="C1944" s="3" t="n">
        <x:v>6</x:v>
      </x:c>
      <x:c r="D1944" s="3" t="n">
        <x:v>23</x:v>
      </x:c>
      <x:c r="E1944" s="3" t="n">
        <x:v>4</x:v>
      </x:c>
      <x:c r="F1944" s="3" t="n">
        <x:v>3</x:v>
      </x:c>
      <x:c r="G1944" s="9" t="n">
        <x:v>0.15</x:v>
      </x:c>
      <x:c r="H1944" s="9" t="n">
        <x:v>0.944916</x:v>
      </x:c>
      <x:c r="I1944" s="9" t="n">
        <x:f>'Physical_Arcs'!R24</x:f>
        <x:v>9.333333333333334</x:v>
      </x:c>
      <x:c r="J1944" s="9" t="n">
        <x:f>I1944*'Parameters'!$C$18</x:f>
        <x:v>1.866666666666667</x:v>
      </x:c>
      <x:c r="K1944" s="9" t="n">
        <x:f>J1944*'Parameters'!$C$19</x:f>
        <x:v>2.3333333333333335</x:v>
      </x:c>
      <x:c r="L1944" s="9" t="n">
        <x:f>I1944*(1-0.40)-J1944</x:f>
        <x:v>3.7333333333333334</x:v>
      </x:c>
      <x:c r="M1944" s="9" t="n">
        <x:f>'Physical_Arcs'!S24</x:f>
        <x:v>9.333333333333334</x:v>
      </x:c>
      <x:c r="N1944" s="9" t="n">
        <x:f>M1944*'Parameters'!$C$18</x:f>
        <x:v>1.866666666666667</x:v>
      </x:c>
      <x:c r="O1944" s="9" t="n">
        <x:f>N1944*'Parameters'!$C$19</x:f>
        <x:v>2.3333333333333335</x:v>
      </x:c>
      <x:c r="P1944" s="9" t="n">
        <x:f>M1944*(1-0.40)-N1944</x:f>
        <x:v>3.7333333333333334</x:v>
      </x:c>
      <x:c r="Q1944" s="9" t="n">
        <x:f>'Physical_Arcs'!T24</x:f>
        <x:v>4.666666666666667</x:v>
      </x:c>
      <x:c r="R1944" s="9" t="n">
        <x:f>Q1944*'Parameters'!$C$18</x:f>
        <x:v>0.9333333333333335</x:v>
      </x:c>
      <x:c r="S1944" s="9" t="n">
        <x:f>R1944*'Parameters'!$C$19</x:f>
        <x:v>1.1666666666666667</x:v>
      </x:c>
      <x:c r="T1944" s="9" t="n">
        <x:f>Q1944*(1-0.40)-R1944</x:f>
        <x:v>1.8666666666666667</x:v>
      </x:c>
    </x:row>
    <x:row r="1945" ht="21" customHeight="1">
      <x:c r="A1945" s="3" t="n">
        <x:v>32</x:v>
      </x:c>
      <x:c r="B1945" s="3" t="str">
        <x:v>05:20</x:v>
      </x:c>
      <x:c r="C1945" s="3" t="n">
        <x:v>6</x:v>
      </x:c>
      <x:c r="D1945" s="3" t="n">
        <x:v>24</x:v>
      </x:c>
      <x:c r="E1945" s="3" t="n">
        <x:v>4</x:v>
      </x:c>
      <x:c r="F1945" s="3" t="n">
        <x:v>10</x:v>
      </x:c>
      <x:c r="G1945" s="9" t="n">
        <x:v>0.15</x:v>
      </x:c>
      <x:c r="H1945" s="9" t="n">
        <x:v>0.875461</x:v>
      </x:c>
      <x:c r="I1945" s="9" t="n">
        <x:f>'Physical_Arcs'!R25</x:f>
        <x:v>7.194444444444445</x:v>
      </x:c>
      <x:c r="J1945" s="9" t="n">
        <x:f>I1945*'Parameters'!$C$18</x:f>
        <x:v>1.438888888888889</x:v>
      </x:c>
      <x:c r="K1945" s="9" t="n">
        <x:f>J1945*'Parameters'!$C$19</x:f>
        <x:v>1.7986111111111114</x:v>
      </x:c>
      <x:c r="L1945" s="9" t="n">
        <x:f>I1945*(1-0.40)-J1945</x:f>
        <x:v>2.8777777777777773</x:v>
      </x:c>
      <x:c r="M1945" s="9" t="n">
        <x:f>'Physical_Arcs'!S25</x:f>
        <x:v>7.194444444444445</x:v>
      </x:c>
      <x:c r="N1945" s="9" t="n">
        <x:f>M1945*'Parameters'!$C$18</x:f>
        <x:v>1.438888888888889</x:v>
      </x:c>
      <x:c r="O1945" s="9" t="n">
        <x:f>N1945*'Parameters'!$C$19</x:f>
        <x:v>1.7986111111111114</x:v>
      </x:c>
      <x:c r="P1945" s="9" t="n">
        <x:f>M1945*(1-0.40)-N1945</x:f>
        <x:v>2.8777777777777773</x:v>
      </x:c>
      <x:c r="Q1945" s="9" t="n">
        <x:f>'Physical_Arcs'!T25</x:f>
        <x:v>3.611111111111111</x:v>
      </x:c>
      <x:c r="R1945" s="9" t="n">
        <x:f>Q1945*'Parameters'!$C$18</x:f>
        <x:v>0.7222222222222223</x:v>
      </x:c>
      <x:c r="S1945" s="9" t="n">
        <x:f>R1945*'Parameters'!$C$19</x:f>
        <x:v>0.9027777777777779</x:v>
      </x:c>
      <x:c r="T1945" s="9" t="n">
        <x:f>Q1945*(1-0.40)-R1945</x:f>
        <x:v>1.4444444444444442</x:v>
      </x:c>
    </x:row>
    <x:row r="1946" ht="21" customHeight="1">
      <x:c r="A1946" s="3" t="n">
        <x:v>32</x:v>
      </x:c>
      <x:c r="B1946" s="3" t="str">
        <x:v>05:20</x:v>
      </x:c>
      <x:c r="C1946" s="3" t="n">
        <x:v>6</x:v>
      </x:c>
      <x:c r="D1946" s="3" t="n">
        <x:v>25</x:v>
      </x:c>
      <x:c r="E1946" s="3" t="n">
        <x:v>4</x:v>
      </x:c>
      <x:c r="F1946" s="3" t="n">
        <x:v>8</x:v>
      </x:c>
      <x:c r="G1946" s="9" t="n">
        <x:v>0.15</x:v>
      </x:c>
      <x:c r="H1946" s="9" t="n">
        <x:v>0.993326</x:v>
      </x:c>
      <x:c r="I1946" s="9" t="n">
        <x:f>'Physical_Arcs'!R26</x:f>
        <x:v>5.277777777777778</x:v>
      </x:c>
      <x:c r="J1946" s="9" t="n">
        <x:f>I1946*'Parameters'!$C$18</x:f>
        <x:v>1.0555555555555556</x:v>
      </x:c>
      <x:c r="K1946" s="9" t="n">
        <x:f>J1946*'Parameters'!$C$19</x:f>
        <x:v>1.3194444444444444</x:v>
      </x:c>
      <x:c r="L1946" s="9" t="n">
        <x:f>I1946*(1-0.40)-J1946</x:f>
        <x:v>2.1111111111111107</x:v>
      </x:c>
      <x:c r="M1946" s="9" t="n">
        <x:f>'Physical_Arcs'!S26</x:f>
        <x:v>5.277777777777778</x:v>
      </x:c>
      <x:c r="N1946" s="9" t="n">
        <x:f>M1946*'Parameters'!$C$18</x:f>
        <x:v>1.0555555555555556</x:v>
      </x:c>
      <x:c r="O1946" s="9" t="n">
        <x:f>N1946*'Parameters'!$C$19</x:f>
        <x:v>1.3194444444444444</x:v>
      </x:c>
      <x:c r="P1946" s="9" t="n">
        <x:f>M1946*(1-0.40)-N1946</x:f>
        <x:v>2.1111111111111107</x:v>
      </x:c>
      <x:c r="Q1946" s="9" t="n">
        <x:f>'Physical_Arcs'!T26</x:f>
        <x:v>2.638888888888889</x:v>
      </x:c>
      <x:c r="R1946" s="9" t="n">
        <x:f>Q1946*'Parameters'!$C$18</x:f>
        <x:v>0.5277777777777778</x:v>
      </x:c>
      <x:c r="S1946" s="9" t="n">
        <x:f>R1946*'Parameters'!$C$19</x:f>
        <x:v>0.6597222222222222</x:v>
      </x:c>
      <x:c r="T1946" s="9" t="n">
        <x:f>Q1946*(1-0.40)-R1946</x:f>
        <x:v>1.0555555555555554</x:v>
      </x:c>
    </x:row>
    <x:row r="1947" ht="21" customHeight="1">
      <x:c r="A1947" s="3" t="n">
        <x:v>32</x:v>
      </x:c>
      <x:c r="B1947" s="3" t="str">
        <x:v>05:20</x:v>
      </x:c>
      <x:c r="C1947" s="3" t="n">
        <x:v>6</x:v>
      </x:c>
      <x:c r="D1947" s="3" t="n">
        <x:v>26</x:v>
      </x:c>
      <x:c r="E1947" s="3" t="n">
        <x:v>4</x:v>
      </x:c>
      <x:c r="F1947" s="3" t="n">
        <x:v>7</x:v>
      </x:c>
      <x:c r="G1947" s="9" t="n">
        <x:v>0.15</x:v>
      </x:c>
      <x:c r="H1947" s="9" t="n">
        <x:v>1.099203</x:v>
      </x:c>
      <x:c r="I1947" s="9" t="n">
        <x:f>'Physical_Arcs'!R27</x:f>
        <x:v>6.527777777777778</x:v>
      </x:c>
      <x:c r="J1947" s="9" t="n">
        <x:f>I1947*'Parameters'!$C$18</x:f>
        <x:v>1.3055555555555556</x:v>
      </x:c>
      <x:c r="K1947" s="9" t="n">
        <x:f>J1947*'Parameters'!$C$19</x:f>
        <x:v>1.6319444444444444</x:v>
      </x:c>
      <x:c r="L1947" s="9" t="n">
        <x:f>I1947*(1-0.40)-J1947</x:f>
        <x:v>2.6111111111111107</x:v>
      </x:c>
      <x:c r="M1947" s="9" t="n">
        <x:f>'Physical_Arcs'!S27</x:f>
        <x:v>6.527777777777778</x:v>
      </x:c>
      <x:c r="N1947" s="9" t="n">
        <x:f>M1947*'Parameters'!$C$18</x:f>
        <x:v>1.3055555555555556</x:v>
      </x:c>
      <x:c r="O1947" s="9" t="n">
        <x:f>N1947*'Parameters'!$C$19</x:f>
        <x:v>1.6319444444444444</x:v>
      </x:c>
      <x:c r="P1947" s="9" t="n">
        <x:f>M1947*(1-0.40)-N1947</x:f>
        <x:v>2.6111111111111107</x:v>
      </x:c>
      <x:c r="Q1947" s="9" t="n">
        <x:f>'Physical_Arcs'!T27</x:f>
        <x:v>3.2777777777777777</x:v>
      </x:c>
      <x:c r="R1947" s="9" t="n">
        <x:f>Q1947*'Parameters'!$C$18</x:f>
        <x:v>0.6555555555555556</x:v>
      </x:c>
      <x:c r="S1947" s="9" t="n">
        <x:f>R1947*'Parameters'!$C$19</x:f>
        <x:v>0.8194444444444444</x:v>
      </x:c>
      <x:c r="T1947" s="9" t="n">
        <x:f>Q1947*(1-0.40)-R1947</x:f>
        <x:v>1.311111111111111</x:v>
      </x:c>
    </x:row>
    <x:row r="1948" ht="21" customHeight="1">
      <x:c r="A1948" s="3" t="n">
        <x:v>32</x:v>
      </x:c>
      <x:c r="B1948" s="3" t="str">
        <x:v>05:20</x:v>
      </x:c>
      <x:c r="C1948" s="3" t="n">
        <x:v>6</x:v>
      </x:c>
      <x:c r="D1948" s="3" t="n">
        <x:v>27</x:v>
      </x:c>
      <x:c r="E1948" s="3" t="n">
        <x:v>4</x:v>
      </x:c>
      <x:c r="F1948" s="3" t="n">
        <x:v>2</x:v>
      </x:c>
      <x:c r="G1948" s="9" t="n">
        <x:v>0.15</x:v>
      </x:c>
      <x:c r="H1948" s="9" t="n">
        <x:v>0.861111</x:v>
      </x:c>
      <x:c r="I1948" s="9" t="n">
        <x:f>'Physical_Arcs'!R28</x:f>
        <x:v>4.944444444444445</x:v>
      </x:c>
      <x:c r="J1948" s="9" t="n">
        <x:f>I1948*'Parameters'!$C$18</x:f>
        <x:v>0.9888888888888889</x:v>
      </x:c>
      <x:c r="K1948" s="9" t="n">
        <x:f>J1948*'Parameters'!$C$19</x:f>
        <x:v>1.2361111111111112</x:v>
      </x:c>
      <x:c r="L1948" s="9" t="n">
        <x:f>I1948*(1-0.40)-J1948</x:f>
        <x:v>1.9777777777777779</x:v>
      </x:c>
      <x:c r="M1948" s="9" t="n">
        <x:f>'Physical_Arcs'!S28</x:f>
        <x:v>4.944444444444445</x:v>
      </x:c>
      <x:c r="N1948" s="9" t="n">
        <x:f>M1948*'Parameters'!$C$18</x:f>
        <x:v>0.9888888888888889</x:v>
      </x:c>
      <x:c r="O1948" s="9" t="n">
        <x:f>N1948*'Parameters'!$C$19</x:f>
        <x:v>1.2361111111111112</x:v>
      </x:c>
      <x:c r="P1948" s="9" t="n">
        <x:f>M1948*(1-0.40)-N1948</x:f>
        <x:v>1.9777777777777779</x:v>
      </x:c>
      <x:c r="Q1948" s="9" t="n">
        <x:f>'Physical_Arcs'!T28</x:f>
        <x:v>2.4722222222222223</x:v>
      </x:c>
      <x:c r="R1948" s="9" t="n">
        <x:f>Q1948*'Parameters'!$C$18</x:f>
        <x:v>0.49444444444444446</x:v>
      </x:c>
      <x:c r="S1948" s="9" t="n">
        <x:f>R1948*'Parameters'!$C$19</x:f>
        <x:v>0.6180555555555556</x:v>
      </x:c>
      <x:c r="T1948" s="9" t="n">
        <x:f>Q1948*(1-0.40)-R1948</x:f>
        <x:v>0.9888888888888889</x:v>
      </x:c>
    </x:row>
    <x:row r="1949" ht="21" customHeight="1">
      <x:c r="A1949" s="3" t="n">
        <x:v>32</x:v>
      </x:c>
      <x:c r="B1949" s="3" t="str">
        <x:v>05:20</x:v>
      </x:c>
      <x:c r="C1949" s="3" t="n">
        <x:v>6</x:v>
      </x:c>
      <x:c r="D1949" s="3" t="n">
        <x:v>28</x:v>
      </x:c>
      <x:c r="E1949" s="3" t="n">
        <x:v>4</x:v>
      </x:c>
      <x:c r="F1949" s="3" t="n">
        <x:v>6</x:v>
      </x:c>
      <x:c r="G1949" s="9" t="n">
        <x:v>0.15</x:v>
      </x:c>
      <x:c r="H1949" s="9" t="n">
        <x:v>1.137214</x:v>
      </x:c>
      <x:c r="I1949" s="9" t="n">
        <x:f>'Physical_Arcs'!R29</x:f>
        <x:v>3.388888888888889</x:v>
      </x:c>
      <x:c r="J1949" s="9" t="n">
        <x:f>I1949*'Parameters'!$C$18</x:f>
        <x:v>0.6777777777777778</x:v>
      </x:c>
      <x:c r="K1949" s="9" t="n">
        <x:f>J1949*'Parameters'!$C$19</x:f>
        <x:v>0.8472222222222223</x:v>
      </x:c>
      <x:c r="L1949" s="9" t="n">
        <x:f>I1949*(1-0.40)-J1949</x:f>
        <x:v>1.3555555555555554</x:v>
      </x:c>
      <x:c r="M1949" s="9" t="n">
        <x:f>'Physical_Arcs'!S29</x:f>
        <x:v>3.388888888888889</x:v>
      </x:c>
      <x:c r="N1949" s="9" t="n">
        <x:f>M1949*'Parameters'!$C$18</x:f>
        <x:v>0.6777777777777778</x:v>
      </x:c>
      <x:c r="O1949" s="9" t="n">
        <x:f>N1949*'Parameters'!$C$19</x:f>
        <x:v>0.8472222222222223</x:v>
      </x:c>
      <x:c r="P1949" s="9" t="n">
        <x:f>M1949*(1-0.40)-N1949</x:f>
        <x:v>1.3555555555555554</x:v>
      </x:c>
      <x:c r="Q1949" s="9" t="n">
        <x:f>'Physical_Arcs'!T29</x:f>
        <x:v>1.6944444444444444</x:v>
      </x:c>
      <x:c r="R1949" s="9" t="n">
        <x:f>Q1949*'Parameters'!$C$18</x:f>
        <x:v>0.3388888888888889</x:v>
      </x:c>
      <x:c r="S1949" s="9" t="n">
        <x:f>R1949*'Parameters'!$C$19</x:f>
        <x:v>0.42361111111111116</x:v>
      </x:c>
      <x:c r="T1949" s="9" t="n">
        <x:f>Q1949*(1-0.40)-R1949</x:f>
        <x:v>0.6777777777777777</x:v>
      </x:c>
    </x:row>
    <x:row r="1950" ht="21" customHeight="1">
      <x:c r="A1950" s="3" t="n">
        <x:v>32</x:v>
      </x:c>
      <x:c r="B1950" s="3" t="str">
        <x:v>05:20</x:v>
      </x:c>
      <x:c r="C1950" s="3" t="n">
        <x:v>6</x:v>
      </x:c>
      <x:c r="D1950" s="3" t="n">
        <x:v>29</x:v>
      </x:c>
      <x:c r="E1950" s="3" t="n">
        <x:v>5</x:v>
      </x:c>
      <x:c r="F1950" s="3" t="n">
        <x:v>6</x:v>
      </x:c>
      <x:c r="G1950" s="9" t="n">
        <x:v>0.15</x:v>
      </x:c>
      <x:c r="H1950" s="9" t="n">
        <x:v>0.949994</x:v>
      </x:c>
      <x:c r="I1950" s="9" t="n">
        <x:f>'Physical_Arcs'!R30</x:f>
        <x:v>17.02777777777778</x:v>
      </x:c>
      <x:c r="J1950" s="9" t="n">
        <x:f>I1950*'Parameters'!$C$18</x:f>
        <x:v>3.405555555555556</x:v>
      </x:c>
      <x:c r="K1950" s="9" t="n">
        <x:f>J1950*'Parameters'!$C$19</x:f>
        <x:v>4.256944444444445</x:v>
      </x:c>
      <x:c r="L1950" s="9" t="n">
        <x:f>I1950*(1-0.40)-J1950</x:f>
        <x:v>6.811111111111111</x:v>
      </x:c>
      <x:c r="M1950" s="9" t="n">
        <x:f>'Physical_Arcs'!S30</x:f>
        <x:v>17.02777777777778</x:v>
      </x:c>
      <x:c r="N1950" s="9" t="n">
        <x:f>M1950*'Parameters'!$C$18</x:f>
        <x:v>3.405555555555556</x:v>
      </x:c>
      <x:c r="O1950" s="9" t="n">
        <x:f>N1950*'Parameters'!$C$19</x:f>
        <x:v>4.256944444444445</x:v>
      </x:c>
      <x:c r="P1950" s="9" t="n">
        <x:f>M1950*(1-0.40)-N1950</x:f>
        <x:v>6.811111111111111</x:v>
      </x:c>
      <x:c r="Q1950" s="9" t="n">
        <x:f>'Physical_Arcs'!T30</x:f>
        <x:v>17.02777777777778</x:v>
      </x:c>
      <x:c r="R1950" s="9" t="n">
        <x:f>Q1950*'Parameters'!$C$18</x:f>
        <x:v>3.405555555555556</x:v>
      </x:c>
      <x:c r="S1950" s="9" t="n">
        <x:f>R1950*'Parameters'!$C$19</x:f>
        <x:v>4.256944444444445</x:v>
      </x:c>
      <x:c r="T1950" s="9" t="n">
        <x:f>Q1950*(1-0.40)-R1950</x:f>
        <x:v>6.811111111111111</x:v>
      </x:c>
    </x:row>
    <x:row r="1951" ht="21" customHeight="1">
      <x:c r="A1951" s="3" t="n">
        <x:v>32</x:v>
      </x:c>
      <x:c r="B1951" s="3" t="str">
        <x:v>05:20</x:v>
      </x:c>
      <x:c r="C1951" s="3" t="n">
        <x:v>6</x:v>
      </x:c>
      <x:c r="D1951" s="3" t="n">
        <x:v>30</x:v>
      </x:c>
      <x:c r="E1951" s="3" t="n">
        <x:v>5</x:v>
      </x:c>
      <x:c r="F1951" s="3" t="n">
        <x:v>2</x:v>
      </x:c>
      <x:c r="G1951" s="9" t="n">
        <x:v>0.15</x:v>
      </x:c>
      <x:c r="H1951" s="9" t="n">
        <x:v>0.882396</x:v>
      </x:c>
      <x:c r="I1951" s="9" t="n">
        <x:f>'Physical_Arcs'!R31</x:f>
        <x:v>2.9444444444444446</x:v>
      </x:c>
      <x:c r="J1951" s="9" t="n">
        <x:f>I1951*'Parameters'!$C$18</x:f>
        <x:v>0.5888888888888889</x:v>
      </x:c>
      <x:c r="K1951" s="9" t="n">
        <x:f>J1951*'Parameters'!$C$19</x:f>
        <x:v>0.7361111111111112</x:v>
      </x:c>
      <x:c r="L1951" s="9" t="n">
        <x:f>I1951*(1-0.40)-J1951</x:f>
        <x:v>1.177777777777778</x:v>
      </x:c>
      <x:c r="M1951" s="9" t="n">
        <x:f>'Physical_Arcs'!S31</x:f>
        <x:v>2.9444444444444446</x:v>
      </x:c>
      <x:c r="N1951" s="9" t="n">
        <x:f>M1951*'Parameters'!$C$18</x:f>
        <x:v>0.5888888888888889</x:v>
      </x:c>
      <x:c r="O1951" s="9" t="n">
        <x:f>N1951*'Parameters'!$C$19</x:f>
        <x:v>0.7361111111111112</x:v>
      </x:c>
      <x:c r="P1951" s="9" t="n">
        <x:f>M1951*(1-0.40)-N1951</x:f>
        <x:v>1.177777777777778</x:v>
      </x:c>
      <x:c r="Q1951" s="9" t="n">
        <x:f>'Physical_Arcs'!T31</x:f>
        <x:v>1.4722222222222223</x:v>
      </x:c>
      <x:c r="R1951" s="9" t="n">
        <x:f>Q1951*'Parameters'!$C$18</x:f>
        <x:v>0.29444444444444445</x:v>
      </x:c>
      <x:c r="S1951" s="9" t="n">
        <x:f>R1951*'Parameters'!$C$19</x:f>
        <x:v>0.3680555555555556</x:v>
      </x:c>
      <x:c r="T1951" s="9" t="n">
        <x:f>Q1951*(1-0.40)-R1951</x:f>
        <x:v>0.588888888888889</x:v>
      </x:c>
    </x:row>
    <x:row r="1952" ht="21" customHeight="1">
      <x:c r="A1952" s="3" t="n">
        <x:v>32</x:v>
      </x:c>
      <x:c r="B1952" s="3" t="str">
        <x:v>05:20</x:v>
      </x:c>
      <x:c r="C1952" s="3" t="n">
        <x:v>6</x:v>
      </x:c>
      <x:c r="D1952" s="3" t="n">
        <x:v>31</x:v>
      </x:c>
      <x:c r="E1952" s="3" t="n">
        <x:v>5</x:v>
      </x:c>
      <x:c r="F1952" s="3" t="n">
        <x:v>8</x:v>
      </x:c>
      <x:c r="G1952" s="9" t="n">
        <x:v>0.15</x:v>
      </x:c>
      <x:c r="H1952" s="9" t="n">
        <x:v>0.986718</x:v>
      </x:c>
      <x:c r="I1952" s="9" t="n">
        <x:f>'Physical_Arcs'!R32</x:f>
        <x:v>9.333333333333334</x:v>
      </x:c>
      <x:c r="J1952" s="9" t="n">
        <x:f>I1952*'Parameters'!$C$18</x:f>
        <x:v>1.866666666666667</x:v>
      </x:c>
      <x:c r="K1952" s="9" t="n">
        <x:f>J1952*'Parameters'!$C$19</x:f>
        <x:v>2.3333333333333335</x:v>
      </x:c>
      <x:c r="L1952" s="9" t="n">
        <x:f>I1952*(1-0.40)-J1952</x:f>
        <x:v>3.7333333333333334</x:v>
      </x:c>
      <x:c r="M1952" s="9" t="n">
        <x:f>'Physical_Arcs'!S32</x:f>
        <x:v>9.333333333333334</x:v>
      </x:c>
      <x:c r="N1952" s="9" t="n">
        <x:f>M1952*'Parameters'!$C$18</x:f>
        <x:v>1.866666666666667</x:v>
      </x:c>
      <x:c r="O1952" s="9" t="n">
        <x:f>N1952*'Parameters'!$C$19</x:f>
        <x:v>2.3333333333333335</x:v>
      </x:c>
      <x:c r="P1952" s="9" t="n">
        <x:f>M1952*(1-0.40)-N1952</x:f>
        <x:v>3.7333333333333334</x:v>
      </x:c>
      <x:c r="Q1952" s="9" t="n">
        <x:f>'Physical_Arcs'!T32</x:f>
        <x:v>4.666666666666667</x:v>
      </x:c>
      <x:c r="R1952" s="9" t="n">
        <x:f>Q1952*'Parameters'!$C$18</x:f>
        <x:v>0.9333333333333335</x:v>
      </x:c>
      <x:c r="S1952" s="9" t="n">
        <x:f>R1952*'Parameters'!$C$19</x:f>
        <x:v>1.1666666666666667</x:v>
      </x:c>
      <x:c r="T1952" s="9" t="n">
        <x:f>Q1952*(1-0.40)-R1952</x:f>
        <x:v>1.8666666666666667</x:v>
      </x:c>
    </x:row>
    <x:row r="1953" ht="21" customHeight="1">
      <x:c r="A1953" s="3" t="n">
        <x:v>32</x:v>
      </x:c>
      <x:c r="B1953" s="3" t="str">
        <x:v>05:20</x:v>
      </x:c>
      <x:c r="C1953" s="3" t="n">
        <x:v>6</x:v>
      </x:c>
      <x:c r="D1953" s="3" t="n">
        <x:v>32</x:v>
      </x:c>
      <x:c r="E1953" s="3" t="n">
        <x:v>5</x:v>
      </x:c>
      <x:c r="F1953" s="3" t="n">
        <x:v>3</x:v>
      </x:c>
      <x:c r="G1953" s="9" t="n">
        <x:v>0.15</x:v>
      </x:c>
      <x:c r="H1953" s="9" t="n">
        <x:v>1.089544</x:v>
      </x:c>
      <x:c r="I1953" s="9" t="n">
        <x:f>'Physical_Arcs'!R33</x:f>
        <x:v>11.13888888888889</x:v>
      </x:c>
      <x:c r="J1953" s="9" t="n">
        <x:f>I1953*'Parameters'!$C$18</x:f>
        <x:v>2.227777777777778</x:v>
      </x:c>
      <x:c r="K1953" s="9" t="n">
        <x:f>J1953*'Parameters'!$C$19</x:f>
        <x:v>2.7847222222222223</x:v>
      </x:c>
      <x:c r="L1953" s="9" t="n">
        <x:f>I1953*(1-0.40)-J1953</x:f>
        <x:v>4.455555555555556</x:v>
      </x:c>
      <x:c r="M1953" s="9" t="n">
        <x:f>'Physical_Arcs'!S33</x:f>
        <x:v>11.13888888888889</x:v>
      </x:c>
      <x:c r="N1953" s="9" t="n">
        <x:f>M1953*'Parameters'!$C$18</x:f>
        <x:v>2.227777777777778</x:v>
      </x:c>
      <x:c r="O1953" s="9" t="n">
        <x:f>N1953*'Parameters'!$C$19</x:f>
        <x:v>2.7847222222222223</x:v>
      </x:c>
      <x:c r="P1953" s="9" t="n">
        <x:f>M1953*(1-0.40)-N1953</x:f>
        <x:v>4.455555555555556</x:v>
      </x:c>
      <x:c r="Q1953" s="9" t="n">
        <x:f>'Physical_Arcs'!T33</x:f>
        <x:v>5.583333333333333</x:v>
      </x:c>
      <x:c r="R1953" s="9" t="n">
        <x:f>Q1953*'Parameters'!$C$18</x:f>
        <x:v>1.1166666666666667</x:v>
      </x:c>
      <x:c r="S1953" s="9" t="n">
        <x:f>R1953*'Parameters'!$C$19</x:f>
        <x:v>1.3958333333333335</x:v>
      </x:c>
      <x:c r="T1953" s="9" t="n">
        <x:f>Q1953*(1-0.40)-R1953</x:f>
        <x:v>2.233333333333333</x:v>
      </x:c>
    </x:row>
    <x:row r="1954" ht="21" customHeight="1">
      <x:c r="A1954" s="3" t="n">
        <x:v>32</x:v>
      </x:c>
      <x:c r="B1954" s="3" t="str">
        <x:v>05:20</x:v>
      </x:c>
      <x:c r="C1954" s="3" t="n">
        <x:v>6</x:v>
      </x:c>
      <x:c r="D1954" s="3" t="n">
        <x:v>33</x:v>
      </x:c>
      <x:c r="E1954" s="3" t="n">
        <x:v>5</x:v>
      </x:c>
      <x:c r="F1954" s="3" t="n">
        <x:v>10</x:v>
      </x:c>
      <x:c r="G1954" s="9" t="n">
        <x:v>0.15</x:v>
      </x:c>
      <x:c r="H1954" s="9" t="n">
        <x:v>1.103596</x:v>
      </x:c>
      <x:c r="I1954" s="9" t="n">
        <x:f>'Physical_Arcs'!R34</x:f>
        <x:v>4.611111111111111</x:v>
      </x:c>
      <x:c r="J1954" s="9" t="n">
        <x:f>I1954*'Parameters'!$C$18</x:f>
        <x:v>0.9222222222222222</x:v>
      </x:c>
      <x:c r="K1954" s="9" t="n">
        <x:f>J1954*'Parameters'!$C$19</x:f>
        <x:v>1.1527777777777777</x:v>
      </x:c>
      <x:c r="L1954" s="9" t="n">
        <x:f>I1954*(1-0.40)-J1954</x:f>
        <x:v>1.844444444444444</x:v>
      </x:c>
      <x:c r="M1954" s="9" t="n">
        <x:f>'Physical_Arcs'!S34</x:f>
        <x:v>4.611111111111111</x:v>
      </x:c>
      <x:c r="N1954" s="9" t="n">
        <x:f>M1954*'Parameters'!$C$18</x:f>
        <x:v>0.9222222222222222</x:v>
      </x:c>
      <x:c r="O1954" s="9" t="n">
        <x:f>N1954*'Parameters'!$C$19</x:f>
        <x:v>1.1527777777777777</x:v>
      </x:c>
      <x:c r="P1954" s="9" t="n">
        <x:f>M1954*(1-0.40)-N1954</x:f>
        <x:v>1.844444444444444</x:v>
      </x:c>
      <x:c r="Q1954" s="9" t="n">
        <x:f>'Physical_Arcs'!T34</x:f>
        <x:v>2.3055555555555554</x:v>
      </x:c>
      <x:c r="R1954" s="9" t="n">
        <x:f>Q1954*'Parameters'!$C$18</x:f>
        <x:v>0.4611111111111111</x:v>
      </x:c>
      <x:c r="S1954" s="9" t="n">
        <x:f>R1954*'Parameters'!$C$19</x:f>
        <x:v>0.5763888888888888</x:v>
      </x:c>
      <x:c r="T1954" s="9" t="n">
        <x:f>Q1954*(1-0.40)-R1954</x:f>
        <x:v>0.922222222222222</x:v>
      </x:c>
    </x:row>
    <x:row r="1955" ht="21" customHeight="1">
      <x:c r="A1955" s="3" t="n">
        <x:v>32</x:v>
      </x:c>
      <x:c r="B1955" s="3" t="str">
        <x:v>05:20</x:v>
      </x:c>
      <x:c r="C1955" s="3" t="n">
        <x:v>6</x:v>
      </x:c>
      <x:c r="D1955" s="3" t="n">
        <x:v>34</x:v>
      </x:c>
      <x:c r="E1955" s="3" t="n">
        <x:v>6</x:v>
      </x:c>
      <x:c r="F1955" s="3" t="n">
        <x:v>7</x:v>
      </x:c>
      <x:c r="G1955" s="9" t="n">
        <x:v>0.15</x:v>
      </x:c>
      <x:c r="H1955" s="9" t="n">
        <x:v>0.973887</x:v>
      </x:c>
      <x:c r="I1955" s="9" t="n">
        <x:f>'Physical_Arcs'!R35</x:f>
        <x:v>17.02777777777778</x:v>
      </x:c>
      <x:c r="J1955" s="9" t="n">
        <x:f>I1955*'Parameters'!$C$18</x:f>
        <x:v>3.405555555555556</x:v>
      </x:c>
      <x:c r="K1955" s="9" t="n">
        <x:f>J1955*'Parameters'!$C$19</x:f>
        <x:v>4.256944444444445</x:v>
      </x:c>
      <x:c r="L1955" s="9" t="n">
        <x:f>I1955*(1-0.40)-J1955</x:f>
        <x:v>6.811111111111111</x:v>
      </x:c>
      <x:c r="M1955" s="9" t="n">
        <x:f>'Physical_Arcs'!S35</x:f>
        <x:v>17.02777777777778</x:v>
      </x:c>
      <x:c r="N1955" s="9" t="n">
        <x:f>M1955*'Parameters'!$C$18</x:f>
        <x:v>3.405555555555556</x:v>
      </x:c>
      <x:c r="O1955" s="9" t="n">
        <x:f>N1955*'Parameters'!$C$19</x:f>
        <x:v>4.256944444444445</x:v>
      </x:c>
      <x:c r="P1955" s="9" t="n">
        <x:f>M1955*(1-0.40)-N1955</x:f>
        <x:v>6.811111111111111</x:v>
      </x:c>
      <x:c r="Q1955" s="9" t="n">
        <x:f>'Physical_Arcs'!T35</x:f>
        <x:v>17.02777777777778</x:v>
      </x:c>
      <x:c r="R1955" s="9" t="n">
        <x:f>Q1955*'Parameters'!$C$18</x:f>
        <x:v>3.405555555555556</x:v>
      </x:c>
      <x:c r="S1955" s="9" t="n">
        <x:f>R1955*'Parameters'!$C$19</x:f>
        <x:v>4.256944444444445</x:v>
      </x:c>
      <x:c r="T1955" s="9" t="n">
        <x:f>Q1955*(1-0.40)-R1955</x:f>
        <x:v>6.811111111111111</x:v>
      </x:c>
    </x:row>
    <x:row r="1956" ht="21" customHeight="1">
      <x:c r="A1956" s="3" t="n">
        <x:v>32</x:v>
      </x:c>
      <x:c r="B1956" s="3" t="str">
        <x:v>05:20</x:v>
      </x:c>
      <x:c r="C1956" s="3" t="n">
        <x:v>6</x:v>
      </x:c>
      <x:c r="D1956" s="3" t="n">
        <x:v>35</x:v>
      </x:c>
      <x:c r="E1956" s="3" t="n">
        <x:v>6</x:v>
      </x:c>
      <x:c r="F1956" s="3" t="n">
        <x:v>10</x:v>
      </x:c>
      <x:c r="G1956" s="9" t="n">
        <x:v>0.15</x:v>
      </x:c>
      <x:c r="H1956" s="9" t="n">
        <x:v>1.009062</x:v>
      </x:c>
      <x:c r="I1956" s="9" t="n">
        <x:f>'Physical_Arcs'!R36</x:f>
        <x:v>4.055555555555555</x:v>
      </x:c>
      <x:c r="J1956" s="9" t="n">
        <x:f>I1956*'Parameters'!$C$18</x:f>
        <x:v>0.8111111111111111</x:v>
      </x:c>
      <x:c r="K1956" s="9" t="n">
        <x:f>J1956*'Parameters'!$C$19</x:f>
        <x:v>1.0138888888888888</x:v>
      </x:c>
      <x:c r="L1956" s="9" t="n">
        <x:f>I1956*(1-0.40)-J1956</x:f>
        <x:v>1.622222222222222</x:v>
      </x:c>
      <x:c r="M1956" s="9" t="n">
        <x:f>'Physical_Arcs'!S36</x:f>
        <x:v>4.055555555555555</x:v>
      </x:c>
      <x:c r="N1956" s="9" t="n">
        <x:f>M1956*'Parameters'!$C$18</x:f>
        <x:v>0.8111111111111111</x:v>
      </x:c>
      <x:c r="O1956" s="9" t="n">
        <x:f>N1956*'Parameters'!$C$19</x:f>
        <x:v>1.0138888888888888</x:v>
      </x:c>
      <x:c r="P1956" s="9" t="n">
        <x:f>M1956*(1-0.40)-N1956</x:f>
        <x:v>1.622222222222222</x:v>
      </x:c>
      <x:c r="Q1956" s="9" t="n">
        <x:f>'Physical_Arcs'!T36</x:f>
        <x:v>2.0277777777777777</x:v>
      </x:c>
      <x:c r="R1956" s="9" t="n">
        <x:f>Q1956*'Parameters'!$C$18</x:f>
        <x:v>0.40555555555555556</x:v>
      </x:c>
      <x:c r="S1956" s="9" t="n">
        <x:f>R1956*'Parameters'!$C$19</x:f>
        <x:v>0.5069444444444444</x:v>
      </x:c>
      <x:c r="T1956" s="9" t="n">
        <x:f>Q1956*(1-0.40)-R1956</x:f>
        <x:v>0.811111111111111</x:v>
      </x:c>
    </x:row>
    <x:row r="1957" ht="21" customHeight="1">
      <x:c r="A1957" s="3" t="n">
        <x:v>32</x:v>
      </x:c>
      <x:c r="B1957" s="3" t="str">
        <x:v>05:20</x:v>
      </x:c>
      <x:c r="C1957" s="3" t="n">
        <x:v>6</x:v>
      </x:c>
      <x:c r="D1957" s="3" t="n">
        <x:v>36</x:v>
      </x:c>
      <x:c r="E1957" s="3" t="n">
        <x:v>6</x:v>
      </x:c>
      <x:c r="F1957" s="3" t="n">
        <x:v>8</x:v>
      </x:c>
      <x:c r="G1957" s="9" t="n">
        <x:v>0.15</x:v>
      </x:c>
      <x:c r="H1957" s="9" t="n">
        <x:v>1.132129</x:v>
      </x:c>
      <x:c r="I1957" s="9" t="n">
        <x:f>'Physical_Arcs'!R37</x:f>
        <x:v>6.972222222222222</x:v>
      </x:c>
      <x:c r="J1957" s="9" t="n">
        <x:f>I1957*'Parameters'!$C$18</x:f>
        <x:v>1.3944444444444446</x:v>
      </x:c>
      <x:c r="K1957" s="9" t="n">
        <x:f>J1957*'Parameters'!$C$19</x:f>
        <x:v>1.7430555555555558</x:v>
      </x:c>
      <x:c r="L1957" s="9" t="n">
        <x:f>I1957*(1-0.40)-J1957</x:f>
        <x:v>2.7888888888888888</x:v>
      </x:c>
      <x:c r="M1957" s="9" t="n">
        <x:f>'Physical_Arcs'!S37</x:f>
        <x:v>6.972222222222222</x:v>
      </x:c>
      <x:c r="N1957" s="9" t="n">
        <x:f>M1957*'Parameters'!$C$18</x:f>
        <x:v>1.3944444444444446</x:v>
      </x:c>
      <x:c r="O1957" s="9" t="n">
        <x:f>N1957*'Parameters'!$C$19</x:f>
        <x:v>1.7430555555555558</x:v>
      </x:c>
      <x:c r="P1957" s="9" t="n">
        <x:f>M1957*(1-0.40)-N1957</x:f>
        <x:v>2.7888888888888888</x:v>
      </x:c>
      <x:c r="Q1957" s="9" t="n">
        <x:f>'Physical_Arcs'!T37</x:f>
        <x:v>3.5</x:v>
      </x:c>
      <x:c r="R1957" s="9" t="n">
        <x:f>Q1957*'Parameters'!$C$18</x:f>
        <x:v>0.7000000000000001</x:v>
      </x:c>
      <x:c r="S1957" s="9" t="n">
        <x:f>R1957*'Parameters'!$C$19</x:f>
        <x:v>0.8750000000000001</x:v>
      </x:c>
      <x:c r="T1957" s="9" t="n">
        <x:f>Q1957*(1-0.40)-R1957</x:f>
        <x:v>1.4</x:v>
      </x:c>
    </x:row>
    <x:row r="1958" ht="21" customHeight="1">
      <x:c r="A1958" s="3" t="n">
        <x:v>32</x:v>
      </x:c>
      <x:c r="B1958" s="3" t="str">
        <x:v>05:20</x:v>
      </x:c>
      <x:c r="C1958" s="3" t="n">
        <x:v>6</x:v>
      </x:c>
      <x:c r="D1958" s="3" t="n">
        <x:v>37</x:v>
      </x:c>
      <x:c r="E1958" s="3" t="n">
        <x:v>6</x:v>
      </x:c>
      <x:c r="F1958" s="3" t="n">
        <x:v>1</x:v>
      </x:c>
      <x:c r="G1958" s="9" t="n">
        <x:v>0.15</x:v>
      </x:c>
      <x:c r="H1958" s="9" t="n">
        <x:v>1.020746</x:v>
      </x:c>
      <x:c r="I1958" s="9" t="n">
        <x:f>'Physical_Arcs'!R38</x:f>
        <x:v>6.305555555555555</x:v>
      </x:c>
      <x:c r="J1958" s="9" t="n">
        <x:f>I1958*'Parameters'!$C$18</x:f>
        <x:v>1.261111111111111</x:v>
      </x:c>
      <x:c r="K1958" s="9" t="n">
        <x:f>J1958*'Parameters'!$C$19</x:f>
        <x:v>1.5763888888888888</x:v>
      </x:c>
      <x:c r="L1958" s="9" t="n">
        <x:f>I1958*(1-0.40)-J1958</x:f>
        <x:v>2.522222222222222</x:v>
      </x:c>
      <x:c r="M1958" s="9" t="n">
        <x:f>'Physical_Arcs'!S38</x:f>
        <x:v>6.305555555555555</x:v>
      </x:c>
      <x:c r="N1958" s="9" t="n">
        <x:f>M1958*'Parameters'!$C$18</x:f>
        <x:v>1.261111111111111</x:v>
      </x:c>
      <x:c r="O1958" s="9" t="n">
        <x:f>N1958*'Parameters'!$C$19</x:f>
        <x:v>1.5763888888888888</x:v>
      </x:c>
      <x:c r="P1958" s="9" t="n">
        <x:f>M1958*(1-0.40)-N1958</x:f>
        <x:v>2.522222222222222</x:v>
      </x:c>
      <x:c r="Q1958" s="9" t="n">
        <x:f>'Physical_Arcs'!T38</x:f>
        <x:v>3.1666666666666665</x:v>
      </x:c>
      <x:c r="R1958" s="9" t="n">
        <x:f>Q1958*'Parameters'!$C$18</x:f>
        <x:v>0.6333333333333333</x:v>
      </x:c>
      <x:c r="S1958" s="9" t="n">
        <x:f>R1958*'Parameters'!$C$19</x:f>
        <x:v>0.7916666666666666</x:v>
      </x:c>
      <x:c r="T1958" s="9" t="n">
        <x:f>Q1958*(1-0.40)-R1958</x:f>
        <x:v>1.2666666666666666</x:v>
      </x:c>
    </x:row>
    <x:row r="1959" ht="21" customHeight="1">
      <x:c r="A1959" s="3" t="n">
        <x:v>32</x:v>
      </x:c>
      <x:c r="B1959" s="3" t="str">
        <x:v>05:20</x:v>
      </x:c>
      <x:c r="C1959" s="3" t="n">
        <x:v>6</x:v>
      </x:c>
      <x:c r="D1959" s="3" t="n">
        <x:v>38</x:v>
      </x:c>
      <x:c r="E1959" s="3" t="n">
        <x:v>6</x:v>
      </x:c>
      <x:c r="F1959" s="3" t="n">
        <x:v>3</x:v>
      </x:c>
      <x:c r="G1959" s="9" t="n">
        <x:v>0.15</x:v>
      </x:c>
      <x:c r="H1959" s="9" t="n">
        <x:v>1.149081</x:v>
      </x:c>
      <x:c r="I1959" s="9" t="n">
        <x:f>'Physical_Arcs'!R39</x:f>
        <x:v>1.9166666666666667</x:v>
      </x:c>
      <x:c r="J1959" s="9" t="n">
        <x:f>I1959*'Parameters'!$C$18</x:f>
        <x:v>0.38333333333333336</x:v>
      </x:c>
      <x:c r="K1959" s="9" t="n">
        <x:f>J1959*'Parameters'!$C$19</x:f>
        <x:v>0.4791666666666667</x:v>
      </x:c>
      <x:c r="L1959" s="9" t="n">
        <x:f>I1959*(1-0.40)-J1959</x:f>
        <x:v>0.7666666666666666</x:v>
      </x:c>
      <x:c r="M1959" s="9" t="n">
        <x:f>'Physical_Arcs'!S39</x:f>
        <x:v>1.9166666666666667</x:v>
      </x:c>
      <x:c r="N1959" s="9" t="n">
        <x:f>M1959*'Parameters'!$C$18</x:f>
        <x:v>0.38333333333333336</x:v>
      </x:c>
      <x:c r="O1959" s="9" t="n">
        <x:f>N1959*'Parameters'!$C$19</x:f>
        <x:v>0.4791666666666667</x:v>
      </x:c>
      <x:c r="P1959" s="9" t="n">
        <x:f>M1959*(1-0.40)-N1959</x:f>
        <x:v>0.7666666666666666</x:v>
      </x:c>
      <x:c r="Q1959" s="9" t="n">
        <x:f>'Physical_Arcs'!T39</x:f>
        <x:v>0.9722222222222222</x:v>
      </x:c>
      <x:c r="R1959" s="9" t="n">
        <x:f>Q1959*'Parameters'!$C$18</x:f>
        <x:v>0.19444444444444445</x:v>
      </x:c>
      <x:c r="S1959" s="9" t="n">
        <x:f>R1959*'Parameters'!$C$19</x:f>
        <x:v>0.24305555555555555</x:v>
      </x:c>
      <x:c r="T1959" s="9" t="n">
        <x:f>Q1959*(1-0.40)-R1959</x:f>
        <x:v>0.38888888888888884</x:v>
      </x:c>
    </x:row>
    <x:row r="1960" ht="21" customHeight="1">
      <x:c r="A1960" s="3" t="n">
        <x:v>32</x:v>
      </x:c>
      <x:c r="B1960" s="3" t="str">
        <x:v>05:20</x:v>
      </x:c>
      <x:c r="C1960" s="3" t="n">
        <x:v>6</x:v>
      </x:c>
      <x:c r="D1960" s="3" t="n">
        <x:v>39</x:v>
      </x:c>
      <x:c r="E1960" s="3" t="n">
        <x:v>7</x:v>
      </x:c>
      <x:c r="F1960" s="3" t="n">
        <x:v>8</x:v>
      </x:c>
      <x:c r="G1960" s="9" t="n">
        <x:v>0.15</x:v>
      </x:c>
      <x:c r="H1960" s="9" t="n">
        <x:v>1.003268</x:v>
      </x:c>
      <x:c r="I1960" s="9" t="n">
        <x:f>'Physical_Arcs'!R40</x:f>
        <x:v>17.02777777777778</x:v>
      </x:c>
      <x:c r="J1960" s="9" t="n">
        <x:f>I1960*'Parameters'!$C$18</x:f>
        <x:v>3.405555555555556</x:v>
      </x:c>
      <x:c r="K1960" s="9" t="n">
        <x:f>J1960*'Parameters'!$C$19</x:f>
        <x:v>4.256944444444445</x:v>
      </x:c>
      <x:c r="L1960" s="9" t="n">
        <x:f>I1960*(1-0.40)-J1960</x:f>
        <x:v>6.811111111111111</x:v>
      </x:c>
      <x:c r="M1960" s="9" t="n">
        <x:f>'Physical_Arcs'!S40</x:f>
        <x:v>17.02777777777778</x:v>
      </x:c>
      <x:c r="N1960" s="9" t="n">
        <x:f>M1960*'Parameters'!$C$18</x:f>
        <x:v>3.405555555555556</x:v>
      </x:c>
      <x:c r="O1960" s="9" t="n">
        <x:f>N1960*'Parameters'!$C$19</x:f>
        <x:v>4.256944444444445</x:v>
      </x:c>
      <x:c r="P1960" s="9" t="n">
        <x:f>M1960*(1-0.40)-N1960</x:f>
        <x:v>6.811111111111111</x:v>
      </x:c>
      <x:c r="Q1960" s="9" t="n">
        <x:f>'Physical_Arcs'!T40</x:f>
        <x:v>17.02777777777778</x:v>
      </x:c>
      <x:c r="R1960" s="9" t="n">
        <x:f>Q1960*'Parameters'!$C$18</x:f>
        <x:v>3.405555555555556</x:v>
      </x:c>
      <x:c r="S1960" s="9" t="n">
        <x:f>R1960*'Parameters'!$C$19</x:f>
        <x:v>4.256944444444445</x:v>
      </x:c>
      <x:c r="T1960" s="9" t="n">
        <x:f>Q1960*(1-0.40)-R1960</x:f>
        <x:v>6.811111111111111</x:v>
      </x:c>
    </x:row>
    <x:row r="1961" ht="21" customHeight="1">
      <x:c r="A1961" s="3" t="n">
        <x:v>32</x:v>
      </x:c>
      <x:c r="B1961" s="3" t="str">
        <x:v>05:20</x:v>
      </x:c>
      <x:c r="C1961" s="3" t="n">
        <x:v>6</x:v>
      </x:c>
      <x:c r="D1961" s="3" t="n">
        <x:v>40</x:v>
      </x:c>
      <x:c r="E1961" s="3" t="n">
        <x:v>7</x:v>
      </x:c>
      <x:c r="F1961" s="3" t="n">
        <x:v>1</x:v>
      </x:c>
      <x:c r="G1961" s="9" t="n">
        <x:v>0.15</x:v>
      </x:c>
      <x:c r="H1961" s="9" t="n">
        <x:v>1.057592</x:v>
      </x:c>
      <x:c r="I1961" s="9" t="n">
        <x:f>'Physical_Arcs'!R41</x:f>
        <x:v>7.972222222222222</x:v>
      </x:c>
      <x:c r="J1961" s="9" t="n">
        <x:f>I1961*'Parameters'!$C$18</x:f>
        <x:v>1.5944444444444446</x:v>
      </x:c>
      <x:c r="K1961" s="9" t="n">
        <x:f>J1961*'Parameters'!$C$19</x:f>
        <x:v>1.9930555555555558</x:v>
      </x:c>
      <x:c r="L1961" s="9" t="n">
        <x:f>I1961*(1-0.40)-J1961</x:f>
        <x:v>3.1888888888888887</x:v>
      </x:c>
      <x:c r="M1961" s="9" t="n">
        <x:f>'Physical_Arcs'!S41</x:f>
        <x:v>7.972222222222222</x:v>
      </x:c>
      <x:c r="N1961" s="9" t="n">
        <x:f>M1961*'Parameters'!$C$18</x:f>
        <x:v>1.5944444444444446</x:v>
      </x:c>
      <x:c r="O1961" s="9" t="n">
        <x:f>N1961*'Parameters'!$C$19</x:f>
        <x:v>1.9930555555555558</x:v>
      </x:c>
      <x:c r="P1961" s="9" t="n">
        <x:f>M1961*(1-0.40)-N1961</x:f>
        <x:v>3.1888888888888887</x:v>
      </x:c>
      <x:c r="Q1961" s="9" t="n">
        <x:f>'Physical_Arcs'!T41</x:f>
        <x:v>4</x:v>
      </x:c>
      <x:c r="R1961" s="9" t="n">
        <x:f>Q1961*'Parameters'!$C$18</x:f>
        <x:v>0.8</x:v>
      </x:c>
      <x:c r="S1961" s="9" t="n">
        <x:f>R1961*'Parameters'!$C$19</x:f>
        <x:v>1</x:v>
      </x:c>
      <x:c r="T1961" s="9" t="n">
        <x:f>Q1961*(1-0.40)-R1961</x:f>
        <x:v>1.5999999999999999</x:v>
      </x:c>
    </x:row>
    <x:row r="1962" ht="21" customHeight="1">
      <x:c r="A1962" s="3" t="n">
        <x:v>32</x:v>
      </x:c>
      <x:c r="B1962" s="3" t="str">
        <x:v>05:20</x:v>
      </x:c>
      <x:c r="C1962" s="3" t="n">
        <x:v>6</x:v>
      </x:c>
      <x:c r="D1962" s="3" t="n">
        <x:v>41</x:v>
      </x:c>
      <x:c r="E1962" s="3" t="n">
        <x:v>7</x:v>
      </x:c>
      <x:c r="F1962" s="3" t="n">
        <x:v>9</x:v>
      </x:c>
      <x:c r="G1962" s="9" t="n">
        <x:v>0.15</x:v>
      </x:c>
      <x:c r="H1962" s="9" t="n">
        <x:v>1.14801</x:v>
      </x:c>
      <x:c r="I1962" s="9" t="n">
        <x:f>'Physical_Arcs'!R42</x:f>
        <x:v>8.88888888888889</x:v>
      </x:c>
      <x:c r="J1962" s="9" t="n">
        <x:f>I1962*'Parameters'!$C$18</x:f>
        <x:v>1.777777777777778</x:v>
      </x:c>
      <x:c r="K1962" s="9" t="n">
        <x:f>J1962*'Parameters'!$C$19</x:f>
        <x:v>2.2222222222222223</x:v>
      </x:c>
      <x:c r="L1962" s="9" t="n">
        <x:f>I1962*(1-0.40)-J1962</x:f>
        <x:v>3.5555555555555554</x:v>
      </x:c>
      <x:c r="M1962" s="9" t="n">
        <x:f>'Physical_Arcs'!S42</x:f>
        <x:v>8.88888888888889</x:v>
      </x:c>
      <x:c r="N1962" s="9" t="n">
        <x:f>M1962*'Parameters'!$C$18</x:f>
        <x:v>1.777777777777778</x:v>
      </x:c>
      <x:c r="O1962" s="9" t="n">
        <x:f>N1962*'Parameters'!$C$19</x:f>
        <x:v>2.2222222222222223</x:v>
      </x:c>
      <x:c r="P1962" s="9" t="n">
        <x:f>M1962*(1-0.40)-N1962</x:f>
        <x:v>3.5555555555555554</x:v>
      </x:c>
      <x:c r="Q1962" s="9" t="n">
        <x:f>'Physical_Arcs'!T42</x:f>
        <x:v>4.444444444444445</x:v>
      </x:c>
      <x:c r="R1962" s="9" t="n">
        <x:f>Q1962*'Parameters'!$C$18</x:f>
        <x:v>0.888888888888889</x:v>
      </x:c>
      <x:c r="S1962" s="9" t="n">
        <x:f>R1962*'Parameters'!$C$19</x:f>
        <x:v>1.1111111111111112</x:v>
      </x:c>
      <x:c r="T1962" s="9" t="n">
        <x:f>Q1962*(1-0.40)-R1962</x:f>
        <x:v>1.7777777777777777</x:v>
      </x:c>
    </x:row>
    <x:row r="1963" ht="21" customHeight="1">
      <x:c r="A1963" s="3" t="n">
        <x:v>32</x:v>
      </x:c>
      <x:c r="B1963" s="3" t="str">
        <x:v>05:20</x:v>
      </x:c>
      <x:c r="C1963" s="3" t="n">
        <x:v>6</x:v>
      </x:c>
      <x:c r="D1963" s="3" t="n">
        <x:v>42</x:v>
      </x:c>
      <x:c r="E1963" s="3" t="n">
        <x:v>7</x:v>
      </x:c>
      <x:c r="F1963" s="3" t="n">
        <x:v>2</x:v>
      </x:c>
      <x:c r="G1963" s="9" t="n">
        <x:v>0.15</x:v>
      </x:c>
      <x:c r="H1963" s="9" t="n">
        <x:v>0.989237</x:v>
      </x:c>
      <x:c r="I1963" s="9" t="n">
        <x:f>'Physical_Arcs'!R43</x:f>
        <x:v>9</x:v>
      </x:c>
      <x:c r="J1963" s="9" t="n">
        <x:f>I1963*'Parameters'!$C$18</x:f>
        <x:v>1.8</x:v>
      </x:c>
      <x:c r="K1963" s="9" t="n">
        <x:f>J1963*'Parameters'!$C$19</x:f>
        <x:v>2.25</x:v>
      </x:c>
      <x:c r="L1963" s="9" t="n">
        <x:f>I1963*(1-0.40)-J1963</x:f>
        <x:v>3.5999999999999996</x:v>
      </x:c>
      <x:c r="M1963" s="9" t="n">
        <x:f>'Physical_Arcs'!S43</x:f>
        <x:v>9</x:v>
      </x:c>
      <x:c r="N1963" s="9" t="n">
        <x:f>M1963*'Parameters'!$C$18</x:f>
        <x:v>1.8</x:v>
      </x:c>
      <x:c r="O1963" s="9" t="n">
        <x:f>N1963*'Parameters'!$C$19</x:f>
        <x:v>2.25</x:v>
      </x:c>
      <x:c r="P1963" s="9" t="n">
        <x:f>M1963*(1-0.40)-N1963</x:f>
        <x:v>3.5999999999999996</x:v>
      </x:c>
      <x:c r="Q1963" s="9" t="n">
        <x:f>'Physical_Arcs'!T43</x:f>
        <x:v>4.5</x:v>
      </x:c>
      <x:c r="R1963" s="9" t="n">
        <x:f>Q1963*'Parameters'!$C$18</x:f>
        <x:v>0.9</x:v>
      </x:c>
      <x:c r="S1963" s="9" t="n">
        <x:f>R1963*'Parameters'!$C$19</x:f>
        <x:v>1.125</x:v>
      </x:c>
      <x:c r="T1963" s="9" t="n">
        <x:f>Q1963*(1-0.40)-R1963</x:f>
        <x:v>1.7999999999999998</x:v>
      </x:c>
    </x:row>
    <x:row r="1964" ht="21" customHeight="1">
      <x:c r="A1964" s="3" t="n">
        <x:v>32</x:v>
      </x:c>
      <x:c r="B1964" s="3" t="str">
        <x:v>05:20</x:v>
      </x:c>
      <x:c r="C1964" s="3" t="n">
        <x:v>6</x:v>
      </x:c>
      <x:c r="D1964" s="3" t="n">
        <x:v>43</x:v>
      </x:c>
      <x:c r="E1964" s="3" t="n">
        <x:v>7</x:v>
      </x:c>
      <x:c r="F1964" s="3" t="n">
        <x:v>3</x:v>
      </x:c>
      <x:c r="G1964" s="9" t="n">
        <x:v>0.15</x:v>
      </x:c>
      <x:c r="H1964" s="9" t="n">
        <x:v>1.050432</x:v>
      </x:c>
      <x:c r="I1964" s="9" t="n">
        <x:f>'Physical_Arcs'!R44</x:f>
        <x:v>7.638888888888889</x:v>
      </x:c>
      <x:c r="J1964" s="9" t="n">
        <x:f>I1964*'Parameters'!$C$18</x:f>
        <x:v>1.527777777777778</x:v>
      </x:c>
      <x:c r="K1964" s="9" t="n">
        <x:f>J1964*'Parameters'!$C$19</x:f>
        <x:v>1.9097222222222223</x:v>
      </x:c>
      <x:c r="L1964" s="9" t="n">
        <x:f>I1964*(1-0.40)-J1964</x:f>
        <x:v>3.0555555555555554</x:v>
      </x:c>
      <x:c r="M1964" s="9" t="n">
        <x:f>'Physical_Arcs'!S44</x:f>
        <x:v>7.638888888888889</x:v>
      </x:c>
      <x:c r="N1964" s="9" t="n">
        <x:f>M1964*'Parameters'!$C$18</x:f>
        <x:v>1.527777777777778</x:v>
      </x:c>
      <x:c r="O1964" s="9" t="n">
        <x:f>N1964*'Parameters'!$C$19</x:f>
        <x:v>1.9097222222222223</x:v>
      </x:c>
      <x:c r="P1964" s="9" t="n">
        <x:f>M1964*(1-0.40)-N1964</x:f>
        <x:v>3.0555555555555554</x:v>
      </x:c>
      <x:c r="Q1964" s="9" t="n">
        <x:f>'Physical_Arcs'!T44</x:f>
        <x:v>3.8333333333333335</x:v>
      </x:c>
      <x:c r="R1964" s="9" t="n">
        <x:f>Q1964*'Parameters'!$C$18</x:f>
        <x:v>0.7666666666666667</x:v>
      </x:c>
      <x:c r="S1964" s="9" t="n">
        <x:f>R1964*'Parameters'!$C$19</x:f>
        <x:v>0.9583333333333334</x:v>
      </x:c>
      <x:c r="T1964" s="9" t="n">
        <x:f>Q1964*(1-0.40)-R1964</x:f>
        <x:v>1.5333333333333332</x:v>
      </x:c>
    </x:row>
    <x:row r="1965" ht="21" customHeight="1">
      <x:c r="A1965" s="3" t="n">
        <x:v>32</x:v>
      </x:c>
      <x:c r="B1965" s="3" t="str">
        <x:v>05:20</x:v>
      </x:c>
      <x:c r="C1965" s="3" t="n">
        <x:v>6</x:v>
      </x:c>
      <x:c r="D1965" s="3" t="n">
        <x:v>44</x:v>
      </x:c>
      <x:c r="E1965" s="3" t="n">
        <x:v>8</x:v>
      </x:c>
      <x:c r="F1965" s="3" t="n">
        <x:v>9</x:v>
      </x:c>
      <x:c r="G1965" s="9" t="n">
        <x:v>0.15</x:v>
      </x:c>
      <x:c r="H1965" s="9" t="n">
        <x:v>0.868101</x:v>
      </x:c>
      <x:c r="I1965" s="9" t="n">
        <x:f>'Physical_Arcs'!R45</x:f>
        <x:v>17.02777777777778</x:v>
      </x:c>
      <x:c r="J1965" s="9" t="n">
        <x:f>I1965*'Parameters'!$C$18</x:f>
        <x:v>3.405555555555556</x:v>
      </x:c>
      <x:c r="K1965" s="9" t="n">
        <x:f>J1965*'Parameters'!$C$19</x:f>
        <x:v>4.256944444444445</x:v>
      </x:c>
      <x:c r="L1965" s="9" t="n">
        <x:f>I1965*(1-0.40)-J1965</x:f>
        <x:v>6.811111111111111</x:v>
      </x:c>
      <x:c r="M1965" s="9" t="n">
        <x:f>'Physical_Arcs'!S45</x:f>
        <x:v>17.02777777777778</x:v>
      </x:c>
      <x:c r="N1965" s="9" t="n">
        <x:f>M1965*'Parameters'!$C$18</x:f>
        <x:v>3.405555555555556</x:v>
      </x:c>
      <x:c r="O1965" s="9" t="n">
        <x:f>N1965*'Parameters'!$C$19</x:f>
        <x:v>4.256944444444445</x:v>
      </x:c>
      <x:c r="P1965" s="9" t="n">
        <x:f>M1965*(1-0.40)-N1965</x:f>
        <x:v>6.811111111111111</x:v>
      </x:c>
      <x:c r="Q1965" s="9" t="n">
        <x:f>'Physical_Arcs'!T45</x:f>
        <x:v>17.02777777777778</x:v>
      </x:c>
      <x:c r="R1965" s="9" t="n">
        <x:f>Q1965*'Parameters'!$C$18</x:f>
        <x:v>3.405555555555556</x:v>
      </x:c>
      <x:c r="S1965" s="9" t="n">
        <x:f>R1965*'Parameters'!$C$19</x:f>
        <x:v>4.256944444444445</x:v>
      </x:c>
      <x:c r="T1965" s="9" t="n">
        <x:f>Q1965*(1-0.40)-R1965</x:f>
        <x:v>6.811111111111111</x:v>
      </x:c>
    </x:row>
    <x:row r="1966" ht="21" customHeight="1">
      <x:c r="A1966" s="3" t="n">
        <x:v>32</x:v>
      </x:c>
      <x:c r="B1966" s="3" t="str">
        <x:v>05:20</x:v>
      </x:c>
      <x:c r="C1966" s="3" t="n">
        <x:v>6</x:v>
      </x:c>
      <x:c r="D1966" s="3" t="n">
        <x:v>45</x:v>
      </x:c>
      <x:c r="E1966" s="3" t="n">
        <x:v>8</x:v>
      </x:c>
      <x:c r="F1966" s="3" t="n">
        <x:v>3</x:v>
      </x:c>
      <x:c r="G1966" s="9" t="n">
        <x:v>0.15</x:v>
      </x:c>
      <x:c r="H1966" s="9" t="n">
        <x:v>0.944958</x:v>
      </x:c>
      <x:c r="I1966" s="9" t="n">
        <x:f>'Physical_Arcs'!R46</x:f>
        <x:v>5.388888888888889</x:v>
      </x:c>
      <x:c r="J1966" s="9" t="n">
        <x:f>I1966*'Parameters'!$C$18</x:f>
        <x:v>1.077777777777778</x:v>
      </x:c>
      <x:c r="K1966" s="9" t="n">
        <x:f>J1966*'Parameters'!$C$19</x:f>
        <x:v>1.3472222222222223</x:v>
      </x:c>
      <x:c r="L1966" s="9" t="n">
        <x:f>I1966*(1-0.40)-J1966</x:f>
        <x:v>2.1555555555555554</x:v>
      </x:c>
      <x:c r="M1966" s="9" t="n">
        <x:f>'Physical_Arcs'!S46</x:f>
        <x:v>5.388888888888889</x:v>
      </x:c>
      <x:c r="N1966" s="9" t="n">
        <x:f>M1966*'Parameters'!$C$18</x:f>
        <x:v>1.077777777777778</x:v>
      </x:c>
      <x:c r="O1966" s="9" t="n">
        <x:f>N1966*'Parameters'!$C$19</x:f>
        <x:v>1.3472222222222223</x:v>
      </x:c>
      <x:c r="P1966" s="9" t="n">
        <x:f>M1966*(1-0.40)-N1966</x:f>
        <x:v>2.1555555555555554</x:v>
      </x:c>
      <x:c r="Q1966" s="9" t="n">
        <x:f>'Physical_Arcs'!T46</x:f>
        <x:v>2.6944444444444446</x:v>
      </x:c>
      <x:c r="R1966" s="9" t="n">
        <x:f>Q1966*'Parameters'!$C$18</x:f>
        <x:v>0.538888888888889</x:v>
      </x:c>
      <x:c r="S1966" s="9" t="n">
        <x:f>R1966*'Parameters'!$C$19</x:f>
        <x:v>0.6736111111111112</x:v>
      </x:c>
      <x:c r="T1966" s="9" t="n">
        <x:f>Q1966*(1-0.40)-R1966</x:f>
        <x:v>1.0777777777777777</x:v>
      </x:c>
    </x:row>
    <x:row r="1967" ht="21" customHeight="1">
      <x:c r="A1967" s="3" t="n">
        <x:v>32</x:v>
      </x:c>
      <x:c r="B1967" s="3" t="str">
        <x:v>05:20</x:v>
      </x:c>
      <x:c r="C1967" s="3" t="n">
        <x:v>6</x:v>
      </x:c>
      <x:c r="D1967" s="3" t="n">
        <x:v>46</x:v>
      </x:c>
      <x:c r="E1967" s="3" t="n">
        <x:v>8</x:v>
      </x:c>
      <x:c r="F1967" s="3" t="n">
        <x:v>7</x:v>
      </x:c>
      <x:c r="G1967" s="9" t="n">
        <x:v>0.15</x:v>
      </x:c>
      <x:c r="H1967" s="9" t="n">
        <x:v>0.866232</x:v>
      </x:c>
      <x:c r="I1967" s="9" t="n">
        <x:f>'Physical_Arcs'!R47</x:f>
        <x:v>5.388888888888889</x:v>
      </x:c>
      <x:c r="J1967" s="9" t="n">
        <x:f>I1967*'Parameters'!$C$18</x:f>
        <x:v>1.077777777777778</x:v>
      </x:c>
      <x:c r="K1967" s="9" t="n">
        <x:f>J1967*'Parameters'!$C$19</x:f>
        <x:v>1.3472222222222223</x:v>
      </x:c>
      <x:c r="L1967" s="9" t="n">
        <x:f>I1967*(1-0.40)-J1967</x:f>
        <x:v>2.1555555555555554</x:v>
      </x:c>
      <x:c r="M1967" s="9" t="n">
        <x:f>'Physical_Arcs'!S47</x:f>
        <x:v>5.388888888888889</x:v>
      </x:c>
      <x:c r="N1967" s="9" t="n">
        <x:f>M1967*'Parameters'!$C$18</x:f>
        <x:v>1.077777777777778</x:v>
      </x:c>
      <x:c r="O1967" s="9" t="n">
        <x:f>N1967*'Parameters'!$C$19</x:f>
        <x:v>1.3472222222222223</x:v>
      </x:c>
      <x:c r="P1967" s="9" t="n">
        <x:f>M1967*(1-0.40)-N1967</x:f>
        <x:v>2.1555555555555554</x:v>
      </x:c>
      <x:c r="Q1967" s="9" t="n">
        <x:f>'Physical_Arcs'!T47</x:f>
        <x:v>2.6944444444444446</x:v>
      </x:c>
      <x:c r="R1967" s="9" t="n">
        <x:f>Q1967*'Parameters'!$C$18</x:f>
        <x:v>0.538888888888889</x:v>
      </x:c>
      <x:c r="S1967" s="9" t="n">
        <x:f>R1967*'Parameters'!$C$19</x:f>
        <x:v>0.6736111111111112</x:v>
      </x:c>
      <x:c r="T1967" s="9" t="n">
        <x:f>Q1967*(1-0.40)-R1967</x:f>
        <x:v>1.0777777777777777</x:v>
      </x:c>
    </x:row>
    <x:row r="1968" ht="21" customHeight="1">
      <x:c r="A1968" s="3" t="n">
        <x:v>32</x:v>
      </x:c>
      <x:c r="B1968" s="3" t="str">
        <x:v>05:20</x:v>
      </x:c>
      <x:c r="C1968" s="3" t="n">
        <x:v>6</x:v>
      </x:c>
      <x:c r="D1968" s="3" t="n">
        <x:v>47</x:v>
      </x:c>
      <x:c r="E1968" s="3" t="n">
        <x:v>8</x:v>
      </x:c>
      <x:c r="F1968" s="3" t="n">
        <x:v>2</x:v>
      </x:c>
      <x:c r="G1968" s="9" t="n">
        <x:v>0.15</x:v>
      </x:c>
      <x:c r="H1968" s="9" t="n">
        <x:v>1.135644</x:v>
      </x:c>
      <x:c r="I1968" s="9" t="n">
        <x:f>'Physical_Arcs'!R48</x:f>
        <x:v>8.083333333333334</x:v>
      </x:c>
      <x:c r="J1968" s="9" t="n">
        <x:f>I1968*'Parameters'!$C$18</x:f>
        <x:v>1.616666666666667</x:v>
      </x:c>
      <x:c r="K1968" s="9" t="n">
        <x:f>J1968*'Parameters'!$C$19</x:f>
        <x:v>2.0208333333333335</x:v>
      </x:c>
      <x:c r="L1968" s="9" t="n">
        <x:f>I1968*(1-0.40)-J1968</x:f>
        <x:v>3.2333333333333334</x:v>
      </x:c>
      <x:c r="M1968" s="9" t="n">
        <x:f>'Physical_Arcs'!S48</x:f>
        <x:v>8.083333333333334</x:v>
      </x:c>
      <x:c r="N1968" s="9" t="n">
        <x:f>M1968*'Parameters'!$C$18</x:f>
        <x:v>1.616666666666667</x:v>
      </x:c>
      <x:c r="O1968" s="9" t="n">
        <x:f>N1968*'Parameters'!$C$19</x:f>
        <x:v>2.0208333333333335</x:v>
      </x:c>
      <x:c r="P1968" s="9" t="n">
        <x:f>M1968*(1-0.40)-N1968</x:f>
        <x:v>3.2333333333333334</x:v>
      </x:c>
      <x:c r="Q1968" s="9" t="n">
        <x:f>'Physical_Arcs'!T48</x:f>
        <x:v>4.055555555555555</x:v>
      </x:c>
      <x:c r="R1968" s="9" t="n">
        <x:f>Q1968*'Parameters'!$C$18</x:f>
        <x:v>0.8111111111111111</x:v>
      </x:c>
      <x:c r="S1968" s="9" t="n">
        <x:f>R1968*'Parameters'!$C$19</x:f>
        <x:v>1.0138888888888888</x:v>
      </x:c>
      <x:c r="T1968" s="9" t="n">
        <x:f>Q1968*(1-0.40)-R1968</x:f>
        <x:v>1.622222222222222</x:v>
      </x:c>
    </x:row>
    <x:row r="1969" ht="21" customHeight="1">
      <x:c r="A1969" s="3" t="n">
        <x:v>32</x:v>
      </x:c>
      <x:c r="B1969" s="3" t="str">
        <x:v>05:20</x:v>
      </x:c>
      <x:c r="C1969" s="3" t="n">
        <x:v>6</x:v>
      </x:c>
      <x:c r="D1969" s="3" t="n">
        <x:v>48</x:v>
      </x:c>
      <x:c r="E1969" s="3" t="n">
        <x:v>8</x:v>
      </x:c>
      <x:c r="F1969" s="3" t="n">
        <x:v>6</x:v>
      </x:c>
      <x:c r="G1969" s="9" t="n">
        <x:v>0.15</x:v>
      </x:c>
      <x:c r="H1969" s="9" t="n">
        <x:v>0.850778</x:v>
      </x:c>
      <x:c r="I1969" s="9" t="n">
        <x:f>'Physical_Arcs'!R49</x:f>
        <x:v>10.555555555555555</x:v>
      </x:c>
      <x:c r="J1969" s="9" t="n">
        <x:f>I1969*'Parameters'!$C$18</x:f>
        <x:v>2.111111111111111</x:v>
      </x:c>
      <x:c r="K1969" s="9" t="n">
        <x:f>J1969*'Parameters'!$C$19</x:f>
        <x:v>2.638888888888889</x:v>
      </x:c>
      <x:c r="L1969" s="9" t="n">
        <x:f>I1969*(1-0.40)-J1969</x:f>
        <x:v>4.222222222222221</x:v>
      </x:c>
      <x:c r="M1969" s="9" t="n">
        <x:f>'Physical_Arcs'!S49</x:f>
        <x:v>10.555555555555555</x:v>
      </x:c>
      <x:c r="N1969" s="9" t="n">
        <x:f>M1969*'Parameters'!$C$18</x:f>
        <x:v>2.111111111111111</x:v>
      </x:c>
      <x:c r="O1969" s="9" t="n">
        <x:f>N1969*'Parameters'!$C$19</x:f>
        <x:v>2.638888888888889</x:v>
      </x:c>
      <x:c r="P1969" s="9" t="n">
        <x:f>M1969*(1-0.40)-N1969</x:f>
        <x:v>4.222222222222221</x:v>
      </x:c>
      <x:c r="Q1969" s="9" t="n">
        <x:f>'Physical_Arcs'!T49</x:f>
        <x:v>5.277777777777778</x:v>
      </x:c>
      <x:c r="R1969" s="9" t="n">
        <x:f>Q1969*'Parameters'!$C$18</x:f>
        <x:v>1.0555555555555556</x:v>
      </x:c>
      <x:c r="S1969" s="9" t="n">
        <x:f>R1969*'Parameters'!$C$19</x:f>
        <x:v>1.3194444444444444</x:v>
      </x:c>
      <x:c r="T1969" s="9" t="n">
        <x:f>Q1969*(1-0.40)-R1969</x:f>
        <x:v>2.1111111111111107</x:v>
      </x:c>
    </x:row>
    <x:row r="1970" ht="21" customHeight="1">
      <x:c r="A1970" s="3" t="n">
        <x:v>32</x:v>
      </x:c>
      <x:c r="B1970" s="3" t="str">
        <x:v>05:20</x:v>
      </x:c>
      <x:c r="C1970" s="3" t="n">
        <x:v>6</x:v>
      </x:c>
      <x:c r="D1970" s="3" t="n">
        <x:v>49</x:v>
      </x:c>
      <x:c r="E1970" s="3" t="n">
        <x:v>8</x:v>
      </x:c>
      <x:c r="F1970" s="3" t="n">
        <x:v>4</x:v>
      </x:c>
      <x:c r="G1970" s="9" t="n">
        <x:v>0.15</x:v>
      </x:c>
      <x:c r="H1970" s="9" t="n">
        <x:v>0.904949</x:v>
      </x:c>
      <x:c r="I1970" s="9" t="n">
        <x:f>'Physical_Arcs'!R50</x:f>
        <x:v>1.5833333333333333</x:v>
      </x:c>
      <x:c r="J1970" s="9" t="n">
        <x:f>I1970*'Parameters'!$C$18</x:f>
        <x:v>0.31666666666666665</x:v>
      </x:c>
      <x:c r="K1970" s="9" t="n">
        <x:f>J1970*'Parameters'!$C$19</x:f>
        <x:v>0.3958333333333333</x:v>
      </x:c>
      <x:c r="L1970" s="9" t="n">
        <x:f>I1970*(1-0.40)-J1970</x:f>
        <x:v>0.6333333333333333</x:v>
      </x:c>
      <x:c r="M1970" s="9" t="n">
        <x:f>'Physical_Arcs'!S50</x:f>
        <x:v>1.5833333333333333</x:v>
      </x:c>
      <x:c r="N1970" s="9" t="n">
        <x:f>M1970*'Parameters'!$C$18</x:f>
        <x:v>0.31666666666666665</x:v>
      </x:c>
      <x:c r="O1970" s="9" t="n">
        <x:f>N1970*'Parameters'!$C$19</x:f>
        <x:v>0.3958333333333333</x:v>
      </x:c>
      <x:c r="P1970" s="9" t="n">
        <x:f>M1970*(1-0.40)-N1970</x:f>
        <x:v>0.6333333333333333</x:v>
      </x:c>
      <x:c r="Q1970" s="9" t="n">
        <x:f>'Physical_Arcs'!T50</x:f>
        <x:v>0.8055555555555556</x:v>
      </x:c>
      <x:c r="R1970" s="9" t="n">
        <x:f>Q1970*'Parameters'!$C$18</x:f>
        <x:v>0.16111111111111112</x:v>
      </x:c>
      <x:c r="S1970" s="9" t="n">
        <x:f>R1970*'Parameters'!$C$19</x:f>
        <x:v>0.2013888888888889</x:v>
      </x:c>
      <x:c r="T1970" s="9" t="n">
        <x:f>Q1970*(1-0.40)-R1970</x:f>
        <x:v>0.3222222222222222</x:v>
      </x:c>
    </x:row>
    <x:row r="1971" ht="21" customHeight="1">
      <x:c r="A1971" s="3" t="n">
        <x:v>32</x:v>
      </x:c>
      <x:c r="B1971" s="3" t="str">
        <x:v>05:20</x:v>
      </x:c>
      <x:c r="C1971" s="3" t="n">
        <x:v>6</x:v>
      </x:c>
      <x:c r="D1971" s="3" t="n">
        <x:v>50</x:v>
      </x:c>
      <x:c r="E1971" s="3" t="n">
        <x:v>8</x:v>
      </x:c>
      <x:c r="F1971" s="3" t="n">
        <x:v>5</x:v>
      </x:c>
      <x:c r="G1971" s="9" t="n">
        <x:v>0.15</x:v>
      </x:c>
      <x:c r="H1971" s="9" t="n">
        <x:v>0.990416</x:v>
      </x:c>
      <x:c r="I1971" s="9" t="n">
        <x:f>'Physical_Arcs'!R51</x:f>
        <x:v>10.777777777777779</x:v>
      </x:c>
      <x:c r="J1971" s="9" t="n">
        <x:f>I1971*'Parameters'!$C$18</x:f>
        <x:v>2.155555555555556</x:v>
      </x:c>
      <x:c r="K1971" s="9" t="n">
        <x:f>J1971*'Parameters'!$C$19</x:f>
        <x:v>2.6944444444444446</x:v>
      </x:c>
      <x:c r="L1971" s="9" t="n">
        <x:f>I1971*(1-0.40)-J1971</x:f>
        <x:v>4.311111111111111</x:v>
      </x:c>
      <x:c r="M1971" s="9" t="n">
        <x:f>'Physical_Arcs'!S51</x:f>
        <x:v>10.777777777777779</x:v>
      </x:c>
      <x:c r="N1971" s="9" t="n">
        <x:f>M1971*'Parameters'!$C$18</x:f>
        <x:v>2.155555555555556</x:v>
      </x:c>
      <x:c r="O1971" s="9" t="n">
        <x:f>N1971*'Parameters'!$C$19</x:f>
        <x:v>2.6944444444444446</x:v>
      </x:c>
      <x:c r="P1971" s="9" t="n">
        <x:f>M1971*(1-0.40)-N1971</x:f>
        <x:v>4.311111111111111</x:v>
      </x:c>
      <x:c r="Q1971" s="9" t="n">
        <x:f>'Physical_Arcs'!T51</x:f>
        <x:v>5.388888888888889</x:v>
      </x:c>
      <x:c r="R1971" s="9" t="n">
        <x:f>Q1971*'Parameters'!$C$18</x:f>
        <x:v>1.077777777777778</x:v>
      </x:c>
      <x:c r="S1971" s="9" t="n">
        <x:f>R1971*'Parameters'!$C$19</x:f>
        <x:v>1.3472222222222223</x:v>
      </x:c>
      <x:c r="T1971" s="9" t="n">
        <x:f>Q1971*(1-0.40)-R1971</x:f>
        <x:v>2.1555555555555554</x:v>
      </x:c>
    </x:row>
    <x:row r="1972" ht="21" customHeight="1">
      <x:c r="A1972" s="3" t="n">
        <x:v>32</x:v>
      </x:c>
      <x:c r="B1972" s="3" t="str">
        <x:v>05:20</x:v>
      </x:c>
      <x:c r="C1972" s="3" t="n">
        <x:v>6</x:v>
      </x:c>
      <x:c r="D1972" s="3" t="n">
        <x:v>51</x:v>
      </x:c>
      <x:c r="E1972" s="3" t="n">
        <x:v>8</x:v>
      </x:c>
      <x:c r="F1972" s="3" t="n">
        <x:v>1</x:v>
      </x:c>
      <x:c r="G1972" s="9" t="n">
        <x:v>0.15</x:v>
      </x:c>
      <x:c r="H1972" s="9" t="n">
        <x:v>1.039066</x:v>
      </x:c>
      <x:c r="I1972" s="9" t="n">
        <x:f>'Physical_Arcs'!R52</x:f>
        <x:v>8.88888888888889</x:v>
      </x:c>
      <x:c r="J1972" s="9" t="n">
        <x:f>I1972*'Parameters'!$C$18</x:f>
        <x:v>1.777777777777778</x:v>
      </x:c>
      <x:c r="K1972" s="9" t="n">
        <x:f>J1972*'Parameters'!$C$19</x:f>
        <x:v>2.2222222222222223</x:v>
      </x:c>
      <x:c r="L1972" s="9" t="n">
        <x:f>I1972*(1-0.40)-J1972</x:f>
        <x:v>3.5555555555555554</x:v>
      </x:c>
      <x:c r="M1972" s="9" t="n">
        <x:f>'Physical_Arcs'!S52</x:f>
        <x:v>8.88888888888889</x:v>
      </x:c>
      <x:c r="N1972" s="9" t="n">
        <x:f>M1972*'Parameters'!$C$18</x:f>
        <x:v>1.777777777777778</x:v>
      </x:c>
      <x:c r="O1972" s="9" t="n">
        <x:f>N1972*'Parameters'!$C$19</x:f>
        <x:v>2.2222222222222223</x:v>
      </x:c>
      <x:c r="P1972" s="9" t="n">
        <x:f>M1972*(1-0.40)-N1972</x:f>
        <x:v>3.5555555555555554</x:v>
      </x:c>
      <x:c r="Q1972" s="9" t="n">
        <x:f>'Physical_Arcs'!T52</x:f>
        <x:v>4.444444444444445</x:v>
      </x:c>
      <x:c r="R1972" s="9" t="n">
        <x:f>Q1972*'Parameters'!$C$18</x:f>
        <x:v>0.888888888888889</x:v>
      </x:c>
      <x:c r="S1972" s="9" t="n">
        <x:f>R1972*'Parameters'!$C$19</x:f>
        <x:v>1.1111111111111112</x:v>
      </x:c>
      <x:c r="T1972" s="9" t="n">
        <x:f>Q1972*(1-0.40)-R1972</x:f>
        <x:v>1.7777777777777777</x:v>
      </x:c>
    </x:row>
    <x:row r="1973" ht="21" customHeight="1">
      <x:c r="A1973" s="3" t="n">
        <x:v>32</x:v>
      </x:c>
      <x:c r="B1973" s="3" t="str">
        <x:v>05:20</x:v>
      </x:c>
      <x:c r="C1973" s="3" t="n">
        <x:v>6</x:v>
      </x:c>
      <x:c r="D1973" s="3" t="n">
        <x:v>52</x:v>
      </x:c>
      <x:c r="E1973" s="3" t="n">
        <x:v>9</x:v>
      </x:c>
      <x:c r="F1973" s="3" t="n">
        <x:v>10</x:v>
      </x:c>
      <x:c r="G1973" s="9" t="n">
        <x:v>0.15</x:v>
      </x:c>
      <x:c r="H1973" s="9" t="n">
        <x:v>0.954096</x:v>
      </x:c>
      <x:c r="I1973" s="9" t="n">
        <x:f>'Physical_Arcs'!R53</x:f>
        <x:v>17.02777777777778</x:v>
      </x:c>
      <x:c r="J1973" s="9" t="n">
        <x:f>I1973*'Parameters'!$C$18</x:f>
        <x:v>3.405555555555556</x:v>
      </x:c>
      <x:c r="K1973" s="9" t="n">
        <x:f>J1973*'Parameters'!$C$19</x:f>
        <x:v>4.256944444444445</x:v>
      </x:c>
      <x:c r="L1973" s="9" t="n">
        <x:f>I1973*(1-0.40)-J1973</x:f>
        <x:v>6.811111111111111</x:v>
      </x:c>
      <x:c r="M1973" s="9" t="n">
        <x:f>'Physical_Arcs'!S53</x:f>
        <x:v>17.02777777777778</x:v>
      </x:c>
      <x:c r="N1973" s="9" t="n">
        <x:f>M1973*'Parameters'!$C$18</x:f>
        <x:v>3.405555555555556</x:v>
      </x:c>
      <x:c r="O1973" s="9" t="n">
        <x:f>N1973*'Parameters'!$C$19</x:f>
        <x:v>4.256944444444445</x:v>
      </x:c>
      <x:c r="P1973" s="9" t="n">
        <x:f>M1973*(1-0.40)-N1973</x:f>
        <x:v>6.811111111111111</x:v>
      </x:c>
      <x:c r="Q1973" s="9" t="n">
        <x:f>'Physical_Arcs'!T53</x:f>
        <x:v>17.02777777777778</x:v>
      </x:c>
      <x:c r="R1973" s="9" t="n">
        <x:f>Q1973*'Parameters'!$C$18</x:f>
        <x:v>3.405555555555556</x:v>
      </x:c>
      <x:c r="S1973" s="9" t="n">
        <x:f>R1973*'Parameters'!$C$19</x:f>
        <x:v>4.256944444444445</x:v>
      </x:c>
      <x:c r="T1973" s="9" t="n">
        <x:f>Q1973*(1-0.40)-R1973</x:f>
        <x:v>6.811111111111111</x:v>
      </x:c>
    </x:row>
    <x:row r="1974" ht="21" customHeight="1">
      <x:c r="A1974" s="3" t="n">
        <x:v>32</x:v>
      </x:c>
      <x:c r="B1974" s="3" t="str">
        <x:v>05:20</x:v>
      </x:c>
      <x:c r="C1974" s="3" t="n">
        <x:v>6</x:v>
      </x:c>
      <x:c r="D1974" s="3" t="n">
        <x:v>53</x:v>
      </x:c>
      <x:c r="E1974" s="3" t="n">
        <x:v>9</x:v>
      </x:c>
      <x:c r="F1974" s="3" t="n">
        <x:v>6</x:v>
      </x:c>
      <x:c r="G1974" s="9" t="n">
        <x:v>0.15</x:v>
      </x:c>
      <x:c r="H1974" s="9" t="n">
        <x:v>1.125574</x:v>
      </x:c>
      <x:c r="I1974" s="9" t="n">
        <x:f>'Physical_Arcs'!R54</x:f>
        <x:v>9.666666666666666</x:v>
      </x:c>
      <x:c r="J1974" s="9" t="n">
        <x:f>I1974*'Parameters'!$C$18</x:f>
        <x:v>1.9333333333333333</x:v>
      </x:c>
      <x:c r="K1974" s="9" t="n">
        <x:f>J1974*'Parameters'!$C$19</x:f>
        <x:v>2.4166666666666665</x:v>
      </x:c>
      <x:c r="L1974" s="9" t="n">
        <x:f>I1974*(1-0.40)-J1974</x:f>
        <x:v>3.8666666666666663</x:v>
      </x:c>
      <x:c r="M1974" s="9" t="n">
        <x:f>'Physical_Arcs'!S54</x:f>
        <x:v>9.666666666666666</x:v>
      </x:c>
      <x:c r="N1974" s="9" t="n">
        <x:f>M1974*'Parameters'!$C$18</x:f>
        <x:v>1.9333333333333333</x:v>
      </x:c>
      <x:c r="O1974" s="9" t="n">
        <x:f>N1974*'Parameters'!$C$19</x:f>
        <x:v>2.4166666666666665</x:v>
      </x:c>
      <x:c r="P1974" s="9" t="n">
        <x:f>M1974*(1-0.40)-N1974</x:f>
        <x:v>3.8666666666666663</x:v>
      </x:c>
      <x:c r="Q1974" s="9" t="n">
        <x:f>'Physical_Arcs'!T54</x:f>
        <x:v>4.833333333333333</x:v>
      </x:c>
      <x:c r="R1974" s="9" t="n">
        <x:f>Q1974*'Parameters'!$C$18</x:f>
        <x:v>0.9666666666666667</x:v>
      </x:c>
      <x:c r="S1974" s="9" t="n">
        <x:f>R1974*'Parameters'!$C$19</x:f>
        <x:v>1.2083333333333333</x:v>
      </x:c>
      <x:c r="T1974" s="9" t="n">
        <x:f>Q1974*(1-0.40)-R1974</x:f>
        <x:v>1.9333333333333331</x:v>
      </x:c>
    </x:row>
    <x:row r="1975" ht="21" customHeight="1">
      <x:c r="A1975" s="3" t="n">
        <x:v>32</x:v>
      </x:c>
      <x:c r="B1975" s="3" t="str">
        <x:v>05:20</x:v>
      </x:c>
      <x:c r="C1975" s="3" t="n">
        <x:v>6</x:v>
      </x:c>
      <x:c r="D1975" s="3" t="n">
        <x:v>54</x:v>
      </x:c>
      <x:c r="E1975" s="3" t="n">
        <x:v>9</x:v>
      </x:c>
      <x:c r="F1975" s="3" t="n">
        <x:v>2</x:v>
      </x:c>
      <x:c r="G1975" s="9" t="n">
        <x:v>0.15</x:v>
      </x:c>
      <x:c r="H1975" s="9" t="n">
        <x:v>0.854534</x:v>
      </x:c>
      <x:c r="I1975" s="9" t="n">
        <x:f>'Physical_Arcs'!R55</x:f>
        <x:v>9.88888888888889</x:v>
      </x:c>
      <x:c r="J1975" s="9" t="n">
        <x:f>I1975*'Parameters'!$C$18</x:f>
        <x:v>1.9777777777777779</x:v>
      </x:c>
      <x:c r="K1975" s="9" t="n">
        <x:f>J1975*'Parameters'!$C$19</x:f>
        <x:v>2.4722222222222223</x:v>
      </x:c>
      <x:c r="L1975" s="9" t="n">
        <x:f>I1975*(1-0.40)-J1975</x:f>
        <x:v>3.9555555555555557</x:v>
      </x:c>
      <x:c r="M1975" s="9" t="n">
        <x:f>'Physical_Arcs'!S55</x:f>
        <x:v>9.88888888888889</x:v>
      </x:c>
      <x:c r="N1975" s="9" t="n">
        <x:f>M1975*'Parameters'!$C$18</x:f>
        <x:v>1.9777777777777779</x:v>
      </x:c>
      <x:c r="O1975" s="9" t="n">
        <x:f>N1975*'Parameters'!$C$19</x:f>
        <x:v>2.4722222222222223</x:v>
      </x:c>
      <x:c r="P1975" s="9" t="n">
        <x:f>M1975*(1-0.40)-N1975</x:f>
        <x:v>3.9555555555555557</x:v>
      </x:c>
      <x:c r="Q1975" s="9" t="n">
        <x:f>'Physical_Arcs'!T55</x:f>
        <x:v>4.944444444444445</x:v>
      </x:c>
      <x:c r="R1975" s="9" t="n">
        <x:f>Q1975*'Parameters'!$C$18</x:f>
        <x:v>0.9888888888888889</x:v>
      </x:c>
      <x:c r="S1975" s="9" t="n">
        <x:f>R1975*'Parameters'!$C$19</x:f>
        <x:v>1.2361111111111112</x:v>
      </x:c>
      <x:c r="T1975" s="9" t="n">
        <x:f>Q1975*(1-0.40)-R1975</x:f>
        <x:v>1.9777777777777779</x:v>
      </x:c>
    </x:row>
    <x:row r="1976" ht="21" customHeight="1">
      <x:c r="A1976" s="3" t="n">
        <x:v>32</x:v>
      </x:c>
      <x:c r="B1976" s="3" t="str">
        <x:v>05:20</x:v>
      </x:c>
      <x:c r="C1976" s="3" t="n">
        <x:v>6</x:v>
      </x:c>
      <x:c r="D1976" s="3" t="n">
        <x:v>55</x:v>
      </x:c>
      <x:c r="E1976" s="3" t="n">
        <x:v>9</x:v>
      </x:c>
      <x:c r="F1976" s="3" t="n">
        <x:v>7</x:v>
      </x:c>
      <x:c r="G1976" s="9" t="n">
        <x:v>0.15</x:v>
      </x:c>
      <x:c r="H1976" s="9" t="n">
        <x:v>0.900033</x:v>
      </x:c>
      <x:c r="I1976" s="9" t="n">
        <x:f>'Physical_Arcs'!R56</x:f>
        <x:v>4.166666666666667</x:v>
      </x:c>
      <x:c r="J1976" s="9" t="n">
        <x:f>I1976*'Parameters'!$C$18</x:f>
        <x:v>0.8333333333333335</x:v>
      </x:c>
      <x:c r="K1976" s="9" t="n">
        <x:f>J1976*'Parameters'!$C$19</x:f>
        <x:v>1.041666666666667</x:v>
      </x:c>
      <x:c r="L1976" s="9" t="n">
        <x:f>I1976*(1-0.40)-J1976</x:f>
        <x:v>1.6666666666666665</x:v>
      </x:c>
      <x:c r="M1976" s="9" t="n">
        <x:f>'Physical_Arcs'!S56</x:f>
        <x:v>4.166666666666667</x:v>
      </x:c>
      <x:c r="N1976" s="9" t="n">
        <x:f>M1976*'Parameters'!$C$18</x:f>
        <x:v>0.8333333333333335</x:v>
      </x:c>
      <x:c r="O1976" s="9" t="n">
        <x:f>N1976*'Parameters'!$C$19</x:f>
        <x:v>1.041666666666667</x:v>
      </x:c>
      <x:c r="P1976" s="9" t="n">
        <x:f>M1976*(1-0.40)-N1976</x:f>
        <x:v>1.6666666666666665</x:v>
      </x:c>
      <x:c r="Q1976" s="9" t="n">
        <x:f>'Physical_Arcs'!T56</x:f>
        <x:v>2.0833333333333335</x:v>
      </x:c>
      <x:c r="R1976" s="9" t="n">
        <x:f>Q1976*'Parameters'!$C$18</x:f>
        <x:v>0.41666666666666674</x:v>
      </x:c>
      <x:c r="S1976" s="9" t="n">
        <x:f>R1976*'Parameters'!$C$19</x:f>
        <x:v>0.5208333333333335</x:v>
      </x:c>
      <x:c r="T1976" s="9" t="n">
        <x:f>Q1976*(1-0.40)-R1976</x:f>
        <x:v>0.8333333333333333</x:v>
      </x:c>
    </x:row>
    <x:row r="1977" ht="21" customHeight="1">
      <x:c r="A1977" s="3" t="n">
        <x:v>32</x:v>
      </x:c>
      <x:c r="B1977" s="3" t="str">
        <x:v>05:20</x:v>
      </x:c>
      <x:c r="C1977" s="3" t="n">
        <x:v>6</x:v>
      </x:c>
      <x:c r="D1977" s="3" t="n">
        <x:v>56</x:v>
      </x:c>
      <x:c r="E1977" s="3" t="n">
        <x:v>9</x:v>
      </x:c>
      <x:c r="F1977" s="3" t="n">
        <x:v>3</x:v>
      </x:c>
      <x:c r="G1977" s="9" t="n">
        <x:v>0.15</x:v>
      </x:c>
      <x:c r="H1977" s="9" t="n">
        <x:v>0.893428</x:v>
      </x:c>
      <x:c r="I1977" s="9" t="n">
        <x:f>'Physical_Arcs'!R57</x:f>
        <x:v>3.7222222222222223</x:v>
      </x:c>
      <x:c r="J1977" s="9" t="n">
        <x:f>I1977*'Parameters'!$C$18</x:f>
        <x:v>0.7444444444444445</x:v>
      </x:c>
      <x:c r="K1977" s="9" t="n">
        <x:f>J1977*'Parameters'!$C$19</x:f>
        <x:v>0.9305555555555556</x:v>
      </x:c>
      <x:c r="L1977" s="9" t="n">
        <x:f>I1977*(1-0.40)-J1977</x:f>
        <x:v>1.488888888888889</x:v>
      </x:c>
      <x:c r="M1977" s="9" t="n">
        <x:f>'Physical_Arcs'!S57</x:f>
        <x:v>3.7222222222222223</x:v>
      </x:c>
      <x:c r="N1977" s="9" t="n">
        <x:f>M1977*'Parameters'!$C$18</x:f>
        <x:v>0.7444444444444445</x:v>
      </x:c>
      <x:c r="O1977" s="9" t="n">
        <x:f>N1977*'Parameters'!$C$19</x:f>
        <x:v>0.9305555555555556</x:v>
      </x:c>
      <x:c r="P1977" s="9" t="n">
        <x:f>M1977*(1-0.40)-N1977</x:f>
        <x:v>1.488888888888889</x:v>
      </x:c>
      <x:c r="Q1977" s="9" t="n">
        <x:f>'Physical_Arcs'!T57</x:f>
        <x:v>1.8611111111111112</x:v>
      </x:c>
      <x:c r="R1977" s="9" t="n">
        <x:f>Q1977*'Parameters'!$C$18</x:f>
        <x:v>0.37222222222222223</x:v>
      </x:c>
      <x:c r="S1977" s="9" t="n">
        <x:f>R1977*'Parameters'!$C$19</x:f>
        <x:v>0.4652777777777778</x:v>
      </x:c>
      <x:c r="T1977" s="9" t="n">
        <x:f>Q1977*(1-0.40)-R1977</x:f>
        <x:v>0.7444444444444445</x:v>
      </x:c>
    </x:row>
    <x:row r="1978" ht="21" customHeight="1">
      <x:c r="A1978" s="3" t="n">
        <x:v>32</x:v>
      </x:c>
      <x:c r="B1978" s="3" t="str">
        <x:v>05:20</x:v>
      </x:c>
      <x:c r="C1978" s="3" t="n">
        <x:v>6</x:v>
      </x:c>
      <x:c r="D1978" s="3" t="n">
        <x:v>57</x:v>
      </x:c>
      <x:c r="E1978" s="3" t="n">
        <x:v>10</x:v>
      </x:c>
      <x:c r="F1978" s="3" t="n">
        <x:v>1</x:v>
      </x:c>
      <x:c r="G1978" s="9" t="n">
        <x:v>0.15</x:v>
      </x:c>
      <x:c r="H1978" s="9" t="n">
        <x:v>1.027979</x:v>
      </x:c>
      <x:c r="I1978" s="9" t="n">
        <x:f>'Physical_Arcs'!R58</x:f>
        <x:v>17.02777777777778</x:v>
      </x:c>
      <x:c r="J1978" s="9" t="n">
        <x:f>I1978*'Parameters'!$C$18</x:f>
        <x:v>3.405555555555556</x:v>
      </x:c>
      <x:c r="K1978" s="9" t="n">
        <x:f>J1978*'Parameters'!$C$19</x:f>
        <x:v>4.256944444444445</x:v>
      </x:c>
      <x:c r="L1978" s="9" t="n">
        <x:f>I1978*(1-0.40)-J1978</x:f>
        <x:v>6.811111111111111</x:v>
      </x:c>
      <x:c r="M1978" s="9" t="n">
        <x:f>'Physical_Arcs'!S58</x:f>
        <x:v>17.02777777777778</x:v>
      </x:c>
      <x:c r="N1978" s="9" t="n">
        <x:f>M1978*'Parameters'!$C$18</x:f>
        <x:v>3.405555555555556</x:v>
      </x:c>
      <x:c r="O1978" s="9" t="n">
        <x:f>N1978*'Parameters'!$C$19</x:f>
        <x:v>4.256944444444445</x:v>
      </x:c>
      <x:c r="P1978" s="9" t="n">
        <x:f>M1978*(1-0.40)-N1978</x:f>
        <x:v>6.811111111111111</x:v>
      </x:c>
      <x:c r="Q1978" s="9" t="n">
        <x:f>'Physical_Arcs'!T58</x:f>
        <x:v>17.02777777777778</x:v>
      </x:c>
      <x:c r="R1978" s="9" t="n">
        <x:f>Q1978*'Parameters'!$C$18</x:f>
        <x:v>3.405555555555556</x:v>
      </x:c>
      <x:c r="S1978" s="9" t="n">
        <x:f>R1978*'Parameters'!$C$19</x:f>
        <x:v>4.256944444444445</x:v>
      </x:c>
      <x:c r="T1978" s="9" t="n">
        <x:f>Q1978*(1-0.40)-R1978</x:f>
        <x:v>6.811111111111111</x:v>
      </x:c>
    </x:row>
    <x:row r="1979" ht="21" customHeight="1">
      <x:c r="A1979" s="3" t="n">
        <x:v>32</x:v>
      </x:c>
      <x:c r="B1979" s="3" t="str">
        <x:v>05:20</x:v>
      </x:c>
      <x:c r="C1979" s="3" t="n">
        <x:v>6</x:v>
      </x:c>
      <x:c r="D1979" s="3" t="n">
        <x:v>58</x:v>
      </x:c>
      <x:c r="E1979" s="3" t="n">
        <x:v>10</x:v>
      </x:c>
      <x:c r="F1979" s="3" t="n">
        <x:v>6</x:v>
      </x:c>
      <x:c r="G1979" s="9" t="n">
        <x:v>0.15</x:v>
      </x:c>
      <x:c r="H1979" s="9" t="n">
        <x:v>0.952676</x:v>
      </x:c>
      <x:c r="I1979" s="9" t="n">
        <x:f>'Physical_Arcs'!R59</x:f>
        <x:v>6.305555555555555</x:v>
      </x:c>
      <x:c r="J1979" s="9" t="n">
        <x:f>I1979*'Parameters'!$C$18</x:f>
        <x:v>1.261111111111111</x:v>
      </x:c>
      <x:c r="K1979" s="9" t="n">
        <x:f>J1979*'Parameters'!$C$19</x:f>
        <x:v>1.5763888888888888</x:v>
      </x:c>
      <x:c r="L1979" s="9" t="n">
        <x:f>I1979*(1-0.40)-J1979</x:f>
        <x:v>2.522222222222222</x:v>
      </x:c>
      <x:c r="M1979" s="9" t="n">
        <x:f>'Physical_Arcs'!S59</x:f>
        <x:v>6.305555555555555</x:v>
      </x:c>
      <x:c r="N1979" s="9" t="n">
        <x:f>M1979*'Parameters'!$C$18</x:f>
        <x:v>1.261111111111111</x:v>
      </x:c>
      <x:c r="O1979" s="9" t="n">
        <x:f>N1979*'Parameters'!$C$19</x:f>
        <x:v>1.5763888888888888</x:v>
      </x:c>
      <x:c r="P1979" s="9" t="n">
        <x:f>M1979*(1-0.40)-N1979</x:f>
        <x:v>2.522222222222222</x:v>
      </x:c>
      <x:c r="Q1979" s="9" t="n">
        <x:f>'Physical_Arcs'!T59</x:f>
        <x:v>3.1666666666666665</x:v>
      </x:c>
      <x:c r="R1979" s="9" t="n">
        <x:f>Q1979*'Parameters'!$C$18</x:f>
        <x:v>0.6333333333333333</x:v>
      </x:c>
      <x:c r="S1979" s="9" t="n">
        <x:f>R1979*'Parameters'!$C$19</x:f>
        <x:v>0.7916666666666666</x:v>
      </x:c>
      <x:c r="T1979" s="9" t="n">
        <x:f>Q1979*(1-0.40)-R1979</x:f>
        <x:v>1.2666666666666666</x:v>
      </x:c>
    </x:row>
    <x:row r="1980" ht="21" customHeight="1">
      <x:c r="A1980" s="3" t="n">
        <x:v>32</x:v>
      </x:c>
      <x:c r="B1980" s="3" t="str">
        <x:v>05:20</x:v>
      </x:c>
      <x:c r="C1980" s="3" t="n">
        <x:v>6</x:v>
      </x:c>
      <x:c r="D1980" s="3" t="n">
        <x:v>59</x:v>
      </x:c>
      <x:c r="E1980" s="3" t="n">
        <x:v>10</x:v>
      </x:c>
      <x:c r="F1980" s="3" t="n">
        <x:v>4</x:v>
      </x:c>
      <x:c r="G1980" s="9" t="n">
        <x:v>0.15</x:v>
      </x:c>
      <x:c r="H1980" s="9" t="n">
        <x:v>1.114542</x:v>
      </x:c>
      <x:c r="I1980" s="9" t="n">
        <x:f>'Physical_Arcs'!R60</x:f>
        <x:v>1.5833333333333333</x:v>
      </x:c>
      <x:c r="J1980" s="9" t="n">
        <x:f>I1980*'Parameters'!$C$18</x:f>
        <x:v>0.31666666666666665</x:v>
      </x:c>
      <x:c r="K1980" s="9" t="n">
        <x:f>J1980*'Parameters'!$C$19</x:f>
        <x:v>0.3958333333333333</x:v>
      </x:c>
      <x:c r="L1980" s="9" t="n">
        <x:f>I1980*(1-0.40)-J1980</x:f>
        <x:v>0.6333333333333333</x:v>
      </x:c>
      <x:c r="M1980" s="9" t="n">
        <x:f>'Physical_Arcs'!S60</x:f>
        <x:v>1.5833333333333333</x:v>
      </x:c>
      <x:c r="N1980" s="9" t="n">
        <x:f>M1980*'Parameters'!$C$18</x:f>
        <x:v>0.31666666666666665</x:v>
      </x:c>
      <x:c r="O1980" s="9" t="n">
        <x:f>N1980*'Parameters'!$C$19</x:f>
        <x:v>0.3958333333333333</x:v>
      </x:c>
      <x:c r="P1980" s="9" t="n">
        <x:f>M1980*(1-0.40)-N1980</x:f>
        <x:v>0.6333333333333333</x:v>
      </x:c>
      <x:c r="Q1980" s="9" t="n">
        <x:f>'Physical_Arcs'!T60</x:f>
        <x:v>0.8055555555555556</x:v>
      </x:c>
      <x:c r="R1980" s="9" t="n">
        <x:f>Q1980*'Parameters'!$C$18</x:f>
        <x:v>0.16111111111111112</x:v>
      </x:c>
      <x:c r="S1980" s="9" t="n">
        <x:f>R1980*'Parameters'!$C$19</x:f>
        <x:v>0.2013888888888889</x:v>
      </x:c>
      <x:c r="T1980" s="9" t="n">
        <x:f>Q1980*(1-0.40)-R1980</x:f>
        <x:v>0.3222222222222222</x:v>
      </x:c>
    </x:row>
    <x:row r="1981" ht="21" customHeight="1">
      <x:c r="A1981" s="3" t="n">
        <x:v>32</x:v>
      </x:c>
      <x:c r="B1981" s="3" t="str">
        <x:v>05:20</x:v>
      </x:c>
      <x:c r="C1981" s="3" t="n">
        <x:v>6</x:v>
      </x:c>
      <x:c r="D1981" s="3" t="n">
        <x:v>60</x:v>
      </x:c>
      <x:c r="E1981" s="3" t="n">
        <x:v>10</x:v>
      </x:c>
      <x:c r="F1981" s="3" t="n">
        <x:v>9</x:v>
      </x:c>
      <x:c r="G1981" s="9" t="n">
        <x:v>0.15</x:v>
      </x:c>
      <x:c r="H1981" s="9" t="n">
        <x:v>1.092245</x:v>
      </x:c>
      <x:c r="I1981" s="9" t="n">
        <x:f>'Physical_Arcs'!R61</x:f>
        <x:v>10.333333333333334</x:v>
      </x:c>
      <x:c r="J1981" s="9" t="n">
        <x:f>I1981*'Parameters'!$C$18</x:f>
        <x:v>2.066666666666667</x:v>
      </x:c>
      <x:c r="K1981" s="9" t="n">
        <x:f>J1981*'Parameters'!$C$19</x:f>
        <x:v>2.5833333333333335</x:v>
      </x:c>
      <x:c r="L1981" s="9" t="n">
        <x:f>I1981*(1-0.40)-J1981</x:f>
        <x:v>4.133333333333333</x:v>
      </x:c>
      <x:c r="M1981" s="9" t="n">
        <x:f>'Physical_Arcs'!S61</x:f>
        <x:v>10.333333333333334</x:v>
      </x:c>
      <x:c r="N1981" s="9" t="n">
        <x:f>M1981*'Parameters'!$C$18</x:f>
        <x:v>2.066666666666667</x:v>
      </x:c>
      <x:c r="O1981" s="9" t="n">
        <x:f>N1981*'Parameters'!$C$19</x:f>
        <x:v>2.5833333333333335</x:v>
      </x:c>
      <x:c r="P1981" s="9" t="n">
        <x:f>M1981*(1-0.40)-N1981</x:f>
        <x:v>4.133333333333333</x:v>
      </x:c>
      <x:c r="Q1981" s="9" t="n">
        <x:f>'Physical_Arcs'!T61</x:f>
        <x:v>5.166666666666667</x:v>
      </x:c>
      <x:c r="R1981" s="9" t="n">
        <x:f>Q1981*'Parameters'!$C$18</x:f>
        <x:v>1.0333333333333334</x:v>
      </x:c>
      <x:c r="S1981" s="9" t="n">
        <x:f>R1981*'Parameters'!$C$19</x:f>
        <x:v>1.2916666666666667</x:v>
      </x:c>
      <x:c r="T1981" s="9" t="n">
        <x:f>Q1981*(1-0.40)-R1981</x:f>
        <x:v>2.0666666666666664</x:v>
      </x:c>
    </x:row>
    <x:row r="1982" ht="21" customHeight="1">
      <x:c r="A1982" s="3" t="n">
        <x:v>33</x:v>
      </x:c>
      <x:c r="B1982" s="3" t="str">
        <x:v>05:30</x:v>
      </x:c>
      <x:c r="C1982" s="3" t="n">
        <x:v>6</x:v>
      </x:c>
      <x:c r="D1982" s="3" t="n">
        <x:v>1</x:v>
      </x:c>
      <x:c r="E1982" s="3" t="n">
        <x:v>1</x:v>
      </x:c>
      <x:c r="F1982" s="3" t="n">
        <x:v>2</x:v>
      </x:c>
      <x:c r="G1982" s="9" t="n">
        <x:v>0.15</x:v>
      </x:c>
      <x:c r="H1982" s="9" t="n">
        <x:v>0.914787</x:v>
      </x:c>
      <x:c r="I1982" s="9" t="n">
        <x:f>'Physical_Arcs'!R2</x:f>
        <x:v>17.02777777777778</x:v>
      </x:c>
      <x:c r="J1982" s="9" t="n">
        <x:f>I1982*'Parameters'!$C$18</x:f>
        <x:v>3.405555555555556</x:v>
      </x:c>
      <x:c r="K1982" s="9" t="n">
        <x:f>J1982*'Parameters'!$C$19</x:f>
        <x:v>4.256944444444445</x:v>
      </x:c>
      <x:c r="L1982" s="9" t="n">
        <x:f>I1982*(1-0.40)-J1982</x:f>
        <x:v>6.811111111111111</x:v>
      </x:c>
      <x:c r="M1982" s="9" t="n">
        <x:f>'Physical_Arcs'!S2</x:f>
        <x:v>17.02777777777778</x:v>
      </x:c>
      <x:c r="N1982" s="9" t="n">
        <x:f>M1982*'Parameters'!$C$18</x:f>
        <x:v>3.405555555555556</x:v>
      </x:c>
      <x:c r="O1982" s="9" t="n">
        <x:f>N1982*'Parameters'!$C$19</x:f>
        <x:v>4.256944444444445</x:v>
      </x:c>
      <x:c r="P1982" s="9" t="n">
        <x:f>M1982*(1-0.40)-N1982</x:f>
        <x:v>6.811111111111111</x:v>
      </x:c>
      <x:c r="Q1982" s="9" t="n">
        <x:f>'Physical_Arcs'!T2</x:f>
        <x:v>17.02777777777778</x:v>
      </x:c>
      <x:c r="R1982" s="9" t="n">
        <x:f>Q1982*'Parameters'!$C$18</x:f>
        <x:v>3.405555555555556</x:v>
      </x:c>
      <x:c r="S1982" s="9" t="n">
        <x:f>R1982*'Parameters'!$C$19</x:f>
        <x:v>4.256944444444445</x:v>
      </x:c>
      <x:c r="T1982" s="9" t="n">
        <x:f>Q1982*(1-0.40)-R1982</x:f>
        <x:v>6.811111111111111</x:v>
      </x:c>
    </x:row>
    <x:row r="1983" ht="21" customHeight="1">
      <x:c r="A1983" s="3" t="n">
        <x:v>33</x:v>
      </x:c>
      <x:c r="B1983" s="3" t="str">
        <x:v>05:30</x:v>
      </x:c>
      <x:c r="C1983" s="3" t="n">
        <x:v>6</x:v>
      </x:c>
      <x:c r="D1983" s="3" t="n">
        <x:v>2</x:v>
      </x:c>
      <x:c r="E1983" s="3" t="n">
        <x:v>1</x:v>
      </x:c>
      <x:c r="F1983" s="3" t="n">
        <x:v>10</x:v>
      </x:c>
      <x:c r="G1983" s="9" t="n">
        <x:v>0.15</x:v>
      </x:c>
      <x:c r="H1983" s="9" t="n">
        <x:v>1.003995</x:v>
      </x:c>
      <x:c r="I1983" s="9" t="n">
        <x:f>'Physical_Arcs'!R3</x:f>
        <x:v>3.2777777777777777</x:v>
      </x:c>
      <x:c r="J1983" s="9" t="n">
        <x:f>I1983*'Parameters'!$C$18</x:f>
        <x:v>0.6555555555555556</x:v>
      </x:c>
      <x:c r="K1983" s="9" t="n">
        <x:f>J1983*'Parameters'!$C$19</x:f>
        <x:v>0.8194444444444444</x:v>
      </x:c>
      <x:c r="L1983" s="9" t="n">
        <x:f>I1983*(1-0.40)-J1983</x:f>
        <x:v>1.311111111111111</x:v>
      </x:c>
      <x:c r="M1983" s="9" t="n">
        <x:f>'Physical_Arcs'!S3</x:f>
        <x:v>3.2777777777777777</x:v>
      </x:c>
      <x:c r="N1983" s="9" t="n">
        <x:f>M1983*'Parameters'!$C$18</x:f>
        <x:v>0.6555555555555556</x:v>
      </x:c>
      <x:c r="O1983" s="9" t="n">
        <x:f>N1983*'Parameters'!$C$19</x:f>
        <x:v>0.8194444444444444</x:v>
      </x:c>
      <x:c r="P1983" s="9" t="n">
        <x:f>M1983*(1-0.40)-N1983</x:f>
        <x:v>1.311111111111111</x:v>
      </x:c>
      <x:c r="Q1983" s="9" t="n">
        <x:f>'Physical_Arcs'!T3</x:f>
        <x:v>1.6388888888888888</x:v>
      </x:c>
      <x:c r="R1983" s="9" t="n">
        <x:f>Q1983*'Parameters'!$C$18</x:f>
        <x:v>0.3277777777777778</x:v>
      </x:c>
      <x:c r="S1983" s="9" t="n">
        <x:f>R1983*'Parameters'!$C$19</x:f>
        <x:v>0.4097222222222222</x:v>
      </x:c>
      <x:c r="T1983" s="9" t="n">
        <x:f>Q1983*(1-0.40)-R1983</x:f>
        <x:v>0.6555555555555554</x:v>
      </x:c>
    </x:row>
    <x:row r="1984" ht="21" customHeight="1">
      <x:c r="A1984" s="3" t="n">
        <x:v>33</x:v>
      </x:c>
      <x:c r="B1984" s="3" t="str">
        <x:v>05:30</x:v>
      </x:c>
      <x:c r="C1984" s="3" t="n">
        <x:v>6</x:v>
      </x:c>
      <x:c r="D1984" s="3" t="n">
        <x:v>3</x:v>
      </x:c>
      <x:c r="E1984" s="3" t="n">
        <x:v>1</x:v>
      </x:c>
      <x:c r="F1984" s="3" t="n">
        <x:v>8</x:v>
      </x:c>
      <x:c r="G1984" s="9" t="n">
        <x:v>0.15</x:v>
      </x:c>
      <x:c r="H1984" s="9" t="n">
        <x:v>0.923863</x:v>
      </x:c>
      <x:c r="I1984" s="9" t="n">
        <x:f>'Physical_Arcs'!R4</x:f>
        <x:v>6.083333333333333</x:v>
      </x:c>
      <x:c r="J1984" s="9" t="n">
        <x:f>I1984*'Parameters'!$C$18</x:f>
        <x:v>1.2166666666666668</x:v>
      </x:c>
      <x:c r="K1984" s="9" t="n">
        <x:f>J1984*'Parameters'!$C$19</x:f>
        <x:v>1.5208333333333335</x:v>
      </x:c>
      <x:c r="L1984" s="9" t="n">
        <x:f>I1984*(1-0.40)-J1984</x:f>
        <x:v>2.4333333333333327</x:v>
      </x:c>
      <x:c r="M1984" s="9" t="n">
        <x:f>'Physical_Arcs'!S4</x:f>
        <x:v>6.083333333333333</x:v>
      </x:c>
      <x:c r="N1984" s="9" t="n">
        <x:f>M1984*'Parameters'!$C$18</x:f>
        <x:v>1.2166666666666668</x:v>
      </x:c>
      <x:c r="O1984" s="9" t="n">
        <x:f>N1984*'Parameters'!$C$19</x:f>
        <x:v>1.5208333333333335</x:v>
      </x:c>
      <x:c r="P1984" s="9" t="n">
        <x:f>M1984*(1-0.40)-N1984</x:f>
        <x:v>2.4333333333333327</x:v>
      </x:c>
      <x:c r="Q1984" s="9" t="n">
        <x:f>'Physical_Arcs'!T4</x:f>
        <x:v>3.0555555555555554</x:v>
      </x:c>
      <x:c r="R1984" s="9" t="n">
        <x:f>Q1984*'Parameters'!$C$18</x:f>
        <x:v>0.6111111111111112</x:v>
      </x:c>
      <x:c r="S1984" s="9" t="n">
        <x:f>R1984*'Parameters'!$C$19</x:f>
        <x:v>0.763888888888889</x:v>
      </x:c>
      <x:c r="T1984" s="9" t="n">
        <x:f>Q1984*(1-0.40)-R1984</x:f>
        <x:v>1.2222222222222219</x:v>
      </x:c>
    </x:row>
    <x:row r="1985" ht="21" customHeight="1">
      <x:c r="A1985" s="3" t="n">
        <x:v>33</x:v>
      </x:c>
      <x:c r="B1985" s="3" t="str">
        <x:v>05:30</x:v>
      </x:c>
      <x:c r="C1985" s="3" t="n">
        <x:v>6</x:v>
      </x:c>
      <x:c r="D1985" s="3" t="n">
        <x:v>4</x:v>
      </x:c>
      <x:c r="E1985" s="3" t="n">
        <x:v>1</x:v>
      </x:c>
      <x:c r="F1985" s="3" t="n">
        <x:v>7</x:v>
      </x:c>
      <x:c r="G1985" s="9" t="n">
        <x:v>0.15</x:v>
      </x:c>
      <x:c r="H1985" s="9" t="n">
        <x:v>1.111072</x:v>
      </x:c>
      <x:c r="I1985" s="9" t="n">
        <x:f>'Physical_Arcs'!R5</x:f>
        <x:v>9</x:v>
      </x:c>
      <x:c r="J1985" s="9" t="n">
        <x:f>I1985*'Parameters'!$C$18</x:f>
        <x:v>1.8</x:v>
      </x:c>
      <x:c r="K1985" s="9" t="n">
        <x:f>J1985*'Parameters'!$C$19</x:f>
        <x:v>2.25</x:v>
      </x:c>
      <x:c r="L1985" s="9" t="n">
        <x:f>I1985*(1-0.40)-J1985</x:f>
        <x:v>3.5999999999999996</x:v>
      </x:c>
      <x:c r="M1985" s="9" t="n">
        <x:f>'Physical_Arcs'!S5</x:f>
        <x:v>9</x:v>
      </x:c>
      <x:c r="N1985" s="9" t="n">
        <x:f>M1985*'Parameters'!$C$18</x:f>
        <x:v>1.8</x:v>
      </x:c>
      <x:c r="O1985" s="9" t="n">
        <x:f>N1985*'Parameters'!$C$19</x:f>
        <x:v>2.25</x:v>
      </x:c>
      <x:c r="P1985" s="9" t="n">
        <x:f>M1985*(1-0.40)-N1985</x:f>
        <x:v>3.5999999999999996</x:v>
      </x:c>
      <x:c r="Q1985" s="9" t="n">
        <x:f>'Physical_Arcs'!T5</x:f>
        <x:v>4.5</x:v>
      </x:c>
      <x:c r="R1985" s="9" t="n">
        <x:f>Q1985*'Parameters'!$C$18</x:f>
        <x:v>0.9</x:v>
      </x:c>
      <x:c r="S1985" s="9" t="n">
        <x:f>R1985*'Parameters'!$C$19</x:f>
        <x:v>1.125</x:v>
      </x:c>
      <x:c r="T1985" s="9" t="n">
        <x:f>Q1985*(1-0.40)-R1985</x:f>
        <x:v>1.7999999999999998</x:v>
      </x:c>
    </x:row>
    <x:row r="1986" ht="21" customHeight="1">
      <x:c r="A1986" s="3" t="n">
        <x:v>33</x:v>
      </x:c>
      <x:c r="B1986" s="3" t="str">
        <x:v>05:30</x:v>
      </x:c>
      <x:c r="C1986" s="3" t="n">
        <x:v>6</x:v>
      </x:c>
      <x:c r="D1986" s="3" t="n">
        <x:v>5</x:v>
      </x:c>
      <x:c r="E1986" s="3" t="n">
        <x:v>1</x:v>
      </x:c>
      <x:c r="F1986" s="3" t="n">
        <x:v>4</x:v>
      </x:c>
      <x:c r="G1986" s="9" t="n">
        <x:v>0.15</x:v>
      </x:c>
      <x:c r="H1986" s="9" t="n">
        <x:v>1.001665</x:v>
      </x:c>
      <x:c r="I1986" s="9" t="n">
        <x:f>'Physical_Arcs'!R6</x:f>
        <x:v>4.166666666666667</x:v>
      </x:c>
      <x:c r="J1986" s="9" t="n">
        <x:f>I1986*'Parameters'!$C$18</x:f>
        <x:v>0.8333333333333335</x:v>
      </x:c>
      <x:c r="K1986" s="9" t="n">
        <x:f>J1986*'Parameters'!$C$19</x:f>
        <x:v>1.041666666666667</x:v>
      </x:c>
      <x:c r="L1986" s="9" t="n">
        <x:f>I1986*(1-0.40)-J1986</x:f>
        <x:v>1.6666666666666665</x:v>
      </x:c>
      <x:c r="M1986" s="9" t="n">
        <x:f>'Physical_Arcs'!S6</x:f>
        <x:v>4.166666666666667</x:v>
      </x:c>
      <x:c r="N1986" s="9" t="n">
        <x:f>M1986*'Parameters'!$C$18</x:f>
        <x:v>0.8333333333333335</x:v>
      </x:c>
      <x:c r="O1986" s="9" t="n">
        <x:f>N1986*'Parameters'!$C$19</x:f>
        <x:v>1.041666666666667</x:v>
      </x:c>
      <x:c r="P1986" s="9" t="n">
        <x:f>M1986*(1-0.40)-N1986</x:f>
        <x:v>1.6666666666666665</x:v>
      </x:c>
      <x:c r="Q1986" s="9" t="n">
        <x:f>'Physical_Arcs'!T6</x:f>
        <x:v>2.0833333333333335</x:v>
      </x:c>
      <x:c r="R1986" s="9" t="n">
        <x:f>Q1986*'Parameters'!$C$18</x:f>
        <x:v>0.41666666666666674</x:v>
      </x:c>
      <x:c r="S1986" s="9" t="n">
        <x:f>R1986*'Parameters'!$C$19</x:f>
        <x:v>0.5208333333333335</x:v>
      </x:c>
      <x:c r="T1986" s="9" t="n">
        <x:f>Q1986*(1-0.40)-R1986</x:f>
        <x:v>0.8333333333333333</x:v>
      </x:c>
    </x:row>
    <x:row r="1987" ht="21" customHeight="1">
      <x:c r="A1987" s="3" t="n">
        <x:v>33</x:v>
      </x:c>
      <x:c r="B1987" s="3" t="str">
        <x:v>05:30</x:v>
      </x:c>
      <x:c r="C1987" s="3" t="n">
        <x:v>6</x:v>
      </x:c>
      <x:c r="D1987" s="3" t="n">
        <x:v>6</x:v>
      </x:c>
      <x:c r="E1987" s="3" t="n">
        <x:v>1</x:v>
      </x:c>
      <x:c r="F1987" s="3" t="n">
        <x:v>9</x:v>
      </x:c>
      <x:c r="G1987" s="9" t="n">
        <x:v>0.15</x:v>
      </x:c>
      <x:c r="H1987" s="9" t="n">
        <x:v>0.942884</x:v>
      </x:c>
      <x:c r="I1987" s="9" t="n">
        <x:f>'Physical_Arcs'!R7</x:f>
        <x:v>11.027777777777779</x:v>
      </x:c>
      <x:c r="J1987" s="9" t="n">
        <x:f>I1987*'Parameters'!$C$18</x:f>
        <x:v>2.2055555555555557</x:v>
      </x:c>
      <x:c r="K1987" s="9" t="n">
        <x:f>J1987*'Parameters'!$C$19</x:f>
        <x:v>2.7569444444444446</x:v>
      </x:c>
      <x:c r="L1987" s="9" t="n">
        <x:f>I1987*(1-0.40)-J1987</x:f>
        <x:v>4.411111111111111</x:v>
      </x:c>
      <x:c r="M1987" s="9" t="n">
        <x:f>'Physical_Arcs'!S7</x:f>
        <x:v>11.027777777777779</x:v>
      </x:c>
      <x:c r="N1987" s="9" t="n">
        <x:f>M1987*'Parameters'!$C$18</x:f>
        <x:v>2.2055555555555557</x:v>
      </x:c>
      <x:c r="O1987" s="9" t="n">
        <x:f>N1987*'Parameters'!$C$19</x:f>
        <x:v>2.7569444444444446</x:v>
      </x:c>
      <x:c r="P1987" s="9" t="n">
        <x:f>M1987*(1-0.40)-N1987</x:f>
        <x:v>4.411111111111111</x:v>
      </x:c>
      <x:c r="Q1987" s="9" t="n">
        <x:f>'Physical_Arcs'!T7</x:f>
        <x:v>5.527777777777778</x:v>
      </x:c>
      <x:c r="R1987" s="9" t="n">
        <x:f>Q1987*'Parameters'!$C$18</x:f>
        <x:v>1.1055555555555556</x:v>
      </x:c>
      <x:c r="S1987" s="9" t="n">
        <x:f>R1987*'Parameters'!$C$19</x:f>
        <x:v>1.3819444444444446</x:v>
      </x:c>
      <x:c r="T1987" s="9" t="n">
        <x:f>Q1987*(1-0.40)-R1987</x:f>
        <x:v>2.211111111111111</x:v>
      </x:c>
    </x:row>
    <x:row r="1988" ht="21" customHeight="1">
      <x:c r="A1988" s="3" t="n">
        <x:v>33</x:v>
      </x:c>
      <x:c r="B1988" s="3" t="str">
        <x:v>05:30</x:v>
      </x:c>
      <x:c r="C1988" s="3" t="n">
        <x:v>6</x:v>
      </x:c>
      <x:c r="D1988" s="3" t="n">
        <x:v>7</x:v>
      </x:c>
      <x:c r="E1988" s="3" t="n">
        <x:v>1</x:v>
      </x:c>
      <x:c r="F1988" s="3" t="n">
        <x:v>5</x:v>
      </x:c>
      <x:c r="G1988" s="9" t="n">
        <x:v>0.15</x:v>
      </x:c>
      <x:c r="H1988" s="9" t="n">
        <x:v>1.038222</x:v>
      </x:c>
      <x:c r="I1988" s="9" t="n">
        <x:f>'Physical_Arcs'!R8</x:f>
        <x:v>7.972222222222222</x:v>
      </x:c>
      <x:c r="J1988" s="9" t="n">
        <x:f>I1988*'Parameters'!$C$18</x:f>
        <x:v>1.5944444444444446</x:v>
      </x:c>
      <x:c r="K1988" s="9" t="n">
        <x:f>J1988*'Parameters'!$C$19</x:f>
        <x:v>1.9930555555555558</x:v>
      </x:c>
      <x:c r="L1988" s="9" t="n">
        <x:f>I1988*(1-0.40)-J1988</x:f>
        <x:v>3.1888888888888887</x:v>
      </x:c>
      <x:c r="M1988" s="9" t="n">
        <x:f>'Physical_Arcs'!S8</x:f>
        <x:v>7.972222222222222</x:v>
      </x:c>
      <x:c r="N1988" s="9" t="n">
        <x:f>M1988*'Parameters'!$C$18</x:f>
        <x:v>1.5944444444444446</x:v>
      </x:c>
      <x:c r="O1988" s="9" t="n">
        <x:f>N1988*'Parameters'!$C$19</x:f>
        <x:v>1.9930555555555558</x:v>
      </x:c>
      <x:c r="P1988" s="9" t="n">
        <x:f>M1988*(1-0.40)-N1988</x:f>
        <x:v>3.1888888888888887</x:v>
      </x:c>
      <x:c r="Q1988" s="9" t="n">
        <x:f>'Physical_Arcs'!T8</x:f>
        <x:v>4</x:v>
      </x:c>
      <x:c r="R1988" s="9" t="n">
        <x:f>Q1988*'Parameters'!$C$18</x:f>
        <x:v>0.8</x:v>
      </x:c>
      <x:c r="S1988" s="9" t="n">
        <x:f>R1988*'Parameters'!$C$19</x:f>
        <x:v>1</x:v>
      </x:c>
      <x:c r="T1988" s="9" t="n">
        <x:f>Q1988*(1-0.40)-R1988</x:f>
        <x:v>1.5999999999999999</x:v>
      </x:c>
    </x:row>
    <x:row r="1989" ht="21" customHeight="1">
      <x:c r="A1989" s="3" t="n">
        <x:v>33</x:v>
      </x:c>
      <x:c r="B1989" s="3" t="str">
        <x:v>05:30</x:v>
      </x:c>
      <x:c r="C1989" s="3" t="n">
        <x:v>6</x:v>
      </x:c>
      <x:c r="D1989" s="3" t="n">
        <x:v>8</x:v>
      </x:c>
      <x:c r="E1989" s="3" t="n">
        <x:v>1</x:v>
      </x:c>
      <x:c r="F1989" s="3" t="n">
        <x:v>3</x:v>
      </x:c>
      <x:c r="G1989" s="9" t="n">
        <x:v>0.15</x:v>
      </x:c>
      <x:c r="H1989" s="9" t="n">
        <x:v>1.122297</x:v>
      </x:c>
      <x:c r="I1989" s="9" t="n">
        <x:f>'Physical_Arcs'!R9</x:f>
        <x:v>4.166666666666667</x:v>
      </x:c>
      <x:c r="J1989" s="9" t="n">
        <x:f>I1989*'Parameters'!$C$18</x:f>
        <x:v>0.8333333333333335</x:v>
      </x:c>
      <x:c r="K1989" s="9" t="n">
        <x:f>J1989*'Parameters'!$C$19</x:f>
        <x:v>1.041666666666667</x:v>
      </x:c>
      <x:c r="L1989" s="9" t="n">
        <x:f>I1989*(1-0.40)-J1989</x:f>
        <x:v>1.6666666666666665</x:v>
      </x:c>
      <x:c r="M1989" s="9" t="n">
        <x:f>'Physical_Arcs'!S9</x:f>
        <x:v>4.166666666666667</x:v>
      </x:c>
      <x:c r="N1989" s="9" t="n">
        <x:f>M1989*'Parameters'!$C$18</x:f>
        <x:v>0.8333333333333335</x:v>
      </x:c>
      <x:c r="O1989" s="9" t="n">
        <x:f>N1989*'Parameters'!$C$19</x:f>
        <x:v>1.041666666666667</x:v>
      </x:c>
      <x:c r="P1989" s="9" t="n">
        <x:f>M1989*(1-0.40)-N1989</x:f>
        <x:v>1.6666666666666665</x:v>
      </x:c>
      <x:c r="Q1989" s="9" t="n">
        <x:f>'Physical_Arcs'!T9</x:f>
        <x:v>2.0833333333333335</x:v>
      </x:c>
      <x:c r="R1989" s="9" t="n">
        <x:f>Q1989*'Parameters'!$C$18</x:f>
        <x:v>0.41666666666666674</x:v>
      </x:c>
      <x:c r="S1989" s="9" t="n">
        <x:f>R1989*'Parameters'!$C$19</x:f>
        <x:v>0.5208333333333335</x:v>
      </x:c>
      <x:c r="T1989" s="9" t="n">
        <x:f>Q1989*(1-0.40)-R1989</x:f>
        <x:v>0.8333333333333333</x:v>
      </x:c>
    </x:row>
    <x:row r="1990" ht="21" customHeight="1">
      <x:c r="A1990" s="3" t="n">
        <x:v>33</x:v>
      </x:c>
      <x:c r="B1990" s="3" t="str">
        <x:v>05:30</x:v>
      </x:c>
      <x:c r="C1990" s="3" t="n">
        <x:v>6</x:v>
      </x:c>
      <x:c r="D1990" s="3" t="n">
        <x:v>9</x:v>
      </x:c>
      <x:c r="E1990" s="3" t="n">
        <x:v>1</x:v>
      </x:c>
      <x:c r="F1990" s="3" t="n">
        <x:v>6</x:v>
      </x:c>
      <x:c r="G1990" s="9" t="n">
        <x:v>0.15</x:v>
      </x:c>
      <x:c r="H1990" s="9" t="n">
        <x:v>1.132682</x:v>
      </x:c>
      <x:c r="I1990" s="9" t="n">
        <x:f>'Physical_Arcs'!R10</x:f>
        <x:v>2.138888888888889</x:v>
      </x:c>
      <x:c r="J1990" s="9" t="n">
        <x:f>I1990*'Parameters'!$C$18</x:f>
        <x:v>0.4277777777777778</x:v>
      </x:c>
      <x:c r="K1990" s="9" t="n">
        <x:f>J1990*'Parameters'!$C$19</x:f>
        <x:v>0.5347222222222223</x:v>
      </x:c>
      <x:c r="L1990" s="9" t="n">
        <x:f>I1990*(1-0.40)-J1990</x:f>
        <x:v>0.8555555555555554</x:v>
      </x:c>
      <x:c r="M1990" s="9" t="n">
        <x:f>'Physical_Arcs'!S10</x:f>
        <x:v>2.138888888888889</x:v>
      </x:c>
      <x:c r="N1990" s="9" t="n">
        <x:f>M1990*'Parameters'!$C$18</x:f>
        <x:v>0.4277777777777778</x:v>
      </x:c>
      <x:c r="O1990" s="9" t="n">
        <x:f>N1990*'Parameters'!$C$19</x:f>
        <x:v>0.5347222222222223</x:v>
      </x:c>
      <x:c r="P1990" s="9" t="n">
        <x:f>M1990*(1-0.40)-N1990</x:f>
        <x:v>0.8555555555555554</x:v>
      </x:c>
      <x:c r="Q1990" s="9" t="n">
        <x:f>'Physical_Arcs'!T10</x:f>
        <x:v>1.0833333333333333</x:v>
      </x:c>
      <x:c r="R1990" s="9" t="n">
        <x:f>Q1990*'Parameters'!$C$18</x:f>
        <x:v>0.21666666666666667</x:v>
      </x:c>
      <x:c r="S1990" s="9" t="n">
        <x:f>R1990*'Parameters'!$C$19</x:f>
        <x:v>0.27083333333333337</x:v>
      </x:c>
      <x:c r="T1990" s="9" t="n">
        <x:f>Q1990*(1-0.40)-R1990</x:f>
        <x:v>0.43333333333333324</x:v>
      </x:c>
    </x:row>
    <x:row r="1991" ht="21" customHeight="1">
      <x:c r="A1991" s="3" t="n">
        <x:v>33</x:v>
      </x:c>
      <x:c r="B1991" s="3" t="str">
        <x:v>05:30</x:v>
      </x:c>
      <x:c r="C1991" s="3" t="n">
        <x:v>6</x:v>
      </x:c>
      <x:c r="D1991" s="3" t="n">
        <x:v>10</x:v>
      </x:c>
      <x:c r="E1991" s="3" t="n">
        <x:v>2</x:v>
      </x:c>
      <x:c r="F1991" s="3" t="n">
        <x:v>3</x:v>
      </x:c>
      <x:c r="G1991" s="9" t="n">
        <x:v>0.15</x:v>
      </x:c>
      <x:c r="H1991" s="9" t="n">
        <x:v>0.871154</x:v>
      </x:c>
      <x:c r="I1991" s="9" t="n">
        <x:f>'Physical_Arcs'!R11</x:f>
        <x:v>17.02777777777778</x:v>
      </x:c>
      <x:c r="J1991" s="9" t="n">
        <x:f>I1991*'Parameters'!$C$18</x:f>
        <x:v>3.405555555555556</x:v>
      </x:c>
      <x:c r="K1991" s="9" t="n">
        <x:f>J1991*'Parameters'!$C$19</x:f>
        <x:v>4.256944444444445</x:v>
      </x:c>
      <x:c r="L1991" s="9" t="n">
        <x:f>I1991*(1-0.40)-J1991</x:f>
        <x:v>6.811111111111111</x:v>
      </x:c>
      <x:c r="M1991" s="9" t="n">
        <x:f>'Physical_Arcs'!S11</x:f>
        <x:v>17.02777777777778</x:v>
      </x:c>
      <x:c r="N1991" s="9" t="n">
        <x:f>M1991*'Parameters'!$C$18</x:f>
        <x:v>3.405555555555556</x:v>
      </x:c>
      <x:c r="O1991" s="9" t="n">
        <x:f>N1991*'Parameters'!$C$19</x:f>
        <x:v>4.256944444444445</x:v>
      </x:c>
      <x:c r="P1991" s="9" t="n">
        <x:f>M1991*(1-0.40)-N1991</x:f>
        <x:v>6.811111111111111</x:v>
      </x:c>
      <x:c r="Q1991" s="9" t="n">
        <x:f>'Physical_Arcs'!T11</x:f>
        <x:v>17.02777777777778</x:v>
      </x:c>
      <x:c r="R1991" s="9" t="n">
        <x:f>Q1991*'Parameters'!$C$18</x:f>
        <x:v>3.405555555555556</x:v>
      </x:c>
      <x:c r="S1991" s="9" t="n">
        <x:f>R1991*'Parameters'!$C$19</x:f>
        <x:v>4.256944444444445</x:v>
      </x:c>
      <x:c r="T1991" s="9" t="n">
        <x:f>Q1991*(1-0.40)-R1991</x:f>
        <x:v>6.811111111111111</x:v>
      </x:c>
    </x:row>
    <x:row r="1992" ht="21" customHeight="1">
      <x:c r="A1992" s="3" t="n">
        <x:v>33</x:v>
      </x:c>
      <x:c r="B1992" s="3" t="str">
        <x:v>05:30</x:v>
      </x:c>
      <x:c r="C1992" s="3" t="n">
        <x:v>6</x:v>
      </x:c>
      <x:c r="D1992" s="3" t="n">
        <x:v>11</x:v>
      </x:c>
      <x:c r="E1992" s="3" t="n">
        <x:v>2</x:v>
      </x:c>
      <x:c r="F1992" s="3" t="n">
        <x:v>4</x:v>
      </x:c>
      <x:c r="G1992" s="9" t="n">
        <x:v>0.15</x:v>
      </x:c>
      <x:c r="H1992" s="9" t="n">
        <x:v>1.147412</x:v>
      </x:c>
      <x:c r="I1992" s="9" t="n">
        <x:f>'Physical_Arcs'!R12</x:f>
        <x:v>7.972222222222222</x:v>
      </x:c>
      <x:c r="J1992" s="9" t="n">
        <x:f>I1992*'Parameters'!$C$18</x:f>
        <x:v>1.5944444444444446</x:v>
      </x:c>
      <x:c r="K1992" s="9" t="n">
        <x:f>J1992*'Parameters'!$C$19</x:f>
        <x:v>1.9930555555555558</x:v>
      </x:c>
      <x:c r="L1992" s="9" t="n">
        <x:f>I1992*(1-0.40)-J1992</x:f>
        <x:v>3.1888888888888887</x:v>
      </x:c>
      <x:c r="M1992" s="9" t="n">
        <x:f>'Physical_Arcs'!S12</x:f>
        <x:v>7.972222222222222</x:v>
      </x:c>
      <x:c r="N1992" s="9" t="n">
        <x:f>M1992*'Parameters'!$C$18</x:f>
        <x:v>1.5944444444444446</x:v>
      </x:c>
      <x:c r="O1992" s="9" t="n">
        <x:f>N1992*'Parameters'!$C$19</x:f>
        <x:v>1.9930555555555558</x:v>
      </x:c>
      <x:c r="P1992" s="9" t="n">
        <x:f>M1992*(1-0.40)-N1992</x:f>
        <x:v>3.1888888888888887</x:v>
      </x:c>
      <x:c r="Q1992" s="9" t="n">
        <x:f>'Physical_Arcs'!T12</x:f>
        <x:v>4</x:v>
      </x:c>
      <x:c r="R1992" s="9" t="n">
        <x:f>Q1992*'Parameters'!$C$18</x:f>
        <x:v>0.8</x:v>
      </x:c>
      <x:c r="S1992" s="9" t="n">
        <x:f>R1992*'Parameters'!$C$19</x:f>
        <x:v>1</x:v>
      </x:c>
      <x:c r="T1992" s="9" t="n">
        <x:f>Q1992*(1-0.40)-R1992</x:f>
        <x:v>1.5999999999999999</x:v>
      </x:c>
    </x:row>
    <x:row r="1993" ht="21" customHeight="1">
      <x:c r="A1993" s="3" t="n">
        <x:v>33</x:v>
      </x:c>
      <x:c r="B1993" s="3" t="str">
        <x:v>05:30</x:v>
      </x:c>
      <x:c r="C1993" s="3" t="n">
        <x:v>6</x:v>
      </x:c>
      <x:c r="D1993" s="3" t="n">
        <x:v>12</x:v>
      </x:c>
      <x:c r="E1993" s="3" t="n">
        <x:v>2</x:v>
      </x:c>
      <x:c r="F1993" s="3" t="n">
        <x:v>7</x:v>
      </x:c>
      <x:c r="G1993" s="9" t="n">
        <x:v>0.15</x:v>
      </x:c>
      <x:c r="H1993" s="9" t="n">
        <x:v>0.96729</x:v>
      </x:c>
      <x:c r="I1993" s="9" t="n">
        <x:f>'Physical_Arcs'!R13</x:f>
        <x:v>4.611111111111111</x:v>
      </x:c>
      <x:c r="J1993" s="9" t="n">
        <x:f>I1993*'Parameters'!$C$18</x:f>
        <x:v>0.9222222222222222</x:v>
      </x:c>
      <x:c r="K1993" s="9" t="n">
        <x:f>J1993*'Parameters'!$C$19</x:f>
        <x:v>1.1527777777777777</x:v>
      </x:c>
      <x:c r="L1993" s="9" t="n">
        <x:f>I1993*(1-0.40)-J1993</x:f>
        <x:v>1.844444444444444</x:v>
      </x:c>
      <x:c r="M1993" s="9" t="n">
        <x:f>'Physical_Arcs'!S13</x:f>
        <x:v>4.611111111111111</x:v>
      </x:c>
      <x:c r="N1993" s="9" t="n">
        <x:f>M1993*'Parameters'!$C$18</x:f>
        <x:v>0.9222222222222222</x:v>
      </x:c>
      <x:c r="O1993" s="9" t="n">
        <x:f>N1993*'Parameters'!$C$19</x:f>
        <x:v>1.1527777777777777</x:v>
      </x:c>
      <x:c r="P1993" s="9" t="n">
        <x:f>M1993*(1-0.40)-N1993</x:f>
        <x:v>1.844444444444444</x:v>
      </x:c>
      <x:c r="Q1993" s="9" t="n">
        <x:f>'Physical_Arcs'!T13</x:f>
        <x:v>2.3055555555555554</x:v>
      </x:c>
      <x:c r="R1993" s="9" t="n">
        <x:f>Q1993*'Parameters'!$C$18</x:f>
        <x:v>0.4611111111111111</x:v>
      </x:c>
      <x:c r="S1993" s="9" t="n">
        <x:f>R1993*'Parameters'!$C$19</x:f>
        <x:v>0.5763888888888888</x:v>
      </x:c>
      <x:c r="T1993" s="9" t="n">
        <x:f>Q1993*(1-0.40)-R1993</x:f>
        <x:v>0.922222222222222</x:v>
      </x:c>
    </x:row>
    <x:row r="1994" ht="21" customHeight="1">
      <x:c r="A1994" s="3" t="n">
        <x:v>33</x:v>
      </x:c>
      <x:c r="B1994" s="3" t="str">
        <x:v>05:30</x:v>
      </x:c>
      <x:c r="C1994" s="3" t="n">
        <x:v>6</x:v>
      </x:c>
      <x:c r="D1994" s="3" t="n">
        <x:v>13</x:v>
      </x:c>
      <x:c r="E1994" s="3" t="n">
        <x:v>2</x:v>
      </x:c>
      <x:c r="F1994" s="3" t="n">
        <x:v>9</x:v>
      </x:c>
      <x:c r="G1994" s="9" t="n">
        <x:v>0.15</x:v>
      </x:c>
      <x:c r="H1994" s="9" t="n">
        <x:v>1.117625</x:v>
      </x:c>
      <x:c r="I1994" s="9" t="n">
        <x:f>'Physical_Arcs'!R14</x:f>
        <x:v>8.666666666666666</x:v>
      </x:c>
      <x:c r="J1994" s="9" t="n">
        <x:f>I1994*'Parameters'!$C$18</x:f>
        <x:v>1.7333333333333334</x:v>
      </x:c>
      <x:c r="K1994" s="9" t="n">
        <x:f>J1994*'Parameters'!$C$19</x:f>
        <x:v>2.166666666666667</x:v>
      </x:c>
      <x:c r="L1994" s="9" t="n">
        <x:f>I1994*(1-0.40)-J1994</x:f>
        <x:v>3.466666666666666</x:v>
      </x:c>
      <x:c r="M1994" s="9" t="n">
        <x:f>'Physical_Arcs'!S14</x:f>
        <x:v>8.666666666666666</x:v>
      </x:c>
      <x:c r="N1994" s="9" t="n">
        <x:f>M1994*'Parameters'!$C$18</x:f>
        <x:v>1.7333333333333334</x:v>
      </x:c>
      <x:c r="O1994" s="9" t="n">
        <x:f>N1994*'Parameters'!$C$19</x:f>
        <x:v>2.166666666666667</x:v>
      </x:c>
      <x:c r="P1994" s="9" t="n">
        <x:f>M1994*(1-0.40)-N1994</x:f>
        <x:v>3.466666666666666</x:v>
      </x:c>
      <x:c r="Q1994" s="9" t="n">
        <x:f>'Physical_Arcs'!T14</x:f>
        <x:v>4.333333333333333</x:v>
      </x:c>
      <x:c r="R1994" s="9" t="n">
        <x:f>Q1994*'Parameters'!$C$18</x:f>
        <x:v>0.8666666666666667</x:v>
      </x:c>
      <x:c r="S1994" s="9" t="n">
        <x:f>R1994*'Parameters'!$C$19</x:f>
        <x:v>1.0833333333333335</x:v>
      </x:c>
      <x:c r="T1994" s="9" t="n">
        <x:f>Q1994*(1-0.40)-R1994</x:f>
        <x:v>1.733333333333333</x:v>
      </x:c>
    </x:row>
    <x:row r="1995" ht="21" customHeight="1">
      <x:c r="A1995" s="3" t="n">
        <x:v>33</x:v>
      </x:c>
      <x:c r="B1995" s="3" t="str">
        <x:v>05:30</x:v>
      </x:c>
      <x:c r="C1995" s="3" t="n">
        <x:v>6</x:v>
      </x:c>
      <x:c r="D1995" s="3" t="n">
        <x:v>14</x:v>
      </x:c>
      <x:c r="E1995" s="3" t="n">
        <x:v>2</x:v>
      </x:c>
      <x:c r="F1995" s="3" t="n">
        <x:v>8</x:v>
      </x:c>
      <x:c r="G1995" s="9" t="n">
        <x:v>0.15</x:v>
      </x:c>
      <x:c r="H1995" s="9" t="n">
        <x:v>1.144902</x:v>
      </x:c>
      <x:c r="I1995" s="9" t="n">
        <x:f>'Physical_Arcs'!R15</x:f>
        <x:v>7.75</x:v>
      </x:c>
      <x:c r="J1995" s="9" t="n">
        <x:f>I1995*'Parameters'!$C$18</x:f>
        <x:v>1.55</x:v>
      </x:c>
      <x:c r="K1995" s="9" t="n">
        <x:f>J1995*'Parameters'!$C$19</x:f>
        <x:v>1.9375</x:v>
      </x:c>
      <x:c r="L1995" s="9" t="n">
        <x:f>I1995*(1-0.40)-J1995</x:f>
        <x:v>3.0999999999999996</x:v>
      </x:c>
      <x:c r="M1995" s="9" t="n">
        <x:f>'Physical_Arcs'!S15</x:f>
        <x:v>7.75</x:v>
      </x:c>
      <x:c r="N1995" s="9" t="n">
        <x:f>M1995*'Parameters'!$C$18</x:f>
        <x:v>1.55</x:v>
      </x:c>
      <x:c r="O1995" s="9" t="n">
        <x:f>N1995*'Parameters'!$C$19</x:f>
        <x:v>1.9375</x:v>
      </x:c>
      <x:c r="P1995" s="9" t="n">
        <x:f>M1995*(1-0.40)-N1995</x:f>
        <x:v>3.0999999999999996</x:v>
      </x:c>
      <x:c r="Q1995" s="9" t="n">
        <x:f>'Physical_Arcs'!T15</x:f>
        <x:v>3.888888888888889</x:v>
      </x:c>
      <x:c r="R1995" s="9" t="n">
        <x:f>Q1995*'Parameters'!$C$18</x:f>
        <x:v>0.7777777777777778</x:v>
      </x:c>
      <x:c r="S1995" s="9" t="n">
        <x:f>R1995*'Parameters'!$C$19</x:f>
        <x:v>0.9722222222222222</x:v>
      </x:c>
      <x:c r="T1995" s="9" t="n">
        <x:f>Q1995*(1-0.40)-R1995</x:f>
        <x:v>1.5555555555555554</x:v>
      </x:c>
    </x:row>
    <x:row r="1996" ht="21" customHeight="1">
      <x:c r="A1996" s="3" t="n">
        <x:v>33</x:v>
      </x:c>
      <x:c r="B1996" s="3" t="str">
        <x:v>05:30</x:v>
      </x:c>
      <x:c r="C1996" s="3" t="n">
        <x:v>6</x:v>
      </x:c>
      <x:c r="D1996" s="3" t="n">
        <x:v>15</x:v>
      </x:c>
      <x:c r="E1996" s="3" t="n">
        <x:v>2</x:v>
      </x:c>
      <x:c r="F1996" s="3" t="n">
        <x:v>10</x:v>
      </x:c>
      <x:c r="G1996" s="9" t="n">
        <x:v>0.15</x:v>
      </x:c>
      <x:c r="H1996" s="9" t="n">
        <x:v>1.146684</x:v>
      </x:c>
      <x:c r="I1996" s="9" t="n">
        <x:f>'Physical_Arcs'!R16</x:f>
        <x:v>7.416666666666667</x:v>
      </x:c>
      <x:c r="J1996" s="9" t="n">
        <x:f>I1996*'Parameters'!$C$18</x:f>
        <x:v>1.4833333333333334</x:v>
      </x:c>
      <x:c r="K1996" s="9" t="n">
        <x:f>J1996*'Parameters'!$C$19</x:f>
        <x:v>1.8541666666666667</x:v>
      </x:c>
      <x:c r="L1996" s="9" t="n">
        <x:f>I1996*(1-0.40)-J1996</x:f>
        <x:v>2.966666666666667</x:v>
      </x:c>
      <x:c r="M1996" s="9" t="n">
        <x:f>'Physical_Arcs'!S16</x:f>
        <x:v>7.416666666666667</x:v>
      </x:c>
      <x:c r="N1996" s="9" t="n">
        <x:f>M1996*'Parameters'!$C$18</x:f>
        <x:v>1.4833333333333334</x:v>
      </x:c>
      <x:c r="O1996" s="9" t="n">
        <x:f>N1996*'Parameters'!$C$19</x:f>
        <x:v>1.8541666666666667</x:v>
      </x:c>
      <x:c r="P1996" s="9" t="n">
        <x:f>M1996*(1-0.40)-N1996</x:f>
        <x:v>2.966666666666667</x:v>
      </x:c>
      <x:c r="Q1996" s="9" t="n">
        <x:f>'Physical_Arcs'!T16</x:f>
        <x:v>3.7222222222222223</x:v>
      </x:c>
      <x:c r="R1996" s="9" t="n">
        <x:f>Q1996*'Parameters'!$C$18</x:f>
        <x:v>0.7444444444444445</x:v>
      </x:c>
      <x:c r="S1996" s="9" t="n">
        <x:f>R1996*'Parameters'!$C$19</x:f>
        <x:v>0.9305555555555556</x:v>
      </x:c>
      <x:c r="T1996" s="9" t="n">
        <x:f>Q1996*(1-0.40)-R1996</x:f>
        <x:v>1.488888888888889</x:v>
      </x:c>
    </x:row>
    <x:row r="1997" ht="21" customHeight="1">
      <x:c r="A1997" s="3" t="n">
        <x:v>33</x:v>
      </x:c>
      <x:c r="B1997" s="3" t="str">
        <x:v>05:30</x:v>
      </x:c>
      <x:c r="C1997" s="3" t="n">
        <x:v>6</x:v>
      </x:c>
      <x:c r="D1997" s="3" t="n">
        <x:v>16</x:v>
      </x:c>
      <x:c r="E1997" s="3" t="n">
        <x:v>3</x:v>
      </x:c>
      <x:c r="F1997" s="3" t="n">
        <x:v>4</x:v>
      </x:c>
      <x:c r="G1997" s="9" t="n">
        <x:v>0.15</x:v>
      </x:c>
      <x:c r="H1997" s="9" t="n">
        <x:v>1.017658</x:v>
      </x:c>
      <x:c r="I1997" s="9" t="n">
        <x:f>'Physical_Arcs'!R17</x:f>
        <x:v>17.02777777777778</x:v>
      </x:c>
      <x:c r="J1997" s="9" t="n">
        <x:f>I1997*'Parameters'!$C$18</x:f>
        <x:v>3.405555555555556</x:v>
      </x:c>
      <x:c r="K1997" s="9" t="n">
        <x:f>J1997*'Parameters'!$C$19</x:f>
        <x:v>4.256944444444445</x:v>
      </x:c>
      <x:c r="L1997" s="9" t="n">
        <x:f>I1997*(1-0.40)-J1997</x:f>
        <x:v>6.811111111111111</x:v>
      </x:c>
      <x:c r="M1997" s="9" t="n">
        <x:f>'Physical_Arcs'!S17</x:f>
        <x:v>17.02777777777778</x:v>
      </x:c>
      <x:c r="N1997" s="9" t="n">
        <x:f>M1997*'Parameters'!$C$18</x:f>
        <x:v>3.405555555555556</x:v>
      </x:c>
      <x:c r="O1997" s="9" t="n">
        <x:f>N1997*'Parameters'!$C$19</x:f>
        <x:v>4.256944444444445</x:v>
      </x:c>
      <x:c r="P1997" s="9" t="n">
        <x:f>M1997*(1-0.40)-N1997</x:f>
        <x:v>6.811111111111111</x:v>
      </x:c>
      <x:c r="Q1997" s="9" t="n">
        <x:f>'Physical_Arcs'!T17</x:f>
        <x:v>17.02777777777778</x:v>
      </x:c>
      <x:c r="R1997" s="9" t="n">
        <x:f>Q1997*'Parameters'!$C$18</x:f>
        <x:v>3.405555555555556</x:v>
      </x:c>
      <x:c r="S1997" s="9" t="n">
        <x:f>R1997*'Parameters'!$C$19</x:f>
        <x:v>4.256944444444445</x:v>
      </x:c>
      <x:c r="T1997" s="9" t="n">
        <x:f>Q1997*(1-0.40)-R1997</x:f>
        <x:v>6.811111111111111</x:v>
      </x:c>
    </x:row>
    <x:row r="1998" ht="21" customHeight="1">
      <x:c r="A1998" s="3" t="n">
        <x:v>33</x:v>
      </x:c>
      <x:c r="B1998" s="3" t="str">
        <x:v>05:30</x:v>
      </x:c>
      <x:c r="C1998" s="3" t="n">
        <x:v>6</x:v>
      </x:c>
      <x:c r="D1998" s="3" t="n">
        <x:v>17</x:v>
      </x:c>
      <x:c r="E1998" s="3" t="n">
        <x:v>3</x:v>
      </x:c>
      <x:c r="F1998" s="3" t="n">
        <x:v>2</x:v>
      </x:c>
      <x:c r="G1998" s="9" t="n">
        <x:v>0.15</x:v>
      </x:c>
      <x:c r="H1998" s="9" t="n">
        <x:v>0.875995</x:v>
      </x:c>
      <x:c r="I1998" s="9" t="n">
        <x:f>'Physical_Arcs'!R18</x:f>
        <x:v>10.666666666666666</x:v>
      </x:c>
      <x:c r="J1998" s="9" t="n">
        <x:f>I1998*'Parameters'!$C$18</x:f>
        <x:v>2.1333333333333333</x:v>
      </x:c>
      <x:c r="K1998" s="9" t="n">
        <x:f>J1998*'Parameters'!$C$19</x:f>
        <x:v>2.6666666666666665</x:v>
      </x:c>
      <x:c r="L1998" s="9" t="n">
        <x:f>I1998*(1-0.40)-J1998</x:f>
        <x:v>4.266666666666666</x:v>
      </x:c>
      <x:c r="M1998" s="9" t="n">
        <x:f>'Physical_Arcs'!S18</x:f>
        <x:v>10.666666666666666</x:v>
      </x:c>
      <x:c r="N1998" s="9" t="n">
        <x:f>M1998*'Parameters'!$C$18</x:f>
        <x:v>2.1333333333333333</x:v>
      </x:c>
      <x:c r="O1998" s="9" t="n">
        <x:f>N1998*'Parameters'!$C$19</x:f>
        <x:v>2.6666666666666665</x:v>
      </x:c>
      <x:c r="P1998" s="9" t="n">
        <x:f>M1998*(1-0.40)-N1998</x:f>
        <x:v>4.266666666666666</x:v>
      </x:c>
      <x:c r="Q1998" s="9" t="n">
        <x:f>'Physical_Arcs'!T18</x:f>
        <x:v>5.333333333333333</x:v>
      </x:c>
      <x:c r="R1998" s="9" t="n">
        <x:f>Q1998*'Parameters'!$C$18</x:f>
        <x:v>1.0666666666666667</x:v>
      </x:c>
      <x:c r="S1998" s="9" t="n">
        <x:f>R1998*'Parameters'!$C$19</x:f>
        <x:v>1.3333333333333333</x:v>
      </x:c>
      <x:c r="T1998" s="9" t="n">
        <x:f>Q1998*(1-0.40)-R1998</x:f>
        <x:v>2.133333333333333</x:v>
      </x:c>
    </x:row>
    <x:row r="1999" ht="21" customHeight="1">
      <x:c r="A1999" s="3" t="n">
        <x:v>33</x:v>
      </x:c>
      <x:c r="B1999" s="3" t="str">
        <x:v>05:30</x:v>
      </x:c>
      <x:c r="C1999" s="3" t="n">
        <x:v>6</x:v>
      </x:c>
      <x:c r="D1999" s="3" t="n">
        <x:v>18</x:v>
      </x:c>
      <x:c r="E1999" s="3" t="n">
        <x:v>3</x:v>
      </x:c>
      <x:c r="F1999" s="3" t="n">
        <x:v>1</x:v>
      </x:c>
      <x:c r="G1999" s="9" t="n">
        <x:v>0.15</x:v>
      </x:c>
      <x:c r="H1999" s="9" t="n">
        <x:v>1.015397</x:v>
      </x:c>
      <x:c r="I1999" s="9" t="n">
        <x:f>'Physical_Arcs'!R19</x:f>
        <x:v>5.166666666666667</x:v>
      </x:c>
      <x:c r="J1999" s="9" t="n">
        <x:f>I1999*'Parameters'!$C$18</x:f>
        <x:v>1.0333333333333334</x:v>
      </x:c>
      <x:c r="K1999" s="9" t="n">
        <x:f>J1999*'Parameters'!$C$19</x:f>
        <x:v>1.2916666666666667</x:v>
      </x:c>
      <x:c r="L1999" s="9" t="n">
        <x:f>I1999*(1-0.40)-J1999</x:f>
        <x:v>2.0666666666666664</x:v>
      </x:c>
      <x:c r="M1999" s="9" t="n">
        <x:f>'Physical_Arcs'!S19</x:f>
        <x:v>5.166666666666667</x:v>
      </x:c>
      <x:c r="N1999" s="9" t="n">
        <x:f>M1999*'Parameters'!$C$18</x:f>
        <x:v>1.0333333333333334</x:v>
      </x:c>
      <x:c r="O1999" s="9" t="n">
        <x:f>N1999*'Parameters'!$C$19</x:f>
        <x:v>1.2916666666666667</x:v>
      </x:c>
      <x:c r="P1999" s="9" t="n">
        <x:f>M1999*(1-0.40)-N1999</x:f>
        <x:v>2.0666666666666664</x:v>
      </x:c>
      <x:c r="Q1999" s="9" t="n">
        <x:f>'Physical_Arcs'!T19</x:f>
        <x:v>2.5833333333333335</x:v>
      </x:c>
      <x:c r="R1999" s="9" t="n">
        <x:f>Q1999*'Parameters'!$C$18</x:f>
        <x:v>0.5166666666666667</x:v>
      </x:c>
      <x:c r="S1999" s="9" t="n">
        <x:f>R1999*'Parameters'!$C$19</x:f>
        <x:v>0.6458333333333334</x:v>
      </x:c>
      <x:c r="T1999" s="9" t="n">
        <x:f>Q1999*(1-0.40)-R1999</x:f>
        <x:v>1.0333333333333332</x:v>
      </x:c>
    </x:row>
    <x:row r="2000" ht="21" customHeight="1">
      <x:c r="A2000" s="3" t="n">
        <x:v>33</x:v>
      </x:c>
      <x:c r="B2000" s="3" t="str">
        <x:v>05:30</x:v>
      </x:c>
      <x:c r="C2000" s="3" t="n">
        <x:v>6</x:v>
      </x:c>
      <x:c r="D2000" s="3" t="n">
        <x:v>19</x:v>
      </x:c>
      <x:c r="E2000" s="3" t="n">
        <x:v>3</x:v>
      </x:c>
      <x:c r="F2000" s="3" t="n">
        <x:v>7</x:v>
      </x:c>
      <x:c r="G2000" s="9" t="n">
        <x:v>0.15</x:v>
      </x:c>
      <x:c r="H2000" s="9" t="n">
        <x:v>0.996008</x:v>
      </x:c>
      <x:c r="I2000" s="9" t="n">
        <x:f>'Physical_Arcs'!R20</x:f>
        <x:v>5.75</x:v>
      </x:c>
      <x:c r="J2000" s="9" t="n">
        <x:f>I2000*'Parameters'!$C$18</x:f>
        <x:v>1.1500000000000001</x:v>
      </x:c>
      <x:c r="K2000" s="9" t="n">
        <x:f>J2000*'Parameters'!$C$19</x:f>
        <x:v>1.4375000000000002</x:v>
      </x:c>
      <x:c r="L2000" s="9" t="n">
        <x:f>I2000*(1-0.40)-J2000</x:f>
        <x:v>2.3</x:v>
      </x:c>
      <x:c r="M2000" s="9" t="n">
        <x:f>'Physical_Arcs'!S20</x:f>
        <x:v>5.75</x:v>
      </x:c>
      <x:c r="N2000" s="9" t="n">
        <x:f>M2000*'Parameters'!$C$18</x:f>
        <x:v>1.1500000000000001</x:v>
      </x:c>
      <x:c r="O2000" s="9" t="n">
        <x:f>N2000*'Parameters'!$C$19</x:f>
        <x:v>1.4375000000000002</x:v>
      </x:c>
      <x:c r="P2000" s="9" t="n">
        <x:f>M2000*(1-0.40)-N2000</x:f>
        <x:v>2.3</x:v>
      </x:c>
      <x:c r="Q2000" s="9" t="n">
        <x:f>'Physical_Arcs'!T20</x:f>
        <x:v>2.888888888888889</x:v>
      </x:c>
      <x:c r="R2000" s="9" t="n">
        <x:f>Q2000*'Parameters'!$C$18</x:f>
        <x:v>0.5777777777777778</x:v>
      </x:c>
      <x:c r="S2000" s="9" t="n">
        <x:f>R2000*'Parameters'!$C$19</x:f>
        <x:v>0.7222222222222223</x:v>
      </x:c>
      <x:c r="T2000" s="9" t="n">
        <x:f>Q2000*(1-0.40)-R2000</x:f>
        <x:v>1.1555555555555554</x:v>
      </x:c>
    </x:row>
    <x:row r="2001" ht="21" customHeight="1">
      <x:c r="A2001" s="3" t="n">
        <x:v>33</x:v>
      </x:c>
      <x:c r="B2001" s="3" t="str">
        <x:v>05:30</x:v>
      </x:c>
      <x:c r="C2001" s="3" t="n">
        <x:v>6</x:v>
      </x:c>
      <x:c r="D2001" s="3" t="n">
        <x:v>20</x:v>
      </x:c>
      <x:c r="E2001" s="3" t="n">
        <x:v>3</x:v>
      </x:c>
      <x:c r="F2001" s="3" t="n">
        <x:v>10</x:v>
      </x:c>
      <x:c r="G2001" s="9" t="n">
        <x:v>0.15</x:v>
      </x:c>
      <x:c r="H2001" s="9" t="n">
        <x:v>1.118855</x:v>
      </x:c>
      <x:c r="I2001" s="9" t="n">
        <x:f>'Physical_Arcs'!R21</x:f>
        <x:v>5.166666666666667</x:v>
      </x:c>
      <x:c r="J2001" s="9" t="n">
        <x:f>I2001*'Parameters'!$C$18</x:f>
        <x:v>1.0333333333333334</x:v>
      </x:c>
      <x:c r="K2001" s="9" t="n">
        <x:f>J2001*'Parameters'!$C$19</x:f>
        <x:v>1.2916666666666667</x:v>
      </x:c>
      <x:c r="L2001" s="9" t="n">
        <x:f>I2001*(1-0.40)-J2001</x:f>
        <x:v>2.0666666666666664</x:v>
      </x:c>
      <x:c r="M2001" s="9" t="n">
        <x:f>'Physical_Arcs'!S21</x:f>
        <x:v>5.166666666666667</x:v>
      </x:c>
      <x:c r="N2001" s="9" t="n">
        <x:f>M2001*'Parameters'!$C$18</x:f>
        <x:v>1.0333333333333334</x:v>
      </x:c>
      <x:c r="O2001" s="9" t="n">
        <x:f>N2001*'Parameters'!$C$19</x:f>
        <x:v>1.2916666666666667</x:v>
      </x:c>
      <x:c r="P2001" s="9" t="n">
        <x:f>M2001*(1-0.40)-N2001</x:f>
        <x:v>2.0666666666666664</x:v>
      </x:c>
      <x:c r="Q2001" s="9" t="n">
        <x:f>'Physical_Arcs'!T21</x:f>
        <x:v>2.5833333333333335</x:v>
      </x:c>
      <x:c r="R2001" s="9" t="n">
        <x:f>Q2001*'Parameters'!$C$18</x:f>
        <x:v>0.5166666666666667</x:v>
      </x:c>
      <x:c r="S2001" s="9" t="n">
        <x:f>R2001*'Parameters'!$C$19</x:f>
        <x:v>0.6458333333333334</x:v>
      </x:c>
      <x:c r="T2001" s="9" t="n">
        <x:f>Q2001*(1-0.40)-R2001</x:f>
        <x:v>1.0333333333333332</x:v>
      </x:c>
    </x:row>
    <x:row r="2002" ht="21" customHeight="1">
      <x:c r="A2002" s="3" t="n">
        <x:v>33</x:v>
      </x:c>
      <x:c r="B2002" s="3" t="str">
        <x:v>05:30</x:v>
      </x:c>
      <x:c r="C2002" s="3" t="n">
        <x:v>6</x:v>
      </x:c>
      <x:c r="D2002" s="3" t="n">
        <x:v>21</x:v>
      </x:c>
      <x:c r="E2002" s="3" t="n">
        <x:v>3</x:v>
      </x:c>
      <x:c r="F2002" s="3" t="n">
        <x:v>9</x:v>
      </x:c>
      <x:c r="G2002" s="9" t="n">
        <x:v>0.15</x:v>
      </x:c>
      <x:c r="H2002" s="9" t="n">
        <x:v>0.947299</x:v>
      </x:c>
      <x:c r="I2002" s="9" t="n">
        <x:f>'Physical_Arcs'!R22</x:f>
        <x:v>9.333333333333334</x:v>
      </x:c>
      <x:c r="J2002" s="9" t="n">
        <x:f>I2002*'Parameters'!$C$18</x:f>
        <x:v>1.866666666666667</x:v>
      </x:c>
      <x:c r="K2002" s="9" t="n">
        <x:f>J2002*'Parameters'!$C$19</x:f>
        <x:v>2.3333333333333335</x:v>
      </x:c>
      <x:c r="L2002" s="9" t="n">
        <x:f>I2002*(1-0.40)-J2002</x:f>
        <x:v>3.7333333333333334</x:v>
      </x:c>
      <x:c r="M2002" s="9" t="n">
        <x:f>'Physical_Arcs'!S22</x:f>
        <x:v>9.333333333333334</x:v>
      </x:c>
      <x:c r="N2002" s="9" t="n">
        <x:f>M2002*'Parameters'!$C$18</x:f>
        <x:v>1.866666666666667</x:v>
      </x:c>
      <x:c r="O2002" s="9" t="n">
        <x:f>N2002*'Parameters'!$C$19</x:f>
        <x:v>2.3333333333333335</x:v>
      </x:c>
      <x:c r="P2002" s="9" t="n">
        <x:f>M2002*(1-0.40)-N2002</x:f>
        <x:v>3.7333333333333334</x:v>
      </x:c>
      <x:c r="Q2002" s="9" t="n">
        <x:f>'Physical_Arcs'!T22</x:f>
        <x:v>4.666666666666667</x:v>
      </x:c>
      <x:c r="R2002" s="9" t="n">
        <x:f>Q2002*'Parameters'!$C$18</x:f>
        <x:v>0.9333333333333335</x:v>
      </x:c>
      <x:c r="S2002" s="9" t="n">
        <x:f>R2002*'Parameters'!$C$19</x:f>
        <x:v>1.1666666666666667</x:v>
      </x:c>
      <x:c r="T2002" s="9" t="n">
        <x:f>Q2002*(1-0.40)-R2002</x:f>
        <x:v>1.8666666666666667</x:v>
      </x:c>
    </x:row>
    <x:row r="2003" ht="21" customHeight="1">
      <x:c r="A2003" s="3" t="n">
        <x:v>33</x:v>
      </x:c>
      <x:c r="B2003" s="3" t="str">
        <x:v>05:30</x:v>
      </x:c>
      <x:c r="C2003" s="3" t="n">
        <x:v>6</x:v>
      </x:c>
      <x:c r="D2003" s="3" t="n">
        <x:v>22</x:v>
      </x:c>
      <x:c r="E2003" s="3" t="n">
        <x:v>4</x:v>
      </x:c>
      <x:c r="F2003" s="3" t="n">
        <x:v>5</x:v>
      </x:c>
      <x:c r="G2003" s="9" t="n">
        <x:v>0.15</x:v>
      </x:c>
      <x:c r="H2003" s="9" t="n">
        <x:v>0.958485</x:v>
      </x:c>
      <x:c r="I2003" s="9" t="n">
        <x:f>'Physical_Arcs'!R23</x:f>
        <x:v>17.02777777777778</x:v>
      </x:c>
      <x:c r="J2003" s="9" t="n">
        <x:f>I2003*'Parameters'!$C$18</x:f>
        <x:v>3.405555555555556</x:v>
      </x:c>
      <x:c r="K2003" s="9" t="n">
        <x:f>J2003*'Parameters'!$C$19</x:f>
        <x:v>4.256944444444445</x:v>
      </x:c>
      <x:c r="L2003" s="9" t="n">
        <x:f>I2003*(1-0.40)-J2003</x:f>
        <x:v>6.811111111111111</x:v>
      </x:c>
      <x:c r="M2003" s="9" t="n">
        <x:f>'Physical_Arcs'!S23</x:f>
        <x:v>17.02777777777778</x:v>
      </x:c>
      <x:c r="N2003" s="9" t="n">
        <x:f>M2003*'Parameters'!$C$18</x:f>
        <x:v>3.405555555555556</x:v>
      </x:c>
      <x:c r="O2003" s="9" t="n">
        <x:f>N2003*'Parameters'!$C$19</x:f>
        <x:v>4.256944444444445</x:v>
      </x:c>
      <x:c r="P2003" s="9" t="n">
        <x:f>M2003*(1-0.40)-N2003</x:f>
        <x:v>6.811111111111111</x:v>
      </x:c>
      <x:c r="Q2003" s="9" t="n">
        <x:f>'Physical_Arcs'!T23</x:f>
        <x:v>17.02777777777778</x:v>
      </x:c>
      <x:c r="R2003" s="9" t="n">
        <x:f>Q2003*'Parameters'!$C$18</x:f>
        <x:v>3.405555555555556</x:v>
      </x:c>
      <x:c r="S2003" s="9" t="n">
        <x:f>R2003*'Parameters'!$C$19</x:f>
        <x:v>4.256944444444445</x:v>
      </x:c>
      <x:c r="T2003" s="9" t="n">
        <x:f>Q2003*(1-0.40)-R2003</x:f>
        <x:v>6.811111111111111</x:v>
      </x:c>
    </x:row>
    <x:row r="2004" ht="21" customHeight="1">
      <x:c r="A2004" s="3" t="n">
        <x:v>33</x:v>
      </x:c>
      <x:c r="B2004" s="3" t="str">
        <x:v>05:30</x:v>
      </x:c>
      <x:c r="C2004" s="3" t="n">
        <x:v>6</x:v>
      </x:c>
      <x:c r="D2004" s="3" t="n">
        <x:v>23</x:v>
      </x:c>
      <x:c r="E2004" s="3" t="n">
        <x:v>4</x:v>
      </x:c>
      <x:c r="F2004" s="3" t="n">
        <x:v>3</x:v>
      </x:c>
      <x:c r="G2004" s="9" t="n">
        <x:v>0.15</x:v>
      </x:c>
      <x:c r="H2004" s="9" t="n">
        <x:v>0.944916</x:v>
      </x:c>
      <x:c r="I2004" s="9" t="n">
        <x:f>'Physical_Arcs'!R24</x:f>
        <x:v>9.333333333333334</x:v>
      </x:c>
      <x:c r="J2004" s="9" t="n">
        <x:f>I2004*'Parameters'!$C$18</x:f>
        <x:v>1.866666666666667</x:v>
      </x:c>
      <x:c r="K2004" s="9" t="n">
        <x:f>J2004*'Parameters'!$C$19</x:f>
        <x:v>2.3333333333333335</x:v>
      </x:c>
      <x:c r="L2004" s="9" t="n">
        <x:f>I2004*(1-0.40)-J2004</x:f>
        <x:v>3.7333333333333334</x:v>
      </x:c>
      <x:c r="M2004" s="9" t="n">
        <x:f>'Physical_Arcs'!S24</x:f>
        <x:v>9.333333333333334</x:v>
      </x:c>
      <x:c r="N2004" s="9" t="n">
        <x:f>M2004*'Parameters'!$C$18</x:f>
        <x:v>1.866666666666667</x:v>
      </x:c>
      <x:c r="O2004" s="9" t="n">
        <x:f>N2004*'Parameters'!$C$19</x:f>
        <x:v>2.3333333333333335</x:v>
      </x:c>
      <x:c r="P2004" s="9" t="n">
        <x:f>M2004*(1-0.40)-N2004</x:f>
        <x:v>3.7333333333333334</x:v>
      </x:c>
      <x:c r="Q2004" s="9" t="n">
        <x:f>'Physical_Arcs'!T24</x:f>
        <x:v>4.666666666666667</x:v>
      </x:c>
      <x:c r="R2004" s="9" t="n">
        <x:f>Q2004*'Parameters'!$C$18</x:f>
        <x:v>0.9333333333333335</x:v>
      </x:c>
      <x:c r="S2004" s="9" t="n">
        <x:f>R2004*'Parameters'!$C$19</x:f>
        <x:v>1.1666666666666667</x:v>
      </x:c>
      <x:c r="T2004" s="9" t="n">
        <x:f>Q2004*(1-0.40)-R2004</x:f>
        <x:v>1.8666666666666667</x:v>
      </x:c>
    </x:row>
    <x:row r="2005" ht="21" customHeight="1">
      <x:c r="A2005" s="3" t="n">
        <x:v>33</x:v>
      </x:c>
      <x:c r="B2005" s="3" t="str">
        <x:v>05:30</x:v>
      </x:c>
      <x:c r="C2005" s="3" t="n">
        <x:v>6</x:v>
      </x:c>
      <x:c r="D2005" s="3" t="n">
        <x:v>24</x:v>
      </x:c>
      <x:c r="E2005" s="3" t="n">
        <x:v>4</x:v>
      </x:c>
      <x:c r="F2005" s="3" t="n">
        <x:v>10</x:v>
      </x:c>
      <x:c r="G2005" s="9" t="n">
        <x:v>0.15</x:v>
      </x:c>
      <x:c r="H2005" s="9" t="n">
        <x:v>0.875461</x:v>
      </x:c>
      <x:c r="I2005" s="9" t="n">
        <x:f>'Physical_Arcs'!R25</x:f>
        <x:v>7.194444444444445</x:v>
      </x:c>
      <x:c r="J2005" s="9" t="n">
        <x:f>I2005*'Parameters'!$C$18</x:f>
        <x:v>1.438888888888889</x:v>
      </x:c>
      <x:c r="K2005" s="9" t="n">
        <x:f>J2005*'Parameters'!$C$19</x:f>
        <x:v>1.7986111111111114</x:v>
      </x:c>
      <x:c r="L2005" s="9" t="n">
        <x:f>I2005*(1-0.40)-J2005</x:f>
        <x:v>2.8777777777777773</x:v>
      </x:c>
      <x:c r="M2005" s="9" t="n">
        <x:f>'Physical_Arcs'!S25</x:f>
        <x:v>7.194444444444445</x:v>
      </x:c>
      <x:c r="N2005" s="9" t="n">
        <x:f>M2005*'Parameters'!$C$18</x:f>
        <x:v>1.438888888888889</x:v>
      </x:c>
      <x:c r="O2005" s="9" t="n">
        <x:f>N2005*'Parameters'!$C$19</x:f>
        <x:v>1.7986111111111114</x:v>
      </x:c>
      <x:c r="P2005" s="9" t="n">
        <x:f>M2005*(1-0.40)-N2005</x:f>
        <x:v>2.8777777777777773</x:v>
      </x:c>
      <x:c r="Q2005" s="9" t="n">
        <x:f>'Physical_Arcs'!T25</x:f>
        <x:v>3.611111111111111</x:v>
      </x:c>
      <x:c r="R2005" s="9" t="n">
        <x:f>Q2005*'Parameters'!$C$18</x:f>
        <x:v>0.7222222222222223</x:v>
      </x:c>
      <x:c r="S2005" s="9" t="n">
        <x:f>R2005*'Parameters'!$C$19</x:f>
        <x:v>0.9027777777777779</x:v>
      </x:c>
      <x:c r="T2005" s="9" t="n">
        <x:f>Q2005*(1-0.40)-R2005</x:f>
        <x:v>1.4444444444444442</x:v>
      </x:c>
    </x:row>
    <x:row r="2006" ht="21" customHeight="1">
      <x:c r="A2006" s="3" t="n">
        <x:v>33</x:v>
      </x:c>
      <x:c r="B2006" s="3" t="str">
        <x:v>05:30</x:v>
      </x:c>
      <x:c r="C2006" s="3" t="n">
        <x:v>6</x:v>
      </x:c>
      <x:c r="D2006" s="3" t="n">
        <x:v>25</x:v>
      </x:c>
      <x:c r="E2006" s="3" t="n">
        <x:v>4</x:v>
      </x:c>
      <x:c r="F2006" s="3" t="n">
        <x:v>8</x:v>
      </x:c>
      <x:c r="G2006" s="9" t="n">
        <x:v>0.15</x:v>
      </x:c>
      <x:c r="H2006" s="9" t="n">
        <x:v>0.993326</x:v>
      </x:c>
      <x:c r="I2006" s="9" t="n">
        <x:f>'Physical_Arcs'!R26</x:f>
        <x:v>5.277777777777778</x:v>
      </x:c>
      <x:c r="J2006" s="9" t="n">
        <x:f>I2006*'Parameters'!$C$18</x:f>
        <x:v>1.0555555555555556</x:v>
      </x:c>
      <x:c r="K2006" s="9" t="n">
        <x:f>J2006*'Parameters'!$C$19</x:f>
        <x:v>1.3194444444444444</x:v>
      </x:c>
      <x:c r="L2006" s="9" t="n">
        <x:f>I2006*(1-0.40)-J2006</x:f>
        <x:v>2.1111111111111107</x:v>
      </x:c>
      <x:c r="M2006" s="9" t="n">
        <x:f>'Physical_Arcs'!S26</x:f>
        <x:v>5.277777777777778</x:v>
      </x:c>
      <x:c r="N2006" s="9" t="n">
        <x:f>M2006*'Parameters'!$C$18</x:f>
        <x:v>1.0555555555555556</x:v>
      </x:c>
      <x:c r="O2006" s="9" t="n">
        <x:f>N2006*'Parameters'!$C$19</x:f>
        <x:v>1.3194444444444444</x:v>
      </x:c>
      <x:c r="P2006" s="9" t="n">
        <x:f>M2006*(1-0.40)-N2006</x:f>
        <x:v>2.1111111111111107</x:v>
      </x:c>
      <x:c r="Q2006" s="9" t="n">
        <x:f>'Physical_Arcs'!T26</x:f>
        <x:v>2.638888888888889</x:v>
      </x:c>
      <x:c r="R2006" s="9" t="n">
        <x:f>Q2006*'Parameters'!$C$18</x:f>
        <x:v>0.5277777777777778</x:v>
      </x:c>
      <x:c r="S2006" s="9" t="n">
        <x:f>R2006*'Parameters'!$C$19</x:f>
        <x:v>0.6597222222222222</x:v>
      </x:c>
      <x:c r="T2006" s="9" t="n">
        <x:f>Q2006*(1-0.40)-R2006</x:f>
        <x:v>1.0555555555555554</x:v>
      </x:c>
    </x:row>
    <x:row r="2007" ht="21" customHeight="1">
      <x:c r="A2007" s="3" t="n">
        <x:v>33</x:v>
      </x:c>
      <x:c r="B2007" s="3" t="str">
        <x:v>05:30</x:v>
      </x:c>
      <x:c r="C2007" s="3" t="n">
        <x:v>6</x:v>
      </x:c>
      <x:c r="D2007" s="3" t="n">
        <x:v>26</x:v>
      </x:c>
      <x:c r="E2007" s="3" t="n">
        <x:v>4</x:v>
      </x:c>
      <x:c r="F2007" s="3" t="n">
        <x:v>7</x:v>
      </x:c>
      <x:c r="G2007" s="9" t="n">
        <x:v>0.15</x:v>
      </x:c>
      <x:c r="H2007" s="9" t="n">
        <x:v>1.099203</x:v>
      </x:c>
      <x:c r="I2007" s="9" t="n">
        <x:f>'Physical_Arcs'!R27</x:f>
        <x:v>6.527777777777778</x:v>
      </x:c>
      <x:c r="J2007" s="9" t="n">
        <x:f>I2007*'Parameters'!$C$18</x:f>
        <x:v>1.3055555555555556</x:v>
      </x:c>
      <x:c r="K2007" s="9" t="n">
        <x:f>J2007*'Parameters'!$C$19</x:f>
        <x:v>1.6319444444444444</x:v>
      </x:c>
      <x:c r="L2007" s="9" t="n">
        <x:f>I2007*(1-0.40)-J2007</x:f>
        <x:v>2.6111111111111107</x:v>
      </x:c>
      <x:c r="M2007" s="9" t="n">
        <x:f>'Physical_Arcs'!S27</x:f>
        <x:v>6.527777777777778</x:v>
      </x:c>
      <x:c r="N2007" s="9" t="n">
        <x:f>M2007*'Parameters'!$C$18</x:f>
        <x:v>1.3055555555555556</x:v>
      </x:c>
      <x:c r="O2007" s="9" t="n">
        <x:f>N2007*'Parameters'!$C$19</x:f>
        <x:v>1.6319444444444444</x:v>
      </x:c>
      <x:c r="P2007" s="9" t="n">
        <x:f>M2007*(1-0.40)-N2007</x:f>
        <x:v>2.6111111111111107</x:v>
      </x:c>
      <x:c r="Q2007" s="9" t="n">
        <x:f>'Physical_Arcs'!T27</x:f>
        <x:v>3.2777777777777777</x:v>
      </x:c>
      <x:c r="R2007" s="9" t="n">
        <x:f>Q2007*'Parameters'!$C$18</x:f>
        <x:v>0.6555555555555556</x:v>
      </x:c>
      <x:c r="S2007" s="9" t="n">
        <x:f>R2007*'Parameters'!$C$19</x:f>
        <x:v>0.8194444444444444</x:v>
      </x:c>
      <x:c r="T2007" s="9" t="n">
        <x:f>Q2007*(1-0.40)-R2007</x:f>
        <x:v>1.311111111111111</x:v>
      </x:c>
    </x:row>
    <x:row r="2008" ht="21" customHeight="1">
      <x:c r="A2008" s="3" t="n">
        <x:v>33</x:v>
      </x:c>
      <x:c r="B2008" s="3" t="str">
        <x:v>05:30</x:v>
      </x:c>
      <x:c r="C2008" s="3" t="n">
        <x:v>6</x:v>
      </x:c>
      <x:c r="D2008" s="3" t="n">
        <x:v>27</x:v>
      </x:c>
      <x:c r="E2008" s="3" t="n">
        <x:v>4</x:v>
      </x:c>
      <x:c r="F2008" s="3" t="n">
        <x:v>2</x:v>
      </x:c>
      <x:c r="G2008" s="9" t="n">
        <x:v>0.15</x:v>
      </x:c>
      <x:c r="H2008" s="9" t="n">
        <x:v>0.861111</x:v>
      </x:c>
      <x:c r="I2008" s="9" t="n">
        <x:f>'Physical_Arcs'!R28</x:f>
        <x:v>4.944444444444445</x:v>
      </x:c>
      <x:c r="J2008" s="9" t="n">
        <x:f>I2008*'Parameters'!$C$18</x:f>
        <x:v>0.9888888888888889</x:v>
      </x:c>
      <x:c r="K2008" s="9" t="n">
        <x:f>J2008*'Parameters'!$C$19</x:f>
        <x:v>1.2361111111111112</x:v>
      </x:c>
      <x:c r="L2008" s="9" t="n">
        <x:f>I2008*(1-0.40)-J2008</x:f>
        <x:v>1.9777777777777779</x:v>
      </x:c>
      <x:c r="M2008" s="9" t="n">
        <x:f>'Physical_Arcs'!S28</x:f>
        <x:v>4.944444444444445</x:v>
      </x:c>
      <x:c r="N2008" s="9" t="n">
        <x:f>M2008*'Parameters'!$C$18</x:f>
        <x:v>0.9888888888888889</x:v>
      </x:c>
      <x:c r="O2008" s="9" t="n">
        <x:f>N2008*'Parameters'!$C$19</x:f>
        <x:v>1.2361111111111112</x:v>
      </x:c>
      <x:c r="P2008" s="9" t="n">
        <x:f>M2008*(1-0.40)-N2008</x:f>
        <x:v>1.9777777777777779</x:v>
      </x:c>
      <x:c r="Q2008" s="9" t="n">
        <x:f>'Physical_Arcs'!T28</x:f>
        <x:v>2.4722222222222223</x:v>
      </x:c>
      <x:c r="R2008" s="9" t="n">
        <x:f>Q2008*'Parameters'!$C$18</x:f>
        <x:v>0.49444444444444446</x:v>
      </x:c>
      <x:c r="S2008" s="9" t="n">
        <x:f>R2008*'Parameters'!$C$19</x:f>
        <x:v>0.6180555555555556</x:v>
      </x:c>
      <x:c r="T2008" s="9" t="n">
        <x:f>Q2008*(1-0.40)-R2008</x:f>
        <x:v>0.9888888888888889</x:v>
      </x:c>
    </x:row>
    <x:row r="2009" ht="21" customHeight="1">
      <x:c r="A2009" s="3" t="n">
        <x:v>33</x:v>
      </x:c>
      <x:c r="B2009" s="3" t="str">
        <x:v>05:30</x:v>
      </x:c>
      <x:c r="C2009" s="3" t="n">
        <x:v>6</x:v>
      </x:c>
      <x:c r="D2009" s="3" t="n">
        <x:v>28</x:v>
      </x:c>
      <x:c r="E2009" s="3" t="n">
        <x:v>4</x:v>
      </x:c>
      <x:c r="F2009" s="3" t="n">
        <x:v>6</x:v>
      </x:c>
      <x:c r="G2009" s="9" t="n">
        <x:v>0.15</x:v>
      </x:c>
      <x:c r="H2009" s="9" t="n">
        <x:v>1.137214</x:v>
      </x:c>
      <x:c r="I2009" s="9" t="n">
        <x:f>'Physical_Arcs'!R29</x:f>
        <x:v>3.388888888888889</x:v>
      </x:c>
      <x:c r="J2009" s="9" t="n">
        <x:f>I2009*'Parameters'!$C$18</x:f>
        <x:v>0.6777777777777778</x:v>
      </x:c>
      <x:c r="K2009" s="9" t="n">
        <x:f>J2009*'Parameters'!$C$19</x:f>
        <x:v>0.8472222222222223</x:v>
      </x:c>
      <x:c r="L2009" s="9" t="n">
        <x:f>I2009*(1-0.40)-J2009</x:f>
        <x:v>1.3555555555555554</x:v>
      </x:c>
      <x:c r="M2009" s="9" t="n">
        <x:f>'Physical_Arcs'!S29</x:f>
        <x:v>3.388888888888889</x:v>
      </x:c>
      <x:c r="N2009" s="9" t="n">
        <x:f>M2009*'Parameters'!$C$18</x:f>
        <x:v>0.6777777777777778</x:v>
      </x:c>
      <x:c r="O2009" s="9" t="n">
        <x:f>N2009*'Parameters'!$C$19</x:f>
        <x:v>0.8472222222222223</x:v>
      </x:c>
      <x:c r="P2009" s="9" t="n">
        <x:f>M2009*(1-0.40)-N2009</x:f>
        <x:v>1.3555555555555554</x:v>
      </x:c>
      <x:c r="Q2009" s="9" t="n">
        <x:f>'Physical_Arcs'!T29</x:f>
        <x:v>1.6944444444444444</x:v>
      </x:c>
      <x:c r="R2009" s="9" t="n">
        <x:f>Q2009*'Parameters'!$C$18</x:f>
        <x:v>0.3388888888888889</x:v>
      </x:c>
      <x:c r="S2009" s="9" t="n">
        <x:f>R2009*'Parameters'!$C$19</x:f>
        <x:v>0.42361111111111116</x:v>
      </x:c>
      <x:c r="T2009" s="9" t="n">
        <x:f>Q2009*(1-0.40)-R2009</x:f>
        <x:v>0.6777777777777777</x:v>
      </x:c>
    </x:row>
    <x:row r="2010" ht="21" customHeight="1">
      <x:c r="A2010" s="3" t="n">
        <x:v>33</x:v>
      </x:c>
      <x:c r="B2010" s="3" t="str">
        <x:v>05:30</x:v>
      </x:c>
      <x:c r="C2010" s="3" t="n">
        <x:v>6</x:v>
      </x:c>
      <x:c r="D2010" s="3" t="n">
        <x:v>29</x:v>
      </x:c>
      <x:c r="E2010" s="3" t="n">
        <x:v>5</x:v>
      </x:c>
      <x:c r="F2010" s="3" t="n">
        <x:v>6</x:v>
      </x:c>
      <x:c r="G2010" s="9" t="n">
        <x:v>0.15</x:v>
      </x:c>
      <x:c r="H2010" s="9" t="n">
        <x:v>0.949994</x:v>
      </x:c>
      <x:c r="I2010" s="9" t="n">
        <x:f>'Physical_Arcs'!R30</x:f>
        <x:v>17.02777777777778</x:v>
      </x:c>
      <x:c r="J2010" s="9" t="n">
        <x:f>I2010*'Parameters'!$C$18</x:f>
        <x:v>3.405555555555556</x:v>
      </x:c>
      <x:c r="K2010" s="9" t="n">
        <x:f>J2010*'Parameters'!$C$19</x:f>
        <x:v>4.256944444444445</x:v>
      </x:c>
      <x:c r="L2010" s="9" t="n">
        <x:f>I2010*(1-0.40)-J2010</x:f>
        <x:v>6.811111111111111</x:v>
      </x:c>
      <x:c r="M2010" s="9" t="n">
        <x:f>'Physical_Arcs'!S30</x:f>
        <x:v>17.02777777777778</x:v>
      </x:c>
      <x:c r="N2010" s="9" t="n">
        <x:f>M2010*'Parameters'!$C$18</x:f>
        <x:v>3.405555555555556</x:v>
      </x:c>
      <x:c r="O2010" s="9" t="n">
        <x:f>N2010*'Parameters'!$C$19</x:f>
        <x:v>4.256944444444445</x:v>
      </x:c>
      <x:c r="P2010" s="9" t="n">
        <x:f>M2010*(1-0.40)-N2010</x:f>
        <x:v>6.811111111111111</x:v>
      </x:c>
      <x:c r="Q2010" s="9" t="n">
        <x:f>'Physical_Arcs'!T30</x:f>
        <x:v>17.02777777777778</x:v>
      </x:c>
      <x:c r="R2010" s="9" t="n">
        <x:f>Q2010*'Parameters'!$C$18</x:f>
        <x:v>3.405555555555556</x:v>
      </x:c>
      <x:c r="S2010" s="9" t="n">
        <x:f>R2010*'Parameters'!$C$19</x:f>
        <x:v>4.256944444444445</x:v>
      </x:c>
      <x:c r="T2010" s="9" t="n">
        <x:f>Q2010*(1-0.40)-R2010</x:f>
        <x:v>6.811111111111111</x:v>
      </x:c>
    </x:row>
    <x:row r="2011" ht="21" customHeight="1">
      <x:c r="A2011" s="3" t="n">
        <x:v>33</x:v>
      </x:c>
      <x:c r="B2011" s="3" t="str">
        <x:v>05:30</x:v>
      </x:c>
      <x:c r="C2011" s="3" t="n">
        <x:v>6</x:v>
      </x:c>
      <x:c r="D2011" s="3" t="n">
        <x:v>30</x:v>
      </x:c>
      <x:c r="E2011" s="3" t="n">
        <x:v>5</x:v>
      </x:c>
      <x:c r="F2011" s="3" t="n">
        <x:v>2</x:v>
      </x:c>
      <x:c r="G2011" s="9" t="n">
        <x:v>0.15</x:v>
      </x:c>
      <x:c r="H2011" s="9" t="n">
        <x:v>0.882396</x:v>
      </x:c>
      <x:c r="I2011" s="9" t="n">
        <x:f>'Physical_Arcs'!R31</x:f>
        <x:v>2.9444444444444446</x:v>
      </x:c>
      <x:c r="J2011" s="9" t="n">
        <x:f>I2011*'Parameters'!$C$18</x:f>
        <x:v>0.5888888888888889</x:v>
      </x:c>
      <x:c r="K2011" s="9" t="n">
        <x:f>J2011*'Parameters'!$C$19</x:f>
        <x:v>0.7361111111111112</x:v>
      </x:c>
      <x:c r="L2011" s="9" t="n">
        <x:f>I2011*(1-0.40)-J2011</x:f>
        <x:v>1.177777777777778</x:v>
      </x:c>
      <x:c r="M2011" s="9" t="n">
        <x:f>'Physical_Arcs'!S31</x:f>
        <x:v>2.9444444444444446</x:v>
      </x:c>
      <x:c r="N2011" s="9" t="n">
        <x:f>M2011*'Parameters'!$C$18</x:f>
        <x:v>0.5888888888888889</x:v>
      </x:c>
      <x:c r="O2011" s="9" t="n">
        <x:f>N2011*'Parameters'!$C$19</x:f>
        <x:v>0.7361111111111112</x:v>
      </x:c>
      <x:c r="P2011" s="9" t="n">
        <x:f>M2011*(1-0.40)-N2011</x:f>
        <x:v>1.177777777777778</x:v>
      </x:c>
      <x:c r="Q2011" s="9" t="n">
        <x:f>'Physical_Arcs'!T31</x:f>
        <x:v>1.4722222222222223</x:v>
      </x:c>
      <x:c r="R2011" s="9" t="n">
        <x:f>Q2011*'Parameters'!$C$18</x:f>
        <x:v>0.29444444444444445</x:v>
      </x:c>
      <x:c r="S2011" s="9" t="n">
        <x:f>R2011*'Parameters'!$C$19</x:f>
        <x:v>0.3680555555555556</x:v>
      </x:c>
      <x:c r="T2011" s="9" t="n">
        <x:f>Q2011*(1-0.40)-R2011</x:f>
        <x:v>0.588888888888889</x:v>
      </x:c>
    </x:row>
    <x:row r="2012" ht="21" customHeight="1">
      <x:c r="A2012" s="3" t="n">
        <x:v>33</x:v>
      </x:c>
      <x:c r="B2012" s="3" t="str">
        <x:v>05:30</x:v>
      </x:c>
      <x:c r="C2012" s="3" t="n">
        <x:v>6</x:v>
      </x:c>
      <x:c r="D2012" s="3" t="n">
        <x:v>31</x:v>
      </x:c>
      <x:c r="E2012" s="3" t="n">
        <x:v>5</x:v>
      </x:c>
      <x:c r="F2012" s="3" t="n">
        <x:v>8</x:v>
      </x:c>
      <x:c r="G2012" s="9" t="n">
        <x:v>0.15</x:v>
      </x:c>
      <x:c r="H2012" s="9" t="n">
        <x:v>0.986718</x:v>
      </x:c>
      <x:c r="I2012" s="9" t="n">
        <x:f>'Physical_Arcs'!R32</x:f>
        <x:v>9.333333333333334</x:v>
      </x:c>
      <x:c r="J2012" s="9" t="n">
        <x:f>I2012*'Parameters'!$C$18</x:f>
        <x:v>1.866666666666667</x:v>
      </x:c>
      <x:c r="K2012" s="9" t="n">
        <x:f>J2012*'Parameters'!$C$19</x:f>
        <x:v>2.3333333333333335</x:v>
      </x:c>
      <x:c r="L2012" s="9" t="n">
        <x:f>I2012*(1-0.40)-J2012</x:f>
        <x:v>3.7333333333333334</x:v>
      </x:c>
      <x:c r="M2012" s="9" t="n">
        <x:f>'Physical_Arcs'!S32</x:f>
        <x:v>9.333333333333334</x:v>
      </x:c>
      <x:c r="N2012" s="9" t="n">
        <x:f>M2012*'Parameters'!$C$18</x:f>
        <x:v>1.866666666666667</x:v>
      </x:c>
      <x:c r="O2012" s="9" t="n">
        <x:f>N2012*'Parameters'!$C$19</x:f>
        <x:v>2.3333333333333335</x:v>
      </x:c>
      <x:c r="P2012" s="9" t="n">
        <x:f>M2012*(1-0.40)-N2012</x:f>
        <x:v>3.7333333333333334</x:v>
      </x:c>
      <x:c r="Q2012" s="9" t="n">
        <x:f>'Physical_Arcs'!T32</x:f>
        <x:v>4.666666666666667</x:v>
      </x:c>
      <x:c r="R2012" s="9" t="n">
        <x:f>Q2012*'Parameters'!$C$18</x:f>
        <x:v>0.9333333333333335</x:v>
      </x:c>
      <x:c r="S2012" s="9" t="n">
        <x:f>R2012*'Parameters'!$C$19</x:f>
        <x:v>1.1666666666666667</x:v>
      </x:c>
      <x:c r="T2012" s="9" t="n">
        <x:f>Q2012*(1-0.40)-R2012</x:f>
        <x:v>1.8666666666666667</x:v>
      </x:c>
    </x:row>
    <x:row r="2013" ht="21" customHeight="1">
      <x:c r="A2013" s="3" t="n">
        <x:v>33</x:v>
      </x:c>
      <x:c r="B2013" s="3" t="str">
        <x:v>05:30</x:v>
      </x:c>
      <x:c r="C2013" s="3" t="n">
        <x:v>6</x:v>
      </x:c>
      <x:c r="D2013" s="3" t="n">
        <x:v>32</x:v>
      </x:c>
      <x:c r="E2013" s="3" t="n">
        <x:v>5</x:v>
      </x:c>
      <x:c r="F2013" s="3" t="n">
        <x:v>3</x:v>
      </x:c>
      <x:c r="G2013" s="9" t="n">
        <x:v>0.15</x:v>
      </x:c>
      <x:c r="H2013" s="9" t="n">
        <x:v>1.089544</x:v>
      </x:c>
      <x:c r="I2013" s="9" t="n">
        <x:f>'Physical_Arcs'!R33</x:f>
        <x:v>11.13888888888889</x:v>
      </x:c>
      <x:c r="J2013" s="9" t="n">
        <x:f>I2013*'Parameters'!$C$18</x:f>
        <x:v>2.227777777777778</x:v>
      </x:c>
      <x:c r="K2013" s="9" t="n">
        <x:f>J2013*'Parameters'!$C$19</x:f>
        <x:v>2.7847222222222223</x:v>
      </x:c>
      <x:c r="L2013" s="9" t="n">
        <x:f>I2013*(1-0.40)-J2013</x:f>
        <x:v>4.455555555555556</x:v>
      </x:c>
      <x:c r="M2013" s="9" t="n">
        <x:f>'Physical_Arcs'!S33</x:f>
        <x:v>11.13888888888889</x:v>
      </x:c>
      <x:c r="N2013" s="9" t="n">
        <x:f>M2013*'Parameters'!$C$18</x:f>
        <x:v>2.227777777777778</x:v>
      </x:c>
      <x:c r="O2013" s="9" t="n">
        <x:f>N2013*'Parameters'!$C$19</x:f>
        <x:v>2.7847222222222223</x:v>
      </x:c>
      <x:c r="P2013" s="9" t="n">
        <x:f>M2013*(1-0.40)-N2013</x:f>
        <x:v>4.455555555555556</x:v>
      </x:c>
      <x:c r="Q2013" s="9" t="n">
        <x:f>'Physical_Arcs'!T33</x:f>
        <x:v>5.583333333333333</x:v>
      </x:c>
      <x:c r="R2013" s="9" t="n">
        <x:f>Q2013*'Parameters'!$C$18</x:f>
        <x:v>1.1166666666666667</x:v>
      </x:c>
      <x:c r="S2013" s="9" t="n">
        <x:f>R2013*'Parameters'!$C$19</x:f>
        <x:v>1.3958333333333335</x:v>
      </x:c>
      <x:c r="T2013" s="9" t="n">
        <x:f>Q2013*(1-0.40)-R2013</x:f>
        <x:v>2.233333333333333</x:v>
      </x:c>
    </x:row>
    <x:row r="2014" ht="21" customHeight="1">
      <x:c r="A2014" s="3" t="n">
        <x:v>33</x:v>
      </x:c>
      <x:c r="B2014" s="3" t="str">
        <x:v>05:30</x:v>
      </x:c>
      <x:c r="C2014" s="3" t="n">
        <x:v>6</x:v>
      </x:c>
      <x:c r="D2014" s="3" t="n">
        <x:v>33</x:v>
      </x:c>
      <x:c r="E2014" s="3" t="n">
        <x:v>5</x:v>
      </x:c>
      <x:c r="F2014" s="3" t="n">
        <x:v>10</x:v>
      </x:c>
      <x:c r="G2014" s="9" t="n">
        <x:v>0.15</x:v>
      </x:c>
      <x:c r="H2014" s="9" t="n">
        <x:v>1.103596</x:v>
      </x:c>
      <x:c r="I2014" s="9" t="n">
        <x:f>'Physical_Arcs'!R34</x:f>
        <x:v>4.611111111111111</x:v>
      </x:c>
      <x:c r="J2014" s="9" t="n">
        <x:f>I2014*'Parameters'!$C$18</x:f>
        <x:v>0.9222222222222222</x:v>
      </x:c>
      <x:c r="K2014" s="9" t="n">
        <x:f>J2014*'Parameters'!$C$19</x:f>
        <x:v>1.1527777777777777</x:v>
      </x:c>
      <x:c r="L2014" s="9" t="n">
        <x:f>I2014*(1-0.40)-J2014</x:f>
        <x:v>1.844444444444444</x:v>
      </x:c>
      <x:c r="M2014" s="9" t="n">
        <x:f>'Physical_Arcs'!S34</x:f>
        <x:v>4.611111111111111</x:v>
      </x:c>
      <x:c r="N2014" s="9" t="n">
        <x:f>M2014*'Parameters'!$C$18</x:f>
        <x:v>0.9222222222222222</x:v>
      </x:c>
      <x:c r="O2014" s="9" t="n">
        <x:f>N2014*'Parameters'!$C$19</x:f>
        <x:v>1.1527777777777777</x:v>
      </x:c>
      <x:c r="P2014" s="9" t="n">
        <x:f>M2014*(1-0.40)-N2014</x:f>
        <x:v>1.844444444444444</x:v>
      </x:c>
      <x:c r="Q2014" s="9" t="n">
        <x:f>'Physical_Arcs'!T34</x:f>
        <x:v>2.3055555555555554</x:v>
      </x:c>
      <x:c r="R2014" s="9" t="n">
        <x:f>Q2014*'Parameters'!$C$18</x:f>
        <x:v>0.4611111111111111</x:v>
      </x:c>
      <x:c r="S2014" s="9" t="n">
        <x:f>R2014*'Parameters'!$C$19</x:f>
        <x:v>0.5763888888888888</x:v>
      </x:c>
      <x:c r="T2014" s="9" t="n">
        <x:f>Q2014*(1-0.40)-R2014</x:f>
        <x:v>0.922222222222222</x:v>
      </x:c>
    </x:row>
    <x:row r="2015" ht="21" customHeight="1">
      <x:c r="A2015" s="3" t="n">
        <x:v>33</x:v>
      </x:c>
      <x:c r="B2015" s="3" t="str">
        <x:v>05:30</x:v>
      </x:c>
      <x:c r="C2015" s="3" t="n">
        <x:v>6</x:v>
      </x:c>
      <x:c r="D2015" s="3" t="n">
        <x:v>34</x:v>
      </x:c>
      <x:c r="E2015" s="3" t="n">
        <x:v>6</x:v>
      </x:c>
      <x:c r="F2015" s="3" t="n">
        <x:v>7</x:v>
      </x:c>
      <x:c r="G2015" s="9" t="n">
        <x:v>0.15</x:v>
      </x:c>
      <x:c r="H2015" s="9" t="n">
        <x:v>0.973887</x:v>
      </x:c>
      <x:c r="I2015" s="9" t="n">
        <x:f>'Physical_Arcs'!R35</x:f>
        <x:v>17.02777777777778</x:v>
      </x:c>
      <x:c r="J2015" s="9" t="n">
        <x:f>I2015*'Parameters'!$C$18</x:f>
        <x:v>3.405555555555556</x:v>
      </x:c>
      <x:c r="K2015" s="9" t="n">
        <x:f>J2015*'Parameters'!$C$19</x:f>
        <x:v>4.256944444444445</x:v>
      </x:c>
      <x:c r="L2015" s="9" t="n">
        <x:f>I2015*(1-0.40)-J2015</x:f>
        <x:v>6.811111111111111</x:v>
      </x:c>
      <x:c r="M2015" s="9" t="n">
        <x:f>'Physical_Arcs'!S35</x:f>
        <x:v>17.02777777777778</x:v>
      </x:c>
      <x:c r="N2015" s="9" t="n">
        <x:f>M2015*'Parameters'!$C$18</x:f>
        <x:v>3.405555555555556</x:v>
      </x:c>
      <x:c r="O2015" s="9" t="n">
        <x:f>N2015*'Parameters'!$C$19</x:f>
        <x:v>4.256944444444445</x:v>
      </x:c>
      <x:c r="P2015" s="9" t="n">
        <x:f>M2015*(1-0.40)-N2015</x:f>
        <x:v>6.811111111111111</x:v>
      </x:c>
      <x:c r="Q2015" s="9" t="n">
        <x:f>'Physical_Arcs'!T35</x:f>
        <x:v>17.02777777777778</x:v>
      </x:c>
      <x:c r="R2015" s="9" t="n">
        <x:f>Q2015*'Parameters'!$C$18</x:f>
        <x:v>3.405555555555556</x:v>
      </x:c>
      <x:c r="S2015" s="9" t="n">
        <x:f>R2015*'Parameters'!$C$19</x:f>
        <x:v>4.256944444444445</x:v>
      </x:c>
      <x:c r="T2015" s="9" t="n">
        <x:f>Q2015*(1-0.40)-R2015</x:f>
        <x:v>6.811111111111111</x:v>
      </x:c>
    </x:row>
    <x:row r="2016" ht="21" customHeight="1">
      <x:c r="A2016" s="3" t="n">
        <x:v>33</x:v>
      </x:c>
      <x:c r="B2016" s="3" t="str">
        <x:v>05:30</x:v>
      </x:c>
      <x:c r="C2016" s="3" t="n">
        <x:v>6</x:v>
      </x:c>
      <x:c r="D2016" s="3" t="n">
        <x:v>35</x:v>
      </x:c>
      <x:c r="E2016" s="3" t="n">
        <x:v>6</x:v>
      </x:c>
      <x:c r="F2016" s="3" t="n">
        <x:v>10</x:v>
      </x:c>
      <x:c r="G2016" s="9" t="n">
        <x:v>0.15</x:v>
      </x:c>
      <x:c r="H2016" s="9" t="n">
        <x:v>1.009062</x:v>
      </x:c>
      <x:c r="I2016" s="9" t="n">
        <x:f>'Physical_Arcs'!R36</x:f>
        <x:v>4.055555555555555</x:v>
      </x:c>
      <x:c r="J2016" s="9" t="n">
        <x:f>I2016*'Parameters'!$C$18</x:f>
        <x:v>0.8111111111111111</x:v>
      </x:c>
      <x:c r="K2016" s="9" t="n">
        <x:f>J2016*'Parameters'!$C$19</x:f>
        <x:v>1.0138888888888888</x:v>
      </x:c>
      <x:c r="L2016" s="9" t="n">
        <x:f>I2016*(1-0.40)-J2016</x:f>
        <x:v>1.622222222222222</x:v>
      </x:c>
      <x:c r="M2016" s="9" t="n">
        <x:f>'Physical_Arcs'!S36</x:f>
        <x:v>4.055555555555555</x:v>
      </x:c>
      <x:c r="N2016" s="9" t="n">
        <x:f>M2016*'Parameters'!$C$18</x:f>
        <x:v>0.8111111111111111</x:v>
      </x:c>
      <x:c r="O2016" s="9" t="n">
        <x:f>N2016*'Parameters'!$C$19</x:f>
        <x:v>1.0138888888888888</x:v>
      </x:c>
      <x:c r="P2016" s="9" t="n">
        <x:f>M2016*(1-0.40)-N2016</x:f>
        <x:v>1.622222222222222</x:v>
      </x:c>
      <x:c r="Q2016" s="9" t="n">
        <x:f>'Physical_Arcs'!T36</x:f>
        <x:v>2.0277777777777777</x:v>
      </x:c>
      <x:c r="R2016" s="9" t="n">
        <x:f>Q2016*'Parameters'!$C$18</x:f>
        <x:v>0.40555555555555556</x:v>
      </x:c>
      <x:c r="S2016" s="9" t="n">
        <x:f>R2016*'Parameters'!$C$19</x:f>
        <x:v>0.5069444444444444</x:v>
      </x:c>
      <x:c r="T2016" s="9" t="n">
        <x:f>Q2016*(1-0.40)-R2016</x:f>
        <x:v>0.811111111111111</x:v>
      </x:c>
    </x:row>
    <x:row r="2017" ht="21" customHeight="1">
      <x:c r="A2017" s="3" t="n">
        <x:v>33</x:v>
      </x:c>
      <x:c r="B2017" s="3" t="str">
        <x:v>05:30</x:v>
      </x:c>
      <x:c r="C2017" s="3" t="n">
        <x:v>6</x:v>
      </x:c>
      <x:c r="D2017" s="3" t="n">
        <x:v>36</x:v>
      </x:c>
      <x:c r="E2017" s="3" t="n">
        <x:v>6</x:v>
      </x:c>
      <x:c r="F2017" s="3" t="n">
        <x:v>8</x:v>
      </x:c>
      <x:c r="G2017" s="9" t="n">
        <x:v>0.15</x:v>
      </x:c>
      <x:c r="H2017" s="9" t="n">
        <x:v>1.132129</x:v>
      </x:c>
      <x:c r="I2017" s="9" t="n">
        <x:f>'Physical_Arcs'!R37</x:f>
        <x:v>6.972222222222222</x:v>
      </x:c>
      <x:c r="J2017" s="9" t="n">
        <x:f>I2017*'Parameters'!$C$18</x:f>
        <x:v>1.3944444444444446</x:v>
      </x:c>
      <x:c r="K2017" s="9" t="n">
        <x:f>J2017*'Parameters'!$C$19</x:f>
        <x:v>1.7430555555555558</x:v>
      </x:c>
      <x:c r="L2017" s="9" t="n">
        <x:f>I2017*(1-0.40)-J2017</x:f>
        <x:v>2.7888888888888888</x:v>
      </x:c>
      <x:c r="M2017" s="9" t="n">
        <x:f>'Physical_Arcs'!S37</x:f>
        <x:v>6.972222222222222</x:v>
      </x:c>
      <x:c r="N2017" s="9" t="n">
        <x:f>M2017*'Parameters'!$C$18</x:f>
        <x:v>1.3944444444444446</x:v>
      </x:c>
      <x:c r="O2017" s="9" t="n">
        <x:f>N2017*'Parameters'!$C$19</x:f>
        <x:v>1.7430555555555558</x:v>
      </x:c>
      <x:c r="P2017" s="9" t="n">
        <x:f>M2017*(1-0.40)-N2017</x:f>
        <x:v>2.7888888888888888</x:v>
      </x:c>
      <x:c r="Q2017" s="9" t="n">
        <x:f>'Physical_Arcs'!T37</x:f>
        <x:v>3.5</x:v>
      </x:c>
      <x:c r="R2017" s="9" t="n">
        <x:f>Q2017*'Parameters'!$C$18</x:f>
        <x:v>0.7000000000000001</x:v>
      </x:c>
      <x:c r="S2017" s="9" t="n">
        <x:f>R2017*'Parameters'!$C$19</x:f>
        <x:v>0.8750000000000001</x:v>
      </x:c>
      <x:c r="T2017" s="9" t="n">
        <x:f>Q2017*(1-0.40)-R2017</x:f>
        <x:v>1.4</x:v>
      </x:c>
    </x:row>
    <x:row r="2018" ht="21" customHeight="1">
      <x:c r="A2018" s="3" t="n">
        <x:v>33</x:v>
      </x:c>
      <x:c r="B2018" s="3" t="str">
        <x:v>05:30</x:v>
      </x:c>
      <x:c r="C2018" s="3" t="n">
        <x:v>6</x:v>
      </x:c>
      <x:c r="D2018" s="3" t="n">
        <x:v>37</x:v>
      </x:c>
      <x:c r="E2018" s="3" t="n">
        <x:v>6</x:v>
      </x:c>
      <x:c r="F2018" s="3" t="n">
        <x:v>1</x:v>
      </x:c>
      <x:c r="G2018" s="9" t="n">
        <x:v>0.15</x:v>
      </x:c>
      <x:c r="H2018" s="9" t="n">
        <x:v>1.020746</x:v>
      </x:c>
      <x:c r="I2018" s="9" t="n">
        <x:f>'Physical_Arcs'!R38</x:f>
        <x:v>6.305555555555555</x:v>
      </x:c>
      <x:c r="J2018" s="9" t="n">
        <x:f>I2018*'Parameters'!$C$18</x:f>
        <x:v>1.261111111111111</x:v>
      </x:c>
      <x:c r="K2018" s="9" t="n">
        <x:f>J2018*'Parameters'!$C$19</x:f>
        <x:v>1.5763888888888888</x:v>
      </x:c>
      <x:c r="L2018" s="9" t="n">
        <x:f>I2018*(1-0.40)-J2018</x:f>
        <x:v>2.522222222222222</x:v>
      </x:c>
      <x:c r="M2018" s="9" t="n">
        <x:f>'Physical_Arcs'!S38</x:f>
        <x:v>6.305555555555555</x:v>
      </x:c>
      <x:c r="N2018" s="9" t="n">
        <x:f>M2018*'Parameters'!$C$18</x:f>
        <x:v>1.261111111111111</x:v>
      </x:c>
      <x:c r="O2018" s="9" t="n">
        <x:f>N2018*'Parameters'!$C$19</x:f>
        <x:v>1.5763888888888888</x:v>
      </x:c>
      <x:c r="P2018" s="9" t="n">
        <x:f>M2018*(1-0.40)-N2018</x:f>
        <x:v>2.522222222222222</x:v>
      </x:c>
      <x:c r="Q2018" s="9" t="n">
        <x:f>'Physical_Arcs'!T38</x:f>
        <x:v>3.1666666666666665</x:v>
      </x:c>
      <x:c r="R2018" s="9" t="n">
        <x:f>Q2018*'Parameters'!$C$18</x:f>
        <x:v>0.6333333333333333</x:v>
      </x:c>
      <x:c r="S2018" s="9" t="n">
        <x:f>R2018*'Parameters'!$C$19</x:f>
        <x:v>0.7916666666666666</x:v>
      </x:c>
      <x:c r="T2018" s="9" t="n">
        <x:f>Q2018*(1-0.40)-R2018</x:f>
        <x:v>1.2666666666666666</x:v>
      </x:c>
    </x:row>
    <x:row r="2019" ht="21" customHeight="1">
      <x:c r="A2019" s="3" t="n">
        <x:v>33</x:v>
      </x:c>
      <x:c r="B2019" s="3" t="str">
        <x:v>05:30</x:v>
      </x:c>
      <x:c r="C2019" s="3" t="n">
        <x:v>6</x:v>
      </x:c>
      <x:c r="D2019" s="3" t="n">
        <x:v>38</x:v>
      </x:c>
      <x:c r="E2019" s="3" t="n">
        <x:v>6</x:v>
      </x:c>
      <x:c r="F2019" s="3" t="n">
        <x:v>3</x:v>
      </x:c>
      <x:c r="G2019" s="9" t="n">
        <x:v>0.15</x:v>
      </x:c>
      <x:c r="H2019" s="9" t="n">
        <x:v>1.149081</x:v>
      </x:c>
      <x:c r="I2019" s="9" t="n">
        <x:f>'Physical_Arcs'!R39</x:f>
        <x:v>1.9166666666666667</x:v>
      </x:c>
      <x:c r="J2019" s="9" t="n">
        <x:f>I2019*'Parameters'!$C$18</x:f>
        <x:v>0.38333333333333336</x:v>
      </x:c>
      <x:c r="K2019" s="9" t="n">
        <x:f>J2019*'Parameters'!$C$19</x:f>
        <x:v>0.4791666666666667</x:v>
      </x:c>
      <x:c r="L2019" s="9" t="n">
        <x:f>I2019*(1-0.40)-J2019</x:f>
        <x:v>0.7666666666666666</x:v>
      </x:c>
      <x:c r="M2019" s="9" t="n">
        <x:f>'Physical_Arcs'!S39</x:f>
        <x:v>1.9166666666666667</x:v>
      </x:c>
      <x:c r="N2019" s="9" t="n">
        <x:f>M2019*'Parameters'!$C$18</x:f>
        <x:v>0.38333333333333336</x:v>
      </x:c>
      <x:c r="O2019" s="9" t="n">
        <x:f>N2019*'Parameters'!$C$19</x:f>
        <x:v>0.4791666666666667</x:v>
      </x:c>
      <x:c r="P2019" s="9" t="n">
        <x:f>M2019*(1-0.40)-N2019</x:f>
        <x:v>0.7666666666666666</x:v>
      </x:c>
      <x:c r="Q2019" s="9" t="n">
        <x:f>'Physical_Arcs'!T39</x:f>
        <x:v>0.9722222222222222</x:v>
      </x:c>
      <x:c r="R2019" s="9" t="n">
        <x:f>Q2019*'Parameters'!$C$18</x:f>
        <x:v>0.19444444444444445</x:v>
      </x:c>
      <x:c r="S2019" s="9" t="n">
        <x:f>R2019*'Parameters'!$C$19</x:f>
        <x:v>0.24305555555555555</x:v>
      </x:c>
      <x:c r="T2019" s="9" t="n">
        <x:f>Q2019*(1-0.40)-R2019</x:f>
        <x:v>0.38888888888888884</x:v>
      </x:c>
    </x:row>
    <x:row r="2020" ht="21" customHeight="1">
      <x:c r="A2020" s="3" t="n">
        <x:v>33</x:v>
      </x:c>
      <x:c r="B2020" s="3" t="str">
        <x:v>05:30</x:v>
      </x:c>
      <x:c r="C2020" s="3" t="n">
        <x:v>6</x:v>
      </x:c>
      <x:c r="D2020" s="3" t="n">
        <x:v>39</x:v>
      </x:c>
      <x:c r="E2020" s="3" t="n">
        <x:v>7</x:v>
      </x:c>
      <x:c r="F2020" s="3" t="n">
        <x:v>8</x:v>
      </x:c>
      <x:c r="G2020" s="9" t="n">
        <x:v>0.15</x:v>
      </x:c>
      <x:c r="H2020" s="9" t="n">
        <x:v>1.003268</x:v>
      </x:c>
      <x:c r="I2020" s="9" t="n">
        <x:f>'Physical_Arcs'!R40</x:f>
        <x:v>17.02777777777778</x:v>
      </x:c>
      <x:c r="J2020" s="9" t="n">
        <x:f>I2020*'Parameters'!$C$18</x:f>
        <x:v>3.405555555555556</x:v>
      </x:c>
      <x:c r="K2020" s="9" t="n">
        <x:f>J2020*'Parameters'!$C$19</x:f>
        <x:v>4.256944444444445</x:v>
      </x:c>
      <x:c r="L2020" s="9" t="n">
        <x:f>I2020*(1-0.40)-J2020</x:f>
        <x:v>6.811111111111111</x:v>
      </x:c>
      <x:c r="M2020" s="9" t="n">
        <x:f>'Physical_Arcs'!S40</x:f>
        <x:v>17.02777777777778</x:v>
      </x:c>
      <x:c r="N2020" s="9" t="n">
        <x:f>M2020*'Parameters'!$C$18</x:f>
        <x:v>3.405555555555556</x:v>
      </x:c>
      <x:c r="O2020" s="9" t="n">
        <x:f>N2020*'Parameters'!$C$19</x:f>
        <x:v>4.256944444444445</x:v>
      </x:c>
      <x:c r="P2020" s="9" t="n">
        <x:f>M2020*(1-0.40)-N2020</x:f>
        <x:v>6.811111111111111</x:v>
      </x:c>
      <x:c r="Q2020" s="9" t="n">
        <x:f>'Physical_Arcs'!T40</x:f>
        <x:v>17.02777777777778</x:v>
      </x:c>
      <x:c r="R2020" s="9" t="n">
        <x:f>Q2020*'Parameters'!$C$18</x:f>
        <x:v>3.405555555555556</x:v>
      </x:c>
      <x:c r="S2020" s="9" t="n">
        <x:f>R2020*'Parameters'!$C$19</x:f>
        <x:v>4.256944444444445</x:v>
      </x:c>
      <x:c r="T2020" s="9" t="n">
        <x:f>Q2020*(1-0.40)-R2020</x:f>
        <x:v>6.811111111111111</x:v>
      </x:c>
    </x:row>
    <x:row r="2021" ht="21" customHeight="1">
      <x:c r="A2021" s="3" t="n">
        <x:v>33</x:v>
      </x:c>
      <x:c r="B2021" s="3" t="str">
        <x:v>05:30</x:v>
      </x:c>
      <x:c r="C2021" s="3" t="n">
        <x:v>6</x:v>
      </x:c>
      <x:c r="D2021" s="3" t="n">
        <x:v>40</x:v>
      </x:c>
      <x:c r="E2021" s="3" t="n">
        <x:v>7</x:v>
      </x:c>
      <x:c r="F2021" s="3" t="n">
        <x:v>1</x:v>
      </x:c>
      <x:c r="G2021" s="9" t="n">
        <x:v>0.15</x:v>
      </x:c>
      <x:c r="H2021" s="9" t="n">
        <x:v>1.057592</x:v>
      </x:c>
      <x:c r="I2021" s="9" t="n">
        <x:f>'Physical_Arcs'!R41</x:f>
        <x:v>7.972222222222222</x:v>
      </x:c>
      <x:c r="J2021" s="9" t="n">
        <x:f>I2021*'Parameters'!$C$18</x:f>
        <x:v>1.5944444444444446</x:v>
      </x:c>
      <x:c r="K2021" s="9" t="n">
        <x:f>J2021*'Parameters'!$C$19</x:f>
        <x:v>1.9930555555555558</x:v>
      </x:c>
      <x:c r="L2021" s="9" t="n">
        <x:f>I2021*(1-0.40)-J2021</x:f>
        <x:v>3.1888888888888887</x:v>
      </x:c>
      <x:c r="M2021" s="9" t="n">
        <x:f>'Physical_Arcs'!S41</x:f>
        <x:v>7.972222222222222</x:v>
      </x:c>
      <x:c r="N2021" s="9" t="n">
        <x:f>M2021*'Parameters'!$C$18</x:f>
        <x:v>1.5944444444444446</x:v>
      </x:c>
      <x:c r="O2021" s="9" t="n">
        <x:f>N2021*'Parameters'!$C$19</x:f>
        <x:v>1.9930555555555558</x:v>
      </x:c>
      <x:c r="P2021" s="9" t="n">
        <x:f>M2021*(1-0.40)-N2021</x:f>
        <x:v>3.1888888888888887</x:v>
      </x:c>
      <x:c r="Q2021" s="9" t="n">
        <x:f>'Physical_Arcs'!T41</x:f>
        <x:v>4</x:v>
      </x:c>
      <x:c r="R2021" s="9" t="n">
        <x:f>Q2021*'Parameters'!$C$18</x:f>
        <x:v>0.8</x:v>
      </x:c>
      <x:c r="S2021" s="9" t="n">
        <x:f>R2021*'Parameters'!$C$19</x:f>
        <x:v>1</x:v>
      </x:c>
      <x:c r="T2021" s="9" t="n">
        <x:f>Q2021*(1-0.40)-R2021</x:f>
        <x:v>1.5999999999999999</x:v>
      </x:c>
    </x:row>
    <x:row r="2022" ht="21" customHeight="1">
      <x:c r="A2022" s="3" t="n">
        <x:v>33</x:v>
      </x:c>
      <x:c r="B2022" s="3" t="str">
        <x:v>05:30</x:v>
      </x:c>
      <x:c r="C2022" s="3" t="n">
        <x:v>6</x:v>
      </x:c>
      <x:c r="D2022" s="3" t="n">
        <x:v>41</x:v>
      </x:c>
      <x:c r="E2022" s="3" t="n">
        <x:v>7</x:v>
      </x:c>
      <x:c r="F2022" s="3" t="n">
        <x:v>9</x:v>
      </x:c>
      <x:c r="G2022" s="9" t="n">
        <x:v>0.15</x:v>
      </x:c>
      <x:c r="H2022" s="9" t="n">
        <x:v>1.14801</x:v>
      </x:c>
      <x:c r="I2022" s="9" t="n">
        <x:f>'Physical_Arcs'!R42</x:f>
        <x:v>8.88888888888889</x:v>
      </x:c>
      <x:c r="J2022" s="9" t="n">
        <x:f>I2022*'Parameters'!$C$18</x:f>
        <x:v>1.777777777777778</x:v>
      </x:c>
      <x:c r="K2022" s="9" t="n">
        <x:f>J2022*'Parameters'!$C$19</x:f>
        <x:v>2.2222222222222223</x:v>
      </x:c>
      <x:c r="L2022" s="9" t="n">
        <x:f>I2022*(1-0.40)-J2022</x:f>
        <x:v>3.5555555555555554</x:v>
      </x:c>
      <x:c r="M2022" s="9" t="n">
        <x:f>'Physical_Arcs'!S42</x:f>
        <x:v>8.88888888888889</x:v>
      </x:c>
      <x:c r="N2022" s="9" t="n">
        <x:f>M2022*'Parameters'!$C$18</x:f>
        <x:v>1.777777777777778</x:v>
      </x:c>
      <x:c r="O2022" s="9" t="n">
        <x:f>N2022*'Parameters'!$C$19</x:f>
        <x:v>2.2222222222222223</x:v>
      </x:c>
      <x:c r="P2022" s="9" t="n">
        <x:f>M2022*(1-0.40)-N2022</x:f>
        <x:v>3.5555555555555554</x:v>
      </x:c>
      <x:c r="Q2022" s="9" t="n">
        <x:f>'Physical_Arcs'!T42</x:f>
        <x:v>4.444444444444445</x:v>
      </x:c>
      <x:c r="R2022" s="9" t="n">
        <x:f>Q2022*'Parameters'!$C$18</x:f>
        <x:v>0.888888888888889</x:v>
      </x:c>
      <x:c r="S2022" s="9" t="n">
        <x:f>R2022*'Parameters'!$C$19</x:f>
        <x:v>1.1111111111111112</x:v>
      </x:c>
      <x:c r="T2022" s="9" t="n">
        <x:f>Q2022*(1-0.40)-R2022</x:f>
        <x:v>1.7777777777777777</x:v>
      </x:c>
    </x:row>
    <x:row r="2023" ht="21" customHeight="1">
      <x:c r="A2023" s="3" t="n">
        <x:v>33</x:v>
      </x:c>
      <x:c r="B2023" s="3" t="str">
        <x:v>05:30</x:v>
      </x:c>
      <x:c r="C2023" s="3" t="n">
        <x:v>6</x:v>
      </x:c>
      <x:c r="D2023" s="3" t="n">
        <x:v>42</x:v>
      </x:c>
      <x:c r="E2023" s="3" t="n">
        <x:v>7</x:v>
      </x:c>
      <x:c r="F2023" s="3" t="n">
        <x:v>2</x:v>
      </x:c>
      <x:c r="G2023" s="9" t="n">
        <x:v>0.15</x:v>
      </x:c>
      <x:c r="H2023" s="9" t="n">
        <x:v>0.989237</x:v>
      </x:c>
      <x:c r="I2023" s="9" t="n">
        <x:f>'Physical_Arcs'!R43</x:f>
        <x:v>9</x:v>
      </x:c>
      <x:c r="J2023" s="9" t="n">
        <x:f>I2023*'Parameters'!$C$18</x:f>
        <x:v>1.8</x:v>
      </x:c>
      <x:c r="K2023" s="9" t="n">
        <x:f>J2023*'Parameters'!$C$19</x:f>
        <x:v>2.25</x:v>
      </x:c>
      <x:c r="L2023" s="9" t="n">
        <x:f>I2023*(1-0.40)-J2023</x:f>
        <x:v>3.5999999999999996</x:v>
      </x:c>
      <x:c r="M2023" s="9" t="n">
        <x:f>'Physical_Arcs'!S43</x:f>
        <x:v>9</x:v>
      </x:c>
      <x:c r="N2023" s="9" t="n">
        <x:f>M2023*'Parameters'!$C$18</x:f>
        <x:v>1.8</x:v>
      </x:c>
      <x:c r="O2023" s="9" t="n">
        <x:f>N2023*'Parameters'!$C$19</x:f>
        <x:v>2.25</x:v>
      </x:c>
      <x:c r="P2023" s="9" t="n">
        <x:f>M2023*(1-0.40)-N2023</x:f>
        <x:v>3.5999999999999996</x:v>
      </x:c>
      <x:c r="Q2023" s="9" t="n">
        <x:f>'Physical_Arcs'!T43</x:f>
        <x:v>4.5</x:v>
      </x:c>
      <x:c r="R2023" s="9" t="n">
        <x:f>Q2023*'Parameters'!$C$18</x:f>
        <x:v>0.9</x:v>
      </x:c>
      <x:c r="S2023" s="9" t="n">
        <x:f>R2023*'Parameters'!$C$19</x:f>
        <x:v>1.125</x:v>
      </x:c>
      <x:c r="T2023" s="9" t="n">
        <x:f>Q2023*(1-0.40)-R2023</x:f>
        <x:v>1.7999999999999998</x:v>
      </x:c>
    </x:row>
    <x:row r="2024" ht="21" customHeight="1">
      <x:c r="A2024" s="3" t="n">
        <x:v>33</x:v>
      </x:c>
      <x:c r="B2024" s="3" t="str">
        <x:v>05:30</x:v>
      </x:c>
      <x:c r="C2024" s="3" t="n">
        <x:v>6</x:v>
      </x:c>
      <x:c r="D2024" s="3" t="n">
        <x:v>43</x:v>
      </x:c>
      <x:c r="E2024" s="3" t="n">
        <x:v>7</x:v>
      </x:c>
      <x:c r="F2024" s="3" t="n">
        <x:v>3</x:v>
      </x:c>
      <x:c r="G2024" s="9" t="n">
        <x:v>0.15</x:v>
      </x:c>
      <x:c r="H2024" s="9" t="n">
        <x:v>1.050432</x:v>
      </x:c>
      <x:c r="I2024" s="9" t="n">
        <x:f>'Physical_Arcs'!R44</x:f>
        <x:v>7.638888888888889</x:v>
      </x:c>
      <x:c r="J2024" s="9" t="n">
        <x:f>I2024*'Parameters'!$C$18</x:f>
        <x:v>1.527777777777778</x:v>
      </x:c>
      <x:c r="K2024" s="9" t="n">
        <x:f>J2024*'Parameters'!$C$19</x:f>
        <x:v>1.9097222222222223</x:v>
      </x:c>
      <x:c r="L2024" s="9" t="n">
        <x:f>I2024*(1-0.40)-J2024</x:f>
        <x:v>3.0555555555555554</x:v>
      </x:c>
      <x:c r="M2024" s="9" t="n">
        <x:f>'Physical_Arcs'!S44</x:f>
        <x:v>7.638888888888889</x:v>
      </x:c>
      <x:c r="N2024" s="9" t="n">
        <x:f>M2024*'Parameters'!$C$18</x:f>
        <x:v>1.527777777777778</x:v>
      </x:c>
      <x:c r="O2024" s="9" t="n">
        <x:f>N2024*'Parameters'!$C$19</x:f>
        <x:v>1.9097222222222223</x:v>
      </x:c>
      <x:c r="P2024" s="9" t="n">
        <x:f>M2024*(1-0.40)-N2024</x:f>
        <x:v>3.0555555555555554</x:v>
      </x:c>
      <x:c r="Q2024" s="9" t="n">
        <x:f>'Physical_Arcs'!T44</x:f>
        <x:v>3.8333333333333335</x:v>
      </x:c>
      <x:c r="R2024" s="9" t="n">
        <x:f>Q2024*'Parameters'!$C$18</x:f>
        <x:v>0.7666666666666667</x:v>
      </x:c>
      <x:c r="S2024" s="9" t="n">
        <x:f>R2024*'Parameters'!$C$19</x:f>
        <x:v>0.9583333333333334</x:v>
      </x:c>
      <x:c r="T2024" s="9" t="n">
        <x:f>Q2024*(1-0.40)-R2024</x:f>
        <x:v>1.5333333333333332</x:v>
      </x:c>
    </x:row>
    <x:row r="2025" ht="21" customHeight="1">
      <x:c r="A2025" s="3" t="n">
        <x:v>33</x:v>
      </x:c>
      <x:c r="B2025" s="3" t="str">
        <x:v>05:30</x:v>
      </x:c>
      <x:c r="C2025" s="3" t="n">
        <x:v>6</x:v>
      </x:c>
      <x:c r="D2025" s="3" t="n">
        <x:v>44</x:v>
      </x:c>
      <x:c r="E2025" s="3" t="n">
        <x:v>8</x:v>
      </x:c>
      <x:c r="F2025" s="3" t="n">
        <x:v>9</x:v>
      </x:c>
      <x:c r="G2025" s="9" t="n">
        <x:v>0.15</x:v>
      </x:c>
      <x:c r="H2025" s="9" t="n">
        <x:v>0.868101</x:v>
      </x:c>
      <x:c r="I2025" s="9" t="n">
        <x:f>'Physical_Arcs'!R45</x:f>
        <x:v>17.02777777777778</x:v>
      </x:c>
      <x:c r="J2025" s="9" t="n">
        <x:f>I2025*'Parameters'!$C$18</x:f>
        <x:v>3.405555555555556</x:v>
      </x:c>
      <x:c r="K2025" s="9" t="n">
        <x:f>J2025*'Parameters'!$C$19</x:f>
        <x:v>4.256944444444445</x:v>
      </x:c>
      <x:c r="L2025" s="9" t="n">
        <x:f>I2025*(1-0.40)-J2025</x:f>
        <x:v>6.811111111111111</x:v>
      </x:c>
      <x:c r="M2025" s="9" t="n">
        <x:f>'Physical_Arcs'!S45</x:f>
        <x:v>17.02777777777778</x:v>
      </x:c>
      <x:c r="N2025" s="9" t="n">
        <x:f>M2025*'Parameters'!$C$18</x:f>
        <x:v>3.405555555555556</x:v>
      </x:c>
      <x:c r="O2025" s="9" t="n">
        <x:f>N2025*'Parameters'!$C$19</x:f>
        <x:v>4.256944444444445</x:v>
      </x:c>
      <x:c r="P2025" s="9" t="n">
        <x:f>M2025*(1-0.40)-N2025</x:f>
        <x:v>6.811111111111111</x:v>
      </x:c>
      <x:c r="Q2025" s="9" t="n">
        <x:f>'Physical_Arcs'!T45</x:f>
        <x:v>17.02777777777778</x:v>
      </x:c>
      <x:c r="R2025" s="9" t="n">
        <x:f>Q2025*'Parameters'!$C$18</x:f>
        <x:v>3.405555555555556</x:v>
      </x:c>
      <x:c r="S2025" s="9" t="n">
        <x:f>R2025*'Parameters'!$C$19</x:f>
        <x:v>4.256944444444445</x:v>
      </x:c>
      <x:c r="T2025" s="9" t="n">
        <x:f>Q2025*(1-0.40)-R2025</x:f>
        <x:v>6.811111111111111</x:v>
      </x:c>
    </x:row>
    <x:row r="2026" ht="21" customHeight="1">
      <x:c r="A2026" s="3" t="n">
        <x:v>33</x:v>
      </x:c>
      <x:c r="B2026" s="3" t="str">
        <x:v>05:30</x:v>
      </x:c>
      <x:c r="C2026" s="3" t="n">
        <x:v>6</x:v>
      </x:c>
      <x:c r="D2026" s="3" t="n">
        <x:v>45</x:v>
      </x:c>
      <x:c r="E2026" s="3" t="n">
        <x:v>8</x:v>
      </x:c>
      <x:c r="F2026" s="3" t="n">
        <x:v>3</x:v>
      </x:c>
      <x:c r="G2026" s="9" t="n">
        <x:v>0.15</x:v>
      </x:c>
      <x:c r="H2026" s="9" t="n">
        <x:v>0.944958</x:v>
      </x:c>
      <x:c r="I2026" s="9" t="n">
        <x:f>'Physical_Arcs'!R46</x:f>
        <x:v>5.388888888888889</x:v>
      </x:c>
      <x:c r="J2026" s="9" t="n">
        <x:f>I2026*'Parameters'!$C$18</x:f>
        <x:v>1.077777777777778</x:v>
      </x:c>
      <x:c r="K2026" s="9" t="n">
        <x:f>J2026*'Parameters'!$C$19</x:f>
        <x:v>1.3472222222222223</x:v>
      </x:c>
      <x:c r="L2026" s="9" t="n">
        <x:f>I2026*(1-0.40)-J2026</x:f>
        <x:v>2.1555555555555554</x:v>
      </x:c>
      <x:c r="M2026" s="9" t="n">
        <x:f>'Physical_Arcs'!S46</x:f>
        <x:v>5.388888888888889</x:v>
      </x:c>
      <x:c r="N2026" s="9" t="n">
        <x:f>M2026*'Parameters'!$C$18</x:f>
        <x:v>1.077777777777778</x:v>
      </x:c>
      <x:c r="O2026" s="9" t="n">
        <x:f>N2026*'Parameters'!$C$19</x:f>
        <x:v>1.3472222222222223</x:v>
      </x:c>
      <x:c r="P2026" s="9" t="n">
        <x:f>M2026*(1-0.40)-N2026</x:f>
        <x:v>2.1555555555555554</x:v>
      </x:c>
      <x:c r="Q2026" s="9" t="n">
        <x:f>'Physical_Arcs'!T46</x:f>
        <x:v>2.6944444444444446</x:v>
      </x:c>
      <x:c r="R2026" s="9" t="n">
        <x:f>Q2026*'Parameters'!$C$18</x:f>
        <x:v>0.538888888888889</x:v>
      </x:c>
      <x:c r="S2026" s="9" t="n">
        <x:f>R2026*'Parameters'!$C$19</x:f>
        <x:v>0.6736111111111112</x:v>
      </x:c>
      <x:c r="T2026" s="9" t="n">
        <x:f>Q2026*(1-0.40)-R2026</x:f>
        <x:v>1.0777777777777777</x:v>
      </x:c>
    </x:row>
    <x:row r="2027" ht="21" customHeight="1">
      <x:c r="A2027" s="3" t="n">
        <x:v>33</x:v>
      </x:c>
      <x:c r="B2027" s="3" t="str">
        <x:v>05:30</x:v>
      </x:c>
      <x:c r="C2027" s="3" t="n">
        <x:v>6</x:v>
      </x:c>
      <x:c r="D2027" s="3" t="n">
        <x:v>46</x:v>
      </x:c>
      <x:c r="E2027" s="3" t="n">
        <x:v>8</x:v>
      </x:c>
      <x:c r="F2027" s="3" t="n">
        <x:v>7</x:v>
      </x:c>
      <x:c r="G2027" s="9" t="n">
        <x:v>0.15</x:v>
      </x:c>
      <x:c r="H2027" s="9" t="n">
        <x:v>0.866232</x:v>
      </x:c>
      <x:c r="I2027" s="9" t="n">
        <x:f>'Physical_Arcs'!R47</x:f>
        <x:v>5.388888888888889</x:v>
      </x:c>
      <x:c r="J2027" s="9" t="n">
        <x:f>I2027*'Parameters'!$C$18</x:f>
        <x:v>1.077777777777778</x:v>
      </x:c>
      <x:c r="K2027" s="9" t="n">
        <x:f>J2027*'Parameters'!$C$19</x:f>
        <x:v>1.3472222222222223</x:v>
      </x:c>
      <x:c r="L2027" s="9" t="n">
        <x:f>I2027*(1-0.40)-J2027</x:f>
        <x:v>2.1555555555555554</x:v>
      </x:c>
      <x:c r="M2027" s="9" t="n">
        <x:f>'Physical_Arcs'!S47</x:f>
        <x:v>5.388888888888889</x:v>
      </x:c>
      <x:c r="N2027" s="9" t="n">
        <x:f>M2027*'Parameters'!$C$18</x:f>
        <x:v>1.077777777777778</x:v>
      </x:c>
      <x:c r="O2027" s="9" t="n">
        <x:f>N2027*'Parameters'!$C$19</x:f>
        <x:v>1.3472222222222223</x:v>
      </x:c>
      <x:c r="P2027" s="9" t="n">
        <x:f>M2027*(1-0.40)-N2027</x:f>
        <x:v>2.1555555555555554</x:v>
      </x:c>
      <x:c r="Q2027" s="9" t="n">
        <x:f>'Physical_Arcs'!T47</x:f>
        <x:v>2.6944444444444446</x:v>
      </x:c>
      <x:c r="R2027" s="9" t="n">
        <x:f>Q2027*'Parameters'!$C$18</x:f>
        <x:v>0.538888888888889</x:v>
      </x:c>
      <x:c r="S2027" s="9" t="n">
        <x:f>R2027*'Parameters'!$C$19</x:f>
        <x:v>0.6736111111111112</x:v>
      </x:c>
      <x:c r="T2027" s="9" t="n">
        <x:f>Q2027*(1-0.40)-R2027</x:f>
        <x:v>1.0777777777777777</x:v>
      </x:c>
    </x:row>
    <x:row r="2028" ht="21" customHeight="1">
      <x:c r="A2028" s="3" t="n">
        <x:v>33</x:v>
      </x:c>
      <x:c r="B2028" s="3" t="str">
        <x:v>05:30</x:v>
      </x:c>
      <x:c r="C2028" s="3" t="n">
        <x:v>6</x:v>
      </x:c>
      <x:c r="D2028" s="3" t="n">
        <x:v>47</x:v>
      </x:c>
      <x:c r="E2028" s="3" t="n">
        <x:v>8</x:v>
      </x:c>
      <x:c r="F2028" s="3" t="n">
        <x:v>2</x:v>
      </x:c>
      <x:c r="G2028" s="9" t="n">
        <x:v>0.15</x:v>
      </x:c>
      <x:c r="H2028" s="9" t="n">
        <x:v>1.135644</x:v>
      </x:c>
      <x:c r="I2028" s="9" t="n">
        <x:f>'Physical_Arcs'!R48</x:f>
        <x:v>8.083333333333334</x:v>
      </x:c>
      <x:c r="J2028" s="9" t="n">
        <x:f>I2028*'Parameters'!$C$18</x:f>
        <x:v>1.616666666666667</x:v>
      </x:c>
      <x:c r="K2028" s="9" t="n">
        <x:f>J2028*'Parameters'!$C$19</x:f>
        <x:v>2.0208333333333335</x:v>
      </x:c>
      <x:c r="L2028" s="9" t="n">
        <x:f>I2028*(1-0.40)-J2028</x:f>
        <x:v>3.2333333333333334</x:v>
      </x:c>
      <x:c r="M2028" s="9" t="n">
        <x:f>'Physical_Arcs'!S48</x:f>
        <x:v>8.083333333333334</x:v>
      </x:c>
      <x:c r="N2028" s="9" t="n">
        <x:f>M2028*'Parameters'!$C$18</x:f>
        <x:v>1.616666666666667</x:v>
      </x:c>
      <x:c r="O2028" s="9" t="n">
        <x:f>N2028*'Parameters'!$C$19</x:f>
        <x:v>2.0208333333333335</x:v>
      </x:c>
      <x:c r="P2028" s="9" t="n">
        <x:f>M2028*(1-0.40)-N2028</x:f>
        <x:v>3.2333333333333334</x:v>
      </x:c>
      <x:c r="Q2028" s="9" t="n">
        <x:f>'Physical_Arcs'!T48</x:f>
        <x:v>4.055555555555555</x:v>
      </x:c>
      <x:c r="R2028" s="9" t="n">
        <x:f>Q2028*'Parameters'!$C$18</x:f>
        <x:v>0.8111111111111111</x:v>
      </x:c>
      <x:c r="S2028" s="9" t="n">
        <x:f>R2028*'Parameters'!$C$19</x:f>
        <x:v>1.0138888888888888</x:v>
      </x:c>
      <x:c r="T2028" s="9" t="n">
        <x:f>Q2028*(1-0.40)-R2028</x:f>
        <x:v>1.622222222222222</x:v>
      </x:c>
    </x:row>
    <x:row r="2029" ht="21" customHeight="1">
      <x:c r="A2029" s="3" t="n">
        <x:v>33</x:v>
      </x:c>
      <x:c r="B2029" s="3" t="str">
        <x:v>05:30</x:v>
      </x:c>
      <x:c r="C2029" s="3" t="n">
        <x:v>6</x:v>
      </x:c>
      <x:c r="D2029" s="3" t="n">
        <x:v>48</x:v>
      </x:c>
      <x:c r="E2029" s="3" t="n">
        <x:v>8</x:v>
      </x:c>
      <x:c r="F2029" s="3" t="n">
        <x:v>6</x:v>
      </x:c>
      <x:c r="G2029" s="9" t="n">
        <x:v>0.15</x:v>
      </x:c>
      <x:c r="H2029" s="9" t="n">
        <x:v>0.850778</x:v>
      </x:c>
      <x:c r="I2029" s="9" t="n">
        <x:f>'Physical_Arcs'!R49</x:f>
        <x:v>10.555555555555555</x:v>
      </x:c>
      <x:c r="J2029" s="9" t="n">
        <x:f>I2029*'Parameters'!$C$18</x:f>
        <x:v>2.111111111111111</x:v>
      </x:c>
      <x:c r="K2029" s="9" t="n">
        <x:f>J2029*'Parameters'!$C$19</x:f>
        <x:v>2.638888888888889</x:v>
      </x:c>
      <x:c r="L2029" s="9" t="n">
        <x:f>I2029*(1-0.40)-J2029</x:f>
        <x:v>4.222222222222221</x:v>
      </x:c>
      <x:c r="M2029" s="9" t="n">
        <x:f>'Physical_Arcs'!S49</x:f>
        <x:v>10.555555555555555</x:v>
      </x:c>
      <x:c r="N2029" s="9" t="n">
        <x:f>M2029*'Parameters'!$C$18</x:f>
        <x:v>2.111111111111111</x:v>
      </x:c>
      <x:c r="O2029" s="9" t="n">
        <x:f>N2029*'Parameters'!$C$19</x:f>
        <x:v>2.638888888888889</x:v>
      </x:c>
      <x:c r="P2029" s="9" t="n">
        <x:f>M2029*(1-0.40)-N2029</x:f>
        <x:v>4.222222222222221</x:v>
      </x:c>
      <x:c r="Q2029" s="9" t="n">
        <x:f>'Physical_Arcs'!T49</x:f>
        <x:v>5.277777777777778</x:v>
      </x:c>
      <x:c r="R2029" s="9" t="n">
        <x:f>Q2029*'Parameters'!$C$18</x:f>
        <x:v>1.0555555555555556</x:v>
      </x:c>
      <x:c r="S2029" s="9" t="n">
        <x:f>R2029*'Parameters'!$C$19</x:f>
        <x:v>1.3194444444444444</x:v>
      </x:c>
      <x:c r="T2029" s="9" t="n">
        <x:f>Q2029*(1-0.40)-R2029</x:f>
        <x:v>2.1111111111111107</x:v>
      </x:c>
    </x:row>
    <x:row r="2030" ht="21" customHeight="1">
      <x:c r="A2030" s="3" t="n">
        <x:v>33</x:v>
      </x:c>
      <x:c r="B2030" s="3" t="str">
        <x:v>05:30</x:v>
      </x:c>
      <x:c r="C2030" s="3" t="n">
        <x:v>6</x:v>
      </x:c>
      <x:c r="D2030" s="3" t="n">
        <x:v>49</x:v>
      </x:c>
      <x:c r="E2030" s="3" t="n">
        <x:v>8</x:v>
      </x:c>
      <x:c r="F2030" s="3" t="n">
        <x:v>4</x:v>
      </x:c>
      <x:c r="G2030" s="9" t="n">
        <x:v>0.15</x:v>
      </x:c>
      <x:c r="H2030" s="9" t="n">
        <x:v>0.904949</x:v>
      </x:c>
      <x:c r="I2030" s="9" t="n">
        <x:f>'Physical_Arcs'!R50</x:f>
        <x:v>1.5833333333333333</x:v>
      </x:c>
      <x:c r="J2030" s="9" t="n">
        <x:f>I2030*'Parameters'!$C$18</x:f>
        <x:v>0.31666666666666665</x:v>
      </x:c>
      <x:c r="K2030" s="9" t="n">
        <x:f>J2030*'Parameters'!$C$19</x:f>
        <x:v>0.3958333333333333</x:v>
      </x:c>
      <x:c r="L2030" s="9" t="n">
        <x:f>I2030*(1-0.40)-J2030</x:f>
        <x:v>0.6333333333333333</x:v>
      </x:c>
      <x:c r="M2030" s="9" t="n">
        <x:f>'Physical_Arcs'!S50</x:f>
        <x:v>1.5833333333333333</x:v>
      </x:c>
      <x:c r="N2030" s="9" t="n">
        <x:f>M2030*'Parameters'!$C$18</x:f>
        <x:v>0.31666666666666665</x:v>
      </x:c>
      <x:c r="O2030" s="9" t="n">
        <x:f>N2030*'Parameters'!$C$19</x:f>
        <x:v>0.3958333333333333</x:v>
      </x:c>
      <x:c r="P2030" s="9" t="n">
        <x:f>M2030*(1-0.40)-N2030</x:f>
        <x:v>0.6333333333333333</x:v>
      </x:c>
      <x:c r="Q2030" s="9" t="n">
        <x:f>'Physical_Arcs'!T50</x:f>
        <x:v>0.8055555555555556</x:v>
      </x:c>
      <x:c r="R2030" s="9" t="n">
        <x:f>Q2030*'Parameters'!$C$18</x:f>
        <x:v>0.16111111111111112</x:v>
      </x:c>
      <x:c r="S2030" s="9" t="n">
        <x:f>R2030*'Parameters'!$C$19</x:f>
        <x:v>0.2013888888888889</x:v>
      </x:c>
      <x:c r="T2030" s="9" t="n">
        <x:f>Q2030*(1-0.40)-R2030</x:f>
        <x:v>0.3222222222222222</x:v>
      </x:c>
    </x:row>
    <x:row r="2031" ht="21" customHeight="1">
      <x:c r="A2031" s="3" t="n">
        <x:v>33</x:v>
      </x:c>
      <x:c r="B2031" s="3" t="str">
        <x:v>05:30</x:v>
      </x:c>
      <x:c r="C2031" s="3" t="n">
        <x:v>6</x:v>
      </x:c>
      <x:c r="D2031" s="3" t="n">
        <x:v>50</x:v>
      </x:c>
      <x:c r="E2031" s="3" t="n">
        <x:v>8</x:v>
      </x:c>
      <x:c r="F2031" s="3" t="n">
        <x:v>5</x:v>
      </x:c>
      <x:c r="G2031" s="9" t="n">
        <x:v>0.15</x:v>
      </x:c>
      <x:c r="H2031" s="9" t="n">
        <x:v>0.990416</x:v>
      </x:c>
      <x:c r="I2031" s="9" t="n">
        <x:f>'Physical_Arcs'!R51</x:f>
        <x:v>10.777777777777779</x:v>
      </x:c>
      <x:c r="J2031" s="9" t="n">
        <x:f>I2031*'Parameters'!$C$18</x:f>
        <x:v>2.155555555555556</x:v>
      </x:c>
      <x:c r="K2031" s="9" t="n">
        <x:f>J2031*'Parameters'!$C$19</x:f>
        <x:v>2.6944444444444446</x:v>
      </x:c>
      <x:c r="L2031" s="9" t="n">
        <x:f>I2031*(1-0.40)-J2031</x:f>
        <x:v>4.311111111111111</x:v>
      </x:c>
      <x:c r="M2031" s="9" t="n">
        <x:f>'Physical_Arcs'!S51</x:f>
        <x:v>10.777777777777779</x:v>
      </x:c>
      <x:c r="N2031" s="9" t="n">
        <x:f>M2031*'Parameters'!$C$18</x:f>
        <x:v>2.155555555555556</x:v>
      </x:c>
      <x:c r="O2031" s="9" t="n">
        <x:f>N2031*'Parameters'!$C$19</x:f>
        <x:v>2.6944444444444446</x:v>
      </x:c>
      <x:c r="P2031" s="9" t="n">
        <x:f>M2031*(1-0.40)-N2031</x:f>
        <x:v>4.311111111111111</x:v>
      </x:c>
      <x:c r="Q2031" s="9" t="n">
        <x:f>'Physical_Arcs'!T51</x:f>
        <x:v>5.388888888888889</x:v>
      </x:c>
      <x:c r="R2031" s="9" t="n">
        <x:f>Q2031*'Parameters'!$C$18</x:f>
        <x:v>1.077777777777778</x:v>
      </x:c>
      <x:c r="S2031" s="9" t="n">
        <x:f>R2031*'Parameters'!$C$19</x:f>
        <x:v>1.3472222222222223</x:v>
      </x:c>
      <x:c r="T2031" s="9" t="n">
        <x:f>Q2031*(1-0.40)-R2031</x:f>
        <x:v>2.1555555555555554</x:v>
      </x:c>
    </x:row>
    <x:row r="2032" ht="21" customHeight="1">
      <x:c r="A2032" s="3" t="n">
        <x:v>33</x:v>
      </x:c>
      <x:c r="B2032" s="3" t="str">
        <x:v>05:30</x:v>
      </x:c>
      <x:c r="C2032" s="3" t="n">
        <x:v>6</x:v>
      </x:c>
      <x:c r="D2032" s="3" t="n">
        <x:v>51</x:v>
      </x:c>
      <x:c r="E2032" s="3" t="n">
        <x:v>8</x:v>
      </x:c>
      <x:c r="F2032" s="3" t="n">
        <x:v>1</x:v>
      </x:c>
      <x:c r="G2032" s="9" t="n">
        <x:v>0.15</x:v>
      </x:c>
      <x:c r="H2032" s="9" t="n">
        <x:v>1.039066</x:v>
      </x:c>
      <x:c r="I2032" s="9" t="n">
        <x:f>'Physical_Arcs'!R52</x:f>
        <x:v>8.88888888888889</x:v>
      </x:c>
      <x:c r="J2032" s="9" t="n">
        <x:f>I2032*'Parameters'!$C$18</x:f>
        <x:v>1.777777777777778</x:v>
      </x:c>
      <x:c r="K2032" s="9" t="n">
        <x:f>J2032*'Parameters'!$C$19</x:f>
        <x:v>2.2222222222222223</x:v>
      </x:c>
      <x:c r="L2032" s="9" t="n">
        <x:f>I2032*(1-0.40)-J2032</x:f>
        <x:v>3.5555555555555554</x:v>
      </x:c>
      <x:c r="M2032" s="9" t="n">
        <x:f>'Physical_Arcs'!S52</x:f>
        <x:v>8.88888888888889</x:v>
      </x:c>
      <x:c r="N2032" s="9" t="n">
        <x:f>M2032*'Parameters'!$C$18</x:f>
        <x:v>1.777777777777778</x:v>
      </x:c>
      <x:c r="O2032" s="9" t="n">
        <x:f>N2032*'Parameters'!$C$19</x:f>
        <x:v>2.2222222222222223</x:v>
      </x:c>
      <x:c r="P2032" s="9" t="n">
        <x:f>M2032*(1-0.40)-N2032</x:f>
        <x:v>3.5555555555555554</x:v>
      </x:c>
      <x:c r="Q2032" s="9" t="n">
        <x:f>'Physical_Arcs'!T52</x:f>
        <x:v>4.444444444444445</x:v>
      </x:c>
      <x:c r="R2032" s="9" t="n">
        <x:f>Q2032*'Parameters'!$C$18</x:f>
        <x:v>0.888888888888889</x:v>
      </x:c>
      <x:c r="S2032" s="9" t="n">
        <x:f>R2032*'Parameters'!$C$19</x:f>
        <x:v>1.1111111111111112</x:v>
      </x:c>
      <x:c r="T2032" s="9" t="n">
        <x:f>Q2032*(1-0.40)-R2032</x:f>
        <x:v>1.7777777777777777</x:v>
      </x:c>
    </x:row>
    <x:row r="2033" ht="21" customHeight="1">
      <x:c r="A2033" s="3" t="n">
        <x:v>33</x:v>
      </x:c>
      <x:c r="B2033" s="3" t="str">
        <x:v>05:30</x:v>
      </x:c>
      <x:c r="C2033" s="3" t="n">
        <x:v>6</x:v>
      </x:c>
      <x:c r="D2033" s="3" t="n">
        <x:v>52</x:v>
      </x:c>
      <x:c r="E2033" s="3" t="n">
        <x:v>9</x:v>
      </x:c>
      <x:c r="F2033" s="3" t="n">
        <x:v>10</x:v>
      </x:c>
      <x:c r="G2033" s="9" t="n">
        <x:v>0.15</x:v>
      </x:c>
      <x:c r="H2033" s="9" t="n">
        <x:v>0.954096</x:v>
      </x:c>
      <x:c r="I2033" s="9" t="n">
        <x:f>'Physical_Arcs'!R53</x:f>
        <x:v>17.02777777777778</x:v>
      </x:c>
      <x:c r="J2033" s="9" t="n">
        <x:f>I2033*'Parameters'!$C$18</x:f>
        <x:v>3.405555555555556</x:v>
      </x:c>
      <x:c r="K2033" s="9" t="n">
        <x:f>J2033*'Parameters'!$C$19</x:f>
        <x:v>4.256944444444445</x:v>
      </x:c>
      <x:c r="L2033" s="9" t="n">
        <x:f>I2033*(1-0.40)-J2033</x:f>
        <x:v>6.811111111111111</x:v>
      </x:c>
      <x:c r="M2033" s="9" t="n">
        <x:f>'Physical_Arcs'!S53</x:f>
        <x:v>17.02777777777778</x:v>
      </x:c>
      <x:c r="N2033" s="9" t="n">
        <x:f>M2033*'Parameters'!$C$18</x:f>
        <x:v>3.405555555555556</x:v>
      </x:c>
      <x:c r="O2033" s="9" t="n">
        <x:f>N2033*'Parameters'!$C$19</x:f>
        <x:v>4.256944444444445</x:v>
      </x:c>
      <x:c r="P2033" s="9" t="n">
        <x:f>M2033*(1-0.40)-N2033</x:f>
        <x:v>6.811111111111111</x:v>
      </x:c>
      <x:c r="Q2033" s="9" t="n">
        <x:f>'Physical_Arcs'!T53</x:f>
        <x:v>17.02777777777778</x:v>
      </x:c>
      <x:c r="R2033" s="9" t="n">
        <x:f>Q2033*'Parameters'!$C$18</x:f>
        <x:v>3.405555555555556</x:v>
      </x:c>
      <x:c r="S2033" s="9" t="n">
        <x:f>R2033*'Parameters'!$C$19</x:f>
        <x:v>4.256944444444445</x:v>
      </x:c>
      <x:c r="T2033" s="9" t="n">
        <x:f>Q2033*(1-0.40)-R2033</x:f>
        <x:v>6.811111111111111</x:v>
      </x:c>
    </x:row>
    <x:row r="2034" ht="21" customHeight="1">
      <x:c r="A2034" s="3" t="n">
        <x:v>33</x:v>
      </x:c>
      <x:c r="B2034" s="3" t="str">
        <x:v>05:30</x:v>
      </x:c>
      <x:c r="C2034" s="3" t="n">
        <x:v>6</x:v>
      </x:c>
      <x:c r="D2034" s="3" t="n">
        <x:v>53</x:v>
      </x:c>
      <x:c r="E2034" s="3" t="n">
        <x:v>9</x:v>
      </x:c>
      <x:c r="F2034" s="3" t="n">
        <x:v>6</x:v>
      </x:c>
      <x:c r="G2034" s="9" t="n">
        <x:v>0.15</x:v>
      </x:c>
      <x:c r="H2034" s="9" t="n">
        <x:v>1.125574</x:v>
      </x:c>
      <x:c r="I2034" s="9" t="n">
        <x:f>'Physical_Arcs'!R54</x:f>
        <x:v>9.666666666666666</x:v>
      </x:c>
      <x:c r="J2034" s="9" t="n">
        <x:f>I2034*'Parameters'!$C$18</x:f>
        <x:v>1.9333333333333333</x:v>
      </x:c>
      <x:c r="K2034" s="9" t="n">
        <x:f>J2034*'Parameters'!$C$19</x:f>
        <x:v>2.4166666666666665</x:v>
      </x:c>
      <x:c r="L2034" s="9" t="n">
        <x:f>I2034*(1-0.40)-J2034</x:f>
        <x:v>3.8666666666666663</x:v>
      </x:c>
      <x:c r="M2034" s="9" t="n">
        <x:f>'Physical_Arcs'!S54</x:f>
        <x:v>9.666666666666666</x:v>
      </x:c>
      <x:c r="N2034" s="9" t="n">
        <x:f>M2034*'Parameters'!$C$18</x:f>
        <x:v>1.9333333333333333</x:v>
      </x:c>
      <x:c r="O2034" s="9" t="n">
        <x:f>N2034*'Parameters'!$C$19</x:f>
        <x:v>2.4166666666666665</x:v>
      </x:c>
      <x:c r="P2034" s="9" t="n">
        <x:f>M2034*(1-0.40)-N2034</x:f>
        <x:v>3.8666666666666663</x:v>
      </x:c>
      <x:c r="Q2034" s="9" t="n">
        <x:f>'Physical_Arcs'!T54</x:f>
        <x:v>4.833333333333333</x:v>
      </x:c>
      <x:c r="R2034" s="9" t="n">
        <x:f>Q2034*'Parameters'!$C$18</x:f>
        <x:v>0.9666666666666667</x:v>
      </x:c>
      <x:c r="S2034" s="9" t="n">
        <x:f>R2034*'Parameters'!$C$19</x:f>
        <x:v>1.2083333333333333</x:v>
      </x:c>
      <x:c r="T2034" s="9" t="n">
        <x:f>Q2034*(1-0.40)-R2034</x:f>
        <x:v>1.9333333333333331</x:v>
      </x:c>
    </x:row>
    <x:row r="2035" ht="21" customHeight="1">
      <x:c r="A2035" s="3" t="n">
        <x:v>33</x:v>
      </x:c>
      <x:c r="B2035" s="3" t="str">
        <x:v>05:30</x:v>
      </x:c>
      <x:c r="C2035" s="3" t="n">
        <x:v>6</x:v>
      </x:c>
      <x:c r="D2035" s="3" t="n">
        <x:v>54</x:v>
      </x:c>
      <x:c r="E2035" s="3" t="n">
        <x:v>9</x:v>
      </x:c>
      <x:c r="F2035" s="3" t="n">
        <x:v>2</x:v>
      </x:c>
      <x:c r="G2035" s="9" t="n">
        <x:v>0.15</x:v>
      </x:c>
      <x:c r="H2035" s="9" t="n">
        <x:v>0.854534</x:v>
      </x:c>
      <x:c r="I2035" s="9" t="n">
        <x:f>'Physical_Arcs'!R55</x:f>
        <x:v>9.88888888888889</x:v>
      </x:c>
      <x:c r="J2035" s="9" t="n">
        <x:f>I2035*'Parameters'!$C$18</x:f>
        <x:v>1.9777777777777779</x:v>
      </x:c>
      <x:c r="K2035" s="9" t="n">
        <x:f>J2035*'Parameters'!$C$19</x:f>
        <x:v>2.4722222222222223</x:v>
      </x:c>
      <x:c r="L2035" s="9" t="n">
        <x:f>I2035*(1-0.40)-J2035</x:f>
        <x:v>3.9555555555555557</x:v>
      </x:c>
      <x:c r="M2035" s="9" t="n">
        <x:f>'Physical_Arcs'!S55</x:f>
        <x:v>9.88888888888889</x:v>
      </x:c>
      <x:c r="N2035" s="9" t="n">
        <x:f>M2035*'Parameters'!$C$18</x:f>
        <x:v>1.9777777777777779</x:v>
      </x:c>
      <x:c r="O2035" s="9" t="n">
        <x:f>N2035*'Parameters'!$C$19</x:f>
        <x:v>2.4722222222222223</x:v>
      </x:c>
      <x:c r="P2035" s="9" t="n">
        <x:f>M2035*(1-0.40)-N2035</x:f>
        <x:v>3.9555555555555557</x:v>
      </x:c>
      <x:c r="Q2035" s="9" t="n">
        <x:f>'Physical_Arcs'!T55</x:f>
        <x:v>4.944444444444445</x:v>
      </x:c>
      <x:c r="R2035" s="9" t="n">
        <x:f>Q2035*'Parameters'!$C$18</x:f>
        <x:v>0.9888888888888889</x:v>
      </x:c>
      <x:c r="S2035" s="9" t="n">
        <x:f>R2035*'Parameters'!$C$19</x:f>
        <x:v>1.2361111111111112</x:v>
      </x:c>
      <x:c r="T2035" s="9" t="n">
        <x:f>Q2035*(1-0.40)-R2035</x:f>
        <x:v>1.9777777777777779</x:v>
      </x:c>
    </x:row>
    <x:row r="2036" ht="21" customHeight="1">
      <x:c r="A2036" s="3" t="n">
        <x:v>33</x:v>
      </x:c>
      <x:c r="B2036" s="3" t="str">
        <x:v>05:30</x:v>
      </x:c>
      <x:c r="C2036" s="3" t="n">
        <x:v>6</x:v>
      </x:c>
      <x:c r="D2036" s="3" t="n">
        <x:v>55</x:v>
      </x:c>
      <x:c r="E2036" s="3" t="n">
        <x:v>9</x:v>
      </x:c>
      <x:c r="F2036" s="3" t="n">
        <x:v>7</x:v>
      </x:c>
      <x:c r="G2036" s="9" t="n">
        <x:v>0.15</x:v>
      </x:c>
      <x:c r="H2036" s="9" t="n">
        <x:v>0.900033</x:v>
      </x:c>
      <x:c r="I2036" s="9" t="n">
        <x:f>'Physical_Arcs'!R56</x:f>
        <x:v>4.166666666666667</x:v>
      </x:c>
      <x:c r="J2036" s="9" t="n">
        <x:f>I2036*'Parameters'!$C$18</x:f>
        <x:v>0.8333333333333335</x:v>
      </x:c>
      <x:c r="K2036" s="9" t="n">
        <x:f>J2036*'Parameters'!$C$19</x:f>
        <x:v>1.041666666666667</x:v>
      </x:c>
      <x:c r="L2036" s="9" t="n">
        <x:f>I2036*(1-0.40)-J2036</x:f>
        <x:v>1.6666666666666665</x:v>
      </x:c>
      <x:c r="M2036" s="9" t="n">
        <x:f>'Physical_Arcs'!S56</x:f>
        <x:v>4.166666666666667</x:v>
      </x:c>
      <x:c r="N2036" s="9" t="n">
        <x:f>M2036*'Parameters'!$C$18</x:f>
        <x:v>0.8333333333333335</x:v>
      </x:c>
      <x:c r="O2036" s="9" t="n">
        <x:f>N2036*'Parameters'!$C$19</x:f>
        <x:v>1.041666666666667</x:v>
      </x:c>
      <x:c r="P2036" s="9" t="n">
        <x:f>M2036*(1-0.40)-N2036</x:f>
        <x:v>1.6666666666666665</x:v>
      </x:c>
      <x:c r="Q2036" s="9" t="n">
        <x:f>'Physical_Arcs'!T56</x:f>
        <x:v>2.0833333333333335</x:v>
      </x:c>
      <x:c r="R2036" s="9" t="n">
        <x:f>Q2036*'Parameters'!$C$18</x:f>
        <x:v>0.41666666666666674</x:v>
      </x:c>
      <x:c r="S2036" s="9" t="n">
        <x:f>R2036*'Parameters'!$C$19</x:f>
        <x:v>0.5208333333333335</x:v>
      </x:c>
      <x:c r="T2036" s="9" t="n">
        <x:f>Q2036*(1-0.40)-R2036</x:f>
        <x:v>0.8333333333333333</x:v>
      </x:c>
    </x:row>
    <x:row r="2037" ht="21" customHeight="1">
      <x:c r="A2037" s="3" t="n">
        <x:v>33</x:v>
      </x:c>
      <x:c r="B2037" s="3" t="str">
        <x:v>05:30</x:v>
      </x:c>
      <x:c r="C2037" s="3" t="n">
        <x:v>6</x:v>
      </x:c>
      <x:c r="D2037" s="3" t="n">
        <x:v>56</x:v>
      </x:c>
      <x:c r="E2037" s="3" t="n">
        <x:v>9</x:v>
      </x:c>
      <x:c r="F2037" s="3" t="n">
        <x:v>3</x:v>
      </x:c>
      <x:c r="G2037" s="9" t="n">
        <x:v>0.15</x:v>
      </x:c>
      <x:c r="H2037" s="9" t="n">
        <x:v>0.893428</x:v>
      </x:c>
      <x:c r="I2037" s="9" t="n">
        <x:f>'Physical_Arcs'!R57</x:f>
        <x:v>3.7222222222222223</x:v>
      </x:c>
      <x:c r="J2037" s="9" t="n">
        <x:f>I2037*'Parameters'!$C$18</x:f>
        <x:v>0.7444444444444445</x:v>
      </x:c>
      <x:c r="K2037" s="9" t="n">
        <x:f>J2037*'Parameters'!$C$19</x:f>
        <x:v>0.9305555555555556</x:v>
      </x:c>
      <x:c r="L2037" s="9" t="n">
        <x:f>I2037*(1-0.40)-J2037</x:f>
        <x:v>1.488888888888889</x:v>
      </x:c>
      <x:c r="M2037" s="9" t="n">
        <x:f>'Physical_Arcs'!S57</x:f>
        <x:v>3.7222222222222223</x:v>
      </x:c>
      <x:c r="N2037" s="9" t="n">
        <x:f>M2037*'Parameters'!$C$18</x:f>
        <x:v>0.7444444444444445</x:v>
      </x:c>
      <x:c r="O2037" s="9" t="n">
        <x:f>N2037*'Parameters'!$C$19</x:f>
        <x:v>0.9305555555555556</x:v>
      </x:c>
      <x:c r="P2037" s="9" t="n">
        <x:f>M2037*(1-0.40)-N2037</x:f>
        <x:v>1.488888888888889</x:v>
      </x:c>
      <x:c r="Q2037" s="9" t="n">
        <x:f>'Physical_Arcs'!T57</x:f>
        <x:v>1.8611111111111112</x:v>
      </x:c>
      <x:c r="R2037" s="9" t="n">
        <x:f>Q2037*'Parameters'!$C$18</x:f>
        <x:v>0.37222222222222223</x:v>
      </x:c>
      <x:c r="S2037" s="9" t="n">
        <x:f>R2037*'Parameters'!$C$19</x:f>
        <x:v>0.4652777777777778</x:v>
      </x:c>
      <x:c r="T2037" s="9" t="n">
        <x:f>Q2037*(1-0.40)-R2037</x:f>
        <x:v>0.7444444444444445</x:v>
      </x:c>
    </x:row>
    <x:row r="2038" ht="21" customHeight="1">
      <x:c r="A2038" s="3" t="n">
        <x:v>33</x:v>
      </x:c>
      <x:c r="B2038" s="3" t="str">
        <x:v>05:30</x:v>
      </x:c>
      <x:c r="C2038" s="3" t="n">
        <x:v>6</x:v>
      </x:c>
      <x:c r="D2038" s="3" t="n">
        <x:v>57</x:v>
      </x:c>
      <x:c r="E2038" s="3" t="n">
        <x:v>10</x:v>
      </x:c>
      <x:c r="F2038" s="3" t="n">
        <x:v>1</x:v>
      </x:c>
      <x:c r="G2038" s="9" t="n">
        <x:v>0.15</x:v>
      </x:c>
      <x:c r="H2038" s="9" t="n">
        <x:v>1.027979</x:v>
      </x:c>
      <x:c r="I2038" s="9" t="n">
        <x:f>'Physical_Arcs'!R58</x:f>
        <x:v>17.02777777777778</x:v>
      </x:c>
      <x:c r="J2038" s="9" t="n">
        <x:f>I2038*'Parameters'!$C$18</x:f>
        <x:v>3.405555555555556</x:v>
      </x:c>
      <x:c r="K2038" s="9" t="n">
        <x:f>J2038*'Parameters'!$C$19</x:f>
        <x:v>4.256944444444445</x:v>
      </x:c>
      <x:c r="L2038" s="9" t="n">
        <x:f>I2038*(1-0.40)-J2038</x:f>
        <x:v>6.811111111111111</x:v>
      </x:c>
      <x:c r="M2038" s="9" t="n">
        <x:f>'Physical_Arcs'!S58</x:f>
        <x:v>17.02777777777778</x:v>
      </x:c>
      <x:c r="N2038" s="9" t="n">
        <x:f>M2038*'Parameters'!$C$18</x:f>
        <x:v>3.405555555555556</x:v>
      </x:c>
      <x:c r="O2038" s="9" t="n">
        <x:f>N2038*'Parameters'!$C$19</x:f>
        <x:v>4.256944444444445</x:v>
      </x:c>
      <x:c r="P2038" s="9" t="n">
        <x:f>M2038*(1-0.40)-N2038</x:f>
        <x:v>6.811111111111111</x:v>
      </x:c>
      <x:c r="Q2038" s="9" t="n">
        <x:f>'Physical_Arcs'!T58</x:f>
        <x:v>17.02777777777778</x:v>
      </x:c>
      <x:c r="R2038" s="9" t="n">
        <x:f>Q2038*'Parameters'!$C$18</x:f>
        <x:v>3.405555555555556</x:v>
      </x:c>
      <x:c r="S2038" s="9" t="n">
        <x:f>R2038*'Parameters'!$C$19</x:f>
        <x:v>4.256944444444445</x:v>
      </x:c>
      <x:c r="T2038" s="9" t="n">
        <x:f>Q2038*(1-0.40)-R2038</x:f>
        <x:v>6.811111111111111</x:v>
      </x:c>
    </x:row>
    <x:row r="2039" ht="21" customHeight="1">
      <x:c r="A2039" s="3" t="n">
        <x:v>33</x:v>
      </x:c>
      <x:c r="B2039" s="3" t="str">
        <x:v>05:30</x:v>
      </x:c>
      <x:c r="C2039" s="3" t="n">
        <x:v>6</x:v>
      </x:c>
      <x:c r="D2039" s="3" t="n">
        <x:v>58</x:v>
      </x:c>
      <x:c r="E2039" s="3" t="n">
        <x:v>10</x:v>
      </x:c>
      <x:c r="F2039" s="3" t="n">
        <x:v>6</x:v>
      </x:c>
      <x:c r="G2039" s="9" t="n">
        <x:v>0.15</x:v>
      </x:c>
      <x:c r="H2039" s="9" t="n">
        <x:v>0.952676</x:v>
      </x:c>
      <x:c r="I2039" s="9" t="n">
        <x:f>'Physical_Arcs'!R59</x:f>
        <x:v>6.305555555555555</x:v>
      </x:c>
      <x:c r="J2039" s="9" t="n">
        <x:f>I2039*'Parameters'!$C$18</x:f>
        <x:v>1.261111111111111</x:v>
      </x:c>
      <x:c r="K2039" s="9" t="n">
        <x:f>J2039*'Parameters'!$C$19</x:f>
        <x:v>1.5763888888888888</x:v>
      </x:c>
      <x:c r="L2039" s="9" t="n">
        <x:f>I2039*(1-0.40)-J2039</x:f>
        <x:v>2.522222222222222</x:v>
      </x:c>
      <x:c r="M2039" s="9" t="n">
        <x:f>'Physical_Arcs'!S59</x:f>
        <x:v>6.305555555555555</x:v>
      </x:c>
      <x:c r="N2039" s="9" t="n">
        <x:f>M2039*'Parameters'!$C$18</x:f>
        <x:v>1.261111111111111</x:v>
      </x:c>
      <x:c r="O2039" s="9" t="n">
        <x:f>N2039*'Parameters'!$C$19</x:f>
        <x:v>1.5763888888888888</x:v>
      </x:c>
      <x:c r="P2039" s="9" t="n">
        <x:f>M2039*(1-0.40)-N2039</x:f>
        <x:v>2.522222222222222</x:v>
      </x:c>
      <x:c r="Q2039" s="9" t="n">
        <x:f>'Physical_Arcs'!T59</x:f>
        <x:v>3.1666666666666665</x:v>
      </x:c>
      <x:c r="R2039" s="9" t="n">
        <x:f>Q2039*'Parameters'!$C$18</x:f>
        <x:v>0.6333333333333333</x:v>
      </x:c>
      <x:c r="S2039" s="9" t="n">
        <x:f>R2039*'Parameters'!$C$19</x:f>
        <x:v>0.7916666666666666</x:v>
      </x:c>
      <x:c r="T2039" s="9" t="n">
        <x:f>Q2039*(1-0.40)-R2039</x:f>
        <x:v>1.2666666666666666</x:v>
      </x:c>
    </x:row>
    <x:row r="2040" ht="21" customHeight="1">
      <x:c r="A2040" s="3" t="n">
        <x:v>33</x:v>
      </x:c>
      <x:c r="B2040" s="3" t="str">
        <x:v>05:30</x:v>
      </x:c>
      <x:c r="C2040" s="3" t="n">
        <x:v>6</x:v>
      </x:c>
      <x:c r="D2040" s="3" t="n">
        <x:v>59</x:v>
      </x:c>
      <x:c r="E2040" s="3" t="n">
        <x:v>10</x:v>
      </x:c>
      <x:c r="F2040" s="3" t="n">
        <x:v>4</x:v>
      </x:c>
      <x:c r="G2040" s="9" t="n">
        <x:v>0.15</x:v>
      </x:c>
      <x:c r="H2040" s="9" t="n">
        <x:v>1.114542</x:v>
      </x:c>
      <x:c r="I2040" s="9" t="n">
        <x:f>'Physical_Arcs'!R60</x:f>
        <x:v>1.5833333333333333</x:v>
      </x:c>
      <x:c r="J2040" s="9" t="n">
        <x:f>I2040*'Parameters'!$C$18</x:f>
        <x:v>0.31666666666666665</x:v>
      </x:c>
      <x:c r="K2040" s="9" t="n">
        <x:f>J2040*'Parameters'!$C$19</x:f>
        <x:v>0.3958333333333333</x:v>
      </x:c>
      <x:c r="L2040" s="9" t="n">
        <x:f>I2040*(1-0.40)-J2040</x:f>
        <x:v>0.6333333333333333</x:v>
      </x:c>
      <x:c r="M2040" s="9" t="n">
        <x:f>'Physical_Arcs'!S60</x:f>
        <x:v>1.5833333333333333</x:v>
      </x:c>
      <x:c r="N2040" s="9" t="n">
        <x:f>M2040*'Parameters'!$C$18</x:f>
        <x:v>0.31666666666666665</x:v>
      </x:c>
      <x:c r="O2040" s="9" t="n">
        <x:f>N2040*'Parameters'!$C$19</x:f>
        <x:v>0.3958333333333333</x:v>
      </x:c>
      <x:c r="P2040" s="9" t="n">
        <x:f>M2040*(1-0.40)-N2040</x:f>
        <x:v>0.6333333333333333</x:v>
      </x:c>
      <x:c r="Q2040" s="9" t="n">
        <x:f>'Physical_Arcs'!T60</x:f>
        <x:v>0.8055555555555556</x:v>
      </x:c>
      <x:c r="R2040" s="9" t="n">
        <x:f>Q2040*'Parameters'!$C$18</x:f>
        <x:v>0.16111111111111112</x:v>
      </x:c>
      <x:c r="S2040" s="9" t="n">
        <x:f>R2040*'Parameters'!$C$19</x:f>
        <x:v>0.2013888888888889</x:v>
      </x:c>
      <x:c r="T2040" s="9" t="n">
        <x:f>Q2040*(1-0.40)-R2040</x:f>
        <x:v>0.3222222222222222</x:v>
      </x:c>
    </x:row>
    <x:row r="2041" ht="21" customHeight="1">
      <x:c r="A2041" s="3" t="n">
        <x:v>33</x:v>
      </x:c>
      <x:c r="B2041" s="3" t="str">
        <x:v>05:30</x:v>
      </x:c>
      <x:c r="C2041" s="3" t="n">
        <x:v>6</x:v>
      </x:c>
      <x:c r="D2041" s="3" t="n">
        <x:v>60</x:v>
      </x:c>
      <x:c r="E2041" s="3" t="n">
        <x:v>10</x:v>
      </x:c>
      <x:c r="F2041" s="3" t="n">
        <x:v>9</x:v>
      </x:c>
      <x:c r="G2041" s="9" t="n">
        <x:v>0.15</x:v>
      </x:c>
      <x:c r="H2041" s="9" t="n">
        <x:v>1.092245</x:v>
      </x:c>
      <x:c r="I2041" s="9" t="n">
        <x:f>'Physical_Arcs'!R61</x:f>
        <x:v>10.333333333333334</x:v>
      </x:c>
      <x:c r="J2041" s="9" t="n">
        <x:f>I2041*'Parameters'!$C$18</x:f>
        <x:v>2.066666666666667</x:v>
      </x:c>
      <x:c r="K2041" s="9" t="n">
        <x:f>J2041*'Parameters'!$C$19</x:f>
        <x:v>2.5833333333333335</x:v>
      </x:c>
      <x:c r="L2041" s="9" t="n">
        <x:f>I2041*(1-0.40)-J2041</x:f>
        <x:v>4.133333333333333</x:v>
      </x:c>
      <x:c r="M2041" s="9" t="n">
        <x:f>'Physical_Arcs'!S61</x:f>
        <x:v>10.333333333333334</x:v>
      </x:c>
      <x:c r="N2041" s="9" t="n">
        <x:f>M2041*'Parameters'!$C$18</x:f>
        <x:v>2.066666666666667</x:v>
      </x:c>
      <x:c r="O2041" s="9" t="n">
        <x:f>N2041*'Parameters'!$C$19</x:f>
        <x:v>2.5833333333333335</x:v>
      </x:c>
      <x:c r="P2041" s="9" t="n">
        <x:f>M2041*(1-0.40)-N2041</x:f>
        <x:v>4.133333333333333</x:v>
      </x:c>
      <x:c r="Q2041" s="9" t="n">
        <x:f>'Physical_Arcs'!T61</x:f>
        <x:v>5.166666666666667</x:v>
      </x:c>
      <x:c r="R2041" s="9" t="n">
        <x:f>Q2041*'Parameters'!$C$18</x:f>
        <x:v>1.0333333333333334</x:v>
      </x:c>
      <x:c r="S2041" s="9" t="n">
        <x:f>R2041*'Parameters'!$C$19</x:f>
        <x:v>1.2916666666666667</x:v>
      </x:c>
      <x:c r="T2041" s="9" t="n">
        <x:f>Q2041*(1-0.40)-R2041</x:f>
        <x:v>2.0666666666666664</x:v>
      </x:c>
    </x:row>
    <x:row r="2042" ht="21" customHeight="1">
      <x:c r="A2042" s="3" t="n">
        <x:v>34</x:v>
      </x:c>
      <x:c r="B2042" s="3" t="str">
        <x:v>05:40</x:v>
      </x:c>
      <x:c r="C2042" s="3" t="n">
        <x:v>6</x:v>
      </x:c>
      <x:c r="D2042" s="3" t="n">
        <x:v>1</x:v>
      </x:c>
      <x:c r="E2042" s="3" t="n">
        <x:v>1</x:v>
      </x:c>
      <x:c r="F2042" s="3" t="n">
        <x:v>2</x:v>
      </x:c>
      <x:c r="G2042" s="9" t="n">
        <x:v>0.15</x:v>
      </x:c>
      <x:c r="H2042" s="9" t="n">
        <x:v>0.914787</x:v>
      </x:c>
      <x:c r="I2042" s="9" t="n">
        <x:f>'Physical_Arcs'!R2</x:f>
        <x:v>17.02777777777778</x:v>
      </x:c>
      <x:c r="J2042" s="9" t="n">
        <x:f>I2042*'Parameters'!$C$18</x:f>
        <x:v>3.405555555555556</x:v>
      </x:c>
      <x:c r="K2042" s="9" t="n">
        <x:f>J2042*'Parameters'!$C$19</x:f>
        <x:v>4.256944444444445</x:v>
      </x:c>
      <x:c r="L2042" s="9" t="n">
        <x:f>I2042*(1-0.40)-J2042</x:f>
        <x:v>6.811111111111111</x:v>
      </x:c>
      <x:c r="M2042" s="9" t="n">
        <x:f>'Physical_Arcs'!S2</x:f>
        <x:v>17.02777777777778</x:v>
      </x:c>
      <x:c r="N2042" s="9" t="n">
        <x:f>M2042*'Parameters'!$C$18</x:f>
        <x:v>3.405555555555556</x:v>
      </x:c>
      <x:c r="O2042" s="9" t="n">
        <x:f>N2042*'Parameters'!$C$19</x:f>
        <x:v>4.256944444444445</x:v>
      </x:c>
      <x:c r="P2042" s="9" t="n">
        <x:f>M2042*(1-0.40)-N2042</x:f>
        <x:v>6.811111111111111</x:v>
      </x:c>
      <x:c r="Q2042" s="9" t="n">
        <x:f>'Physical_Arcs'!T2</x:f>
        <x:v>17.02777777777778</x:v>
      </x:c>
      <x:c r="R2042" s="9" t="n">
        <x:f>Q2042*'Parameters'!$C$18</x:f>
        <x:v>3.405555555555556</x:v>
      </x:c>
      <x:c r="S2042" s="9" t="n">
        <x:f>R2042*'Parameters'!$C$19</x:f>
        <x:v>4.256944444444445</x:v>
      </x:c>
      <x:c r="T2042" s="9" t="n">
        <x:f>Q2042*(1-0.40)-R2042</x:f>
        <x:v>6.811111111111111</x:v>
      </x:c>
    </x:row>
    <x:row r="2043" ht="21" customHeight="1">
      <x:c r="A2043" s="3" t="n">
        <x:v>34</x:v>
      </x:c>
      <x:c r="B2043" s="3" t="str">
        <x:v>05:40</x:v>
      </x:c>
      <x:c r="C2043" s="3" t="n">
        <x:v>6</x:v>
      </x:c>
      <x:c r="D2043" s="3" t="n">
        <x:v>2</x:v>
      </x:c>
      <x:c r="E2043" s="3" t="n">
        <x:v>1</x:v>
      </x:c>
      <x:c r="F2043" s="3" t="n">
        <x:v>10</x:v>
      </x:c>
      <x:c r="G2043" s="9" t="n">
        <x:v>0.15</x:v>
      </x:c>
      <x:c r="H2043" s="9" t="n">
        <x:v>1.003995</x:v>
      </x:c>
      <x:c r="I2043" s="9" t="n">
        <x:f>'Physical_Arcs'!R3</x:f>
        <x:v>3.2777777777777777</x:v>
      </x:c>
      <x:c r="J2043" s="9" t="n">
        <x:f>I2043*'Parameters'!$C$18</x:f>
        <x:v>0.6555555555555556</x:v>
      </x:c>
      <x:c r="K2043" s="9" t="n">
        <x:f>J2043*'Parameters'!$C$19</x:f>
        <x:v>0.8194444444444444</x:v>
      </x:c>
      <x:c r="L2043" s="9" t="n">
        <x:f>I2043*(1-0.40)-J2043</x:f>
        <x:v>1.311111111111111</x:v>
      </x:c>
      <x:c r="M2043" s="9" t="n">
        <x:f>'Physical_Arcs'!S3</x:f>
        <x:v>3.2777777777777777</x:v>
      </x:c>
      <x:c r="N2043" s="9" t="n">
        <x:f>M2043*'Parameters'!$C$18</x:f>
        <x:v>0.6555555555555556</x:v>
      </x:c>
      <x:c r="O2043" s="9" t="n">
        <x:f>N2043*'Parameters'!$C$19</x:f>
        <x:v>0.8194444444444444</x:v>
      </x:c>
      <x:c r="P2043" s="9" t="n">
        <x:f>M2043*(1-0.40)-N2043</x:f>
        <x:v>1.311111111111111</x:v>
      </x:c>
      <x:c r="Q2043" s="9" t="n">
        <x:f>'Physical_Arcs'!T3</x:f>
        <x:v>1.6388888888888888</x:v>
      </x:c>
      <x:c r="R2043" s="9" t="n">
        <x:f>Q2043*'Parameters'!$C$18</x:f>
        <x:v>0.3277777777777778</x:v>
      </x:c>
      <x:c r="S2043" s="9" t="n">
        <x:f>R2043*'Parameters'!$C$19</x:f>
        <x:v>0.4097222222222222</x:v>
      </x:c>
      <x:c r="T2043" s="9" t="n">
        <x:f>Q2043*(1-0.40)-R2043</x:f>
        <x:v>0.6555555555555554</x:v>
      </x:c>
    </x:row>
    <x:row r="2044" ht="21" customHeight="1">
      <x:c r="A2044" s="3" t="n">
        <x:v>34</x:v>
      </x:c>
      <x:c r="B2044" s="3" t="str">
        <x:v>05:40</x:v>
      </x:c>
      <x:c r="C2044" s="3" t="n">
        <x:v>6</x:v>
      </x:c>
      <x:c r="D2044" s="3" t="n">
        <x:v>3</x:v>
      </x:c>
      <x:c r="E2044" s="3" t="n">
        <x:v>1</x:v>
      </x:c>
      <x:c r="F2044" s="3" t="n">
        <x:v>8</x:v>
      </x:c>
      <x:c r="G2044" s="9" t="n">
        <x:v>0.15</x:v>
      </x:c>
      <x:c r="H2044" s="9" t="n">
        <x:v>0.923863</x:v>
      </x:c>
      <x:c r="I2044" s="9" t="n">
        <x:f>'Physical_Arcs'!R4</x:f>
        <x:v>6.083333333333333</x:v>
      </x:c>
      <x:c r="J2044" s="9" t="n">
        <x:f>I2044*'Parameters'!$C$18</x:f>
        <x:v>1.2166666666666668</x:v>
      </x:c>
      <x:c r="K2044" s="9" t="n">
        <x:f>J2044*'Parameters'!$C$19</x:f>
        <x:v>1.5208333333333335</x:v>
      </x:c>
      <x:c r="L2044" s="9" t="n">
        <x:f>I2044*(1-0.40)-J2044</x:f>
        <x:v>2.4333333333333327</x:v>
      </x:c>
      <x:c r="M2044" s="9" t="n">
        <x:f>'Physical_Arcs'!S4</x:f>
        <x:v>6.083333333333333</x:v>
      </x:c>
      <x:c r="N2044" s="9" t="n">
        <x:f>M2044*'Parameters'!$C$18</x:f>
        <x:v>1.2166666666666668</x:v>
      </x:c>
      <x:c r="O2044" s="9" t="n">
        <x:f>N2044*'Parameters'!$C$19</x:f>
        <x:v>1.5208333333333335</x:v>
      </x:c>
      <x:c r="P2044" s="9" t="n">
        <x:f>M2044*(1-0.40)-N2044</x:f>
        <x:v>2.4333333333333327</x:v>
      </x:c>
      <x:c r="Q2044" s="9" t="n">
        <x:f>'Physical_Arcs'!T4</x:f>
        <x:v>3.0555555555555554</x:v>
      </x:c>
      <x:c r="R2044" s="9" t="n">
        <x:f>Q2044*'Parameters'!$C$18</x:f>
        <x:v>0.6111111111111112</x:v>
      </x:c>
      <x:c r="S2044" s="9" t="n">
        <x:f>R2044*'Parameters'!$C$19</x:f>
        <x:v>0.763888888888889</x:v>
      </x:c>
      <x:c r="T2044" s="9" t="n">
        <x:f>Q2044*(1-0.40)-R2044</x:f>
        <x:v>1.2222222222222219</x:v>
      </x:c>
    </x:row>
    <x:row r="2045" ht="21" customHeight="1">
      <x:c r="A2045" s="3" t="n">
        <x:v>34</x:v>
      </x:c>
      <x:c r="B2045" s="3" t="str">
        <x:v>05:40</x:v>
      </x:c>
      <x:c r="C2045" s="3" t="n">
        <x:v>6</x:v>
      </x:c>
      <x:c r="D2045" s="3" t="n">
        <x:v>4</x:v>
      </x:c>
      <x:c r="E2045" s="3" t="n">
        <x:v>1</x:v>
      </x:c>
      <x:c r="F2045" s="3" t="n">
        <x:v>7</x:v>
      </x:c>
      <x:c r="G2045" s="9" t="n">
        <x:v>0.15</x:v>
      </x:c>
      <x:c r="H2045" s="9" t="n">
        <x:v>1.111072</x:v>
      </x:c>
      <x:c r="I2045" s="9" t="n">
        <x:f>'Physical_Arcs'!R5</x:f>
        <x:v>9</x:v>
      </x:c>
      <x:c r="J2045" s="9" t="n">
        <x:f>I2045*'Parameters'!$C$18</x:f>
        <x:v>1.8</x:v>
      </x:c>
      <x:c r="K2045" s="9" t="n">
        <x:f>J2045*'Parameters'!$C$19</x:f>
        <x:v>2.25</x:v>
      </x:c>
      <x:c r="L2045" s="9" t="n">
        <x:f>I2045*(1-0.40)-J2045</x:f>
        <x:v>3.5999999999999996</x:v>
      </x:c>
      <x:c r="M2045" s="9" t="n">
        <x:f>'Physical_Arcs'!S5</x:f>
        <x:v>9</x:v>
      </x:c>
      <x:c r="N2045" s="9" t="n">
        <x:f>M2045*'Parameters'!$C$18</x:f>
        <x:v>1.8</x:v>
      </x:c>
      <x:c r="O2045" s="9" t="n">
        <x:f>N2045*'Parameters'!$C$19</x:f>
        <x:v>2.25</x:v>
      </x:c>
      <x:c r="P2045" s="9" t="n">
        <x:f>M2045*(1-0.40)-N2045</x:f>
        <x:v>3.5999999999999996</x:v>
      </x:c>
      <x:c r="Q2045" s="9" t="n">
        <x:f>'Physical_Arcs'!T5</x:f>
        <x:v>4.5</x:v>
      </x:c>
      <x:c r="R2045" s="9" t="n">
        <x:f>Q2045*'Parameters'!$C$18</x:f>
        <x:v>0.9</x:v>
      </x:c>
      <x:c r="S2045" s="9" t="n">
        <x:f>R2045*'Parameters'!$C$19</x:f>
        <x:v>1.125</x:v>
      </x:c>
      <x:c r="T2045" s="9" t="n">
        <x:f>Q2045*(1-0.40)-R2045</x:f>
        <x:v>1.7999999999999998</x:v>
      </x:c>
    </x:row>
    <x:row r="2046" ht="21" customHeight="1">
      <x:c r="A2046" s="3" t="n">
        <x:v>34</x:v>
      </x:c>
      <x:c r="B2046" s="3" t="str">
        <x:v>05:40</x:v>
      </x:c>
      <x:c r="C2046" s="3" t="n">
        <x:v>6</x:v>
      </x:c>
      <x:c r="D2046" s="3" t="n">
        <x:v>5</x:v>
      </x:c>
      <x:c r="E2046" s="3" t="n">
        <x:v>1</x:v>
      </x:c>
      <x:c r="F2046" s="3" t="n">
        <x:v>4</x:v>
      </x:c>
      <x:c r="G2046" s="9" t="n">
        <x:v>0.15</x:v>
      </x:c>
      <x:c r="H2046" s="9" t="n">
        <x:v>1.001665</x:v>
      </x:c>
      <x:c r="I2046" s="9" t="n">
        <x:f>'Physical_Arcs'!R6</x:f>
        <x:v>4.166666666666667</x:v>
      </x:c>
      <x:c r="J2046" s="9" t="n">
        <x:f>I2046*'Parameters'!$C$18</x:f>
        <x:v>0.8333333333333335</x:v>
      </x:c>
      <x:c r="K2046" s="9" t="n">
        <x:f>J2046*'Parameters'!$C$19</x:f>
        <x:v>1.041666666666667</x:v>
      </x:c>
      <x:c r="L2046" s="9" t="n">
        <x:f>I2046*(1-0.40)-J2046</x:f>
        <x:v>1.6666666666666665</x:v>
      </x:c>
      <x:c r="M2046" s="9" t="n">
        <x:f>'Physical_Arcs'!S6</x:f>
        <x:v>4.166666666666667</x:v>
      </x:c>
      <x:c r="N2046" s="9" t="n">
        <x:f>M2046*'Parameters'!$C$18</x:f>
        <x:v>0.8333333333333335</x:v>
      </x:c>
      <x:c r="O2046" s="9" t="n">
        <x:f>N2046*'Parameters'!$C$19</x:f>
        <x:v>1.041666666666667</x:v>
      </x:c>
      <x:c r="P2046" s="9" t="n">
        <x:f>M2046*(1-0.40)-N2046</x:f>
        <x:v>1.6666666666666665</x:v>
      </x:c>
      <x:c r="Q2046" s="9" t="n">
        <x:f>'Physical_Arcs'!T6</x:f>
        <x:v>2.0833333333333335</x:v>
      </x:c>
      <x:c r="R2046" s="9" t="n">
        <x:f>Q2046*'Parameters'!$C$18</x:f>
        <x:v>0.41666666666666674</x:v>
      </x:c>
      <x:c r="S2046" s="9" t="n">
        <x:f>R2046*'Parameters'!$C$19</x:f>
        <x:v>0.5208333333333335</x:v>
      </x:c>
      <x:c r="T2046" s="9" t="n">
        <x:f>Q2046*(1-0.40)-R2046</x:f>
        <x:v>0.8333333333333333</x:v>
      </x:c>
    </x:row>
    <x:row r="2047" ht="21" customHeight="1">
      <x:c r="A2047" s="3" t="n">
        <x:v>34</x:v>
      </x:c>
      <x:c r="B2047" s="3" t="str">
        <x:v>05:40</x:v>
      </x:c>
      <x:c r="C2047" s="3" t="n">
        <x:v>6</x:v>
      </x:c>
      <x:c r="D2047" s="3" t="n">
        <x:v>6</x:v>
      </x:c>
      <x:c r="E2047" s="3" t="n">
        <x:v>1</x:v>
      </x:c>
      <x:c r="F2047" s="3" t="n">
        <x:v>9</x:v>
      </x:c>
      <x:c r="G2047" s="9" t="n">
        <x:v>0.15</x:v>
      </x:c>
      <x:c r="H2047" s="9" t="n">
        <x:v>0.942884</x:v>
      </x:c>
      <x:c r="I2047" s="9" t="n">
        <x:f>'Physical_Arcs'!R7</x:f>
        <x:v>11.027777777777779</x:v>
      </x:c>
      <x:c r="J2047" s="9" t="n">
        <x:f>I2047*'Parameters'!$C$18</x:f>
        <x:v>2.2055555555555557</x:v>
      </x:c>
      <x:c r="K2047" s="9" t="n">
        <x:f>J2047*'Parameters'!$C$19</x:f>
        <x:v>2.7569444444444446</x:v>
      </x:c>
      <x:c r="L2047" s="9" t="n">
        <x:f>I2047*(1-0.40)-J2047</x:f>
        <x:v>4.411111111111111</x:v>
      </x:c>
      <x:c r="M2047" s="9" t="n">
        <x:f>'Physical_Arcs'!S7</x:f>
        <x:v>11.027777777777779</x:v>
      </x:c>
      <x:c r="N2047" s="9" t="n">
        <x:f>M2047*'Parameters'!$C$18</x:f>
        <x:v>2.2055555555555557</x:v>
      </x:c>
      <x:c r="O2047" s="9" t="n">
        <x:f>N2047*'Parameters'!$C$19</x:f>
        <x:v>2.7569444444444446</x:v>
      </x:c>
      <x:c r="P2047" s="9" t="n">
        <x:f>M2047*(1-0.40)-N2047</x:f>
        <x:v>4.411111111111111</x:v>
      </x:c>
      <x:c r="Q2047" s="9" t="n">
        <x:f>'Physical_Arcs'!T7</x:f>
        <x:v>5.527777777777778</x:v>
      </x:c>
      <x:c r="R2047" s="9" t="n">
        <x:f>Q2047*'Parameters'!$C$18</x:f>
        <x:v>1.1055555555555556</x:v>
      </x:c>
      <x:c r="S2047" s="9" t="n">
        <x:f>R2047*'Parameters'!$C$19</x:f>
        <x:v>1.3819444444444446</x:v>
      </x:c>
      <x:c r="T2047" s="9" t="n">
        <x:f>Q2047*(1-0.40)-R2047</x:f>
        <x:v>2.211111111111111</x:v>
      </x:c>
    </x:row>
    <x:row r="2048" ht="21" customHeight="1">
      <x:c r="A2048" s="3" t="n">
        <x:v>34</x:v>
      </x:c>
      <x:c r="B2048" s="3" t="str">
        <x:v>05:40</x:v>
      </x:c>
      <x:c r="C2048" s="3" t="n">
        <x:v>6</x:v>
      </x:c>
      <x:c r="D2048" s="3" t="n">
        <x:v>7</x:v>
      </x:c>
      <x:c r="E2048" s="3" t="n">
        <x:v>1</x:v>
      </x:c>
      <x:c r="F2048" s="3" t="n">
        <x:v>5</x:v>
      </x:c>
      <x:c r="G2048" s="9" t="n">
        <x:v>0.15</x:v>
      </x:c>
      <x:c r="H2048" s="9" t="n">
        <x:v>1.038222</x:v>
      </x:c>
      <x:c r="I2048" s="9" t="n">
        <x:f>'Physical_Arcs'!R8</x:f>
        <x:v>7.972222222222222</x:v>
      </x:c>
      <x:c r="J2048" s="9" t="n">
        <x:f>I2048*'Parameters'!$C$18</x:f>
        <x:v>1.5944444444444446</x:v>
      </x:c>
      <x:c r="K2048" s="9" t="n">
        <x:f>J2048*'Parameters'!$C$19</x:f>
        <x:v>1.9930555555555558</x:v>
      </x:c>
      <x:c r="L2048" s="9" t="n">
        <x:f>I2048*(1-0.40)-J2048</x:f>
        <x:v>3.1888888888888887</x:v>
      </x:c>
      <x:c r="M2048" s="9" t="n">
        <x:f>'Physical_Arcs'!S8</x:f>
        <x:v>7.972222222222222</x:v>
      </x:c>
      <x:c r="N2048" s="9" t="n">
        <x:f>M2048*'Parameters'!$C$18</x:f>
        <x:v>1.5944444444444446</x:v>
      </x:c>
      <x:c r="O2048" s="9" t="n">
        <x:f>N2048*'Parameters'!$C$19</x:f>
        <x:v>1.9930555555555558</x:v>
      </x:c>
      <x:c r="P2048" s="9" t="n">
        <x:f>M2048*(1-0.40)-N2048</x:f>
        <x:v>3.1888888888888887</x:v>
      </x:c>
      <x:c r="Q2048" s="9" t="n">
        <x:f>'Physical_Arcs'!T8</x:f>
        <x:v>4</x:v>
      </x:c>
      <x:c r="R2048" s="9" t="n">
        <x:f>Q2048*'Parameters'!$C$18</x:f>
        <x:v>0.8</x:v>
      </x:c>
      <x:c r="S2048" s="9" t="n">
        <x:f>R2048*'Parameters'!$C$19</x:f>
        <x:v>1</x:v>
      </x:c>
      <x:c r="T2048" s="9" t="n">
        <x:f>Q2048*(1-0.40)-R2048</x:f>
        <x:v>1.5999999999999999</x:v>
      </x:c>
    </x:row>
    <x:row r="2049" ht="21" customHeight="1">
      <x:c r="A2049" s="3" t="n">
        <x:v>34</x:v>
      </x:c>
      <x:c r="B2049" s="3" t="str">
        <x:v>05:40</x:v>
      </x:c>
      <x:c r="C2049" s="3" t="n">
        <x:v>6</x:v>
      </x:c>
      <x:c r="D2049" s="3" t="n">
        <x:v>8</x:v>
      </x:c>
      <x:c r="E2049" s="3" t="n">
        <x:v>1</x:v>
      </x:c>
      <x:c r="F2049" s="3" t="n">
        <x:v>3</x:v>
      </x:c>
      <x:c r="G2049" s="9" t="n">
        <x:v>0.15</x:v>
      </x:c>
      <x:c r="H2049" s="9" t="n">
        <x:v>1.122297</x:v>
      </x:c>
      <x:c r="I2049" s="9" t="n">
        <x:f>'Physical_Arcs'!R9</x:f>
        <x:v>4.166666666666667</x:v>
      </x:c>
      <x:c r="J2049" s="9" t="n">
        <x:f>I2049*'Parameters'!$C$18</x:f>
        <x:v>0.8333333333333335</x:v>
      </x:c>
      <x:c r="K2049" s="9" t="n">
        <x:f>J2049*'Parameters'!$C$19</x:f>
        <x:v>1.041666666666667</x:v>
      </x:c>
      <x:c r="L2049" s="9" t="n">
        <x:f>I2049*(1-0.40)-J2049</x:f>
        <x:v>1.6666666666666665</x:v>
      </x:c>
      <x:c r="M2049" s="9" t="n">
        <x:f>'Physical_Arcs'!S9</x:f>
        <x:v>4.166666666666667</x:v>
      </x:c>
      <x:c r="N2049" s="9" t="n">
        <x:f>M2049*'Parameters'!$C$18</x:f>
        <x:v>0.8333333333333335</x:v>
      </x:c>
      <x:c r="O2049" s="9" t="n">
        <x:f>N2049*'Parameters'!$C$19</x:f>
        <x:v>1.041666666666667</x:v>
      </x:c>
      <x:c r="P2049" s="9" t="n">
        <x:f>M2049*(1-0.40)-N2049</x:f>
        <x:v>1.6666666666666665</x:v>
      </x:c>
      <x:c r="Q2049" s="9" t="n">
        <x:f>'Physical_Arcs'!T9</x:f>
        <x:v>2.0833333333333335</x:v>
      </x:c>
      <x:c r="R2049" s="9" t="n">
        <x:f>Q2049*'Parameters'!$C$18</x:f>
        <x:v>0.41666666666666674</x:v>
      </x:c>
      <x:c r="S2049" s="9" t="n">
        <x:f>R2049*'Parameters'!$C$19</x:f>
        <x:v>0.5208333333333335</x:v>
      </x:c>
      <x:c r="T2049" s="9" t="n">
        <x:f>Q2049*(1-0.40)-R2049</x:f>
        <x:v>0.8333333333333333</x:v>
      </x:c>
    </x:row>
    <x:row r="2050" ht="21" customHeight="1">
      <x:c r="A2050" s="3" t="n">
        <x:v>34</x:v>
      </x:c>
      <x:c r="B2050" s="3" t="str">
        <x:v>05:40</x:v>
      </x:c>
      <x:c r="C2050" s="3" t="n">
        <x:v>6</x:v>
      </x:c>
      <x:c r="D2050" s="3" t="n">
        <x:v>9</x:v>
      </x:c>
      <x:c r="E2050" s="3" t="n">
        <x:v>1</x:v>
      </x:c>
      <x:c r="F2050" s="3" t="n">
        <x:v>6</x:v>
      </x:c>
      <x:c r="G2050" s="9" t="n">
        <x:v>0.15</x:v>
      </x:c>
      <x:c r="H2050" s="9" t="n">
        <x:v>1.132682</x:v>
      </x:c>
      <x:c r="I2050" s="9" t="n">
        <x:f>'Physical_Arcs'!R10</x:f>
        <x:v>2.138888888888889</x:v>
      </x:c>
      <x:c r="J2050" s="9" t="n">
        <x:f>I2050*'Parameters'!$C$18</x:f>
        <x:v>0.4277777777777778</x:v>
      </x:c>
      <x:c r="K2050" s="9" t="n">
        <x:f>J2050*'Parameters'!$C$19</x:f>
        <x:v>0.5347222222222223</x:v>
      </x:c>
      <x:c r="L2050" s="9" t="n">
        <x:f>I2050*(1-0.40)-J2050</x:f>
        <x:v>0.8555555555555554</x:v>
      </x:c>
      <x:c r="M2050" s="9" t="n">
        <x:f>'Physical_Arcs'!S10</x:f>
        <x:v>2.138888888888889</x:v>
      </x:c>
      <x:c r="N2050" s="9" t="n">
        <x:f>M2050*'Parameters'!$C$18</x:f>
        <x:v>0.4277777777777778</x:v>
      </x:c>
      <x:c r="O2050" s="9" t="n">
        <x:f>N2050*'Parameters'!$C$19</x:f>
        <x:v>0.5347222222222223</x:v>
      </x:c>
      <x:c r="P2050" s="9" t="n">
        <x:f>M2050*(1-0.40)-N2050</x:f>
        <x:v>0.8555555555555554</x:v>
      </x:c>
      <x:c r="Q2050" s="9" t="n">
        <x:f>'Physical_Arcs'!T10</x:f>
        <x:v>1.0833333333333333</x:v>
      </x:c>
      <x:c r="R2050" s="9" t="n">
        <x:f>Q2050*'Parameters'!$C$18</x:f>
        <x:v>0.21666666666666667</x:v>
      </x:c>
      <x:c r="S2050" s="9" t="n">
        <x:f>R2050*'Parameters'!$C$19</x:f>
        <x:v>0.27083333333333337</x:v>
      </x:c>
      <x:c r="T2050" s="9" t="n">
        <x:f>Q2050*(1-0.40)-R2050</x:f>
        <x:v>0.43333333333333324</x:v>
      </x:c>
    </x:row>
    <x:row r="2051" ht="21" customHeight="1">
      <x:c r="A2051" s="3" t="n">
        <x:v>34</x:v>
      </x:c>
      <x:c r="B2051" s="3" t="str">
        <x:v>05:40</x:v>
      </x:c>
      <x:c r="C2051" s="3" t="n">
        <x:v>6</x:v>
      </x:c>
      <x:c r="D2051" s="3" t="n">
        <x:v>10</x:v>
      </x:c>
      <x:c r="E2051" s="3" t="n">
        <x:v>2</x:v>
      </x:c>
      <x:c r="F2051" s="3" t="n">
        <x:v>3</x:v>
      </x:c>
      <x:c r="G2051" s="9" t="n">
        <x:v>0.15</x:v>
      </x:c>
      <x:c r="H2051" s="9" t="n">
        <x:v>0.871154</x:v>
      </x:c>
      <x:c r="I2051" s="9" t="n">
        <x:f>'Physical_Arcs'!R11</x:f>
        <x:v>17.02777777777778</x:v>
      </x:c>
      <x:c r="J2051" s="9" t="n">
        <x:f>I2051*'Parameters'!$C$18</x:f>
        <x:v>3.405555555555556</x:v>
      </x:c>
      <x:c r="K2051" s="9" t="n">
        <x:f>J2051*'Parameters'!$C$19</x:f>
        <x:v>4.256944444444445</x:v>
      </x:c>
      <x:c r="L2051" s="9" t="n">
        <x:f>I2051*(1-0.40)-J2051</x:f>
        <x:v>6.811111111111111</x:v>
      </x:c>
      <x:c r="M2051" s="9" t="n">
        <x:f>'Physical_Arcs'!S11</x:f>
        <x:v>17.02777777777778</x:v>
      </x:c>
      <x:c r="N2051" s="9" t="n">
        <x:f>M2051*'Parameters'!$C$18</x:f>
        <x:v>3.405555555555556</x:v>
      </x:c>
      <x:c r="O2051" s="9" t="n">
        <x:f>N2051*'Parameters'!$C$19</x:f>
        <x:v>4.256944444444445</x:v>
      </x:c>
      <x:c r="P2051" s="9" t="n">
        <x:f>M2051*(1-0.40)-N2051</x:f>
        <x:v>6.811111111111111</x:v>
      </x:c>
      <x:c r="Q2051" s="9" t="n">
        <x:f>'Physical_Arcs'!T11</x:f>
        <x:v>17.02777777777778</x:v>
      </x:c>
      <x:c r="R2051" s="9" t="n">
        <x:f>Q2051*'Parameters'!$C$18</x:f>
        <x:v>3.405555555555556</x:v>
      </x:c>
      <x:c r="S2051" s="9" t="n">
        <x:f>R2051*'Parameters'!$C$19</x:f>
        <x:v>4.256944444444445</x:v>
      </x:c>
      <x:c r="T2051" s="9" t="n">
        <x:f>Q2051*(1-0.40)-R2051</x:f>
        <x:v>6.811111111111111</x:v>
      </x:c>
    </x:row>
    <x:row r="2052" ht="21" customHeight="1">
      <x:c r="A2052" s="3" t="n">
        <x:v>34</x:v>
      </x:c>
      <x:c r="B2052" s="3" t="str">
        <x:v>05:40</x:v>
      </x:c>
      <x:c r="C2052" s="3" t="n">
        <x:v>6</x:v>
      </x:c>
      <x:c r="D2052" s="3" t="n">
        <x:v>11</x:v>
      </x:c>
      <x:c r="E2052" s="3" t="n">
        <x:v>2</x:v>
      </x:c>
      <x:c r="F2052" s="3" t="n">
        <x:v>4</x:v>
      </x:c>
      <x:c r="G2052" s="9" t="n">
        <x:v>0.15</x:v>
      </x:c>
      <x:c r="H2052" s="9" t="n">
        <x:v>1.147412</x:v>
      </x:c>
      <x:c r="I2052" s="9" t="n">
        <x:f>'Physical_Arcs'!R12</x:f>
        <x:v>7.972222222222222</x:v>
      </x:c>
      <x:c r="J2052" s="9" t="n">
        <x:f>I2052*'Parameters'!$C$18</x:f>
        <x:v>1.5944444444444446</x:v>
      </x:c>
      <x:c r="K2052" s="9" t="n">
        <x:f>J2052*'Parameters'!$C$19</x:f>
        <x:v>1.9930555555555558</x:v>
      </x:c>
      <x:c r="L2052" s="9" t="n">
        <x:f>I2052*(1-0.40)-J2052</x:f>
        <x:v>3.1888888888888887</x:v>
      </x:c>
      <x:c r="M2052" s="9" t="n">
        <x:f>'Physical_Arcs'!S12</x:f>
        <x:v>7.972222222222222</x:v>
      </x:c>
      <x:c r="N2052" s="9" t="n">
        <x:f>M2052*'Parameters'!$C$18</x:f>
        <x:v>1.5944444444444446</x:v>
      </x:c>
      <x:c r="O2052" s="9" t="n">
        <x:f>N2052*'Parameters'!$C$19</x:f>
        <x:v>1.9930555555555558</x:v>
      </x:c>
      <x:c r="P2052" s="9" t="n">
        <x:f>M2052*(1-0.40)-N2052</x:f>
        <x:v>3.1888888888888887</x:v>
      </x:c>
      <x:c r="Q2052" s="9" t="n">
        <x:f>'Physical_Arcs'!T12</x:f>
        <x:v>4</x:v>
      </x:c>
      <x:c r="R2052" s="9" t="n">
        <x:f>Q2052*'Parameters'!$C$18</x:f>
        <x:v>0.8</x:v>
      </x:c>
      <x:c r="S2052" s="9" t="n">
        <x:f>R2052*'Parameters'!$C$19</x:f>
        <x:v>1</x:v>
      </x:c>
      <x:c r="T2052" s="9" t="n">
        <x:f>Q2052*(1-0.40)-R2052</x:f>
        <x:v>1.5999999999999999</x:v>
      </x:c>
    </x:row>
    <x:row r="2053" ht="21" customHeight="1">
      <x:c r="A2053" s="3" t="n">
        <x:v>34</x:v>
      </x:c>
      <x:c r="B2053" s="3" t="str">
        <x:v>05:40</x:v>
      </x:c>
      <x:c r="C2053" s="3" t="n">
        <x:v>6</x:v>
      </x:c>
      <x:c r="D2053" s="3" t="n">
        <x:v>12</x:v>
      </x:c>
      <x:c r="E2053" s="3" t="n">
        <x:v>2</x:v>
      </x:c>
      <x:c r="F2053" s="3" t="n">
        <x:v>7</x:v>
      </x:c>
      <x:c r="G2053" s="9" t="n">
        <x:v>0.15</x:v>
      </x:c>
      <x:c r="H2053" s="9" t="n">
        <x:v>0.96729</x:v>
      </x:c>
      <x:c r="I2053" s="9" t="n">
        <x:f>'Physical_Arcs'!R13</x:f>
        <x:v>4.611111111111111</x:v>
      </x:c>
      <x:c r="J2053" s="9" t="n">
        <x:f>I2053*'Parameters'!$C$18</x:f>
        <x:v>0.9222222222222222</x:v>
      </x:c>
      <x:c r="K2053" s="9" t="n">
        <x:f>J2053*'Parameters'!$C$19</x:f>
        <x:v>1.1527777777777777</x:v>
      </x:c>
      <x:c r="L2053" s="9" t="n">
        <x:f>I2053*(1-0.40)-J2053</x:f>
        <x:v>1.844444444444444</x:v>
      </x:c>
      <x:c r="M2053" s="9" t="n">
        <x:f>'Physical_Arcs'!S13</x:f>
        <x:v>4.611111111111111</x:v>
      </x:c>
      <x:c r="N2053" s="9" t="n">
        <x:f>M2053*'Parameters'!$C$18</x:f>
        <x:v>0.9222222222222222</x:v>
      </x:c>
      <x:c r="O2053" s="9" t="n">
        <x:f>N2053*'Parameters'!$C$19</x:f>
        <x:v>1.1527777777777777</x:v>
      </x:c>
      <x:c r="P2053" s="9" t="n">
        <x:f>M2053*(1-0.40)-N2053</x:f>
        <x:v>1.844444444444444</x:v>
      </x:c>
      <x:c r="Q2053" s="9" t="n">
        <x:f>'Physical_Arcs'!T13</x:f>
        <x:v>2.3055555555555554</x:v>
      </x:c>
      <x:c r="R2053" s="9" t="n">
        <x:f>Q2053*'Parameters'!$C$18</x:f>
        <x:v>0.4611111111111111</x:v>
      </x:c>
      <x:c r="S2053" s="9" t="n">
        <x:f>R2053*'Parameters'!$C$19</x:f>
        <x:v>0.5763888888888888</x:v>
      </x:c>
      <x:c r="T2053" s="9" t="n">
        <x:f>Q2053*(1-0.40)-R2053</x:f>
        <x:v>0.922222222222222</x:v>
      </x:c>
    </x:row>
    <x:row r="2054" ht="21" customHeight="1">
      <x:c r="A2054" s="3" t="n">
        <x:v>34</x:v>
      </x:c>
      <x:c r="B2054" s="3" t="str">
        <x:v>05:40</x:v>
      </x:c>
      <x:c r="C2054" s="3" t="n">
        <x:v>6</x:v>
      </x:c>
      <x:c r="D2054" s="3" t="n">
        <x:v>13</x:v>
      </x:c>
      <x:c r="E2054" s="3" t="n">
        <x:v>2</x:v>
      </x:c>
      <x:c r="F2054" s="3" t="n">
        <x:v>9</x:v>
      </x:c>
      <x:c r="G2054" s="9" t="n">
        <x:v>0.15</x:v>
      </x:c>
      <x:c r="H2054" s="9" t="n">
        <x:v>1.117625</x:v>
      </x:c>
      <x:c r="I2054" s="9" t="n">
        <x:f>'Physical_Arcs'!R14</x:f>
        <x:v>8.666666666666666</x:v>
      </x:c>
      <x:c r="J2054" s="9" t="n">
        <x:f>I2054*'Parameters'!$C$18</x:f>
        <x:v>1.7333333333333334</x:v>
      </x:c>
      <x:c r="K2054" s="9" t="n">
        <x:f>J2054*'Parameters'!$C$19</x:f>
        <x:v>2.166666666666667</x:v>
      </x:c>
      <x:c r="L2054" s="9" t="n">
        <x:f>I2054*(1-0.40)-J2054</x:f>
        <x:v>3.466666666666666</x:v>
      </x:c>
      <x:c r="M2054" s="9" t="n">
        <x:f>'Physical_Arcs'!S14</x:f>
        <x:v>8.666666666666666</x:v>
      </x:c>
      <x:c r="N2054" s="9" t="n">
        <x:f>M2054*'Parameters'!$C$18</x:f>
        <x:v>1.7333333333333334</x:v>
      </x:c>
      <x:c r="O2054" s="9" t="n">
        <x:f>N2054*'Parameters'!$C$19</x:f>
        <x:v>2.166666666666667</x:v>
      </x:c>
      <x:c r="P2054" s="9" t="n">
        <x:f>M2054*(1-0.40)-N2054</x:f>
        <x:v>3.466666666666666</x:v>
      </x:c>
      <x:c r="Q2054" s="9" t="n">
        <x:f>'Physical_Arcs'!T14</x:f>
        <x:v>4.333333333333333</x:v>
      </x:c>
      <x:c r="R2054" s="9" t="n">
        <x:f>Q2054*'Parameters'!$C$18</x:f>
        <x:v>0.8666666666666667</x:v>
      </x:c>
      <x:c r="S2054" s="9" t="n">
        <x:f>R2054*'Parameters'!$C$19</x:f>
        <x:v>1.0833333333333335</x:v>
      </x:c>
      <x:c r="T2054" s="9" t="n">
        <x:f>Q2054*(1-0.40)-R2054</x:f>
        <x:v>1.733333333333333</x:v>
      </x:c>
    </x:row>
    <x:row r="2055" ht="21" customHeight="1">
      <x:c r="A2055" s="3" t="n">
        <x:v>34</x:v>
      </x:c>
      <x:c r="B2055" s="3" t="str">
        <x:v>05:40</x:v>
      </x:c>
      <x:c r="C2055" s="3" t="n">
        <x:v>6</x:v>
      </x:c>
      <x:c r="D2055" s="3" t="n">
        <x:v>14</x:v>
      </x:c>
      <x:c r="E2055" s="3" t="n">
        <x:v>2</x:v>
      </x:c>
      <x:c r="F2055" s="3" t="n">
        <x:v>8</x:v>
      </x:c>
      <x:c r="G2055" s="9" t="n">
        <x:v>0.15</x:v>
      </x:c>
      <x:c r="H2055" s="9" t="n">
        <x:v>1.144902</x:v>
      </x:c>
      <x:c r="I2055" s="9" t="n">
        <x:f>'Physical_Arcs'!R15</x:f>
        <x:v>7.75</x:v>
      </x:c>
      <x:c r="J2055" s="9" t="n">
        <x:f>I2055*'Parameters'!$C$18</x:f>
        <x:v>1.55</x:v>
      </x:c>
      <x:c r="K2055" s="9" t="n">
        <x:f>J2055*'Parameters'!$C$19</x:f>
        <x:v>1.9375</x:v>
      </x:c>
      <x:c r="L2055" s="9" t="n">
        <x:f>I2055*(1-0.40)-J2055</x:f>
        <x:v>3.0999999999999996</x:v>
      </x:c>
      <x:c r="M2055" s="9" t="n">
        <x:f>'Physical_Arcs'!S15</x:f>
        <x:v>7.75</x:v>
      </x:c>
      <x:c r="N2055" s="9" t="n">
        <x:f>M2055*'Parameters'!$C$18</x:f>
        <x:v>1.55</x:v>
      </x:c>
      <x:c r="O2055" s="9" t="n">
        <x:f>N2055*'Parameters'!$C$19</x:f>
        <x:v>1.9375</x:v>
      </x:c>
      <x:c r="P2055" s="9" t="n">
        <x:f>M2055*(1-0.40)-N2055</x:f>
        <x:v>3.0999999999999996</x:v>
      </x:c>
      <x:c r="Q2055" s="9" t="n">
        <x:f>'Physical_Arcs'!T15</x:f>
        <x:v>3.888888888888889</x:v>
      </x:c>
      <x:c r="R2055" s="9" t="n">
        <x:f>Q2055*'Parameters'!$C$18</x:f>
        <x:v>0.7777777777777778</x:v>
      </x:c>
      <x:c r="S2055" s="9" t="n">
        <x:f>R2055*'Parameters'!$C$19</x:f>
        <x:v>0.9722222222222222</x:v>
      </x:c>
      <x:c r="T2055" s="9" t="n">
        <x:f>Q2055*(1-0.40)-R2055</x:f>
        <x:v>1.5555555555555554</x:v>
      </x:c>
    </x:row>
    <x:row r="2056" ht="21" customHeight="1">
      <x:c r="A2056" s="3" t="n">
        <x:v>34</x:v>
      </x:c>
      <x:c r="B2056" s="3" t="str">
        <x:v>05:40</x:v>
      </x:c>
      <x:c r="C2056" s="3" t="n">
        <x:v>6</x:v>
      </x:c>
      <x:c r="D2056" s="3" t="n">
        <x:v>15</x:v>
      </x:c>
      <x:c r="E2056" s="3" t="n">
        <x:v>2</x:v>
      </x:c>
      <x:c r="F2056" s="3" t="n">
        <x:v>10</x:v>
      </x:c>
      <x:c r="G2056" s="9" t="n">
        <x:v>0.15</x:v>
      </x:c>
      <x:c r="H2056" s="9" t="n">
        <x:v>1.146684</x:v>
      </x:c>
      <x:c r="I2056" s="9" t="n">
        <x:f>'Physical_Arcs'!R16</x:f>
        <x:v>7.416666666666667</x:v>
      </x:c>
      <x:c r="J2056" s="9" t="n">
        <x:f>I2056*'Parameters'!$C$18</x:f>
        <x:v>1.4833333333333334</x:v>
      </x:c>
      <x:c r="K2056" s="9" t="n">
        <x:f>J2056*'Parameters'!$C$19</x:f>
        <x:v>1.8541666666666667</x:v>
      </x:c>
      <x:c r="L2056" s="9" t="n">
        <x:f>I2056*(1-0.40)-J2056</x:f>
        <x:v>2.966666666666667</x:v>
      </x:c>
      <x:c r="M2056" s="9" t="n">
        <x:f>'Physical_Arcs'!S16</x:f>
        <x:v>7.416666666666667</x:v>
      </x:c>
      <x:c r="N2056" s="9" t="n">
        <x:f>M2056*'Parameters'!$C$18</x:f>
        <x:v>1.4833333333333334</x:v>
      </x:c>
      <x:c r="O2056" s="9" t="n">
        <x:f>N2056*'Parameters'!$C$19</x:f>
        <x:v>1.8541666666666667</x:v>
      </x:c>
      <x:c r="P2056" s="9" t="n">
        <x:f>M2056*(1-0.40)-N2056</x:f>
        <x:v>2.966666666666667</x:v>
      </x:c>
      <x:c r="Q2056" s="9" t="n">
        <x:f>'Physical_Arcs'!T16</x:f>
        <x:v>3.7222222222222223</x:v>
      </x:c>
      <x:c r="R2056" s="9" t="n">
        <x:f>Q2056*'Parameters'!$C$18</x:f>
        <x:v>0.7444444444444445</x:v>
      </x:c>
      <x:c r="S2056" s="9" t="n">
        <x:f>R2056*'Parameters'!$C$19</x:f>
        <x:v>0.9305555555555556</x:v>
      </x:c>
      <x:c r="T2056" s="9" t="n">
        <x:f>Q2056*(1-0.40)-R2056</x:f>
        <x:v>1.488888888888889</x:v>
      </x:c>
    </x:row>
    <x:row r="2057" ht="21" customHeight="1">
      <x:c r="A2057" s="3" t="n">
        <x:v>34</x:v>
      </x:c>
      <x:c r="B2057" s="3" t="str">
        <x:v>05:40</x:v>
      </x:c>
      <x:c r="C2057" s="3" t="n">
        <x:v>6</x:v>
      </x:c>
      <x:c r="D2057" s="3" t="n">
        <x:v>16</x:v>
      </x:c>
      <x:c r="E2057" s="3" t="n">
        <x:v>3</x:v>
      </x:c>
      <x:c r="F2057" s="3" t="n">
        <x:v>4</x:v>
      </x:c>
      <x:c r="G2057" s="9" t="n">
        <x:v>0.15</x:v>
      </x:c>
      <x:c r="H2057" s="9" t="n">
        <x:v>1.017658</x:v>
      </x:c>
      <x:c r="I2057" s="9" t="n">
        <x:f>'Physical_Arcs'!R17</x:f>
        <x:v>17.02777777777778</x:v>
      </x:c>
      <x:c r="J2057" s="9" t="n">
        <x:f>I2057*'Parameters'!$C$18</x:f>
        <x:v>3.405555555555556</x:v>
      </x:c>
      <x:c r="K2057" s="9" t="n">
        <x:f>J2057*'Parameters'!$C$19</x:f>
        <x:v>4.256944444444445</x:v>
      </x:c>
      <x:c r="L2057" s="9" t="n">
        <x:f>I2057*(1-0.40)-J2057</x:f>
        <x:v>6.811111111111111</x:v>
      </x:c>
      <x:c r="M2057" s="9" t="n">
        <x:f>'Physical_Arcs'!S17</x:f>
        <x:v>17.02777777777778</x:v>
      </x:c>
      <x:c r="N2057" s="9" t="n">
        <x:f>M2057*'Parameters'!$C$18</x:f>
        <x:v>3.405555555555556</x:v>
      </x:c>
      <x:c r="O2057" s="9" t="n">
        <x:f>N2057*'Parameters'!$C$19</x:f>
        <x:v>4.256944444444445</x:v>
      </x:c>
      <x:c r="P2057" s="9" t="n">
        <x:f>M2057*(1-0.40)-N2057</x:f>
        <x:v>6.811111111111111</x:v>
      </x:c>
      <x:c r="Q2057" s="9" t="n">
        <x:f>'Physical_Arcs'!T17</x:f>
        <x:v>17.02777777777778</x:v>
      </x:c>
      <x:c r="R2057" s="9" t="n">
        <x:f>Q2057*'Parameters'!$C$18</x:f>
        <x:v>3.405555555555556</x:v>
      </x:c>
      <x:c r="S2057" s="9" t="n">
        <x:f>R2057*'Parameters'!$C$19</x:f>
        <x:v>4.256944444444445</x:v>
      </x:c>
      <x:c r="T2057" s="9" t="n">
        <x:f>Q2057*(1-0.40)-R2057</x:f>
        <x:v>6.811111111111111</x:v>
      </x:c>
    </x:row>
    <x:row r="2058" ht="21" customHeight="1">
      <x:c r="A2058" s="3" t="n">
        <x:v>34</x:v>
      </x:c>
      <x:c r="B2058" s="3" t="str">
        <x:v>05:40</x:v>
      </x:c>
      <x:c r="C2058" s="3" t="n">
        <x:v>6</x:v>
      </x:c>
      <x:c r="D2058" s="3" t="n">
        <x:v>17</x:v>
      </x:c>
      <x:c r="E2058" s="3" t="n">
        <x:v>3</x:v>
      </x:c>
      <x:c r="F2058" s="3" t="n">
        <x:v>2</x:v>
      </x:c>
      <x:c r="G2058" s="9" t="n">
        <x:v>0.15</x:v>
      </x:c>
      <x:c r="H2058" s="9" t="n">
        <x:v>0.875995</x:v>
      </x:c>
      <x:c r="I2058" s="9" t="n">
        <x:f>'Physical_Arcs'!R18</x:f>
        <x:v>10.666666666666666</x:v>
      </x:c>
      <x:c r="J2058" s="9" t="n">
        <x:f>I2058*'Parameters'!$C$18</x:f>
        <x:v>2.1333333333333333</x:v>
      </x:c>
      <x:c r="K2058" s="9" t="n">
        <x:f>J2058*'Parameters'!$C$19</x:f>
        <x:v>2.6666666666666665</x:v>
      </x:c>
      <x:c r="L2058" s="9" t="n">
        <x:f>I2058*(1-0.40)-J2058</x:f>
        <x:v>4.266666666666666</x:v>
      </x:c>
      <x:c r="M2058" s="9" t="n">
        <x:f>'Physical_Arcs'!S18</x:f>
        <x:v>10.666666666666666</x:v>
      </x:c>
      <x:c r="N2058" s="9" t="n">
        <x:f>M2058*'Parameters'!$C$18</x:f>
        <x:v>2.1333333333333333</x:v>
      </x:c>
      <x:c r="O2058" s="9" t="n">
        <x:f>N2058*'Parameters'!$C$19</x:f>
        <x:v>2.6666666666666665</x:v>
      </x:c>
      <x:c r="P2058" s="9" t="n">
        <x:f>M2058*(1-0.40)-N2058</x:f>
        <x:v>4.266666666666666</x:v>
      </x:c>
      <x:c r="Q2058" s="9" t="n">
        <x:f>'Physical_Arcs'!T18</x:f>
        <x:v>5.333333333333333</x:v>
      </x:c>
      <x:c r="R2058" s="9" t="n">
        <x:f>Q2058*'Parameters'!$C$18</x:f>
        <x:v>1.0666666666666667</x:v>
      </x:c>
      <x:c r="S2058" s="9" t="n">
        <x:f>R2058*'Parameters'!$C$19</x:f>
        <x:v>1.3333333333333333</x:v>
      </x:c>
      <x:c r="T2058" s="9" t="n">
        <x:f>Q2058*(1-0.40)-R2058</x:f>
        <x:v>2.133333333333333</x:v>
      </x:c>
    </x:row>
    <x:row r="2059" ht="21" customHeight="1">
      <x:c r="A2059" s="3" t="n">
        <x:v>34</x:v>
      </x:c>
      <x:c r="B2059" s="3" t="str">
        <x:v>05:40</x:v>
      </x:c>
      <x:c r="C2059" s="3" t="n">
        <x:v>6</x:v>
      </x:c>
      <x:c r="D2059" s="3" t="n">
        <x:v>18</x:v>
      </x:c>
      <x:c r="E2059" s="3" t="n">
        <x:v>3</x:v>
      </x:c>
      <x:c r="F2059" s="3" t="n">
        <x:v>1</x:v>
      </x:c>
      <x:c r="G2059" s="9" t="n">
        <x:v>0.15</x:v>
      </x:c>
      <x:c r="H2059" s="9" t="n">
        <x:v>1.015397</x:v>
      </x:c>
      <x:c r="I2059" s="9" t="n">
        <x:f>'Physical_Arcs'!R19</x:f>
        <x:v>5.166666666666667</x:v>
      </x:c>
      <x:c r="J2059" s="9" t="n">
        <x:f>I2059*'Parameters'!$C$18</x:f>
        <x:v>1.0333333333333334</x:v>
      </x:c>
      <x:c r="K2059" s="9" t="n">
        <x:f>J2059*'Parameters'!$C$19</x:f>
        <x:v>1.2916666666666667</x:v>
      </x:c>
      <x:c r="L2059" s="9" t="n">
        <x:f>I2059*(1-0.40)-J2059</x:f>
        <x:v>2.0666666666666664</x:v>
      </x:c>
      <x:c r="M2059" s="9" t="n">
        <x:f>'Physical_Arcs'!S19</x:f>
        <x:v>5.166666666666667</x:v>
      </x:c>
      <x:c r="N2059" s="9" t="n">
        <x:f>M2059*'Parameters'!$C$18</x:f>
        <x:v>1.0333333333333334</x:v>
      </x:c>
      <x:c r="O2059" s="9" t="n">
        <x:f>N2059*'Parameters'!$C$19</x:f>
        <x:v>1.2916666666666667</x:v>
      </x:c>
      <x:c r="P2059" s="9" t="n">
        <x:f>M2059*(1-0.40)-N2059</x:f>
        <x:v>2.0666666666666664</x:v>
      </x:c>
      <x:c r="Q2059" s="9" t="n">
        <x:f>'Physical_Arcs'!T19</x:f>
        <x:v>2.5833333333333335</x:v>
      </x:c>
      <x:c r="R2059" s="9" t="n">
        <x:f>Q2059*'Parameters'!$C$18</x:f>
        <x:v>0.5166666666666667</x:v>
      </x:c>
      <x:c r="S2059" s="9" t="n">
        <x:f>R2059*'Parameters'!$C$19</x:f>
        <x:v>0.6458333333333334</x:v>
      </x:c>
      <x:c r="T2059" s="9" t="n">
        <x:f>Q2059*(1-0.40)-R2059</x:f>
        <x:v>1.0333333333333332</x:v>
      </x:c>
    </x:row>
    <x:row r="2060" ht="21" customHeight="1">
      <x:c r="A2060" s="3" t="n">
        <x:v>34</x:v>
      </x:c>
      <x:c r="B2060" s="3" t="str">
        <x:v>05:40</x:v>
      </x:c>
      <x:c r="C2060" s="3" t="n">
        <x:v>6</x:v>
      </x:c>
      <x:c r="D2060" s="3" t="n">
        <x:v>19</x:v>
      </x:c>
      <x:c r="E2060" s="3" t="n">
        <x:v>3</x:v>
      </x:c>
      <x:c r="F2060" s="3" t="n">
        <x:v>7</x:v>
      </x:c>
      <x:c r="G2060" s="9" t="n">
        <x:v>0.15</x:v>
      </x:c>
      <x:c r="H2060" s="9" t="n">
        <x:v>0.996008</x:v>
      </x:c>
      <x:c r="I2060" s="9" t="n">
        <x:f>'Physical_Arcs'!R20</x:f>
        <x:v>5.75</x:v>
      </x:c>
      <x:c r="J2060" s="9" t="n">
        <x:f>I2060*'Parameters'!$C$18</x:f>
        <x:v>1.1500000000000001</x:v>
      </x:c>
      <x:c r="K2060" s="9" t="n">
        <x:f>J2060*'Parameters'!$C$19</x:f>
        <x:v>1.4375000000000002</x:v>
      </x:c>
      <x:c r="L2060" s="9" t="n">
        <x:f>I2060*(1-0.40)-J2060</x:f>
        <x:v>2.3</x:v>
      </x:c>
      <x:c r="M2060" s="9" t="n">
        <x:f>'Physical_Arcs'!S20</x:f>
        <x:v>5.75</x:v>
      </x:c>
      <x:c r="N2060" s="9" t="n">
        <x:f>M2060*'Parameters'!$C$18</x:f>
        <x:v>1.1500000000000001</x:v>
      </x:c>
      <x:c r="O2060" s="9" t="n">
        <x:f>N2060*'Parameters'!$C$19</x:f>
        <x:v>1.4375000000000002</x:v>
      </x:c>
      <x:c r="P2060" s="9" t="n">
        <x:f>M2060*(1-0.40)-N2060</x:f>
        <x:v>2.3</x:v>
      </x:c>
      <x:c r="Q2060" s="9" t="n">
        <x:f>'Physical_Arcs'!T20</x:f>
        <x:v>2.888888888888889</x:v>
      </x:c>
      <x:c r="R2060" s="9" t="n">
        <x:f>Q2060*'Parameters'!$C$18</x:f>
        <x:v>0.5777777777777778</x:v>
      </x:c>
      <x:c r="S2060" s="9" t="n">
        <x:f>R2060*'Parameters'!$C$19</x:f>
        <x:v>0.7222222222222223</x:v>
      </x:c>
      <x:c r="T2060" s="9" t="n">
        <x:f>Q2060*(1-0.40)-R2060</x:f>
        <x:v>1.1555555555555554</x:v>
      </x:c>
    </x:row>
    <x:row r="2061" ht="21" customHeight="1">
      <x:c r="A2061" s="3" t="n">
        <x:v>34</x:v>
      </x:c>
      <x:c r="B2061" s="3" t="str">
        <x:v>05:40</x:v>
      </x:c>
      <x:c r="C2061" s="3" t="n">
        <x:v>6</x:v>
      </x:c>
      <x:c r="D2061" s="3" t="n">
        <x:v>20</x:v>
      </x:c>
      <x:c r="E2061" s="3" t="n">
        <x:v>3</x:v>
      </x:c>
      <x:c r="F2061" s="3" t="n">
        <x:v>10</x:v>
      </x:c>
      <x:c r="G2061" s="9" t="n">
        <x:v>0.15</x:v>
      </x:c>
      <x:c r="H2061" s="9" t="n">
        <x:v>1.118855</x:v>
      </x:c>
      <x:c r="I2061" s="9" t="n">
        <x:f>'Physical_Arcs'!R21</x:f>
        <x:v>5.166666666666667</x:v>
      </x:c>
      <x:c r="J2061" s="9" t="n">
        <x:f>I2061*'Parameters'!$C$18</x:f>
        <x:v>1.0333333333333334</x:v>
      </x:c>
      <x:c r="K2061" s="9" t="n">
        <x:f>J2061*'Parameters'!$C$19</x:f>
        <x:v>1.2916666666666667</x:v>
      </x:c>
      <x:c r="L2061" s="9" t="n">
        <x:f>I2061*(1-0.40)-J2061</x:f>
        <x:v>2.0666666666666664</x:v>
      </x:c>
      <x:c r="M2061" s="9" t="n">
        <x:f>'Physical_Arcs'!S21</x:f>
        <x:v>5.166666666666667</x:v>
      </x:c>
      <x:c r="N2061" s="9" t="n">
        <x:f>M2061*'Parameters'!$C$18</x:f>
        <x:v>1.0333333333333334</x:v>
      </x:c>
      <x:c r="O2061" s="9" t="n">
        <x:f>N2061*'Parameters'!$C$19</x:f>
        <x:v>1.2916666666666667</x:v>
      </x:c>
      <x:c r="P2061" s="9" t="n">
        <x:f>M2061*(1-0.40)-N2061</x:f>
        <x:v>2.0666666666666664</x:v>
      </x:c>
      <x:c r="Q2061" s="9" t="n">
        <x:f>'Physical_Arcs'!T21</x:f>
        <x:v>2.5833333333333335</x:v>
      </x:c>
      <x:c r="R2061" s="9" t="n">
        <x:f>Q2061*'Parameters'!$C$18</x:f>
        <x:v>0.5166666666666667</x:v>
      </x:c>
      <x:c r="S2061" s="9" t="n">
        <x:f>R2061*'Parameters'!$C$19</x:f>
        <x:v>0.6458333333333334</x:v>
      </x:c>
      <x:c r="T2061" s="9" t="n">
        <x:f>Q2061*(1-0.40)-R2061</x:f>
        <x:v>1.0333333333333332</x:v>
      </x:c>
    </x:row>
    <x:row r="2062" ht="21" customHeight="1">
      <x:c r="A2062" s="3" t="n">
        <x:v>34</x:v>
      </x:c>
      <x:c r="B2062" s="3" t="str">
        <x:v>05:40</x:v>
      </x:c>
      <x:c r="C2062" s="3" t="n">
        <x:v>6</x:v>
      </x:c>
      <x:c r="D2062" s="3" t="n">
        <x:v>21</x:v>
      </x:c>
      <x:c r="E2062" s="3" t="n">
        <x:v>3</x:v>
      </x:c>
      <x:c r="F2062" s="3" t="n">
        <x:v>9</x:v>
      </x:c>
      <x:c r="G2062" s="9" t="n">
        <x:v>0.15</x:v>
      </x:c>
      <x:c r="H2062" s="9" t="n">
        <x:v>0.947299</x:v>
      </x:c>
      <x:c r="I2062" s="9" t="n">
        <x:f>'Physical_Arcs'!R22</x:f>
        <x:v>9.333333333333334</x:v>
      </x:c>
      <x:c r="J2062" s="9" t="n">
        <x:f>I2062*'Parameters'!$C$18</x:f>
        <x:v>1.866666666666667</x:v>
      </x:c>
      <x:c r="K2062" s="9" t="n">
        <x:f>J2062*'Parameters'!$C$19</x:f>
        <x:v>2.3333333333333335</x:v>
      </x:c>
      <x:c r="L2062" s="9" t="n">
        <x:f>I2062*(1-0.40)-J2062</x:f>
        <x:v>3.7333333333333334</x:v>
      </x:c>
      <x:c r="M2062" s="9" t="n">
        <x:f>'Physical_Arcs'!S22</x:f>
        <x:v>9.333333333333334</x:v>
      </x:c>
      <x:c r="N2062" s="9" t="n">
        <x:f>M2062*'Parameters'!$C$18</x:f>
        <x:v>1.866666666666667</x:v>
      </x:c>
      <x:c r="O2062" s="9" t="n">
        <x:f>N2062*'Parameters'!$C$19</x:f>
        <x:v>2.3333333333333335</x:v>
      </x:c>
      <x:c r="P2062" s="9" t="n">
        <x:f>M2062*(1-0.40)-N2062</x:f>
        <x:v>3.7333333333333334</x:v>
      </x:c>
      <x:c r="Q2062" s="9" t="n">
        <x:f>'Physical_Arcs'!T22</x:f>
        <x:v>4.666666666666667</x:v>
      </x:c>
      <x:c r="R2062" s="9" t="n">
        <x:f>Q2062*'Parameters'!$C$18</x:f>
        <x:v>0.9333333333333335</x:v>
      </x:c>
      <x:c r="S2062" s="9" t="n">
        <x:f>R2062*'Parameters'!$C$19</x:f>
        <x:v>1.1666666666666667</x:v>
      </x:c>
      <x:c r="T2062" s="9" t="n">
        <x:f>Q2062*(1-0.40)-R2062</x:f>
        <x:v>1.8666666666666667</x:v>
      </x:c>
    </x:row>
    <x:row r="2063" ht="21" customHeight="1">
      <x:c r="A2063" s="3" t="n">
        <x:v>34</x:v>
      </x:c>
      <x:c r="B2063" s="3" t="str">
        <x:v>05:40</x:v>
      </x:c>
      <x:c r="C2063" s="3" t="n">
        <x:v>6</x:v>
      </x:c>
      <x:c r="D2063" s="3" t="n">
        <x:v>22</x:v>
      </x:c>
      <x:c r="E2063" s="3" t="n">
        <x:v>4</x:v>
      </x:c>
      <x:c r="F2063" s="3" t="n">
        <x:v>5</x:v>
      </x:c>
      <x:c r="G2063" s="9" t="n">
        <x:v>0.15</x:v>
      </x:c>
      <x:c r="H2063" s="9" t="n">
        <x:v>0.958485</x:v>
      </x:c>
      <x:c r="I2063" s="9" t="n">
        <x:f>'Physical_Arcs'!R23</x:f>
        <x:v>17.02777777777778</x:v>
      </x:c>
      <x:c r="J2063" s="9" t="n">
        <x:f>I2063*'Parameters'!$C$18</x:f>
        <x:v>3.405555555555556</x:v>
      </x:c>
      <x:c r="K2063" s="9" t="n">
        <x:f>J2063*'Parameters'!$C$19</x:f>
        <x:v>4.256944444444445</x:v>
      </x:c>
      <x:c r="L2063" s="9" t="n">
        <x:f>I2063*(1-0.40)-J2063</x:f>
        <x:v>6.811111111111111</x:v>
      </x:c>
      <x:c r="M2063" s="9" t="n">
        <x:f>'Physical_Arcs'!S23</x:f>
        <x:v>17.02777777777778</x:v>
      </x:c>
      <x:c r="N2063" s="9" t="n">
        <x:f>M2063*'Parameters'!$C$18</x:f>
        <x:v>3.405555555555556</x:v>
      </x:c>
      <x:c r="O2063" s="9" t="n">
        <x:f>N2063*'Parameters'!$C$19</x:f>
        <x:v>4.256944444444445</x:v>
      </x:c>
      <x:c r="P2063" s="9" t="n">
        <x:f>M2063*(1-0.40)-N2063</x:f>
        <x:v>6.811111111111111</x:v>
      </x:c>
      <x:c r="Q2063" s="9" t="n">
        <x:f>'Physical_Arcs'!T23</x:f>
        <x:v>17.02777777777778</x:v>
      </x:c>
      <x:c r="R2063" s="9" t="n">
        <x:f>Q2063*'Parameters'!$C$18</x:f>
        <x:v>3.405555555555556</x:v>
      </x:c>
      <x:c r="S2063" s="9" t="n">
        <x:f>R2063*'Parameters'!$C$19</x:f>
        <x:v>4.256944444444445</x:v>
      </x:c>
      <x:c r="T2063" s="9" t="n">
        <x:f>Q2063*(1-0.40)-R2063</x:f>
        <x:v>6.811111111111111</x:v>
      </x:c>
    </x:row>
    <x:row r="2064" ht="21" customHeight="1">
      <x:c r="A2064" s="3" t="n">
        <x:v>34</x:v>
      </x:c>
      <x:c r="B2064" s="3" t="str">
        <x:v>05:40</x:v>
      </x:c>
      <x:c r="C2064" s="3" t="n">
        <x:v>6</x:v>
      </x:c>
      <x:c r="D2064" s="3" t="n">
        <x:v>23</x:v>
      </x:c>
      <x:c r="E2064" s="3" t="n">
        <x:v>4</x:v>
      </x:c>
      <x:c r="F2064" s="3" t="n">
        <x:v>3</x:v>
      </x:c>
      <x:c r="G2064" s="9" t="n">
        <x:v>0.15</x:v>
      </x:c>
      <x:c r="H2064" s="9" t="n">
        <x:v>0.944916</x:v>
      </x:c>
      <x:c r="I2064" s="9" t="n">
        <x:f>'Physical_Arcs'!R24</x:f>
        <x:v>9.333333333333334</x:v>
      </x:c>
      <x:c r="J2064" s="9" t="n">
        <x:f>I2064*'Parameters'!$C$18</x:f>
        <x:v>1.866666666666667</x:v>
      </x:c>
      <x:c r="K2064" s="9" t="n">
        <x:f>J2064*'Parameters'!$C$19</x:f>
        <x:v>2.3333333333333335</x:v>
      </x:c>
      <x:c r="L2064" s="9" t="n">
        <x:f>I2064*(1-0.40)-J2064</x:f>
        <x:v>3.7333333333333334</x:v>
      </x:c>
      <x:c r="M2064" s="9" t="n">
        <x:f>'Physical_Arcs'!S24</x:f>
        <x:v>9.333333333333334</x:v>
      </x:c>
      <x:c r="N2064" s="9" t="n">
        <x:f>M2064*'Parameters'!$C$18</x:f>
        <x:v>1.866666666666667</x:v>
      </x:c>
      <x:c r="O2064" s="9" t="n">
        <x:f>N2064*'Parameters'!$C$19</x:f>
        <x:v>2.3333333333333335</x:v>
      </x:c>
      <x:c r="P2064" s="9" t="n">
        <x:f>M2064*(1-0.40)-N2064</x:f>
        <x:v>3.7333333333333334</x:v>
      </x:c>
      <x:c r="Q2064" s="9" t="n">
        <x:f>'Physical_Arcs'!T24</x:f>
        <x:v>4.666666666666667</x:v>
      </x:c>
      <x:c r="R2064" s="9" t="n">
        <x:f>Q2064*'Parameters'!$C$18</x:f>
        <x:v>0.9333333333333335</x:v>
      </x:c>
      <x:c r="S2064" s="9" t="n">
        <x:f>R2064*'Parameters'!$C$19</x:f>
        <x:v>1.1666666666666667</x:v>
      </x:c>
      <x:c r="T2064" s="9" t="n">
        <x:f>Q2064*(1-0.40)-R2064</x:f>
        <x:v>1.8666666666666667</x:v>
      </x:c>
    </x:row>
    <x:row r="2065" ht="21" customHeight="1">
      <x:c r="A2065" s="3" t="n">
        <x:v>34</x:v>
      </x:c>
      <x:c r="B2065" s="3" t="str">
        <x:v>05:40</x:v>
      </x:c>
      <x:c r="C2065" s="3" t="n">
        <x:v>6</x:v>
      </x:c>
      <x:c r="D2065" s="3" t="n">
        <x:v>24</x:v>
      </x:c>
      <x:c r="E2065" s="3" t="n">
        <x:v>4</x:v>
      </x:c>
      <x:c r="F2065" s="3" t="n">
        <x:v>10</x:v>
      </x:c>
      <x:c r="G2065" s="9" t="n">
        <x:v>0.15</x:v>
      </x:c>
      <x:c r="H2065" s="9" t="n">
        <x:v>0.875461</x:v>
      </x:c>
      <x:c r="I2065" s="9" t="n">
        <x:f>'Physical_Arcs'!R25</x:f>
        <x:v>7.194444444444445</x:v>
      </x:c>
      <x:c r="J2065" s="9" t="n">
        <x:f>I2065*'Parameters'!$C$18</x:f>
        <x:v>1.438888888888889</x:v>
      </x:c>
      <x:c r="K2065" s="9" t="n">
        <x:f>J2065*'Parameters'!$C$19</x:f>
        <x:v>1.7986111111111114</x:v>
      </x:c>
      <x:c r="L2065" s="9" t="n">
        <x:f>I2065*(1-0.40)-J2065</x:f>
        <x:v>2.8777777777777773</x:v>
      </x:c>
      <x:c r="M2065" s="9" t="n">
        <x:f>'Physical_Arcs'!S25</x:f>
        <x:v>7.194444444444445</x:v>
      </x:c>
      <x:c r="N2065" s="9" t="n">
        <x:f>M2065*'Parameters'!$C$18</x:f>
        <x:v>1.438888888888889</x:v>
      </x:c>
      <x:c r="O2065" s="9" t="n">
        <x:f>N2065*'Parameters'!$C$19</x:f>
        <x:v>1.7986111111111114</x:v>
      </x:c>
      <x:c r="P2065" s="9" t="n">
        <x:f>M2065*(1-0.40)-N2065</x:f>
        <x:v>2.8777777777777773</x:v>
      </x:c>
      <x:c r="Q2065" s="9" t="n">
        <x:f>'Physical_Arcs'!T25</x:f>
        <x:v>3.611111111111111</x:v>
      </x:c>
      <x:c r="R2065" s="9" t="n">
        <x:f>Q2065*'Parameters'!$C$18</x:f>
        <x:v>0.7222222222222223</x:v>
      </x:c>
      <x:c r="S2065" s="9" t="n">
        <x:f>R2065*'Parameters'!$C$19</x:f>
        <x:v>0.9027777777777779</x:v>
      </x:c>
      <x:c r="T2065" s="9" t="n">
        <x:f>Q2065*(1-0.40)-R2065</x:f>
        <x:v>1.4444444444444442</x:v>
      </x:c>
    </x:row>
    <x:row r="2066" ht="21" customHeight="1">
      <x:c r="A2066" s="3" t="n">
        <x:v>34</x:v>
      </x:c>
      <x:c r="B2066" s="3" t="str">
        <x:v>05:40</x:v>
      </x:c>
      <x:c r="C2066" s="3" t="n">
        <x:v>6</x:v>
      </x:c>
      <x:c r="D2066" s="3" t="n">
        <x:v>25</x:v>
      </x:c>
      <x:c r="E2066" s="3" t="n">
        <x:v>4</x:v>
      </x:c>
      <x:c r="F2066" s="3" t="n">
        <x:v>8</x:v>
      </x:c>
      <x:c r="G2066" s="9" t="n">
        <x:v>0.15</x:v>
      </x:c>
      <x:c r="H2066" s="9" t="n">
        <x:v>0.993326</x:v>
      </x:c>
      <x:c r="I2066" s="9" t="n">
        <x:f>'Physical_Arcs'!R26</x:f>
        <x:v>5.277777777777778</x:v>
      </x:c>
      <x:c r="J2066" s="9" t="n">
        <x:f>I2066*'Parameters'!$C$18</x:f>
        <x:v>1.0555555555555556</x:v>
      </x:c>
      <x:c r="K2066" s="9" t="n">
        <x:f>J2066*'Parameters'!$C$19</x:f>
        <x:v>1.3194444444444444</x:v>
      </x:c>
      <x:c r="L2066" s="9" t="n">
        <x:f>I2066*(1-0.40)-J2066</x:f>
        <x:v>2.1111111111111107</x:v>
      </x:c>
      <x:c r="M2066" s="9" t="n">
        <x:f>'Physical_Arcs'!S26</x:f>
        <x:v>5.277777777777778</x:v>
      </x:c>
      <x:c r="N2066" s="9" t="n">
        <x:f>M2066*'Parameters'!$C$18</x:f>
        <x:v>1.0555555555555556</x:v>
      </x:c>
      <x:c r="O2066" s="9" t="n">
        <x:f>N2066*'Parameters'!$C$19</x:f>
        <x:v>1.3194444444444444</x:v>
      </x:c>
      <x:c r="P2066" s="9" t="n">
        <x:f>M2066*(1-0.40)-N2066</x:f>
        <x:v>2.1111111111111107</x:v>
      </x:c>
      <x:c r="Q2066" s="9" t="n">
        <x:f>'Physical_Arcs'!T26</x:f>
        <x:v>2.638888888888889</x:v>
      </x:c>
      <x:c r="R2066" s="9" t="n">
        <x:f>Q2066*'Parameters'!$C$18</x:f>
        <x:v>0.5277777777777778</x:v>
      </x:c>
      <x:c r="S2066" s="9" t="n">
        <x:f>R2066*'Parameters'!$C$19</x:f>
        <x:v>0.6597222222222222</x:v>
      </x:c>
      <x:c r="T2066" s="9" t="n">
        <x:f>Q2066*(1-0.40)-R2066</x:f>
        <x:v>1.0555555555555554</x:v>
      </x:c>
    </x:row>
    <x:row r="2067" ht="21" customHeight="1">
      <x:c r="A2067" s="3" t="n">
        <x:v>34</x:v>
      </x:c>
      <x:c r="B2067" s="3" t="str">
        <x:v>05:40</x:v>
      </x:c>
      <x:c r="C2067" s="3" t="n">
        <x:v>6</x:v>
      </x:c>
      <x:c r="D2067" s="3" t="n">
        <x:v>26</x:v>
      </x:c>
      <x:c r="E2067" s="3" t="n">
        <x:v>4</x:v>
      </x:c>
      <x:c r="F2067" s="3" t="n">
        <x:v>7</x:v>
      </x:c>
      <x:c r="G2067" s="9" t="n">
        <x:v>0.15</x:v>
      </x:c>
      <x:c r="H2067" s="9" t="n">
        <x:v>1.099203</x:v>
      </x:c>
      <x:c r="I2067" s="9" t="n">
        <x:f>'Physical_Arcs'!R27</x:f>
        <x:v>6.527777777777778</x:v>
      </x:c>
      <x:c r="J2067" s="9" t="n">
        <x:f>I2067*'Parameters'!$C$18</x:f>
        <x:v>1.3055555555555556</x:v>
      </x:c>
      <x:c r="K2067" s="9" t="n">
        <x:f>J2067*'Parameters'!$C$19</x:f>
        <x:v>1.6319444444444444</x:v>
      </x:c>
      <x:c r="L2067" s="9" t="n">
        <x:f>I2067*(1-0.40)-J2067</x:f>
        <x:v>2.6111111111111107</x:v>
      </x:c>
      <x:c r="M2067" s="9" t="n">
        <x:f>'Physical_Arcs'!S27</x:f>
        <x:v>6.527777777777778</x:v>
      </x:c>
      <x:c r="N2067" s="9" t="n">
        <x:f>M2067*'Parameters'!$C$18</x:f>
        <x:v>1.3055555555555556</x:v>
      </x:c>
      <x:c r="O2067" s="9" t="n">
        <x:f>N2067*'Parameters'!$C$19</x:f>
        <x:v>1.6319444444444444</x:v>
      </x:c>
      <x:c r="P2067" s="9" t="n">
        <x:f>M2067*(1-0.40)-N2067</x:f>
        <x:v>2.6111111111111107</x:v>
      </x:c>
      <x:c r="Q2067" s="9" t="n">
        <x:f>'Physical_Arcs'!T27</x:f>
        <x:v>3.2777777777777777</x:v>
      </x:c>
      <x:c r="R2067" s="9" t="n">
        <x:f>Q2067*'Parameters'!$C$18</x:f>
        <x:v>0.6555555555555556</x:v>
      </x:c>
      <x:c r="S2067" s="9" t="n">
        <x:f>R2067*'Parameters'!$C$19</x:f>
        <x:v>0.8194444444444444</x:v>
      </x:c>
      <x:c r="T2067" s="9" t="n">
        <x:f>Q2067*(1-0.40)-R2067</x:f>
        <x:v>1.311111111111111</x:v>
      </x:c>
    </x:row>
    <x:row r="2068" ht="21" customHeight="1">
      <x:c r="A2068" s="3" t="n">
        <x:v>34</x:v>
      </x:c>
      <x:c r="B2068" s="3" t="str">
        <x:v>05:40</x:v>
      </x:c>
      <x:c r="C2068" s="3" t="n">
        <x:v>6</x:v>
      </x:c>
      <x:c r="D2068" s="3" t="n">
        <x:v>27</x:v>
      </x:c>
      <x:c r="E2068" s="3" t="n">
        <x:v>4</x:v>
      </x:c>
      <x:c r="F2068" s="3" t="n">
        <x:v>2</x:v>
      </x:c>
      <x:c r="G2068" s="9" t="n">
        <x:v>0.15</x:v>
      </x:c>
      <x:c r="H2068" s="9" t="n">
        <x:v>0.861111</x:v>
      </x:c>
      <x:c r="I2068" s="9" t="n">
        <x:f>'Physical_Arcs'!R28</x:f>
        <x:v>4.944444444444445</x:v>
      </x:c>
      <x:c r="J2068" s="9" t="n">
        <x:f>I2068*'Parameters'!$C$18</x:f>
        <x:v>0.9888888888888889</x:v>
      </x:c>
      <x:c r="K2068" s="9" t="n">
        <x:f>J2068*'Parameters'!$C$19</x:f>
        <x:v>1.2361111111111112</x:v>
      </x:c>
      <x:c r="L2068" s="9" t="n">
        <x:f>I2068*(1-0.40)-J2068</x:f>
        <x:v>1.9777777777777779</x:v>
      </x:c>
      <x:c r="M2068" s="9" t="n">
        <x:f>'Physical_Arcs'!S28</x:f>
        <x:v>4.944444444444445</x:v>
      </x:c>
      <x:c r="N2068" s="9" t="n">
        <x:f>M2068*'Parameters'!$C$18</x:f>
        <x:v>0.9888888888888889</x:v>
      </x:c>
      <x:c r="O2068" s="9" t="n">
        <x:f>N2068*'Parameters'!$C$19</x:f>
        <x:v>1.2361111111111112</x:v>
      </x:c>
      <x:c r="P2068" s="9" t="n">
        <x:f>M2068*(1-0.40)-N2068</x:f>
        <x:v>1.9777777777777779</x:v>
      </x:c>
      <x:c r="Q2068" s="9" t="n">
        <x:f>'Physical_Arcs'!T28</x:f>
        <x:v>2.4722222222222223</x:v>
      </x:c>
      <x:c r="R2068" s="9" t="n">
        <x:f>Q2068*'Parameters'!$C$18</x:f>
        <x:v>0.49444444444444446</x:v>
      </x:c>
      <x:c r="S2068" s="9" t="n">
        <x:f>R2068*'Parameters'!$C$19</x:f>
        <x:v>0.6180555555555556</x:v>
      </x:c>
      <x:c r="T2068" s="9" t="n">
        <x:f>Q2068*(1-0.40)-R2068</x:f>
        <x:v>0.9888888888888889</x:v>
      </x:c>
    </x:row>
    <x:row r="2069" ht="21" customHeight="1">
      <x:c r="A2069" s="3" t="n">
        <x:v>34</x:v>
      </x:c>
      <x:c r="B2069" s="3" t="str">
        <x:v>05:40</x:v>
      </x:c>
      <x:c r="C2069" s="3" t="n">
        <x:v>6</x:v>
      </x:c>
      <x:c r="D2069" s="3" t="n">
        <x:v>28</x:v>
      </x:c>
      <x:c r="E2069" s="3" t="n">
        <x:v>4</x:v>
      </x:c>
      <x:c r="F2069" s="3" t="n">
        <x:v>6</x:v>
      </x:c>
      <x:c r="G2069" s="9" t="n">
        <x:v>0.15</x:v>
      </x:c>
      <x:c r="H2069" s="9" t="n">
        <x:v>1.137214</x:v>
      </x:c>
      <x:c r="I2069" s="9" t="n">
        <x:f>'Physical_Arcs'!R29</x:f>
        <x:v>3.388888888888889</x:v>
      </x:c>
      <x:c r="J2069" s="9" t="n">
        <x:f>I2069*'Parameters'!$C$18</x:f>
        <x:v>0.6777777777777778</x:v>
      </x:c>
      <x:c r="K2069" s="9" t="n">
        <x:f>J2069*'Parameters'!$C$19</x:f>
        <x:v>0.8472222222222223</x:v>
      </x:c>
      <x:c r="L2069" s="9" t="n">
        <x:f>I2069*(1-0.40)-J2069</x:f>
        <x:v>1.3555555555555554</x:v>
      </x:c>
      <x:c r="M2069" s="9" t="n">
        <x:f>'Physical_Arcs'!S29</x:f>
        <x:v>3.388888888888889</x:v>
      </x:c>
      <x:c r="N2069" s="9" t="n">
        <x:f>M2069*'Parameters'!$C$18</x:f>
        <x:v>0.6777777777777778</x:v>
      </x:c>
      <x:c r="O2069" s="9" t="n">
        <x:f>N2069*'Parameters'!$C$19</x:f>
        <x:v>0.8472222222222223</x:v>
      </x:c>
      <x:c r="P2069" s="9" t="n">
        <x:f>M2069*(1-0.40)-N2069</x:f>
        <x:v>1.3555555555555554</x:v>
      </x:c>
      <x:c r="Q2069" s="9" t="n">
        <x:f>'Physical_Arcs'!T29</x:f>
        <x:v>1.6944444444444444</x:v>
      </x:c>
      <x:c r="R2069" s="9" t="n">
        <x:f>Q2069*'Parameters'!$C$18</x:f>
        <x:v>0.3388888888888889</x:v>
      </x:c>
      <x:c r="S2069" s="9" t="n">
        <x:f>R2069*'Parameters'!$C$19</x:f>
        <x:v>0.42361111111111116</x:v>
      </x:c>
      <x:c r="T2069" s="9" t="n">
        <x:f>Q2069*(1-0.40)-R2069</x:f>
        <x:v>0.6777777777777777</x:v>
      </x:c>
    </x:row>
    <x:row r="2070" ht="21" customHeight="1">
      <x:c r="A2070" s="3" t="n">
        <x:v>34</x:v>
      </x:c>
      <x:c r="B2070" s="3" t="str">
        <x:v>05:40</x:v>
      </x:c>
      <x:c r="C2070" s="3" t="n">
        <x:v>6</x:v>
      </x:c>
      <x:c r="D2070" s="3" t="n">
        <x:v>29</x:v>
      </x:c>
      <x:c r="E2070" s="3" t="n">
        <x:v>5</x:v>
      </x:c>
      <x:c r="F2070" s="3" t="n">
        <x:v>6</x:v>
      </x:c>
      <x:c r="G2070" s="9" t="n">
        <x:v>0.15</x:v>
      </x:c>
      <x:c r="H2070" s="9" t="n">
        <x:v>0.949994</x:v>
      </x:c>
      <x:c r="I2070" s="9" t="n">
        <x:f>'Physical_Arcs'!R30</x:f>
        <x:v>17.02777777777778</x:v>
      </x:c>
      <x:c r="J2070" s="9" t="n">
        <x:f>I2070*'Parameters'!$C$18</x:f>
        <x:v>3.405555555555556</x:v>
      </x:c>
      <x:c r="K2070" s="9" t="n">
        <x:f>J2070*'Parameters'!$C$19</x:f>
        <x:v>4.256944444444445</x:v>
      </x:c>
      <x:c r="L2070" s="9" t="n">
        <x:f>I2070*(1-0.40)-J2070</x:f>
        <x:v>6.811111111111111</x:v>
      </x:c>
      <x:c r="M2070" s="9" t="n">
        <x:f>'Physical_Arcs'!S30</x:f>
        <x:v>17.02777777777778</x:v>
      </x:c>
      <x:c r="N2070" s="9" t="n">
        <x:f>M2070*'Parameters'!$C$18</x:f>
        <x:v>3.405555555555556</x:v>
      </x:c>
      <x:c r="O2070" s="9" t="n">
        <x:f>N2070*'Parameters'!$C$19</x:f>
        <x:v>4.256944444444445</x:v>
      </x:c>
      <x:c r="P2070" s="9" t="n">
        <x:f>M2070*(1-0.40)-N2070</x:f>
        <x:v>6.811111111111111</x:v>
      </x:c>
      <x:c r="Q2070" s="9" t="n">
        <x:f>'Physical_Arcs'!T30</x:f>
        <x:v>17.02777777777778</x:v>
      </x:c>
      <x:c r="R2070" s="9" t="n">
        <x:f>Q2070*'Parameters'!$C$18</x:f>
        <x:v>3.405555555555556</x:v>
      </x:c>
      <x:c r="S2070" s="9" t="n">
        <x:f>R2070*'Parameters'!$C$19</x:f>
        <x:v>4.256944444444445</x:v>
      </x:c>
      <x:c r="T2070" s="9" t="n">
        <x:f>Q2070*(1-0.40)-R2070</x:f>
        <x:v>6.811111111111111</x:v>
      </x:c>
    </x:row>
    <x:row r="2071" ht="21" customHeight="1">
      <x:c r="A2071" s="3" t="n">
        <x:v>34</x:v>
      </x:c>
      <x:c r="B2071" s="3" t="str">
        <x:v>05:40</x:v>
      </x:c>
      <x:c r="C2071" s="3" t="n">
        <x:v>6</x:v>
      </x:c>
      <x:c r="D2071" s="3" t="n">
        <x:v>30</x:v>
      </x:c>
      <x:c r="E2071" s="3" t="n">
        <x:v>5</x:v>
      </x:c>
      <x:c r="F2071" s="3" t="n">
        <x:v>2</x:v>
      </x:c>
      <x:c r="G2071" s="9" t="n">
        <x:v>0.15</x:v>
      </x:c>
      <x:c r="H2071" s="9" t="n">
        <x:v>0.882396</x:v>
      </x:c>
      <x:c r="I2071" s="9" t="n">
        <x:f>'Physical_Arcs'!R31</x:f>
        <x:v>2.9444444444444446</x:v>
      </x:c>
      <x:c r="J2071" s="9" t="n">
        <x:f>I2071*'Parameters'!$C$18</x:f>
        <x:v>0.5888888888888889</x:v>
      </x:c>
      <x:c r="K2071" s="9" t="n">
        <x:f>J2071*'Parameters'!$C$19</x:f>
        <x:v>0.7361111111111112</x:v>
      </x:c>
      <x:c r="L2071" s="9" t="n">
        <x:f>I2071*(1-0.40)-J2071</x:f>
        <x:v>1.177777777777778</x:v>
      </x:c>
      <x:c r="M2071" s="9" t="n">
        <x:f>'Physical_Arcs'!S31</x:f>
        <x:v>2.9444444444444446</x:v>
      </x:c>
      <x:c r="N2071" s="9" t="n">
        <x:f>M2071*'Parameters'!$C$18</x:f>
        <x:v>0.5888888888888889</x:v>
      </x:c>
      <x:c r="O2071" s="9" t="n">
        <x:f>N2071*'Parameters'!$C$19</x:f>
        <x:v>0.7361111111111112</x:v>
      </x:c>
      <x:c r="P2071" s="9" t="n">
        <x:f>M2071*(1-0.40)-N2071</x:f>
        <x:v>1.177777777777778</x:v>
      </x:c>
      <x:c r="Q2071" s="9" t="n">
        <x:f>'Physical_Arcs'!T31</x:f>
        <x:v>1.4722222222222223</x:v>
      </x:c>
      <x:c r="R2071" s="9" t="n">
        <x:f>Q2071*'Parameters'!$C$18</x:f>
        <x:v>0.29444444444444445</x:v>
      </x:c>
      <x:c r="S2071" s="9" t="n">
        <x:f>R2071*'Parameters'!$C$19</x:f>
        <x:v>0.3680555555555556</x:v>
      </x:c>
      <x:c r="T2071" s="9" t="n">
        <x:f>Q2071*(1-0.40)-R2071</x:f>
        <x:v>0.588888888888889</x:v>
      </x:c>
    </x:row>
    <x:row r="2072" ht="21" customHeight="1">
      <x:c r="A2072" s="3" t="n">
        <x:v>34</x:v>
      </x:c>
      <x:c r="B2072" s="3" t="str">
        <x:v>05:40</x:v>
      </x:c>
      <x:c r="C2072" s="3" t="n">
        <x:v>6</x:v>
      </x:c>
      <x:c r="D2072" s="3" t="n">
        <x:v>31</x:v>
      </x:c>
      <x:c r="E2072" s="3" t="n">
        <x:v>5</x:v>
      </x:c>
      <x:c r="F2072" s="3" t="n">
        <x:v>8</x:v>
      </x:c>
      <x:c r="G2072" s="9" t="n">
        <x:v>0.15</x:v>
      </x:c>
      <x:c r="H2072" s="9" t="n">
        <x:v>0.986718</x:v>
      </x:c>
      <x:c r="I2072" s="9" t="n">
        <x:f>'Physical_Arcs'!R32</x:f>
        <x:v>9.333333333333334</x:v>
      </x:c>
      <x:c r="J2072" s="9" t="n">
        <x:f>I2072*'Parameters'!$C$18</x:f>
        <x:v>1.866666666666667</x:v>
      </x:c>
      <x:c r="K2072" s="9" t="n">
        <x:f>J2072*'Parameters'!$C$19</x:f>
        <x:v>2.3333333333333335</x:v>
      </x:c>
      <x:c r="L2072" s="9" t="n">
        <x:f>I2072*(1-0.40)-J2072</x:f>
        <x:v>3.7333333333333334</x:v>
      </x:c>
      <x:c r="M2072" s="9" t="n">
        <x:f>'Physical_Arcs'!S32</x:f>
        <x:v>9.333333333333334</x:v>
      </x:c>
      <x:c r="N2072" s="9" t="n">
        <x:f>M2072*'Parameters'!$C$18</x:f>
        <x:v>1.866666666666667</x:v>
      </x:c>
      <x:c r="O2072" s="9" t="n">
        <x:f>N2072*'Parameters'!$C$19</x:f>
        <x:v>2.3333333333333335</x:v>
      </x:c>
      <x:c r="P2072" s="9" t="n">
        <x:f>M2072*(1-0.40)-N2072</x:f>
        <x:v>3.7333333333333334</x:v>
      </x:c>
      <x:c r="Q2072" s="9" t="n">
        <x:f>'Physical_Arcs'!T32</x:f>
        <x:v>4.666666666666667</x:v>
      </x:c>
      <x:c r="R2072" s="9" t="n">
        <x:f>Q2072*'Parameters'!$C$18</x:f>
        <x:v>0.9333333333333335</x:v>
      </x:c>
      <x:c r="S2072" s="9" t="n">
        <x:f>R2072*'Parameters'!$C$19</x:f>
        <x:v>1.1666666666666667</x:v>
      </x:c>
      <x:c r="T2072" s="9" t="n">
        <x:f>Q2072*(1-0.40)-R2072</x:f>
        <x:v>1.8666666666666667</x:v>
      </x:c>
    </x:row>
    <x:row r="2073" ht="21" customHeight="1">
      <x:c r="A2073" s="3" t="n">
        <x:v>34</x:v>
      </x:c>
      <x:c r="B2073" s="3" t="str">
        <x:v>05:40</x:v>
      </x:c>
      <x:c r="C2073" s="3" t="n">
        <x:v>6</x:v>
      </x:c>
      <x:c r="D2073" s="3" t="n">
        <x:v>32</x:v>
      </x:c>
      <x:c r="E2073" s="3" t="n">
        <x:v>5</x:v>
      </x:c>
      <x:c r="F2073" s="3" t="n">
        <x:v>3</x:v>
      </x:c>
      <x:c r="G2073" s="9" t="n">
        <x:v>0.15</x:v>
      </x:c>
      <x:c r="H2073" s="9" t="n">
        <x:v>1.089544</x:v>
      </x:c>
      <x:c r="I2073" s="9" t="n">
        <x:f>'Physical_Arcs'!R33</x:f>
        <x:v>11.13888888888889</x:v>
      </x:c>
      <x:c r="J2073" s="9" t="n">
        <x:f>I2073*'Parameters'!$C$18</x:f>
        <x:v>2.227777777777778</x:v>
      </x:c>
      <x:c r="K2073" s="9" t="n">
        <x:f>J2073*'Parameters'!$C$19</x:f>
        <x:v>2.7847222222222223</x:v>
      </x:c>
      <x:c r="L2073" s="9" t="n">
        <x:f>I2073*(1-0.40)-J2073</x:f>
        <x:v>4.455555555555556</x:v>
      </x:c>
      <x:c r="M2073" s="9" t="n">
        <x:f>'Physical_Arcs'!S33</x:f>
        <x:v>11.13888888888889</x:v>
      </x:c>
      <x:c r="N2073" s="9" t="n">
        <x:f>M2073*'Parameters'!$C$18</x:f>
        <x:v>2.227777777777778</x:v>
      </x:c>
      <x:c r="O2073" s="9" t="n">
        <x:f>N2073*'Parameters'!$C$19</x:f>
        <x:v>2.7847222222222223</x:v>
      </x:c>
      <x:c r="P2073" s="9" t="n">
        <x:f>M2073*(1-0.40)-N2073</x:f>
        <x:v>4.455555555555556</x:v>
      </x:c>
      <x:c r="Q2073" s="9" t="n">
        <x:f>'Physical_Arcs'!T33</x:f>
        <x:v>5.583333333333333</x:v>
      </x:c>
      <x:c r="R2073" s="9" t="n">
        <x:f>Q2073*'Parameters'!$C$18</x:f>
        <x:v>1.1166666666666667</x:v>
      </x:c>
      <x:c r="S2073" s="9" t="n">
        <x:f>R2073*'Parameters'!$C$19</x:f>
        <x:v>1.3958333333333335</x:v>
      </x:c>
      <x:c r="T2073" s="9" t="n">
        <x:f>Q2073*(1-0.40)-R2073</x:f>
        <x:v>2.233333333333333</x:v>
      </x:c>
    </x:row>
    <x:row r="2074" ht="21" customHeight="1">
      <x:c r="A2074" s="3" t="n">
        <x:v>34</x:v>
      </x:c>
      <x:c r="B2074" s="3" t="str">
        <x:v>05:40</x:v>
      </x:c>
      <x:c r="C2074" s="3" t="n">
        <x:v>6</x:v>
      </x:c>
      <x:c r="D2074" s="3" t="n">
        <x:v>33</x:v>
      </x:c>
      <x:c r="E2074" s="3" t="n">
        <x:v>5</x:v>
      </x:c>
      <x:c r="F2074" s="3" t="n">
        <x:v>10</x:v>
      </x:c>
      <x:c r="G2074" s="9" t="n">
        <x:v>0.15</x:v>
      </x:c>
      <x:c r="H2074" s="9" t="n">
        <x:v>1.103596</x:v>
      </x:c>
      <x:c r="I2074" s="9" t="n">
        <x:f>'Physical_Arcs'!R34</x:f>
        <x:v>4.611111111111111</x:v>
      </x:c>
      <x:c r="J2074" s="9" t="n">
        <x:f>I2074*'Parameters'!$C$18</x:f>
        <x:v>0.9222222222222222</x:v>
      </x:c>
      <x:c r="K2074" s="9" t="n">
        <x:f>J2074*'Parameters'!$C$19</x:f>
        <x:v>1.1527777777777777</x:v>
      </x:c>
      <x:c r="L2074" s="9" t="n">
        <x:f>I2074*(1-0.40)-J2074</x:f>
        <x:v>1.844444444444444</x:v>
      </x:c>
      <x:c r="M2074" s="9" t="n">
        <x:f>'Physical_Arcs'!S34</x:f>
        <x:v>4.611111111111111</x:v>
      </x:c>
      <x:c r="N2074" s="9" t="n">
        <x:f>M2074*'Parameters'!$C$18</x:f>
        <x:v>0.9222222222222222</x:v>
      </x:c>
      <x:c r="O2074" s="9" t="n">
        <x:f>N2074*'Parameters'!$C$19</x:f>
        <x:v>1.1527777777777777</x:v>
      </x:c>
      <x:c r="P2074" s="9" t="n">
        <x:f>M2074*(1-0.40)-N2074</x:f>
        <x:v>1.844444444444444</x:v>
      </x:c>
      <x:c r="Q2074" s="9" t="n">
        <x:f>'Physical_Arcs'!T34</x:f>
        <x:v>2.3055555555555554</x:v>
      </x:c>
      <x:c r="R2074" s="9" t="n">
        <x:f>Q2074*'Parameters'!$C$18</x:f>
        <x:v>0.4611111111111111</x:v>
      </x:c>
      <x:c r="S2074" s="9" t="n">
        <x:f>R2074*'Parameters'!$C$19</x:f>
        <x:v>0.5763888888888888</x:v>
      </x:c>
      <x:c r="T2074" s="9" t="n">
        <x:f>Q2074*(1-0.40)-R2074</x:f>
        <x:v>0.922222222222222</x:v>
      </x:c>
    </x:row>
    <x:row r="2075" ht="21" customHeight="1">
      <x:c r="A2075" s="3" t="n">
        <x:v>34</x:v>
      </x:c>
      <x:c r="B2075" s="3" t="str">
        <x:v>05:40</x:v>
      </x:c>
      <x:c r="C2075" s="3" t="n">
        <x:v>6</x:v>
      </x:c>
      <x:c r="D2075" s="3" t="n">
        <x:v>34</x:v>
      </x:c>
      <x:c r="E2075" s="3" t="n">
        <x:v>6</x:v>
      </x:c>
      <x:c r="F2075" s="3" t="n">
        <x:v>7</x:v>
      </x:c>
      <x:c r="G2075" s="9" t="n">
        <x:v>0.15</x:v>
      </x:c>
      <x:c r="H2075" s="9" t="n">
        <x:v>0.973887</x:v>
      </x:c>
      <x:c r="I2075" s="9" t="n">
        <x:f>'Physical_Arcs'!R35</x:f>
        <x:v>17.02777777777778</x:v>
      </x:c>
      <x:c r="J2075" s="9" t="n">
        <x:f>I2075*'Parameters'!$C$18</x:f>
        <x:v>3.405555555555556</x:v>
      </x:c>
      <x:c r="K2075" s="9" t="n">
        <x:f>J2075*'Parameters'!$C$19</x:f>
        <x:v>4.256944444444445</x:v>
      </x:c>
      <x:c r="L2075" s="9" t="n">
        <x:f>I2075*(1-0.40)-J2075</x:f>
        <x:v>6.811111111111111</x:v>
      </x:c>
      <x:c r="M2075" s="9" t="n">
        <x:f>'Physical_Arcs'!S35</x:f>
        <x:v>17.02777777777778</x:v>
      </x:c>
      <x:c r="N2075" s="9" t="n">
        <x:f>M2075*'Parameters'!$C$18</x:f>
        <x:v>3.405555555555556</x:v>
      </x:c>
      <x:c r="O2075" s="9" t="n">
        <x:f>N2075*'Parameters'!$C$19</x:f>
        <x:v>4.256944444444445</x:v>
      </x:c>
      <x:c r="P2075" s="9" t="n">
        <x:f>M2075*(1-0.40)-N2075</x:f>
        <x:v>6.811111111111111</x:v>
      </x:c>
      <x:c r="Q2075" s="9" t="n">
        <x:f>'Physical_Arcs'!T35</x:f>
        <x:v>17.02777777777778</x:v>
      </x:c>
      <x:c r="R2075" s="9" t="n">
        <x:f>Q2075*'Parameters'!$C$18</x:f>
        <x:v>3.405555555555556</x:v>
      </x:c>
      <x:c r="S2075" s="9" t="n">
        <x:f>R2075*'Parameters'!$C$19</x:f>
        <x:v>4.256944444444445</x:v>
      </x:c>
      <x:c r="T2075" s="9" t="n">
        <x:f>Q2075*(1-0.40)-R2075</x:f>
        <x:v>6.811111111111111</x:v>
      </x:c>
    </x:row>
    <x:row r="2076" ht="21" customHeight="1">
      <x:c r="A2076" s="3" t="n">
        <x:v>34</x:v>
      </x:c>
      <x:c r="B2076" s="3" t="str">
        <x:v>05:40</x:v>
      </x:c>
      <x:c r="C2076" s="3" t="n">
        <x:v>6</x:v>
      </x:c>
      <x:c r="D2076" s="3" t="n">
        <x:v>35</x:v>
      </x:c>
      <x:c r="E2076" s="3" t="n">
        <x:v>6</x:v>
      </x:c>
      <x:c r="F2076" s="3" t="n">
        <x:v>10</x:v>
      </x:c>
      <x:c r="G2076" s="9" t="n">
        <x:v>0.15</x:v>
      </x:c>
      <x:c r="H2076" s="9" t="n">
        <x:v>1.009062</x:v>
      </x:c>
      <x:c r="I2076" s="9" t="n">
        <x:f>'Physical_Arcs'!R36</x:f>
        <x:v>4.055555555555555</x:v>
      </x:c>
      <x:c r="J2076" s="9" t="n">
        <x:f>I2076*'Parameters'!$C$18</x:f>
        <x:v>0.8111111111111111</x:v>
      </x:c>
      <x:c r="K2076" s="9" t="n">
        <x:f>J2076*'Parameters'!$C$19</x:f>
        <x:v>1.0138888888888888</x:v>
      </x:c>
      <x:c r="L2076" s="9" t="n">
        <x:f>I2076*(1-0.40)-J2076</x:f>
        <x:v>1.622222222222222</x:v>
      </x:c>
      <x:c r="M2076" s="9" t="n">
        <x:f>'Physical_Arcs'!S36</x:f>
        <x:v>4.055555555555555</x:v>
      </x:c>
      <x:c r="N2076" s="9" t="n">
        <x:f>M2076*'Parameters'!$C$18</x:f>
        <x:v>0.8111111111111111</x:v>
      </x:c>
      <x:c r="O2076" s="9" t="n">
        <x:f>N2076*'Parameters'!$C$19</x:f>
        <x:v>1.0138888888888888</x:v>
      </x:c>
      <x:c r="P2076" s="9" t="n">
        <x:f>M2076*(1-0.40)-N2076</x:f>
        <x:v>1.622222222222222</x:v>
      </x:c>
      <x:c r="Q2076" s="9" t="n">
        <x:f>'Physical_Arcs'!T36</x:f>
        <x:v>2.0277777777777777</x:v>
      </x:c>
      <x:c r="R2076" s="9" t="n">
        <x:f>Q2076*'Parameters'!$C$18</x:f>
        <x:v>0.40555555555555556</x:v>
      </x:c>
      <x:c r="S2076" s="9" t="n">
        <x:f>R2076*'Parameters'!$C$19</x:f>
        <x:v>0.5069444444444444</x:v>
      </x:c>
      <x:c r="T2076" s="9" t="n">
        <x:f>Q2076*(1-0.40)-R2076</x:f>
        <x:v>0.811111111111111</x:v>
      </x:c>
    </x:row>
    <x:row r="2077" ht="21" customHeight="1">
      <x:c r="A2077" s="3" t="n">
        <x:v>34</x:v>
      </x:c>
      <x:c r="B2077" s="3" t="str">
        <x:v>05:40</x:v>
      </x:c>
      <x:c r="C2077" s="3" t="n">
        <x:v>6</x:v>
      </x:c>
      <x:c r="D2077" s="3" t="n">
        <x:v>36</x:v>
      </x:c>
      <x:c r="E2077" s="3" t="n">
        <x:v>6</x:v>
      </x:c>
      <x:c r="F2077" s="3" t="n">
        <x:v>8</x:v>
      </x:c>
      <x:c r="G2077" s="9" t="n">
        <x:v>0.15</x:v>
      </x:c>
      <x:c r="H2077" s="9" t="n">
        <x:v>1.132129</x:v>
      </x:c>
      <x:c r="I2077" s="9" t="n">
        <x:f>'Physical_Arcs'!R37</x:f>
        <x:v>6.972222222222222</x:v>
      </x:c>
      <x:c r="J2077" s="9" t="n">
        <x:f>I2077*'Parameters'!$C$18</x:f>
        <x:v>1.3944444444444446</x:v>
      </x:c>
      <x:c r="K2077" s="9" t="n">
        <x:f>J2077*'Parameters'!$C$19</x:f>
        <x:v>1.7430555555555558</x:v>
      </x:c>
      <x:c r="L2077" s="9" t="n">
        <x:f>I2077*(1-0.40)-J2077</x:f>
        <x:v>2.7888888888888888</x:v>
      </x:c>
      <x:c r="M2077" s="9" t="n">
        <x:f>'Physical_Arcs'!S37</x:f>
        <x:v>6.972222222222222</x:v>
      </x:c>
      <x:c r="N2077" s="9" t="n">
        <x:f>M2077*'Parameters'!$C$18</x:f>
        <x:v>1.3944444444444446</x:v>
      </x:c>
      <x:c r="O2077" s="9" t="n">
        <x:f>N2077*'Parameters'!$C$19</x:f>
        <x:v>1.7430555555555558</x:v>
      </x:c>
      <x:c r="P2077" s="9" t="n">
        <x:f>M2077*(1-0.40)-N2077</x:f>
        <x:v>2.7888888888888888</x:v>
      </x:c>
      <x:c r="Q2077" s="9" t="n">
        <x:f>'Physical_Arcs'!T37</x:f>
        <x:v>3.5</x:v>
      </x:c>
      <x:c r="R2077" s="9" t="n">
        <x:f>Q2077*'Parameters'!$C$18</x:f>
        <x:v>0.7000000000000001</x:v>
      </x:c>
      <x:c r="S2077" s="9" t="n">
        <x:f>R2077*'Parameters'!$C$19</x:f>
        <x:v>0.8750000000000001</x:v>
      </x:c>
      <x:c r="T2077" s="9" t="n">
        <x:f>Q2077*(1-0.40)-R2077</x:f>
        <x:v>1.4</x:v>
      </x:c>
    </x:row>
    <x:row r="2078" ht="21" customHeight="1">
      <x:c r="A2078" s="3" t="n">
        <x:v>34</x:v>
      </x:c>
      <x:c r="B2078" s="3" t="str">
        <x:v>05:40</x:v>
      </x:c>
      <x:c r="C2078" s="3" t="n">
        <x:v>6</x:v>
      </x:c>
      <x:c r="D2078" s="3" t="n">
        <x:v>37</x:v>
      </x:c>
      <x:c r="E2078" s="3" t="n">
        <x:v>6</x:v>
      </x:c>
      <x:c r="F2078" s="3" t="n">
        <x:v>1</x:v>
      </x:c>
      <x:c r="G2078" s="9" t="n">
        <x:v>0.15</x:v>
      </x:c>
      <x:c r="H2078" s="9" t="n">
        <x:v>1.020746</x:v>
      </x:c>
      <x:c r="I2078" s="9" t="n">
        <x:f>'Physical_Arcs'!R38</x:f>
        <x:v>6.305555555555555</x:v>
      </x:c>
      <x:c r="J2078" s="9" t="n">
        <x:f>I2078*'Parameters'!$C$18</x:f>
        <x:v>1.261111111111111</x:v>
      </x:c>
      <x:c r="K2078" s="9" t="n">
        <x:f>J2078*'Parameters'!$C$19</x:f>
        <x:v>1.5763888888888888</x:v>
      </x:c>
      <x:c r="L2078" s="9" t="n">
        <x:f>I2078*(1-0.40)-J2078</x:f>
        <x:v>2.522222222222222</x:v>
      </x:c>
      <x:c r="M2078" s="9" t="n">
        <x:f>'Physical_Arcs'!S38</x:f>
        <x:v>6.305555555555555</x:v>
      </x:c>
      <x:c r="N2078" s="9" t="n">
        <x:f>M2078*'Parameters'!$C$18</x:f>
        <x:v>1.261111111111111</x:v>
      </x:c>
      <x:c r="O2078" s="9" t="n">
        <x:f>N2078*'Parameters'!$C$19</x:f>
        <x:v>1.5763888888888888</x:v>
      </x:c>
      <x:c r="P2078" s="9" t="n">
        <x:f>M2078*(1-0.40)-N2078</x:f>
        <x:v>2.522222222222222</x:v>
      </x:c>
      <x:c r="Q2078" s="9" t="n">
        <x:f>'Physical_Arcs'!T38</x:f>
        <x:v>3.1666666666666665</x:v>
      </x:c>
      <x:c r="R2078" s="9" t="n">
        <x:f>Q2078*'Parameters'!$C$18</x:f>
        <x:v>0.6333333333333333</x:v>
      </x:c>
      <x:c r="S2078" s="9" t="n">
        <x:f>R2078*'Parameters'!$C$19</x:f>
        <x:v>0.7916666666666666</x:v>
      </x:c>
      <x:c r="T2078" s="9" t="n">
        <x:f>Q2078*(1-0.40)-R2078</x:f>
        <x:v>1.2666666666666666</x:v>
      </x:c>
    </x:row>
    <x:row r="2079" ht="21" customHeight="1">
      <x:c r="A2079" s="3" t="n">
        <x:v>34</x:v>
      </x:c>
      <x:c r="B2079" s="3" t="str">
        <x:v>05:40</x:v>
      </x:c>
      <x:c r="C2079" s="3" t="n">
        <x:v>6</x:v>
      </x:c>
      <x:c r="D2079" s="3" t="n">
        <x:v>38</x:v>
      </x:c>
      <x:c r="E2079" s="3" t="n">
        <x:v>6</x:v>
      </x:c>
      <x:c r="F2079" s="3" t="n">
        <x:v>3</x:v>
      </x:c>
      <x:c r="G2079" s="9" t="n">
        <x:v>0.15</x:v>
      </x:c>
      <x:c r="H2079" s="9" t="n">
        <x:v>1.149081</x:v>
      </x:c>
      <x:c r="I2079" s="9" t="n">
        <x:f>'Physical_Arcs'!R39</x:f>
        <x:v>1.9166666666666667</x:v>
      </x:c>
      <x:c r="J2079" s="9" t="n">
        <x:f>I2079*'Parameters'!$C$18</x:f>
        <x:v>0.38333333333333336</x:v>
      </x:c>
      <x:c r="K2079" s="9" t="n">
        <x:f>J2079*'Parameters'!$C$19</x:f>
        <x:v>0.4791666666666667</x:v>
      </x:c>
      <x:c r="L2079" s="9" t="n">
        <x:f>I2079*(1-0.40)-J2079</x:f>
        <x:v>0.7666666666666666</x:v>
      </x:c>
      <x:c r="M2079" s="9" t="n">
        <x:f>'Physical_Arcs'!S39</x:f>
        <x:v>1.9166666666666667</x:v>
      </x:c>
      <x:c r="N2079" s="9" t="n">
        <x:f>M2079*'Parameters'!$C$18</x:f>
        <x:v>0.38333333333333336</x:v>
      </x:c>
      <x:c r="O2079" s="9" t="n">
        <x:f>N2079*'Parameters'!$C$19</x:f>
        <x:v>0.4791666666666667</x:v>
      </x:c>
      <x:c r="P2079" s="9" t="n">
        <x:f>M2079*(1-0.40)-N2079</x:f>
        <x:v>0.7666666666666666</x:v>
      </x:c>
      <x:c r="Q2079" s="9" t="n">
        <x:f>'Physical_Arcs'!T39</x:f>
        <x:v>0.9722222222222222</x:v>
      </x:c>
      <x:c r="R2079" s="9" t="n">
        <x:f>Q2079*'Parameters'!$C$18</x:f>
        <x:v>0.19444444444444445</x:v>
      </x:c>
      <x:c r="S2079" s="9" t="n">
        <x:f>R2079*'Parameters'!$C$19</x:f>
        <x:v>0.24305555555555555</x:v>
      </x:c>
      <x:c r="T2079" s="9" t="n">
        <x:f>Q2079*(1-0.40)-R2079</x:f>
        <x:v>0.38888888888888884</x:v>
      </x:c>
    </x:row>
    <x:row r="2080" ht="21" customHeight="1">
      <x:c r="A2080" s="3" t="n">
        <x:v>34</x:v>
      </x:c>
      <x:c r="B2080" s="3" t="str">
        <x:v>05:40</x:v>
      </x:c>
      <x:c r="C2080" s="3" t="n">
        <x:v>6</x:v>
      </x:c>
      <x:c r="D2080" s="3" t="n">
        <x:v>39</x:v>
      </x:c>
      <x:c r="E2080" s="3" t="n">
        <x:v>7</x:v>
      </x:c>
      <x:c r="F2080" s="3" t="n">
        <x:v>8</x:v>
      </x:c>
      <x:c r="G2080" s="9" t="n">
        <x:v>0.15</x:v>
      </x:c>
      <x:c r="H2080" s="9" t="n">
        <x:v>1.003268</x:v>
      </x:c>
      <x:c r="I2080" s="9" t="n">
        <x:f>'Physical_Arcs'!R40</x:f>
        <x:v>17.02777777777778</x:v>
      </x:c>
      <x:c r="J2080" s="9" t="n">
        <x:f>I2080*'Parameters'!$C$18</x:f>
        <x:v>3.405555555555556</x:v>
      </x:c>
      <x:c r="K2080" s="9" t="n">
        <x:f>J2080*'Parameters'!$C$19</x:f>
        <x:v>4.256944444444445</x:v>
      </x:c>
      <x:c r="L2080" s="9" t="n">
        <x:f>I2080*(1-0.40)-J2080</x:f>
        <x:v>6.811111111111111</x:v>
      </x:c>
      <x:c r="M2080" s="9" t="n">
        <x:f>'Physical_Arcs'!S40</x:f>
        <x:v>17.02777777777778</x:v>
      </x:c>
      <x:c r="N2080" s="9" t="n">
        <x:f>M2080*'Parameters'!$C$18</x:f>
        <x:v>3.405555555555556</x:v>
      </x:c>
      <x:c r="O2080" s="9" t="n">
        <x:f>N2080*'Parameters'!$C$19</x:f>
        <x:v>4.256944444444445</x:v>
      </x:c>
      <x:c r="P2080" s="9" t="n">
        <x:f>M2080*(1-0.40)-N2080</x:f>
        <x:v>6.811111111111111</x:v>
      </x:c>
      <x:c r="Q2080" s="9" t="n">
        <x:f>'Physical_Arcs'!T40</x:f>
        <x:v>17.02777777777778</x:v>
      </x:c>
      <x:c r="R2080" s="9" t="n">
        <x:f>Q2080*'Parameters'!$C$18</x:f>
        <x:v>3.405555555555556</x:v>
      </x:c>
      <x:c r="S2080" s="9" t="n">
        <x:f>R2080*'Parameters'!$C$19</x:f>
        <x:v>4.256944444444445</x:v>
      </x:c>
      <x:c r="T2080" s="9" t="n">
        <x:f>Q2080*(1-0.40)-R2080</x:f>
        <x:v>6.811111111111111</x:v>
      </x:c>
    </x:row>
    <x:row r="2081" ht="21" customHeight="1">
      <x:c r="A2081" s="3" t="n">
        <x:v>34</x:v>
      </x:c>
      <x:c r="B2081" s="3" t="str">
        <x:v>05:40</x:v>
      </x:c>
      <x:c r="C2081" s="3" t="n">
        <x:v>6</x:v>
      </x:c>
      <x:c r="D2081" s="3" t="n">
        <x:v>40</x:v>
      </x:c>
      <x:c r="E2081" s="3" t="n">
        <x:v>7</x:v>
      </x:c>
      <x:c r="F2081" s="3" t="n">
        <x:v>1</x:v>
      </x:c>
      <x:c r="G2081" s="9" t="n">
        <x:v>0.15</x:v>
      </x:c>
      <x:c r="H2081" s="9" t="n">
        <x:v>1.057592</x:v>
      </x:c>
      <x:c r="I2081" s="9" t="n">
        <x:f>'Physical_Arcs'!R41</x:f>
        <x:v>7.972222222222222</x:v>
      </x:c>
      <x:c r="J2081" s="9" t="n">
        <x:f>I2081*'Parameters'!$C$18</x:f>
        <x:v>1.5944444444444446</x:v>
      </x:c>
      <x:c r="K2081" s="9" t="n">
        <x:f>J2081*'Parameters'!$C$19</x:f>
        <x:v>1.9930555555555558</x:v>
      </x:c>
      <x:c r="L2081" s="9" t="n">
        <x:f>I2081*(1-0.40)-J2081</x:f>
        <x:v>3.1888888888888887</x:v>
      </x:c>
      <x:c r="M2081" s="9" t="n">
        <x:f>'Physical_Arcs'!S41</x:f>
        <x:v>7.972222222222222</x:v>
      </x:c>
      <x:c r="N2081" s="9" t="n">
        <x:f>M2081*'Parameters'!$C$18</x:f>
        <x:v>1.5944444444444446</x:v>
      </x:c>
      <x:c r="O2081" s="9" t="n">
        <x:f>N2081*'Parameters'!$C$19</x:f>
        <x:v>1.9930555555555558</x:v>
      </x:c>
      <x:c r="P2081" s="9" t="n">
        <x:f>M2081*(1-0.40)-N2081</x:f>
        <x:v>3.1888888888888887</x:v>
      </x:c>
      <x:c r="Q2081" s="9" t="n">
        <x:f>'Physical_Arcs'!T41</x:f>
        <x:v>4</x:v>
      </x:c>
      <x:c r="R2081" s="9" t="n">
        <x:f>Q2081*'Parameters'!$C$18</x:f>
        <x:v>0.8</x:v>
      </x:c>
      <x:c r="S2081" s="9" t="n">
        <x:f>R2081*'Parameters'!$C$19</x:f>
        <x:v>1</x:v>
      </x:c>
      <x:c r="T2081" s="9" t="n">
        <x:f>Q2081*(1-0.40)-R2081</x:f>
        <x:v>1.5999999999999999</x:v>
      </x:c>
    </x:row>
    <x:row r="2082" ht="21" customHeight="1">
      <x:c r="A2082" s="3" t="n">
        <x:v>34</x:v>
      </x:c>
      <x:c r="B2082" s="3" t="str">
        <x:v>05:40</x:v>
      </x:c>
      <x:c r="C2082" s="3" t="n">
        <x:v>6</x:v>
      </x:c>
      <x:c r="D2082" s="3" t="n">
        <x:v>41</x:v>
      </x:c>
      <x:c r="E2082" s="3" t="n">
        <x:v>7</x:v>
      </x:c>
      <x:c r="F2082" s="3" t="n">
        <x:v>9</x:v>
      </x:c>
      <x:c r="G2082" s="9" t="n">
        <x:v>0.15</x:v>
      </x:c>
      <x:c r="H2082" s="9" t="n">
        <x:v>1.14801</x:v>
      </x:c>
      <x:c r="I2082" s="9" t="n">
        <x:f>'Physical_Arcs'!R42</x:f>
        <x:v>8.88888888888889</x:v>
      </x:c>
      <x:c r="J2082" s="9" t="n">
        <x:f>I2082*'Parameters'!$C$18</x:f>
        <x:v>1.777777777777778</x:v>
      </x:c>
      <x:c r="K2082" s="9" t="n">
        <x:f>J2082*'Parameters'!$C$19</x:f>
        <x:v>2.2222222222222223</x:v>
      </x:c>
      <x:c r="L2082" s="9" t="n">
        <x:f>I2082*(1-0.40)-J2082</x:f>
        <x:v>3.5555555555555554</x:v>
      </x:c>
      <x:c r="M2082" s="9" t="n">
        <x:f>'Physical_Arcs'!S42</x:f>
        <x:v>8.88888888888889</x:v>
      </x:c>
      <x:c r="N2082" s="9" t="n">
        <x:f>M2082*'Parameters'!$C$18</x:f>
        <x:v>1.777777777777778</x:v>
      </x:c>
      <x:c r="O2082" s="9" t="n">
        <x:f>N2082*'Parameters'!$C$19</x:f>
        <x:v>2.2222222222222223</x:v>
      </x:c>
      <x:c r="P2082" s="9" t="n">
        <x:f>M2082*(1-0.40)-N2082</x:f>
        <x:v>3.5555555555555554</x:v>
      </x:c>
      <x:c r="Q2082" s="9" t="n">
        <x:f>'Physical_Arcs'!T42</x:f>
        <x:v>4.444444444444445</x:v>
      </x:c>
      <x:c r="R2082" s="9" t="n">
        <x:f>Q2082*'Parameters'!$C$18</x:f>
        <x:v>0.888888888888889</x:v>
      </x:c>
      <x:c r="S2082" s="9" t="n">
        <x:f>R2082*'Parameters'!$C$19</x:f>
        <x:v>1.1111111111111112</x:v>
      </x:c>
      <x:c r="T2082" s="9" t="n">
        <x:f>Q2082*(1-0.40)-R2082</x:f>
        <x:v>1.7777777777777777</x:v>
      </x:c>
    </x:row>
    <x:row r="2083" ht="21" customHeight="1">
      <x:c r="A2083" s="3" t="n">
        <x:v>34</x:v>
      </x:c>
      <x:c r="B2083" s="3" t="str">
        <x:v>05:40</x:v>
      </x:c>
      <x:c r="C2083" s="3" t="n">
        <x:v>6</x:v>
      </x:c>
      <x:c r="D2083" s="3" t="n">
        <x:v>42</x:v>
      </x:c>
      <x:c r="E2083" s="3" t="n">
        <x:v>7</x:v>
      </x:c>
      <x:c r="F2083" s="3" t="n">
        <x:v>2</x:v>
      </x:c>
      <x:c r="G2083" s="9" t="n">
        <x:v>0.15</x:v>
      </x:c>
      <x:c r="H2083" s="9" t="n">
        <x:v>0.989237</x:v>
      </x:c>
      <x:c r="I2083" s="9" t="n">
        <x:f>'Physical_Arcs'!R43</x:f>
        <x:v>9</x:v>
      </x:c>
      <x:c r="J2083" s="9" t="n">
        <x:f>I2083*'Parameters'!$C$18</x:f>
        <x:v>1.8</x:v>
      </x:c>
      <x:c r="K2083" s="9" t="n">
        <x:f>J2083*'Parameters'!$C$19</x:f>
        <x:v>2.25</x:v>
      </x:c>
      <x:c r="L2083" s="9" t="n">
        <x:f>I2083*(1-0.40)-J2083</x:f>
        <x:v>3.5999999999999996</x:v>
      </x:c>
      <x:c r="M2083" s="9" t="n">
        <x:f>'Physical_Arcs'!S43</x:f>
        <x:v>9</x:v>
      </x:c>
      <x:c r="N2083" s="9" t="n">
        <x:f>M2083*'Parameters'!$C$18</x:f>
        <x:v>1.8</x:v>
      </x:c>
      <x:c r="O2083" s="9" t="n">
        <x:f>N2083*'Parameters'!$C$19</x:f>
        <x:v>2.25</x:v>
      </x:c>
      <x:c r="P2083" s="9" t="n">
        <x:f>M2083*(1-0.40)-N2083</x:f>
        <x:v>3.5999999999999996</x:v>
      </x:c>
      <x:c r="Q2083" s="9" t="n">
        <x:f>'Physical_Arcs'!T43</x:f>
        <x:v>4.5</x:v>
      </x:c>
      <x:c r="R2083" s="9" t="n">
        <x:f>Q2083*'Parameters'!$C$18</x:f>
        <x:v>0.9</x:v>
      </x:c>
      <x:c r="S2083" s="9" t="n">
        <x:f>R2083*'Parameters'!$C$19</x:f>
        <x:v>1.125</x:v>
      </x:c>
      <x:c r="T2083" s="9" t="n">
        <x:f>Q2083*(1-0.40)-R2083</x:f>
        <x:v>1.7999999999999998</x:v>
      </x:c>
    </x:row>
    <x:row r="2084" ht="21" customHeight="1">
      <x:c r="A2084" s="3" t="n">
        <x:v>34</x:v>
      </x:c>
      <x:c r="B2084" s="3" t="str">
        <x:v>05:40</x:v>
      </x:c>
      <x:c r="C2084" s="3" t="n">
        <x:v>6</x:v>
      </x:c>
      <x:c r="D2084" s="3" t="n">
        <x:v>43</x:v>
      </x:c>
      <x:c r="E2084" s="3" t="n">
        <x:v>7</x:v>
      </x:c>
      <x:c r="F2084" s="3" t="n">
        <x:v>3</x:v>
      </x:c>
      <x:c r="G2084" s="9" t="n">
        <x:v>0.15</x:v>
      </x:c>
      <x:c r="H2084" s="9" t="n">
        <x:v>1.050432</x:v>
      </x:c>
      <x:c r="I2084" s="9" t="n">
        <x:f>'Physical_Arcs'!R44</x:f>
        <x:v>7.638888888888889</x:v>
      </x:c>
      <x:c r="J2084" s="9" t="n">
        <x:f>I2084*'Parameters'!$C$18</x:f>
        <x:v>1.527777777777778</x:v>
      </x:c>
      <x:c r="K2084" s="9" t="n">
        <x:f>J2084*'Parameters'!$C$19</x:f>
        <x:v>1.9097222222222223</x:v>
      </x:c>
      <x:c r="L2084" s="9" t="n">
        <x:f>I2084*(1-0.40)-J2084</x:f>
        <x:v>3.0555555555555554</x:v>
      </x:c>
      <x:c r="M2084" s="9" t="n">
        <x:f>'Physical_Arcs'!S44</x:f>
        <x:v>7.638888888888889</x:v>
      </x:c>
      <x:c r="N2084" s="9" t="n">
        <x:f>M2084*'Parameters'!$C$18</x:f>
        <x:v>1.527777777777778</x:v>
      </x:c>
      <x:c r="O2084" s="9" t="n">
        <x:f>N2084*'Parameters'!$C$19</x:f>
        <x:v>1.9097222222222223</x:v>
      </x:c>
      <x:c r="P2084" s="9" t="n">
        <x:f>M2084*(1-0.40)-N2084</x:f>
        <x:v>3.0555555555555554</x:v>
      </x:c>
      <x:c r="Q2084" s="9" t="n">
        <x:f>'Physical_Arcs'!T44</x:f>
        <x:v>3.8333333333333335</x:v>
      </x:c>
      <x:c r="R2084" s="9" t="n">
        <x:f>Q2084*'Parameters'!$C$18</x:f>
        <x:v>0.7666666666666667</x:v>
      </x:c>
      <x:c r="S2084" s="9" t="n">
        <x:f>R2084*'Parameters'!$C$19</x:f>
        <x:v>0.9583333333333334</x:v>
      </x:c>
      <x:c r="T2084" s="9" t="n">
        <x:f>Q2084*(1-0.40)-R2084</x:f>
        <x:v>1.5333333333333332</x:v>
      </x:c>
    </x:row>
    <x:row r="2085" ht="21" customHeight="1">
      <x:c r="A2085" s="3" t="n">
        <x:v>34</x:v>
      </x:c>
      <x:c r="B2085" s="3" t="str">
        <x:v>05:40</x:v>
      </x:c>
      <x:c r="C2085" s="3" t="n">
        <x:v>6</x:v>
      </x:c>
      <x:c r="D2085" s="3" t="n">
        <x:v>44</x:v>
      </x:c>
      <x:c r="E2085" s="3" t="n">
        <x:v>8</x:v>
      </x:c>
      <x:c r="F2085" s="3" t="n">
        <x:v>9</x:v>
      </x:c>
      <x:c r="G2085" s="9" t="n">
        <x:v>0.15</x:v>
      </x:c>
      <x:c r="H2085" s="9" t="n">
        <x:v>0.868101</x:v>
      </x:c>
      <x:c r="I2085" s="9" t="n">
        <x:f>'Physical_Arcs'!R45</x:f>
        <x:v>17.02777777777778</x:v>
      </x:c>
      <x:c r="J2085" s="9" t="n">
        <x:f>I2085*'Parameters'!$C$18</x:f>
        <x:v>3.405555555555556</x:v>
      </x:c>
      <x:c r="K2085" s="9" t="n">
        <x:f>J2085*'Parameters'!$C$19</x:f>
        <x:v>4.256944444444445</x:v>
      </x:c>
      <x:c r="L2085" s="9" t="n">
        <x:f>I2085*(1-0.40)-J2085</x:f>
        <x:v>6.811111111111111</x:v>
      </x:c>
      <x:c r="M2085" s="9" t="n">
        <x:f>'Physical_Arcs'!S45</x:f>
        <x:v>17.02777777777778</x:v>
      </x:c>
      <x:c r="N2085" s="9" t="n">
        <x:f>M2085*'Parameters'!$C$18</x:f>
        <x:v>3.405555555555556</x:v>
      </x:c>
      <x:c r="O2085" s="9" t="n">
        <x:f>N2085*'Parameters'!$C$19</x:f>
        <x:v>4.256944444444445</x:v>
      </x:c>
      <x:c r="P2085" s="9" t="n">
        <x:f>M2085*(1-0.40)-N2085</x:f>
        <x:v>6.811111111111111</x:v>
      </x:c>
      <x:c r="Q2085" s="9" t="n">
        <x:f>'Physical_Arcs'!T45</x:f>
        <x:v>17.02777777777778</x:v>
      </x:c>
      <x:c r="R2085" s="9" t="n">
        <x:f>Q2085*'Parameters'!$C$18</x:f>
        <x:v>3.405555555555556</x:v>
      </x:c>
      <x:c r="S2085" s="9" t="n">
        <x:f>R2085*'Parameters'!$C$19</x:f>
        <x:v>4.256944444444445</x:v>
      </x:c>
      <x:c r="T2085" s="9" t="n">
        <x:f>Q2085*(1-0.40)-R2085</x:f>
        <x:v>6.811111111111111</x:v>
      </x:c>
    </x:row>
    <x:row r="2086" ht="21" customHeight="1">
      <x:c r="A2086" s="3" t="n">
        <x:v>34</x:v>
      </x:c>
      <x:c r="B2086" s="3" t="str">
        <x:v>05:40</x:v>
      </x:c>
      <x:c r="C2086" s="3" t="n">
        <x:v>6</x:v>
      </x:c>
      <x:c r="D2086" s="3" t="n">
        <x:v>45</x:v>
      </x:c>
      <x:c r="E2086" s="3" t="n">
        <x:v>8</x:v>
      </x:c>
      <x:c r="F2086" s="3" t="n">
        <x:v>3</x:v>
      </x:c>
      <x:c r="G2086" s="9" t="n">
        <x:v>0.15</x:v>
      </x:c>
      <x:c r="H2086" s="9" t="n">
        <x:v>0.944958</x:v>
      </x:c>
      <x:c r="I2086" s="9" t="n">
        <x:f>'Physical_Arcs'!R46</x:f>
        <x:v>5.388888888888889</x:v>
      </x:c>
      <x:c r="J2086" s="9" t="n">
        <x:f>I2086*'Parameters'!$C$18</x:f>
        <x:v>1.077777777777778</x:v>
      </x:c>
      <x:c r="K2086" s="9" t="n">
        <x:f>J2086*'Parameters'!$C$19</x:f>
        <x:v>1.3472222222222223</x:v>
      </x:c>
      <x:c r="L2086" s="9" t="n">
        <x:f>I2086*(1-0.40)-J2086</x:f>
        <x:v>2.1555555555555554</x:v>
      </x:c>
      <x:c r="M2086" s="9" t="n">
        <x:f>'Physical_Arcs'!S46</x:f>
        <x:v>5.388888888888889</x:v>
      </x:c>
      <x:c r="N2086" s="9" t="n">
        <x:f>M2086*'Parameters'!$C$18</x:f>
        <x:v>1.077777777777778</x:v>
      </x:c>
      <x:c r="O2086" s="9" t="n">
        <x:f>N2086*'Parameters'!$C$19</x:f>
        <x:v>1.3472222222222223</x:v>
      </x:c>
      <x:c r="P2086" s="9" t="n">
        <x:f>M2086*(1-0.40)-N2086</x:f>
        <x:v>2.1555555555555554</x:v>
      </x:c>
      <x:c r="Q2086" s="9" t="n">
        <x:f>'Physical_Arcs'!T46</x:f>
        <x:v>2.6944444444444446</x:v>
      </x:c>
      <x:c r="R2086" s="9" t="n">
        <x:f>Q2086*'Parameters'!$C$18</x:f>
        <x:v>0.538888888888889</x:v>
      </x:c>
      <x:c r="S2086" s="9" t="n">
        <x:f>R2086*'Parameters'!$C$19</x:f>
        <x:v>0.6736111111111112</x:v>
      </x:c>
      <x:c r="T2086" s="9" t="n">
        <x:f>Q2086*(1-0.40)-R2086</x:f>
        <x:v>1.0777777777777777</x:v>
      </x:c>
    </x:row>
    <x:row r="2087" ht="21" customHeight="1">
      <x:c r="A2087" s="3" t="n">
        <x:v>34</x:v>
      </x:c>
      <x:c r="B2087" s="3" t="str">
        <x:v>05:40</x:v>
      </x:c>
      <x:c r="C2087" s="3" t="n">
        <x:v>6</x:v>
      </x:c>
      <x:c r="D2087" s="3" t="n">
        <x:v>46</x:v>
      </x:c>
      <x:c r="E2087" s="3" t="n">
        <x:v>8</x:v>
      </x:c>
      <x:c r="F2087" s="3" t="n">
        <x:v>7</x:v>
      </x:c>
      <x:c r="G2087" s="9" t="n">
        <x:v>0.15</x:v>
      </x:c>
      <x:c r="H2087" s="9" t="n">
        <x:v>0.866232</x:v>
      </x:c>
      <x:c r="I2087" s="9" t="n">
        <x:f>'Physical_Arcs'!R47</x:f>
        <x:v>5.388888888888889</x:v>
      </x:c>
      <x:c r="J2087" s="9" t="n">
        <x:f>I2087*'Parameters'!$C$18</x:f>
        <x:v>1.077777777777778</x:v>
      </x:c>
      <x:c r="K2087" s="9" t="n">
        <x:f>J2087*'Parameters'!$C$19</x:f>
        <x:v>1.3472222222222223</x:v>
      </x:c>
      <x:c r="L2087" s="9" t="n">
        <x:f>I2087*(1-0.40)-J2087</x:f>
        <x:v>2.1555555555555554</x:v>
      </x:c>
      <x:c r="M2087" s="9" t="n">
        <x:f>'Physical_Arcs'!S47</x:f>
        <x:v>5.388888888888889</x:v>
      </x:c>
      <x:c r="N2087" s="9" t="n">
        <x:f>M2087*'Parameters'!$C$18</x:f>
        <x:v>1.077777777777778</x:v>
      </x:c>
      <x:c r="O2087" s="9" t="n">
        <x:f>N2087*'Parameters'!$C$19</x:f>
        <x:v>1.3472222222222223</x:v>
      </x:c>
      <x:c r="P2087" s="9" t="n">
        <x:f>M2087*(1-0.40)-N2087</x:f>
        <x:v>2.1555555555555554</x:v>
      </x:c>
      <x:c r="Q2087" s="9" t="n">
        <x:f>'Physical_Arcs'!T47</x:f>
        <x:v>2.6944444444444446</x:v>
      </x:c>
      <x:c r="R2087" s="9" t="n">
        <x:f>Q2087*'Parameters'!$C$18</x:f>
        <x:v>0.538888888888889</x:v>
      </x:c>
      <x:c r="S2087" s="9" t="n">
        <x:f>R2087*'Parameters'!$C$19</x:f>
        <x:v>0.6736111111111112</x:v>
      </x:c>
      <x:c r="T2087" s="9" t="n">
        <x:f>Q2087*(1-0.40)-R2087</x:f>
        <x:v>1.0777777777777777</x:v>
      </x:c>
    </x:row>
    <x:row r="2088" ht="21" customHeight="1">
      <x:c r="A2088" s="3" t="n">
        <x:v>34</x:v>
      </x:c>
      <x:c r="B2088" s="3" t="str">
        <x:v>05:40</x:v>
      </x:c>
      <x:c r="C2088" s="3" t="n">
        <x:v>6</x:v>
      </x:c>
      <x:c r="D2088" s="3" t="n">
        <x:v>47</x:v>
      </x:c>
      <x:c r="E2088" s="3" t="n">
        <x:v>8</x:v>
      </x:c>
      <x:c r="F2088" s="3" t="n">
        <x:v>2</x:v>
      </x:c>
      <x:c r="G2088" s="9" t="n">
        <x:v>0.15</x:v>
      </x:c>
      <x:c r="H2088" s="9" t="n">
        <x:v>1.135644</x:v>
      </x:c>
      <x:c r="I2088" s="9" t="n">
        <x:f>'Physical_Arcs'!R48</x:f>
        <x:v>8.083333333333334</x:v>
      </x:c>
      <x:c r="J2088" s="9" t="n">
        <x:f>I2088*'Parameters'!$C$18</x:f>
        <x:v>1.616666666666667</x:v>
      </x:c>
      <x:c r="K2088" s="9" t="n">
        <x:f>J2088*'Parameters'!$C$19</x:f>
        <x:v>2.0208333333333335</x:v>
      </x:c>
      <x:c r="L2088" s="9" t="n">
        <x:f>I2088*(1-0.40)-J2088</x:f>
        <x:v>3.2333333333333334</x:v>
      </x:c>
      <x:c r="M2088" s="9" t="n">
        <x:f>'Physical_Arcs'!S48</x:f>
        <x:v>8.083333333333334</x:v>
      </x:c>
      <x:c r="N2088" s="9" t="n">
        <x:f>M2088*'Parameters'!$C$18</x:f>
        <x:v>1.616666666666667</x:v>
      </x:c>
      <x:c r="O2088" s="9" t="n">
        <x:f>N2088*'Parameters'!$C$19</x:f>
        <x:v>2.0208333333333335</x:v>
      </x:c>
      <x:c r="P2088" s="9" t="n">
        <x:f>M2088*(1-0.40)-N2088</x:f>
        <x:v>3.2333333333333334</x:v>
      </x:c>
      <x:c r="Q2088" s="9" t="n">
        <x:f>'Physical_Arcs'!T48</x:f>
        <x:v>4.055555555555555</x:v>
      </x:c>
      <x:c r="R2088" s="9" t="n">
        <x:f>Q2088*'Parameters'!$C$18</x:f>
        <x:v>0.8111111111111111</x:v>
      </x:c>
      <x:c r="S2088" s="9" t="n">
        <x:f>R2088*'Parameters'!$C$19</x:f>
        <x:v>1.0138888888888888</x:v>
      </x:c>
      <x:c r="T2088" s="9" t="n">
        <x:f>Q2088*(1-0.40)-R2088</x:f>
        <x:v>1.622222222222222</x:v>
      </x:c>
    </x:row>
    <x:row r="2089" ht="21" customHeight="1">
      <x:c r="A2089" s="3" t="n">
        <x:v>34</x:v>
      </x:c>
      <x:c r="B2089" s="3" t="str">
        <x:v>05:40</x:v>
      </x:c>
      <x:c r="C2089" s="3" t="n">
        <x:v>6</x:v>
      </x:c>
      <x:c r="D2089" s="3" t="n">
        <x:v>48</x:v>
      </x:c>
      <x:c r="E2089" s="3" t="n">
        <x:v>8</x:v>
      </x:c>
      <x:c r="F2089" s="3" t="n">
        <x:v>6</x:v>
      </x:c>
      <x:c r="G2089" s="9" t="n">
        <x:v>0.15</x:v>
      </x:c>
      <x:c r="H2089" s="9" t="n">
        <x:v>0.850778</x:v>
      </x:c>
      <x:c r="I2089" s="9" t="n">
        <x:f>'Physical_Arcs'!R49</x:f>
        <x:v>10.555555555555555</x:v>
      </x:c>
      <x:c r="J2089" s="9" t="n">
        <x:f>I2089*'Parameters'!$C$18</x:f>
        <x:v>2.111111111111111</x:v>
      </x:c>
      <x:c r="K2089" s="9" t="n">
        <x:f>J2089*'Parameters'!$C$19</x:f>
        <x:v>2.638888888888889</x:v>
      </x:c>
      <x:c r="L2089" s="9" t="n">
        <x:f>I2089*(1-0.40)-J2089</x:f>
        <x:v>4.222222222222221</x:v>
      </x:c>
      <x:c r="M2089" s="9" t="n">
        <x:f>'Physical_Arcs'!S49</x:f>
        <x:v>10.555555555555555</x:v>
      </x:c>
      <x:c r="N2089" s="9" t="n">
        <x:f>M2089*'Parameters'!$C$18</x:f>
        <x:v>2.111111111111111</x:v>
      </x:c>
      <x:c r="O2089" s="9" t="n">
        <x:f>N2089*'Parameters'!$C$19</x:f>
        <x:v>2.638888888888889</x:v>
      </x:c>
      <x:c r="P2089" s="9" t="n">
        <x:f>M2089*(1-0.40)-N2089</x:f>
        <x:v>4.222222222222221</x:v>
      </x:c>
      <x:c r="Q2089" s="9" t="n">
        <x:f>'Physical_Arcs'!T49</x:f>
        <x:v>5.277777777777778</x:v>
      </x:c>
      <x:c r="R2089" s="9" t="n">
        <x:f>Q2089*'Parameters'!$C$18</x:f>
        <x:v>1.0555555555555556</x:v>
      </x:c>
      <x:c r="S2089" s="9" t="n">
        <x:f>R2089*'Parameters'!$C$19</x:f>
        <x:v>1.3194444444444444</x:v>
      </x:c>
      <x:c r="T2089" s="9" t="n">
        <x:f>Q2089*(1-0.40)-R2089</x:f>
        <x:v>2.1111111111111107</x:v>
      </x:c>
    </x:row>
    <x:row r="2090" ht="21" customHeight="1">
      <x:c r="A2090" s="3" t="n">
        <x:v>34</x:v>
      </x:c>
      <x:c r="B2090" s="3" t="str">
        <x:v>05:40</x:v>
      </x:c>
      <x:c r="C2090" s="3" t="n">
        <x:v>6</x:v>
      </x:c>
      <x:c r="D2090" s="3" t="n">
        <x:v>49</x:v>
      </x:c>
      <x:c r="E2090" s="3" t="n">
        <x:v>8</x:v>
      </x:c>
      <x:c r="F2090" s="3" t="n">
        <x:v>4</x:v>
      </x:c>
      <x:c r="G2090" s="9" t="n">
        <x:v>0.15</x:v>
      </x:c>
      <x:c r="H2090" s="9" t="n">
        <x:v>0.904949</x:v>
      </x:c>
      <x:c r="I2090" s="9" t="n">
        <x:f>'Physical_Arcs'!R50</x:f>
        <x:v>1.5833333333333333</x:v>
      </x:c>
      <x:c r="J2090" s="9" t="n">
        <x:f>I2090*'Parameters'!$C$18</x:f>
        <x:v>0.31666666666666665</x:v>
      </x:c>
      <x:c r="K2090" s="9" t="n">
        <x:f>J2090*'Parameters'!$C$19</x:f>
        <x:v>0.3958333333333333</x:v>
      </x:c>
      <x:c r="L2090" s="9" t="n">
        <x:f>I2090*(1-0.40)-J2090</x:f>
        <x:v>0.6333333333333333</x:v>
      </x:c>
      <x:c r="M2090" s="9" t="n">
        <x:f>'Physical_Arcs'!S50</x:f>
        <x:v>1.5833333333333333</x:v>
      </x:c>
      <x:c r="N2090" s="9" t="n">
        <x:f>M2090*'Parameters'!$C$18</x:f>
        <x:v>0.31666666666666665</x:v>
      </x:c>
      <x:c r="O2090" s="9" t="n">
        <x:f>N2090*'Parameters'!$C$19</x:f>
        <x:v>0.3958333333333333</x:v>
      </x:c>
      <x:c r="P2090" s="9" t="n">
        <x:f>M2090*(1-0.40)-N2090</x:f>
        <x:v>0.6333333333333333</x:v>
      </x:c>
      <x:c r="Q2090" s="9" t="n">
        <x:f>'Physical_Arcs'!T50</x:f>
        <x:v>0.8055555555555556</x:v>
      </x:c>
      <x:c r="R2090" s="9" t="n">
        <x:f>Q2090*'Parameters'!$C$18</x:f>
        <x:v>0.16111111111111112</x:v>
      </x:c>
      <x:c r="S2090" s="9" t="n">
        <x:f>R2090*'Parameters'!$C$19</x:f>
        <x:v>0.2013888888888889</x:v>
      </x:c>
      <x:c r="T2090" s="9" t="n">
        <x:f>Q2090*(1-0.40)-R2090</x:f>
        <x:v>0.3222222222222222</x:v>
      </x:c>
    </x:row>
    <x:row r="2091" ht="21" customHeight="1">
      <x:c r="A2091" s="3" t="n">
        <x:v>34</x:v>
      </x:c>
      <x:c r="B2091" s="3" t="str">
        <x:v>05:40</x:v>
      </x:c>
      <x:c r="C2091" s="3" t="n">
        <x:v>6</x:v>
      </x:c>
      <x:c r="D2091" s="3" t="n">
        <x:v>50</x:v>
      </x:c>
      <x:c r="E2091" s="3" t="n">
        <x:v>8</x:v>
      </x:c>
      <x:c r="F2091" s="3" t="n">
        <x:v>5</x:v>
      </x:c>
      <x:c r="G2091" s="9" t="n">
        <x:v>0.15</x:v>
      </x:c>
      <x:c r="H2091" s="9" t="n">
        <x:v>0.990416</x:v>
      </x:c>
      <x:c r="I2091" s="9" t="n">
        <x:f>'Physical_Arcs'!R51</x:f>
        <x:v>10.777777777777779</x:v>
      </x:c>
      <x:c r="J2091" s="9" t="n">
        <x:f>I2091*'Parameters'!$C$18</x:f>
        <x:v>2.155555555555556</x:v>
      </x:c>
      <x:c r="K2091" s="9" t="n">
        <x:f>J2091*'Parameters'!$C$19</x:f>
        <x:v>2.6944444444444446</x:v>
      </x:c>
      <x:c r="L2091" s="9" t="n">
        <x:f>I2091*(1-0.40)-J2091</x:f>
        <x:v>4.311111111111111</x:v>
      </x:c>
      <x:c r="M2091" s="9" t="n">
        <x:f>'Physical_Arcs'!S51</x:f>
        <x:v>10.777777777777779</x:v>
      </x:c>
      <x:c r="N2091" s="9" t="n">
        <x:f>M2091*'Parameters'!$C$18</x:f>
        <x:v>2.155555555555556</x:v>
      </x:c>
      <x:c r="O2091" s="9" t="n">
        <x:f>N2091*'Parameters'!$C$19</x:f>
        <x:v>2.6944444444444446</x:v>
      </x:c>
      <x:c r="P2091" s="9" t="n">
        <x:f>M2091*(1-0.40)-N2091</x:f>
        <x:v>4.311111111111111</x:v>
      </x:c>
      <x:c r="Q2091" s="9" t="n">
        <x:f>'Physical_Arcs'!T51</x:f>
        <x:v>5.388888888888889</x:v>
      </x:c>
      <x:c r="R2091" s="9" t="n">
        <x:f>Q2091*'Parameters'!$C$18</x:f>
        <x:v>1.077777777777778</x:v>
      </x:c>
      <x:c r="S2091" s="9" t="n">
        <x:f>R2091*'Parameters'!$C$19</x:f>
        <x:v>1.3472222222222223</x:v>
      </x:c>
      <x:c r="T2091" s="9" t="n">
        <x:f>Q2091*(1-0.40)-R2091</x:f>
        <x:v>2.1555555555555554</x:v>
      </x:c>
    </x:row>
    <x:row r="2092" ht="21" customHeight="1">
      <x:c r="A2092" s="3" t="n">
        <x:v>34</x:v>
      </x:c>
      <x:c r="B2092" s="3" t="str">
        <x:v>05:40</x:v>
      </x:c>
      <x:c r="C2092" s="3" t="n">
        <x:v>6</x:v>
      </x:c>
      <x:c r="D2092" s="3" t="n">
        <x:v>51</x:v>
      </x:c>
      <x:c r="E2092" s="3" t="n">
        <x:v>8</x:v>
      </x:c>
      <x:c r="F2092" s="3" t="n">
        <x:v>1</x:v>
      </x:c>
      <x:c r="G2092" s="9" t="n">
        <x:v>0.15</x:v>
      </x:c>
      <x:c r="H2092" s="9" t="n">
        <x:v>1.039066</x:v>
      </x:c>
      <x:c r="I2092" s="9" t="n">
        <x:f>'Physical_Arcs'!R52</x:f>
        <x:v>8.88888888888889</x:v>
      </x:c>
      <x:c r="J2092" s="9" t="n">
        <x:f>I2092*'Parameters'!$C$18</x:f>
        <x:v>1.777777777777778</x:v>
      </x:c>
      <x:c r="K2092" s="9" t="n">
        <x:f>J2092*'Parameters'!$C$19</x:f>
        <x:v>2.2222222222222223</x:v>
      </x:c>
      <x:c r="L2092" s="9" t="n">
        <x:f>I2092*(1-0.40)-J2092</x:f>
        <x:v>3.5555555555555554</x:v>
      </x:c>
      <x:c r="M2092" s="9" t="n">
        <x:f>'Physical_Arcs'!S52</x:f>
        <x:v>8.88888888888889</x:v>
      </x:c>
      <x:c r="N2092" s="9" t="n">
        <x:f>M2092*'Parameters'!$C$18</x:f>
        <x:v>1.777777777777778</x:v>
      </x:c>
      <x:c r="O2092" s="9" t="n">
        <x:f>N2092*'Parameters'!$C$19</x:f>
        <x:v>2.2222222222222223</x:v>
      </x:c>
      <x:c r="P2092" s="9" t="n">
        <x:f>M2092*(1-0.40)-N2092</x:f>
        <x:v>3.5555555555555554</x:v>
      </x:c>
      <x:c r="Q2092" s="9" t="n">
        <x:f>'Physical_Arcs'!T52</x:f>
        <x:v>4.444444444444445</x:v>
      </x:c>
      <x:c r="R2092" s="9" t="n">
        <x:f>Q2092*'Parameters'!$C$18</x:f>
        <x:v>0.888888888888889</x:v>
      </x:c>
      <x:c r="S2092" s="9" t="n">
        <x:f>R2092*'Parameters'!$C$19</x:f>
        <x:v>1.1111111111111112</x:v>
      </x:c>
      <x:c r="T2092" s="9" t="n">
        <x:f>Q2092*(1-0.40)-R2092</x:f>
        <x:v>1.7777777777777777</x:v>
      </x:c>
    </x:row>
    <x:row r="2093" ht="21" customHeight="1">
      <x:c r="A2093" s="3" t="n">
        <x:v>34</x:v>
      </x:c>
      <x:c r="B2093" s="3" t="str">
        <x:v>05:40</x:v>
      </x:c>
      <x:c r="C2093" s="3" t="n">
        <x:v>6</x:v>
      </x:c>
      <x:c r="D2093" s="3" t="n">
        <x:v>52</x:v>
      </x:c>
      <x:c r="E2093" s="3" t="n">
        <x:v>9</x:v>
      </x:c>
      <x:c r="F2093" s="3" t="n">
        <x:v>10</x:v>
      </x:c>
      <x:c r="G2093" s="9" t="n">
        <x:v>0.15</x:v>
      </x:c>
      <x:c r="H2093" s="9" t="n">
        <x:v>0.954096</x:v>
      </x:c>
      <x:c r="I2093" s="9" t="n">
        <x:f>'Physical_Arcs'!R53</x:f>
        <x:v>17.02777777777778</x:v>
      </x:c>
      <x:c r="J2093" s="9" t="n">
        <x:f>I2093*'Parameters'!$C$18</x:f>
        <x:v>3.405555555555556</x:v>
      </x:c>
      <x:c r="K2093" s="9" t="n">
        <x:f>J2093*'Parameters'!$C$19</x:f>
        <x:v>4.256944444444445</x:v>
      </x:c>
      <x:c r="L2093" s="9" t="n">
        <x:f>I2093*(1-0.40)-J2093</x:f>
        <x:v>6.811111111111111</x:v>
      </x:c>
      <x:c r="M2093" s="9" t="n">
        <x:f>'Physical_Arcs'!S53</x:f>
        <x:v>17.02777777777778</x:v>
      </x:c>
      <x:c r="N2093" s="9" t="n">
        <x:f>M2093*'Parameters'!$C$18</x:f>
        <x:v>3.405555555555556</x:v>
      </x:c>
      <x:c r="O2093" s="9" t="n">
        <x:f>N2093*'Parameters'!$C$19</x:f>
        <x:v>4.256944444444445</x:v>
      </x:c>
      <x:c r="P2093" s="9" t="n">
        <x:f>M2093*(1-0.40)-N2093</x:f>
        <x:v>6.811111111111111</x:v>
      </x:c>
      <x:c r="Q2093" s="9" t="n">
        <x:f>'Physical_Arcs'!T53</x:f>
        <x:v>17.02777777777778</x:v>
      </x:c>
      <x:c r="R2093" s="9" t="n">
        <x:f>Q2093*'Parameters'!$C$18</x:f>
        <x:v>3.405555555555556</x:v>
      </x:c>
      <x:c r="S2093" s="9" t="n">
        <x:f>R2093*'Parameters'!$C$19</x:f>
        <x:v>4.256944444444445</x:v>
      </x:c>
      <x:c r="T2093" s="9" t="n">
        <x:f>Q2093*(1-0.40)-R2093</x:f>
        <x:v>6.811111111111111</x:v>
      </x:c>
    </x:row>
    <x:row r="2094" ht="21" customHeight="1">
      <x:c r="A2094" s="3" t="n">
        <x:v>34</x:v>
      </x:c>
      <x:c r="B2094" s="3" t="str">
        <x:v>05:40</x:v>
      </x:c>
      <x:c r="C2094" s="3" t="n">
        <x:v>6</x:v>
      </x:c>
      <x:c r="D2094" s="3" t="n">
        <x:v>53</x:v>
      </x:c>
      <x:c r="E2094" s="3" t="n">
        <x:v>9</x:v>
      </x:c>
      <x:c r="F2094" s="3" t="n">
        <x:v>6</x:v>
      </x:c>
      <x:c r="G2094" s="9" t="n">
        <x:v>0.15</x:v>
      </x:c>
      <x:c r="H2094" s="9" t="n">
        <x:v>1.125574</x:v>
      </x:c>
      <x:c r="I2094" s="9" t="n">
        <x:f>'Physical_Arcs'!R54</x:f>
        <x:v>9.666666666666666</x:v>
      </x:c>
      <x:c r="J2094" s="9" t="n">
        <x:f>I2094*'Parameters'!$C$18</x:f>
        <x:v>1.9333333333333333</x:v>
      </x:c>
      <x:c r="K2094" s="9" t="n">
        <x:f>J2094*'Parameters'!$C$19</x:f>
        <x:v>2.4166666666666665</x:v>
      </x:c>
      <x:c r="L2094" s="9" t="n">
        <x:f>I2094*(1-0.40)-J2094</x:f>
        <x:v>3.8666666666666663</x:v>
      </x:c>
      <x:c r="M2094" s="9" t="n">
        <x:f>'Physical_Arcs'!S54</x:f>
        <x:v>9.666666666666666</x:v>
      </x:c>
      <x:c r="N2094" s="9" t="n">
        <x:f>M2094*'Parameters'!$C$18</x:f>
        <x:v>1.9333333333333333</x:v>
      </x:c>
      <x:c r="O2094" s="9" t="n">
        <x:f>N2094*'Parameters'!$C$19</x:f>
        <x:v>2.4166666666666665</x:v>
      </x:c>
      <x:c r="P2094" s="9" t="n">
        <x:f>M2094*(1-0.40)-N2094</x:f>
        <x:v>3.8666666666666663</x:v>
      </x:c>
      <x:c r="Q2094" s="9" t="n">
        <x:f>'Physical_Arcs'!T54</x:f>
        <x:v>4.833333333333333</x:v>
      </x:c>
      <x:c r="R2094" s="9" t="n">
        <x:f>Q2094*'Parameters'!$C$18</x:f>
        <x:v>0.9666666666666667</x:v>
      </x:c>
      <x:c r="S2094" s="9" t="n">
        <x:f>R2094*'Parameters'!$C$19</x:f>
        <x:v>1.2083333333333333</x:v>
      </x:c>
      <x:c r="T2094" s="9" t="n">
        <x:f>Q2094*(1-0.40)-R2094</x:f>
        <x:v>1.9333333333333331</x:v>
      </x:c>
    </x:row>
    <x:row r="2095" ht="21" customHeight="1">
      <x:c r="A2095" s="3" t="n">
        <x:v>34</x:v>
      </x:c>
      <x:c r="B2095" s="3" t="str">
        <x:v>05:40</x:v>
      </x:c>
      <x:c r="C2095" s="3" t="n">
        <x:v>6</x:v>
      </x:c>
      <x:c r="D2095" s="3" t="n">
        <x:v>54</x:v>
      </x:c>
      <x:c r="E2095" s="3" t="n">
        <x:v>9</x:v>
      </x:c>
      <x:c r="F2095" s="3" t="n">
        <x:v>2</x:v>
      </x:c>
      <x:c r="G2095" s="9" t="n">
        <x:v>0.15</x:v>
      </x:c>
      <x:c r="H2095" s="9" t="n">
        <x:v>0.854534</x:v>
      </x:c>
      <x:c r="I2095" s="9" t="n">
        <x:f>'Physical_Arcs'!R55</x:f>
        <x:v>9.88888888888889</x:v>
      </x:c>
      <x:c r="J2095" s="9" t="n">
        <x:f>I2095*'Parameters'!$C$18</x:f>
        <x:v>1.9777777777777779</x:v>
      </x:c>
      <x:c r="K2095" s="9" t="n">
        <x:f>J2095*'Parameters'!$C$19</x:f>
        <x:v>2.4722222222222223</x:v>
      </x:c>
      <x:c r="L2095" s="9" t="n">
        <x:f>I2095*(1-0.40)-J2095</x:f>
        <x:v>3.9555555555555557</x:v>
      </x:c>
      <x:c r="M2095" s="9" t="n">
        <x:f>'Physical_Arcs'!S55</x:f>
        <x:v>9.88888888888889</x:v>
      </x:c>
      <x:c r="N2095" s="9" t="n">
        <x:f>M2095*'Parameters'!$C$18</x:f>
        <x:v>1.9777777777777779</x:v>
      </x:c>
      <x:c r="O2095" s="9" t="n">
        <x:f>N2095*'Parameters'!$C$19</x:f>
        <x:v>2.4722222222222223</x:v>
      </x:c>
      <x:c r="P2095" s="9" t="n">
        <x:f>M2095*(1-0.40)-N2095</x:f>
        <x:v>3.9555555555555557</x:v>
      </x:c>
      <x:c r="Q2095" s="9" t="n">
        <x:f>'Physical_Arcs'!T55</x:f>
        <x:v>4.944444444444445</x:v>
      </x:c>
      <x:c r="R2095" s="9" t="n">
        <x:f>Q2095*'Parameters'!$C$18</x:f>
        <x:v>0.9888888888888889</x:v>
      </x:c>
      <x:c r="S2095" s="9" t="n">
        <x:f>R2095*'Parameters'!$C$19</x:f>
        <x:v>1.2361111111111112</x:v>
      </x:c>
      <x:c r="T2095" s="9" t="n">
        <x:f>Q2095*(1-0.40)-R2095</x:f>
        <x:v>1.9777777777777779</x:v>
      </x:c>
    </x:row>
    <x:row r="2096" ht="21" customHeight="1">
      <x:c r="A2096" s="3" t="n">
        <x:v>34</x:v>
      </x:c>
      <x:c r="B2096" s="3" t="str">
        <x:v>05:40</x:v>
      </x:c>
      <x:c r="C2096" s="3" t="n">
        <x:v>6</x:v>
      </x:c>
      <x:c r="D2096" s="3" t="n">
        <x:v>55</x:v>
      </x:c>
      <x:c r="E2096" s="3" t="n">
        <x:v>9</x:v>
      </x:c>
      <x:c r="F2096" s="3" t="n">
        <x:v>7</x:v>
      </x:c>
      <x:c r="G2096" s="9" t="n">
        <x:v>0.15</x:v>
      </x:c>
      <x:c r="H2096" s="9" t="n">
        <x:v>0.900033</x:v>
      </x:c>
      <x:c r="I2096" s="9" t="n">
        <x:f>'Physical_Arcs'!R56</x:f>
        <x:v>4.166666666666667</x:v>
      </x:c>
      <x:c r="J2096" s="9" t="n">
        <x:f>I2096*'Parameters'!$C$18</x:f>
        <x:v>0.8333333333333335</x:v>
      </x:c>
      <x:c r="K2096" s="9" t="n">
        <x:f>J2096*'Parameters'!$C$19</x:f>
        <x:v>1.041666666666667</x:v>
      </x:c>
      <x:c r="L2096" s="9" t="n">
        <x:f>I2096*(1-0.40)-J2096</x:f>
        <x:v>1.6666666666666665</x:v>
      </x:c>
      <x:c r="M2096" s="9" t="n">
        <x:f>'Physical_Arcs'!S56</x:f>
        <x:v>4.166666666666667</x:v>
      </x:c>
      <x:c r="N2096" s="9" t="n">
        <x:f>M2096*'Parameters'!$C$18</x:f>
        <x:v>0.8333333333333335</x:v>
      </x:c>
      <x:c r="O2096" s="9" t="n">
        <x:f>N2096*'Parameters'!$C$19</x:f>
        <x:v>1.041666666666667</x:v>
      </x:c>
      <x:c r="P2096" s="9" t="n">
        <x:f>M2096*(1-0.40)-N2096</x:f>
        <x:v>1.6666666666666665</x:v>
      </x:c>
      <x:c r="Q2096" s="9" t="n">
        <x:f>'Physical_Arcs'!T56</x:f>
        <x:v>2.0833333333333335</x:v>
      </x:c>
      <x:c r="R2096" s="9" t="n">
        <x:f>Q2096*'Parameters'!$C$18</x:f>
        <x:v>0.41666666666666674</x:v>
      </x:c>
      <x:c r="S2096" s="9" t="n">
        <x:f>R2096*'Parameters'!$C$19</x:f>
        <x:v>0.5208333333333335</x:v>
      </x:c>
      <x:c r="T2096" s="9" t="n">
        <x:f>Q2096*(1-0.40)-R2096</x:f>
        <x:v>0.8333333333333333</x:v>
      </x:c>
    </x:row>
    <x:row r="2097" ht="21" customHeight="1">
      <x:c r="A2097" s="3" t="n">
        <x:v>34</x:v>
      </x:c>
      <x:c r="B2097" s="3" t="str">
        <x:v>05:40</x:v>
      </x:c>
      <x:c r="C2097" s="3" t="n">
        <x:v>6</x:v>
      </x:c>
      <x:c r="D2097" s="3" t="n">
        <x:v>56</x:v>
      </x:c>
      <x:c r="E2097" s="3" t="n">
        <x:v>9</x:v>
      </x:c>
      <x:c r="F2097" s="3" t="n">
        <x:v>3</x:v>
      </x:c>
      <x:c r="G2097" s="9" t="n">
        <x:v>0.15</x:v>
      </x:c>
      <x:c r="H2097" s="9" t="n">
        <x:v>0.893428</x:v>
      </x:c>
      <x:c r="I2097" s="9" t="n">
        <x:f>'Physical_Arcs'!R57</x:f>
        <x:v>3.7222222222222223</x:v>
      </x:c>
      <x:c r="J2097" s="9" t="n">
        <x:f>I2097*'Parameters'!$C$18</x:f>
        <x:v>0.7444444444444445</x:v>
      </x:c>
      <x:c r="K2097" s="9" t="n">
        <x:f>J2097*'Parameters'!$C$19</x:f>
        <x:v>0.9305555555555556</x:v>
      </x:c>
      <x:c r="L2097" s="9" t="n">
        <x:f>I2097*(1-0.40)-J2097</x:f>
        <x:v>1.488888888888889</x:v>
      </x:c>
      <x:c r="M2097" s="9" t="n">
        <x:f>'Physical_Arcs'!S57</x:f>
        <x:v>3.7222222222222223</x:v>
      </x:c>
      <x:c r="N2097" s="9" t="n">
        <x:f>M2097*'Parameters'!$C$18</x:f>
        <x:v>0.7444444444444445</x:v>
      </x:c>
      <x:c r="O2097" s="9" t="n">
        <x:f>N2097*'Parameters'!$C$19</x:f>
        <x:v>0.9305555555555556</x:v>
      </x:c>
      <x:c r="P2097" s="9" t="n">
        <x:f>M2097*(1-0.40)-N2097</x:f>
        <x:v>1.488888888888889</x:v>
      </x:c>
      <x:c r="Q2097" s="9" t="n">
        <x:f>'Physical_Arcs'!T57</x:f>
        <x:v>1.8611111111111112</x:v>
      </x:c>
      <x:c r="R2097" s="9" t="n">
        <x:f>Q2097*'Parameters'!$C$18</x:f>
        <x:v>0.37222222222222223</x:v>
      </x:c>
      <x:c r="S2097" s="9" t="n">
        <x:f>R2097*'Parameters'!$C$19</x:f>
        <x:v>0.4652777777777778</x:v>
      </x:c>
      <x:c r="T2097" s="9" t="n">
        <x:f>Q2097*(1-0.40)-R2097</x:f>
        <x:v>0.7444444444444445</x:v>
      </x:c>
    </x:row>
    <x:row r="2098" ht="21" customHeight="1">
      <x:c r="A2098" s="3" t="n">
        <x:v>34</x:v>
      </x:c>
      <x:c r="B2098" s="3" t="str">
        <x:v>05:40</x:v>
      </x:c>
      <x:c r="C2098" s="3" t="n">
        <x:v>6</x:v>
      </x:c>
      <x:c r="D2098" s="3" t="n">
        <x:v>57</x:v>
      </x:c>
      <x:c r="E2098" s="3" t="n">
        <x:v>10</x:v>
      </x:c>
      <x:c r="F2098" s="3" t="n">
        <x:v>1</x:v>
      </x:c>
      <x:c r="G2098" s="9" t="n">
        <x:v>0.15</x:v>
      </x:c>
      <x:c r="H2098" s="9" t="n">
        <x:v>1.027979</x:v>
      </x:c>
      <x:c r="I2098" s="9" t="n">
        <x:f>'Physical_Arcs'!R58</x:f>
        <x:v>17.02777777777778</x:v>
      </x:c>
      <x:c r="J2098" s="9" t="n">
        <x:f>I2098*'Parameters'!$C$18</x:f>
        <x:v>3.405555555555556</x:v>
      </x:c>
      <x:c r="K2098" s="9" t="n">
        <x:f>J2098*'Parameters'!$C$19</x:f>
        <x:v>4.256944444444445</x:v>
      </x:c>
      <x:c r="L2098" s="9" t="n">
        <x:f>I2098*(1-0.40)-J2098</x:f>
        <x:v>6.811111111111111</x:v>
      </x:c>
      <x:c r="M2098" s="9" t="n">
        <x:f>'Physical_Arcs'!S58</x:f>
        <x:v>17.02777777777778</x:v>
      </x:c>
      <x:c r="N2098" s="9" t="n">
        <x:f>M2098*'Parameters'!$C$18</x:f>
        <x:v>3.405555555555556</x:v>
      </x:c>
      <x:c r="O2098" s="9" t="n">
        <x:f>N2098*'Parameters'!$C$19</x:f>
        <x:v>4.256944444444445</x:v>
      </x:c>
      <x:c r="P2098" s="9" t="n">
        <x:f>M2098*(1-0.40)-N2098</x:f>
        <x:v>6.811111111111111</x:v>
      </x:c>
      <x:c r="Q2098" s="9" t="n">
        <x:f>'Physical_Arcs'!T58</x:f>
        <x:v>17.02777777777778</x:v>
      </x:c>
      <x:c r="R2098" s="9" t="n">
        <x:f>Q2098*'Parameters'!$C$18</x:f>
        <x:v>3.405555555555556</x:v>
      </x:c>
      <x:c r="S2098" s="9" t="n">
        <x:f>R2098*'Parameters'!$C$19</x:f>
        <x:v>4.256944444444445</x:v>
      </x:c>
      <x:c r="T2098" s="9" t="n">
        <x:f>Q2098*(1-0.40)-R2098</x:f>
        <x:v>6.811111111111111</x:v>
      </x:c>
    </x:row>
    <x:row r="2099" ht="21" customHeight="1">
      <x:c r="A2099" s="3" t="n">
        <x:v>34</x:v>
      </x:c>
      <x:c r="B2099" s="3" t="str">
        <x:v>05:40</x:v>
      </x:c>
      <x:c r="C2099" s="3" t="n">
        <x:v>6</x:v>
      </x:c>
      <x:c r="D2099" s="3" t="n">
        <x:v>58</x:v>
      </x:c>
      <x:c r="E2099" s="3" t="n">
        <x:v>10</x:v>
      </x:c>
      <x:c r="F2099" s="3" t="n">
        <x:v>6</x:v>
      </x:c>
      <x:c r="G2099" s="9" t="n">
        <x:v>0.15</x:v>
      </x:c>
      <x:c r="H2099" s="9" t="n">
        <x:v>0.952676</x:v>
      </x:c>
      <x:c r="I2099" s="9" t="n">
        <x:f>'Physical_Arcs'!R59</x:f>
        <x:v>6.305555555555555</x:v>
      </x:c>
      <x:c r="J2099" s="9" t="n">
        <x:f>I2099*'Parameters'!$C$18</x:f>
        <x:v>1.261111111111111</x:v>
      </x:c>
      <x:c r="K2099" s="9" t="n">
        <x:f>J2099*'Parameters'!$C$19</x:f>
        <x:v>1.5763888888888888</x:v>
      </x:c>
      <x:c r="L2099" s="9" t="n">
        <x:f>I2099*(1-0.40)-J2099</x:f>
        <x:v>2.522222222222222</x:v>
      </x:c>
      <x:c r="M2099" s="9" t="n">
        <x:f>'Physical_Arcs'!S59</x:f>
        <x:v>6.305555555555555</x:v>
      </x:c>
      <x:c r="N2099" s="9" t="n">
        <x:f>M2099*'Parameters'!$C$18</x:f>
        <x:v>1.261111111111111</x:v>
      </x:c>
      <x:c r="O2099" s="9" t="n">
        <x:f>N2099*'Parameters'!$C$19</x:f>
        <x:v>1.5763888888888888</x:v>
      </x:c>
      <x:c r="P2099" s="9" t="n">
        <x:f>M2099*(1-0.40)-N2099</x:f>
        <x:v>2.522222222222222</x:v>
      </x:c>
      <x:c r="Q2099" s="9" t="n">
        <x:f>'Physical_Arcs'!T59</x:f>
        <x:v>3.1666666666666665</x:v>
      </x:c>
      <x:c r="R2099" s="9" t="n">
        <x:f>Q2099*'Parameters'!$C$18</x:f>
        <x:v>0.6333333333333333</x:v>
      </x:c>
      <x:c r="S2099" s="9" t="n">
        <x:f>R2099*'Parameters'!$C$19</x:f>
        <x:v>0.7916666666666666</x:v>
      </x:c>
      <x:c r="T2099" s="9" t="n">
        <x:f>Q2099*(1-0.40)-R2099</x:f>
        <x:v>1.2666666666666666</x:v>
      </x:c>
    </x:row>
    <x:row r="2100" ht="21" customHeight="1">
      <x:c r="A2100" s="3" t="n">
        <x:v>34</x:v>
      </x:c>
      <x:c r="B2100" s="3" t="str">
        <x:v>05:40</x:v>
      </x:c>
      <x:c r="C2100" s="3" t="n">
        <x:v>6</x:v>
      </x:c>
      <x:c r="D2100" s="3" t="n">
        <x:v>59</x:v>
      </x:c>
      <x:c r="E2100" s="3" t="n">
        <x:v>10</x:v>
      </x:c>
      <x:c r="F2100" s="3" t="n">
        <x:v>4</x:v>
      </x:c>
      <x:c r="G2100" s="9" t="n">
        <x:v>0.15</x:v>
      </x:c>
      <x:c r="H2100" s="9" t="n">
        <x:v>1.114542</x:v>
      </x:c>
      <x:c r="I2100" s="9" t="n">
        <x:f>'Physical_Arcs'!R60</x:f>
        <x:v>1.5833333333333333</x:v>
      </x:c>
      <x:c r="J2100" s="9" t="n">
        <x:f>I2100*'Parameters'!$C$18</x:f>
        <x:v>0.31666666666666665</x:v>
      </x:c>
      <x:c r="K2100" s="9" t="n">
        <x:f>J2100*'Parameters'!$C$19</x:f>
        <x:v>0.3958333333333333</x:v>
      </x:c>
      <x:c r="L2100" s="9" t="n">
        <x:f>I2100*(1-0.40)-J2100</x:f>
        <x:v>0.6333333333333333</x:v>
      </x:c>
      <x:c r="M2100" s="9" t="n">
        <x:f>'Physical_Arcs'!S60</x:f>
        <x:v>1.5833333333333333</x:v>
      </x:c>
      <x:c r="N2100" s="9" t="n">
        <x:f>M2100*'Parameters'!$C$18</x:f>
        <x:v>0.31666666666666665</x:v>
      </x:c>
      <x:c r="O2100" s="9" t="n">
        <x:f>N2100*'Parameters'!$C$19</x:f>
        <x:v>0.3958333333333333</x:v>
      </x:c>
      <x:c r="P2100" s="9" t="n">
        <x:f>M2100*(1-0.40)-N2100</x:f>
        <x:v>0.6333333333333333</x:v>
      </x:c>
      <x:c r="Q2100" s="9" t="n">
        <x:f>'Physical_Arcs'!T60</x:f>
        <x:v>0.8055555555555556</x:v>
      </x:c>
      <x:c r="R2100" s="9" t="n">
        <x:f>Q2100*'Parameters'!$C$18</x:f>
        <x:v>0.16111111111111112</x:v>
      </x:c>
      <x:c r="S2100" s="9" t="n">
        <x:f>R2100*'Parameters'!$C$19</x:f>
        <x:v>0.2013888888888889</x:v>
      </x:c>
      <x:c r="T2100" s="9" t="n">
        <x:f>Q2100*(1-0.40)-R2100</x:f>
        <x:v>0.3222222222222222</x:v>
      </x:c>
    </x:row>
    <x:row r="2101" ht="21" customHeight="1">
      <x:c r="A2101" s="3" t="n">
        <x:v>34</x:v>
      </x:c>
      <x:c r="B2101" s="3" t="str">
        <x:v>05:40</x:v>
      </x:c>
      <x:c r="C2101" s="3" t="n">
        <x:v>6</x:v>
      </x:c>
      <x:c r="D2101" s="3" t="n">
        <x:v>60</x:v>
      </x:c>
      <x:c r="E2101" s="3" t="n">
        <x:v>10</x:v>
      </x:c>
      <x:c r="F2101" s="3" t="n">
        <x:v>9</x:v>
      </x:c>
      <x:c r="G2101" s="9" t="n">
        <x:v>0.15</x:v>
      </x:c>
      <x:c r="H2101" s="9" t="n">
        <x:v>1.092245</x:v>
      </x:c>
      <x:c r="I2101" s="9" t="n">
        <x:f>'Physical_Arcs'!R61</x:f>
        <x:v>10.333333333333334</x:v>
      </x:c>
      <x:c r="J2101" s="9" t="n">
        <x:f>I2101*'Parameters'!$C$18</x:f>
        <x:v>2.066666666666667</x:v>
      </x:c>
      <x:c r="K2101" s="9" t="n">
        <x:f>J2101*'Parameters'!$C$19</x:f>
        <x:v>2.5833333333333335</x:v>
      </x:c>
      <x:c r="L2101" s="9" t="n">
        <x:f>I2101*(1-0.40)-J2101</x:f>
        <x:v>4.133333333333333</x:v>
      </x:c>
      <x:c r="M2101" s="9" t="n">
        <x:f>'Physical_Arcs'!S61</x:f>
        <x:v>10.333333333333334</x:v>
      </x:c>
      <x:c r="N2101" s="9" t="n">
        <x:f>M2101*'Parameters'!$C$18</x:f>
        <x:v>2.066666666666667</x:v>
      </x:c>
      <x:c r="O2101" s="9" t="n">
        <x:f>N2101*'Parameters'!$C$19</x:f>
        <x:v>2.5833333333333335</x:v>
      </x:c>
      <x:c r="P2101" s="9" t="n">
        <x:f>M2101*(1-0.40)-N2101</x:f>
        <x:v>4.133333333333333</x:v>
      </x:c>
      <x:c r="Q2101" s="9" t="n">
        <x:f>'Physical_Arcs'!T61</x:f>
        <x:v>5.166666666666667</x:v>
      </x:c>
      <x:c r="R2101" s="9" t="n">
        <x:f>Q2101*'Parameters'!$C$18</x:f>
        <x:v>1.0333333333333334</x:v>
      </x:c>
      <x:c r="S2101" s="9" t="n">
        <x:f>R2101*'Parameters'!$C$19</x:f>
        <x:v>1.2916666666666667</x:v>
      </x:c>
      <x:c r="T2101" s="9" t="n">
        <x:f>Q2101*(1-0.40)-R2101</x:f>
        <x:v>2.0666666666666664</x:v>
      </x:c>
    </x:row>
    <x:row r="2102" ht="21" customHeight="1">
      <x:c r="A2102" s="3" t="n">
        <x:v>35</x:v>
      </x:c>
      <x:c r="B2102" s="3" t="str">
        <x:v>05:50</x:v>
      </x:c>
      <x:c r="C2102" s="3" t="n">
        <x:v>6</x:v>
      </x:c>
      <x:c r="D2102" s="3" t="n">
        <x:v>1</x:v>
      </x:c>
      <x:c r="E2102" s="3" t="n">
        <x:v>1</x:v>
      </x:c>
      <x:c r="F2102" s="3" t="n">
        <x:v>2</x:v>
      </x:c>
      <x:c r="G2102" s="9" t="n">
        <x:v>0.15</x:v>
      </x:c>
      <x:c r="H2102" s="9" t="n">
        <x:v>0.914787</x:v>
      </x:c>
      <x:c r="I2102" s="9" t="n">
        <x:f>'Physical_Arcs'!R2</x:f>
        <x:v>17.02777777777778</x:v>
      </x:c>
      <x:c r="J2102" s="9" t="n">
        <x:f>I2102*'Parameters'!$C$18</x:f>
        <x:v>3.405555555555556</x:v>
      </x:c>
      <x:c r="K2102" s="9" t="n">
        <x:f>J2102*'Parameters'!$C$19</x:f>
        <x:v>4.256944444444445</x:v>
      </x:c>
      <x:c r="L2102" s="9" t="n">
        <x:f>I2102*(1-0.40)-J2102</x:f>
        <x:v>6.811111111111111</x:v>
      </x:c>
      <x:c r="M2102" s="9" t="n">
        <x:f>'Physical_Arcs'!S2</x:f>
        <x:v>17.02777777777778</x:v>
      </x:c>
      <x:c r="N2102" s="9" t="n">
        <x:f>M2102*'Parameters'!$C$18</x:f>
        <x:v>3.405555555555556</x:v>
      </x:c>
      <x:c r="O2102" s="9" t="n">
        <x:f>N2102*'Parameters'!$C$19</x:f>
        <x:v>4.256944444444445</x:v>
      </x:c>
      <x:c r="P2102" s="9" t="n">
        <x:f>M2102*(1-0.40)-N2102</x:f>
        <x:v>6.811111111111111</x:v>
      </x:c>
      <x:c r="Q2102" s="9" t="n">
        <x:f>'Physical_Arcs'!T2</x:f>
        <x:v>17.02777777777778</x:v>
      </x:c>
      <x:c r="R2102" s="9" t="n">
        <x:f>Q2102*'Parameters'!$C$18</x:f>
        <x:v>3.405555555555556</x:v>
      </x:c>
      <x:c r="S2102" s="9" t="n">
        <x:f>R2102*'Parameters'!$C$19</x:f>
        <x:v>4.256944444444445</x:v>
      </x:c>
      <x:c r="T2102" s="9" t="n">
        <x:f>Q2102*(1-0.40)-R2102</x:f>
        <x:v>6.811111111111111</x:v>
      </x:c>
    </x:row>
    <x:row r="2103" ht="21" customHeight="1">
      <x:c r="A2103" s="3" t="n">
        <x:v>35</x:v>
      </x:c>
      <x:c r="B2103" s="3" t="str">
        <x:v>05:50</x:v>
      </x:c>
      <x:c r="C2103" s="3" t="n">
        <x:v>6</x:v>
      </x:c>
      <x:c r="D2103" s="3" t="n">
        <x:v>2</x:v>
      </x:c>
      <x:c r="E2103" s="3" t="n">
        <x:v>1</x:v>
      </x:c>
      <x:c r="F2103" s="3" t="n">
        <x:v>10</x:v>
      </x:c>
      <x:c r="G2103" s="9" t="n">
        <x:v>0.15</x:v>
      </x:c>
      <x:c r="H2103" s="9" t="n">
        <x:v>1.003995</x:v>
      </x:c>
      <x:c r="I2103" s="9" t="n">
        <x:f>'Physical_Arcs'!R3</x:f>
        <x:v>3.2777777777777777</x:v>
      </x:c>
      <x:c r="J2103" s="9" t="n">
        <x:f>I2103*'Parameters'!$C$18</x:f>
        <x:v>0.6555555555555556</x:v>
      </x:c>
      <x:c r="K2103" s="9" t="n">
        <x:f>J2103*'Parameters'!$C$19</x:f>
        <x:v>0.8194444444444444</x:v>
      </x:c>
      <x:c r="L2103" s="9" t="n">
        <x:f>I2103*(1-0.40)-J2103</x:f>
        <x:v>1.311111111111111</x:v>
      </x:c>
      <x:c r="M2103" s="9" t="n">
        <x:f>'Physical_Arcs'!S3</x:f>
        <x:v>3.2777777777777777</x:v>
      </x:c>
      <x:c r="N2103" s="9" t="n">
        <x:f>M2103*'Parameters'!$C$18</x:f>
        <x:v>0.6555555555555556</x:v>
      </x:c>
      <x:c r="O2103" s="9" t="n">
        <x:f>N2103*'Parameters'!$C$19</x:f>
        <x:v>0.8194444444444444</x:v>
      </x:c>
      <x:c r="P2103" s="9" t="n">
        <x:f>M2103*(1-0.40)-N2103</x:f>
        <x:v>1.311111111111111</x:v>
      </x:c>
      <x:c r="Q2103" s="9" t="n">
        <x:f>'Physical_Arcs'!T3</x:f>
        <x:v>1.6388888888888888</x:v>
      </x:c>
      <x:c r="R2103" s="9" t="n">
        <x:f>Q2103*'Parameters'!$C$18</x:f>
        <x:v>0.3277777777777778</x:v>
      </x:c>
      <x:c r="S2103" s="9" t="n">
        <x:f>R2103*'Parameters'!$C$19</x:f>
        <x:v>0.4097222222222222</x:v>
      </x:c>
      <x:c r="T2103" s="9" t="n">
        <x:f>Q2103*(1-0.40)-R2103</x:f>
        <x:v>0.6555555555555554</x:v>
      </x:c>
    </x:row>
    <x:row r="2104" ht="21" customHeight="1">
      <x:c r="A2104" s="3" t="n">
        <x:v>35</x:v>
      </x:c>
      <x:c r="B2104" s="3" t="str">
        <x:v>05:50</x:v>
      </x:c>
      <x:c r="C2104" s="3" t="n">
        <x:v>6</x:v>
      </x:c>
      <x:c r="D2104" s="3" t="n">
        <x:v>3</x:v>
      </x:c>
      <x:c r="E2104" s="3" t="n">
        <x:v>1</x:v>
      </x:c>
      <x:c r="F2104" s="3" t="n">
        <x:v>8</x:v>
      </x:c>
      <x:c r="G2104" s="9" t="n">
        <x:v>0.15</x:v>
      </x:c>
      <x:c r="H2104" s="9" t="n">
        <x:v>0.923863</x:v>
      </x:c>
      <x:c r="I2104" s="9" t="n">
        <x:f>'Physical_Arcs'!R4</x:f>
        <x:v>6.083333333333333</x:v>
      </x:c>
      <x:c r="J2104" s="9" t="n">
        <x:f>I2104*'Parameters'!$C$18</x:f>
        <x:v>1.2166666666666668</x:v>
      </x:c>
      <x:c r="K2104" s="9" t="n">
        <x:f>J2104*'Parameters'!$C$19</x:f>
        <x:v>1.5208333333333335</x:v>
      </x:c>
      <x:c r="L2104" s="9" t="n">
        <x:f>I2104*(1-0.40)-J2104</x:f>
        <x:v>2.4333333333333327</x:v>
      </x:c>
      <x:c r="M2104" s="9" t="n">
        <x:f>'Physical_Arcs'!S4</x:f>
        <x:v>6.083333333333333</x:v>
      </x:c>
      <x:c r="N2104" s="9" t="n">
        <x:f>M2104*'Parameters'!$C$18</x:f>
        <x:v>1.2166666666666668</x:v>
      </x:c>
      <x:c r="O2104" s="9" t="n">
        <x:f>N2104*'Parameters'!$C$19</x:f>
        <x:v>1.5208333333333335</x:v>
      </x:c>
      <x:c r="P2104" s="9" t="n">
        <x:f>M2104*(1-0.40)-N2104</x:f>
        <x:v>2.4333333333333327</x:v>
      </x:c>
      <x:c r="Q2104" s="9" t="n">
        <x:f>'Physical_Arcs'!T4</x:f>
        <x:v>3.0555555555555554</x:v>
      </x:c>
      <x:c r="R2104" s="9" t="n">
        <x:f>Q2104*'Parameters'!$C$18</x:f>
        <x:v>0.6111111111111112</x:v>
      </x:c>
      <x:c r="S2104" s="9" t="n">
        <x:f>R2104*'Parameters'!$C$19</x:f>
        <x:v>0.763888888888889</x:v>
      </x:c>
      <x:c r="T2104" s="9" t="n">
        <x:f>Q2104*(1-0.40)-R2104</x:f>
        <x:v>1.2222222222222219</x:v>
      </x:c>
    </x:row>
    <x:row r="2105" ht="21" customHeight="1">
      <x:c r="A2105" s="3" t="n">
        <x:v>35</x:v>
      </x:c>
      <x:c r="B2105" s="3" t="str">
        <x:v>05:50</x:v>
      </x:c>
      <x:c r="C2105" s="3" t="n">
        <x:v>6</x:v>
      </x:c>
      <x:c r="D2105" s="3" t="n">
        <x:v>4</x:v>
      </x:c>
      <x:c r="E2105" s="3" t="n">
        <x:v>1</x:v>
      </x:c>
      <x:c r="F2105" s="3" t="n">
        <x:v>7</x:v>
      </x:c>
      <x:c r="G2105" s="9" t="n">
        <x:v>0.15</x:v>
      </x:c>
      <x:c r="H2105" s="9" t="n">
        <x:v>1.111072</x:v>
      </x:c>
      <x:c r="I2105" s="9" t="n">
        <x:f>'Physical_Arcs'!R5</x:f>
        <x:v>9</x:v>
      </x:c>
      <x:c r="J2105" s="9" t="n">
        <x:f>I2105*'Parameters'!$C$18</x:f>
        <x:v>1.8</x:v>
      </x:c>
      <x:c r="K2105" s="9" t="n">
        <x:f>J2105*'Parameters'!$C$19</x:f>
        <x:v>2.25</x:v>
      </x:c>
      <x:c r="L2105" s="9" t="n">
        <x:f>I2105*(1-0.40)-J2105</x:f>
        <x:v>3.5999999999999996</x:v>
      </x:c>
      <x:c r="M2105" s="9" t="n">
        <x:f>'Physical_Arcs'!S5</x:f>
        <x:v>9</x:v>
      </x:c>
      <x:c r="N2105" s="9" t="n">
        <x:f>M2105*'Parameters'!$C$18</x:f>
        <x:v>1.8</x:v>
      </x:c>
      <x:c r="O2105" s="9" t="n">
        <x:f>N2105*'Parameters'!$C$19</x:f>
        <x:v>2.25</x:v>
      </x:c>
      <x:c r="P2105" s="9" t="n">
        <x:f>M2105*(1-0.40)-N2105</x:f>
        <x:v>3.5999999999999996</x:v>
      </x:c>
      <x:c r="Q2105" s="9" t="n">
        <x:f>'Physical_Arcs'!T5</x:f>
        <x:v>4.5</x:v>
      </x:c>
      <x:c r="R2105" s="9" t="n">
        <x:f>Q2105*'Parameters'!$C$18</x:f>
        <x:v>0.9</x:v>
      </x:c>
      <x:c r="S2105" s="9" t="n">
        <x:f>R2105*'Parameters'!$C$19</x:f>
        <x:v>1.125</x:v>
      </x:c>
      <x:c r="T2105" s="9" t="n">
        <x:f>Q2105*(1-0.40)-R2105</x:f>
        <x:v>1.7999999999999998</x:v>
      </x:c>
    </x:row>
    <x:row r="2106" ht="21" customHeight="1">
      <x:c r="A2106" s="3" t="n">
        <x:v>35</x:v>
      </x:c>
      <x:c r="B2106" s="3" t="str">
        <x:v>05:50</x:v>
      </x:c>
      <x:c r="C2106" s="3" t="n">
        <x:v>6</x:v>
      </x:c>
      <x:c r="D2106" s="3" t="n">
        <x:v>5</x:v>
      </x:c>
      <x:c r="E2106" s="3" t="n">
        <x:v>1</x:v>
      </x:c>
      <x:c r="F2106" s="3" t="n">
        <x:v>4</x:v>
      </x:c>
      <x:c r="G2106" s="9" t="n">
        <x:v>0.15</x:v>
      </x:c>
      <x:c r="H2106" s="9" t="n">
        <x:v>1.001665</x:v>
      </x:c>
      <x:c r="I2106" s="9" t="n">
        <x:f>'Physical_Arcs'!R6</x:f>
        <x:v>4.166666666666667</x:v>
      </x:c>
      <x:c r="J2106" s="9" t="n">
        <x:f>I2106*'Parameters'!$C$18</x:f>
        <x:v>0.8333333333333335</x:v>
      </x:c>
      <x:c r="K2106" s="9" t="n">
        <x:f>J2106*'Parameters'!$C$19</x:f>
        <x:v>1.041666666666667</x:v>
      </x:c>
      <x:c r="L2106" s="9" t="n">
        <x:f>I2106*(1-0.40)-J2106</x:f>
        <x:v>1.6666666666666665</x:v>
      </x:c>
      <x:c r="M2106" s="9" t="n">
        <x:f>'Physical_Arcs'!S6</x:f>
        <x:v>4.166666666666667</x:v>
      </x:c>
      <x:c r="N2106" s="9" t="n">
        <x:f>M2106*'Parameters'!$C$18</x:f>
        <x:v>0.8333333333333335</x:v>
      </x:c>
      <x:c r="O2106" s="9" t="n">
        <x:f>N2106*'Parameters'!$C$19</x:f>
        <x:v>1.041666666666667</x:v>
      </x:c>
      <x:c r="P2106" s="9" t="n">
        <x:f>M2106*(1-0.40)-N2106</x:f>
        <x:v>1.6666666666666665</x:v>
      </x:c>
      <x:c r="Q2106" s="9" t="n">
        <x:f>'Physical_Arcs'!T6</x:f>
        <x:v>2.0833333333333335</x:v>
      </x:c>
      <x:c r="R2106" s="9" t="n">
        <x:f>Q2106*'Parameters'!$C$18</x:f>
        <x:v>0.41666666666666674</x:v>
      </x:c>
      <x:c r="S2106" s="9" t="n">
        <x:f>R2106*'Parameters'!$C$19</x:f>
        <x:v>0.5208333333333335</x:v>
      </x:c>
      <x:c r="T2106" s="9" t="n">
        <x:f>Q2106*(1-0.40)-R2106</x:f>
        <x:v>0.8333333333333333</x:v>
      </x:c>
    </x:row>
    <x:row r="2107" ht="21" customHeight="1">
      <x:c r="A2107" s="3" t="n">
        <x:v>35</x:v>
      </x:c>
      <x:c r="B2107" s="3" t="str">
        <x:v>05:50</x:v>
      </x:c>
      <x:c r="C2107" s="3" t="n">
        <x:v>6</x:v>
      </x:c>
      <x:c r="D2107" s="3" t="n">
        <x:v>6</x:v>
      </x:c>
      <x:c r="E2107" s="3" t="n">
        <x:v>1</x:v>
      </x:c>
      <x:c r="F2107" s="3" t="n">
        <x:v>9</x:v>
      </x:c>
      <x:c r="G2107" s="9" t="n">
        <x:v>0.15</x:v>
      </x:c>
      <x:c r="H2107" s="9" t="n">
        <x:v>0.942884</x:v>
      </x:c>
      <x:c r="I2107" s="9" t="n">
        <x:f>'Physical_Arcs'!R7</x:f>
        <x:v>11.027777777777779</x:v>
      </x:c>
      <x:c r="J2107" s="9" t="n">
        <x:f>I2107*'Parameters'!$C$18</x:f>
        <x:v>2.2055555555555557</x:v>
      </x:c>
      <x:c r="K2107" s="9" t="n">
        <x:f>J2107*'Parameters'!$C$19</x:f>
        <x:v>2.7569444444444446</x:v>
      </x:c>
      <x:c r="L2107" s="9" t="n">
        <x:f>I2107*(1-0.40)-J2107</x:f>
        <x:v>4.411111111111111</x:v>
      </x:c>
      <x:c r="M2107" s="9" t="n">
        <x:f>'Physical_Arcs'!S7</x:f>
        <x:v>11.027777777777779</x:v>
      </x:c>
      <x:c r="N2107" s="9" t="n">
        <x:f>M2107*'Parameters'!$C$18</x:f>
        <x:v>2.2055555555555557</x:v>
      </x:c>
      <x:c r="O2107" s="9" t="n">
        <x:f>N2107*'Parameters'!$C$19</x:f>
        <x:v>2.7569444444444446</x:v>
      </x:c>
      <x:c r="P2107" s="9" t="n">
        <x:f>M2107*(1-0.40)-N2107</x:f>
        <x:v>4.411111111111111</x:v>
      </x:c>
      <x:c r="Q2107" s="9" t="n">
        <x:f>'Physical_Arcs'!T7</x:f>
        <x:v>5.527777777777778</x:v>
      </x:c>
      <x:c r="R2107" s="9" t="n">
        <x:f>Q2107*'Parameters'!$C$18</x:f>
        <x:v>1.1055555555555556</x:v>
      </x:c>
      <x:c r="S2107" s="9" t="n">
        <x:f>R2107*'Parameters'!$C$19</x:f>
        <x:v>1.3819444444444446</x:v>
      </x:c>
      <x:c r="T2107" s="9" t="n">
        <x:f>Q2107*(1-0.40)-R2107</x:f>
        <x:v>2.211111111111111</x:v>
      </x:c>
    </x:row>
    <x:row r="2108" ht="21" customHeight="1">
      <x:c r="A2108" s="3" t="n">
        <x:v>35</x:v>
      </x:c>
      <x:c r="B2108" s="3" t="str">
        <x:v>05:50</x:v>
      </x:c>
      <x:c r="C2108" s="3" t="n">
        <x:v>6</x:v>
      </x:c>
      <x:c r="D2108" s="3" t="n">
        <x:v>7</x:v>
      </x:c>
      <x:c r="E2108" s="3" t="n">
        <x:v>1</x:v>
      </x:c>
      <x:c r="F2108" s="3" t="n">
        <x:v>5</x:v>
      </x:c>
      <x:c r="G2108" s="9" t="n">
        <x:v>0.15</x:v>
      </x:c>
      <x:c r="H2108" s="9" t="n">
        <x:v>1.038222</x:v>
      </x:c>
      <x:c r="I2108" s="9" t="n">
        <x:f>'Physical_Arcs'!R8</x:f>
        <x:v>7.972222222222222</x:v>
      </x:c>
      <x:c r="J2108" s="9" t="n">
        <x:f>I2108*'Parameters'!$C$18</x:f>
        <x:v>1.5944444444444446</x:v>
      </x:c>
      <x:c r="K2108" s="9" t="n">
        <x:f>J2108*'Parameters'!$C$19</x:f>
        <x:v>1.9930555555555558</x:v>
      </x:c>
      <x:c r="L2108" s="9" t="n">
        <x:f>I2108*(1-0.40)-J2108</x:f>
        <x:v>3.1888888888888887</x:v>
      </x:c>
      <x:c r="M2108" s="9" t="n">
        <x:f>'Physical_Arcs'!S8</x:f>
        <x:v>7.972222222222222</x:v>
      </x:c>
      <x:c r="N2108" s="9" t="n">
        <x:f>M2108*'Parameters'!$C$18</x:f>
        <x:v>1.5944444444444446</x:v>
      </x:c>
      <x:c r="O2108" s="9" t="n">
        <x:f>N2108*'Parameters'!$C$19</x:f>
        <x:v>1.9930555555555558</x:v>
      </x:c>
      <x:c r="P2108" s="9" t="n">
        <x:f>M2108*(1-0.40)-N2108</x:f>
        <x:v>3.1888888888888887</x:v>
      </x:c>
      <x:c r="Q2108" s="9" t="n">
        <x:f>'Physical_Arcs'!T8</x:f>
        <x:v>4</x:v>
      </x:c>
      <x:c r="R2108" s="9" t="n">
        <x:f>Q2108*'Parameters'!$C$18</x:f>
        <x:v>0.8</x:v>
      </x:c>
      <x:c r="S2108" s="9" t="n">
        <x:f>R2108*'Parameters'!$C$19</x:f>
        <x:v>1</x:v>
      </x:c>
      <x:c r="T2108" s="9" t="n">
        <x:f>Q2108*(1-0.40)-R2108</x:f>
        <x:v>1.5999999999999999</x:v>
      </x:c>
    </x:row>
    <x:row r="2109" ht="21" customHeight="1">
      <x:c r="A2109" s="3" t="n">
        <x:v>35</x:v>
      </x:c>
      <x:c r="B2109" s="3" t="str">
        <x:v>05:50</x:v>
      </x:c>
      <x:c r="C2109" s="3" t="n">
        <x:v>6</x:v>
      </x:c>
      <x:c r="D2109" s="3" t="n">
        <x:v>8</x:v>
      </x:c>
      <x:c r="E2109" s="3" t="n">
        <x:v>1</x:v>
      </x:c>
      <x:c r="F2109" s="3" t="n">
        <x:v>3</x:v>
      </x:c>
      <x:c r="G2109" s="9" t="n">
        <x:v>0.15</x:v>
      </x:c>
      <x:c r="H2109" s="9" t="n">
        <x:v>1.122297</x:v>
      </x:c>
      <x:c r="I2109" s="9" t="n">
        <x:f>'Physical_Arcs'!R9</x:f>
        <x:v>4.166666666666667</x:v>
      </x:c>
      <x:c r="J2109" s="9" t="n">
        <x:f>I2109*'Parameters'!$C$18</x:f>
        <x:v>0.8333333333333335</x:v>
      </x:c>
      <x:c r="K2109" s="9" t="n">
        <x:f>J2109*'Parameters'!$C$19</x:f>
        <x:v>1.041666666666667</x:v>
      </x:c>
      <x:c r="L2109" s="9" t="n">
        <x:f>I2109*(1-0.40)-J2109</x:f>
        <x:v>1.6666666666666665</x:v>
      </x:c>
      <x:c r="M2109" s="9" t="n">
        <x:f>'Physical_Arcs'!S9</x:f>
        <x:v>4.166666666666667</x:v>
      </x:c>
      <x:c r="N2109" s="9" t="n">
        <x:f>M2109*'Parameters'!$C$18</x:f>
        <x:v>0.8333333333333335</x:v>
      </x:c>
      <x:c r="O2109" s="9" t="n">
        <x:f>N2109*'Parameters'!$C$19</x:f>
        <x:v>1.041666666666667</x:v>
      </x:c>
      <x:c r="P2109" s="9" t="n">
        <x:f>M2109*(1-0.40)-N2109</x:f>
        <x:v>1.6666666666666665</x:v>
      </x:c>
      <x:c r="Q2109" s="9" t="n">
        <x:f>'Physical_Arcs'!T9</x:f>
        <x:v>2.0833333333333335</x:v>
      </x:c>
      <x:c r="R2109" s="9" t="n">
        <x:f>Q2109*'Parameters'!$C$18</x:f>
        <x:v>0.41666666666666674</x:v>
      </x:c>
      <x:c r="S2109" s="9" t="n">
        <x:f>R2109*'Parameters'!$C$19</x:f>
        <x:v>0.5208333333333335</x:v>
      </x:c>
      <x:c r="T2109" s="9" t="n">
        <x:f>Q2109*(1-0.40)-R2109</x:f>
        <x:v>0.8333333333333333</x:v>
      </x:c>
    </x:row>
    <x:row r="2110" ht="21" customHeight="1">
      <x:c r="A2110" s="3" t="n">
        <x:v>35</x:v>
      </x:c>
      <x:c r="B2110" s="3" t="str">
        <x:v>05:50</x:v>
      </x:c>
      <x:c r="C2110" s="3" t="n">
        <x:v>6</x:v>
      </x:c>
      <x:c r="D2110" s="3" t="n">
        <x:v>9</x:v>
      </x:c>
      <x:c r="E2110" s="3" t="n">
        <x:v>1</x:v>
      </x:c>
      <x:c r="F2110" s="3" t="n">
        <x:v>6</x:v>
      </x:c>
      <x:c r="G2110" s="9" t="n">
        <x:v>0.15</x:v>
      </x:c>
      <x:c r="H2110" s="9" t="n">
        <x:v>1.132682</x:v>
      </x:c>
      <x:c r="I2110" s="9" t="n">
        <x:f>'Physical_Arcs'!R10</x:f>
        <x:v>2.138888888888889</x:v>
      </x:c>
      <x:c r="J2110" s="9" t="n">
        <x:f>I2110*'Parameters'!$C$18</x:f>
        <x:v>0.4277777777777778</x:v>
      </x:c>
      <x:c r="K2110" s="9" t="n">
        <x:f>J2110*'Parameters'!$C$19</x:f>
        <x:v>0.5347222222222223</x:v>
      </x:c>
      <x:c r="L2110" s="9" t="n">
        <x:f>I2110*(1-0.40)-J2110</x:f>
        <x:v>0.8555555555555554</x:v>
      </x:c>
      <x:c r="M2110" s="9" t="n">
        <x:f>'Physical_Arcs'!S10</x:f>
        <x:v>2.138888888888889</x:v>
      </x:c>
      <x:c r="N2110" s="9" t="n">
        <x:f>M2110*'Parameters'!$C$18</x:f>
        <x:v>0.4277777777777778</x:v>
      </x:c>
      <x:c r="O2110" s="9" t="n">
        <x:f>N2110*'Parameters'!$C$19</x:f>
        <x:v>0.5347222222222223</x:v>
      </x:c>
      <x:c r="P2110" s="9" t="n">
        <x:f>M2110*(1-0.40)-N2110</x:f>
        <x:v>0.8555555555555554</x:v>
      </x:c>
      <x:c r="Q2110" s="9" t="n">
        <x:f>'Physical_Arcs'!T10</x:f>
        <x:v>1.0833333333333333</x:v>
      </x:c>
      <x:c r="R2110" s="9" t="n">
        <x:f>Q2110*'Parameters'!$C$18</x:f>
        <x:v>0.21666666666666667</x:v>
      </x:c>
      <x:c r="S2110" s="9" t="n">
        <x:f>R2110*'Parameters'!$C$19</x:f>
        <x:v>0.27083333333333337</x:v>
      </x:c>
      <x:c r="T2110" s="9" t="n">
        <x:f>Q2110*(1-0.40)-R2110</x:f>
        <x:v>0.43333333333333324</x:v>
      </x:c>
    </x:row>
    <x:row r="2111" ht="21" customHeight="1">
      <x:c r="A2111" s="3" t="n">
        <x:v>35</x:v>
      </x:c>
      <x:c r="B2111" s="3" t="str">
        <x:v>05:50</x:v>
      </x:c>
      <x:c r="C2111" s="3" t="n">
        <x:v>6</x:v>
      </x:c>
      <x:c r="D2111" s="3" t="n">
        <x:v>10</x:v>
      </x:c>
      <x:c r="E2111" s="3" t="n">
        <x:v>2</x:v>
      </x:c>
      <x:c r="F2111" s="3" t="n">
        <x:v>3</x:v>
      </x:c>
      <x:c r="G2111" s="9" t="n">
        <x:v>0.15</x:v>
      </x:c>
      <x:c r="H2111" s="9" t="n">
        <x:v>0.871154</x:v>
      </x:c>
      <x:c r="I2111" s="9" t="n">
        <x:f>'Physical_Arcs'!R11</x:f>
        <x:v>17.02777777777778</x:v>
      </x:c>
      <x:c r="J2111" s="9" t="n">
        <x:f>I2111*'Parameters'!$C$18</x:f>
        <x:v>3.405555555555556</x:v>
      </x:c>
      <x:c r="K2111" s="9" t="n">
        <x:f>J2111*'Parameters'!$C$19</x:f>
        <x:v>4.256944444444445</x:v>
      </x:c>
      <x:c r="L2111" s="9" t="n">
        <x:f>I2111*(1-0.40)-J2111</x:f>
        <x:v>6.811111111111111</x:v>
      </x:c>
      <x:c r="M2111" s="9" t="n">
        <x:f>'Physical_Arcs'!S11</x:f>
        <x:v>17.02777777777778</x:v>
      </x:c>
      <x:c r="N2111" s="9" t="n">
        <x:f>M2111*'Parameters'!$C$18</x:f>
        <x:v>3.405555555555556</x:v>
      </x:c>
      <x:c r="O2111" s="9" t="n">
        <x:f>N2111*'Parameters'!$C$19</x:f>
        <x:v>4.256944444444445</x:v>
      </x:c>
      <x:c r="P2111" s="9" t="n">
        <x:f>M2111*(1-0.40)-N2111</x:f>
        <x:v>6.811111111111111</x:v>
      </x:c>
      <x:c r="Q2111" s="9" t="n">
        <x:f>'Physical_Arcs'!T11</x:f>
        <x:v>17.02777777777778</x:v>
      </x:c>
      <x:c r="R2111" s="9" t="n">
        <x:f>Q2111*'Parameters'!$C$18</x:f>
        <x:v>3.405555555555556</x:v>
      </x:c>
      <x:c r="S2111" s="9" t="n">
        <x:f>R2111*'Parameters'!$C$19</x:f>
        <x:v>4.256944444444445</x:v>
      </x:c>
      <x:c r="T2111" s="9" t="n">
        <x:f>Q2111*(1-0.40)-R2111</x:f>
        <x:v>6.811111111111111</x:v>
      </x:c>
    </x:row>
    <x:row r="2112" ht="21" customHeight="1">
      <x:c r="A2112" s="3" t="n">
        <x:v>35</x:v>
      </x:c>
      <x:c r="B2112" s="3" t="str">
        <x:v>05:50</x:v>
      </x:c>
      <x:c r="C2112" s="3" t="n">
        <x:v>6</x:v>
      </x:c>
      <x:c r="D2112" s="3" t="n">
        <x:v>11</x:v>
      </x:c>
      <x:c r="E2112" s="3" t="n">
        <x:v>2</x:v>
      </x:c>
      <x:c r="F2112" s="3" t="n">
        <x:v>4</x:v>
      </x:c>
      <x:c r="G2112" s="9" t="n">
        <x:v>0.15</x:v>
      </x:c>
      <x:c r="H2112" s="9" t="n">
        <x:v>1.147412</x:v>
      </x:c>
      <x:c r="I2112" s="9" t="n">
        <x:f>'Physical_Arcs'!R12</x:f>
        <x:v>7.972222222222222</x:v>
      </x:c>
      <x:c r="J2112" s="9" t="n">
        <x:f>I2112*'Parameters'!$C$18</x:f>
        <x:v>1.5944444444444446</x:v>
      </x:c>
      <x:c r="K2112" s="9" t="n">
        <x:f>J2112*'Parameters'!$C$19</x:f>
        <x:v>1.9930555555555558</x:v>
      </x:c>
      <x:c r="L2112" s="9" t="n">
        <x:f>I2112*(1-0.40)-J2112</x:f>
        <x:v>3.1888888888888887</x:v>
      </x:c>
      <x:c r="M2112" s="9" t="n">
        <x:f>'Physical_Arcs'!S12</x:f>
        <x:v>7.972222222222222</x:v>
      </x:c>
      <x:c r="N2112" s="9" t="n">
        <x:f>M2112*'Parameters'!$C$18</x:f>
        <x:v>1.5944444444444446</x:v>
      </x:c>
      <x:c r="O2112" s="9" t="n">
        <x:f>N2112*'Parameters'!$C$19</x:f>
        <x:v>1.9930555555555558</x:v>
      </x:c>
      <x:c r="P2112" s="9" t="n">
        <x:f>M2112*(1-0.40)-N2112</x:f>
        <x:v>3.1888888888888887</x:v>
      </x:c>
      <x:c r="Q2112" s="9" t="n">
        <x:f>'Physical_Arcs'!T12</x:f>
        <x:v>4</x:v>
      </x:c>
      <x:c r="R2112" s="9" t="n">
        <x:f>Q2112*'Parameters'!$C$18</x:f>
        <x:v>0.8</x:v>
      </x:c>
      <x:c r="S2112" s="9" t="n">
        <x:f>R2112*'Parameters'!$C$19</x:f>
        <x:v>1</x:v>
      </x:c>
      <x:c r="T2112" s="9" t="n">
        <x:f>Q2112*(1-0.40)-R2112</x:f>
        <x:v>1.5999999999999999</x:v>
      </x:c>
    </x:row>
    <x:row r="2113" ht="21" customHeight="1">
      <x:c r="A2113" s="3" t="n">
        <x:v>35</x:v>
      </x:c>
      <x:c r="B2113" s="3" t="str">
        <x:v>05:50</x:v>
      </x:c>
      <x:c r="C2113" s="3" t="n">
        <x:v>6</x:v>
      </x:c>
      <x:c r="D2113" s="3" t="n">
        <x:v>12</x:v>
      </x:c>
      <x:c r="E2113" s="3" t="n">
        <x:v>2</x:v>
      </x:c>
      <x:c r="F2113" s="3" t="n">
        <x:v>7</x:v>
      </x:c>
      <x:c r="G2113" s="9" t="n">
        <x:v>0.15</x:v>
      </x:c>
      <x:c r="H2113" s="9" t="n">
        <x:v>0.96729</x:v>
      </x:c>
      <x:c r="I2113" s="9" t="n">
        <x:f>'Physical_Arcs'!R13</x:f>
        <x:v>4.611111111111111</x:v>
      </x:c>
      <x:c r="J2113" s="9" t="n">
        <x:f>I2113*'Parameters'!$C$18</x:f>
        <x:v>0.9222222222222222</x:v>
      </x:c>
      <x:c r="K2113" s="9" t="n">
        <x:f>J2113*'Parameters'!$C$19</x:f>
        <x:v>1.1527777777777777</x:v>
      </x:c>
      <x:c r="L2113" s="9" t="n">
        <x:f>I2113*(1-0.40)-J2113</x:f>
        <x:v>1.844444444444444</x:v>
      </x:c>
      <x:c r="M2113" s="9" t="n">
        <x:f>'Physical_Arcs'!S13</x:f>
        <x:v>4.611111111111111</x:v>
      </x:c>
      <x:c r="N2113" s="9" t="n">
        <x:f>M2113*'Parameters'!$C$18</x:f>
        <x:v>0.9222222222222222</x:v>
      </x:c>
      <x:c r="O2113" s="9" t="n">
        <x:f>N2113*'Parameters'!$C$19</x:f>
        <x:v>1.1527777777777777</x:v>
      </x:c>
      <x:c r="P2113" s="9" t="n">
        <x:f>M2113*(1-0.40)-N2113</x:f>
        <x:v>1.844444444444444</x:v>
      </x:c>
      <x:c r="Q2113" s="9" t="n">
        <x:f>'Physical_Arcs'!T13</x:f>
        <x:v>2.3055555555555554</x:v>
      </x:c>
      <x:c r="R2113" s="9" t="n">
        <x:f>Q2113*'Parameters'!$C$18</x:f>
        <x:v>0.4611111111111111</x:v>
      </x:c>
      <x:c r="S2113" s="9" t="n">
        <x:f>R2113*'Parameters'!$C$19</x:f>
        <x:v>0.5763888888888888</x:v>
      </x:c>
      <x:c r="T2113" s="9" t="n">
        <x:f>Q2113*(1-0.40)-R2113</x:f>
        <x:v>0.922222222222222</x:v>
      </x:c>
    </x:row>
    <x:row r="2114" ht="21" customHeight="1">
      <x:c r="A2114" s="3" t="n">
        <x:v>35</x:v>
      </x:c>
      <x:c r="B2114" s="3" t="str">
        <x:v>05:50</x:v>
      </x:c>
      <x:c r="C2114" s="3" t="n">
        <x:v>6</x:v>
      </x:c>
      <x:c r="D2114" s="3" t="n">
        <x:v>13</x:v>
      </x:c>
      <x:c r="E2114" s="3" t="n">
        <x:v>2</x:v>
      </x:c>
      <x:c r="F2114" s="3" t="n">
        <x:v>9</x:v>
      </x:c>
      <x:c r="G2114" s="9" t="n">
        <x:v>0.15</x:v>
      </x:c>
      <x:c r="H2114" s="9" t="n">
        <x:v>1.117625</x:v>
      </x:c>
      <x:c r="I2114" s="9" t="n">
        <x:f>'Physical_Arcs'!R14</x:f>
        <x:v>8.666666666666666</x:v>
      </x:c>
      <x:c r="J2114" s="9" t="n">
        <x:f>I2114*'Parameters'!$C$18</x:f>
        <x:v>1.7333333333333334</x:v>
      </x:c>
      <x:c r="K2114" s="9" t="n">
        <x:f>J2114*'Parameters'!$C$19</x:f>
        <x:v>2.166666666666667</x:v>
      </x:c>
      <x:c r="L2114" s="9" t="n">
        <x:f>I2114*(1-0.40)-J2114</x:f>
        <x:v>3.466666666666666</x:v>
      </x:c>
      <x:c r="M2114" s="9" t="n">
        <x:f>'Physical_Arcs'!S14</x:f>
        <x:v>8.666666666666666</x:v>
      </x:c>
      <x:c r="N2114" s="9" t="n">
        <x:f>M2114*'Parameters'!$C$18</x:f>
        <x:v>1.7333333333333334</x:v>
      </x:c>
      <x:c r="O2114" s="9" t="n">
        <x:f>N2114*'Parameters'!$C$19</x:f>
        <x:v>2.166666666666667</x:v>
      </x:c>
      <x:c r="P2114" s="9" t="n">
        <x:f>M2114*(1-0.40)-N2114</x:f>
        <x:v>3.466666666666666</x:v>
      </x:c>
      <x:c r="Q2114" s="9" t="n">
        <x:f>'Physical_Arcs'!T14</x:f>
        <x:v>4.333333333333333</x:v>
      </x:c>
      <x:c r="R2114" s="9" t="n">
        <x:f>Q2114*'Parameters'!$C$18</x:f>
        <x:v>0.8666666666666667</x:v>
      </x:c>
      <x:c r="S2114" s="9" t="n">
        <x:f>R2114*'Parameters'!$C$19</x:f>
        <x:v>1.0833333333333335</x:v>
      </x:c>
      <x:c r="T2114" s="9" t="n">
        <x:f>Q2114*(1-0.40)-R2114</x:f>
        <x:v>1.733333333333333</x:v>
      </x:c>
    </x:row>
    <x:row r="2115" ht="21" customHeight="1">
      <x:c r="A2115" s="3" t="n">
        <x:v>35</x:v>
      </x:c>
      <x:c r="B2115" s="3" t="str">
        <x:v>05:50</x:v>
      </x:c>
      <x:c r="C2115" s="3" t="n">
        <x:v>6</x:v>
      </x:c>
      <x:c r="D2115" s="3" t="n">
        <x:v>14</x:v>
      </x:c>
      <x:c r="E2115" s="3" t="n">
        <x:v>2</x:v>
      </x:c>
      <x:c r="F2115" s="3" t="n">
        <x:v>8</x:v>
      </x:c>
      <x:c r="G2115" s="9" t="n">
        <x:v>0.15</x:v>
      </x:c>
      <x:c r="H2115" s="9" t="n">
        <x:v>1.144902</x:v>
      </x:c>
      <x:c r="I2115" s="9" t="n">
        <x:f>'Physical_Arcs'!R15</x:f>
        <x:v>7.75</x:v>
      </x:c>
      <x:c r="J2115" s="9" t="n">
        <x:f>I2115*'Parameters'!$C$18</x:f>
        <x:v>1.55</x:v>
      </x:c>
      <x:c r="K2115" s="9" t="n">
        <x:f>J2115*'Parameters'!$C$19</x:f>
        <x:v>1.9375</x:v>
      </x:c>
      <x:c r="L2115" s="9" t="n">
        <x:f>I2115*(1-0.40)-J2115</x:f>
        <x:v>3.0999999999999996</x:v>
      </x:c>
      <x:c r="M2115" s="9" t="n">
        <x:f>'Physical_Arcs'!S15</x:f>
        <x:v>7.75</x:v>
      </x:c>
      <x:c r="N2115" s="9" t="n">
        <x:f>M2115*'Parameters'!$C$18</x:f>
        <x:v>1.55</x:v>
      </x:c>
      <x:c r="O2115" s="9" t="n">
        <x:f>N2115*'Parameters'!$C$19</x:f>
        <x:v>1.9375</x:v>
      </x:c>
      <x:c r="P2115" s="9" t="n">
        <x:f>M2115*(1-0.40)-N2115</x:f>
        <x:v>3.0999999999999996</x:v>
      </x:c>
      <x:c r="Q2115" s="9" t="n">
        <x:f>'Physical_Arcs'!T15</x:f>
        <x:v>3.888888888888889</x:v>
      </x:c>
      <x:c r="R2115" s="9" t="n">
        <x:f>Q2115*'Parameters'!$C$18</x:f>
        <x:v>0.7777777777777778</x:v>
      </x:c>
      <x:c r="S2115" s="9" t="n">
        <x:f>R2115*'Parameters'!$C$19</x:f>
        <x:v>0.9722222222222222</x:v>
      </x:c>
      <x:c r="T2115" s="9" t="n">
        <x:f>Q2115*(1-0.40)-R2115</x:f>
        <x:v>1.5555555555555554</x:v>
      </x:c>
    </x:row>
    <x:row r="2116" ht="21" customHeight="1">
      <x:c r="A2116" s="3" t="n">
        <x:v>35</x:v>
      </x:c>
      <x:c r="B2116" s="3" t="str">
        <x:v>05:50</x:v>
      </x:c>
      <x:c r="C2116" s="3" t="n">
        <x:v>6</x:v>
      </x:c>
      <x:c r="D2116" s="3" t="n">
        <x:v>15</x:v>
      </x:c>
      <x:c r="E2116" s="3" t="n">
        <x:v>2</x:v>
      </x:c>
      <x:c r="F2116" s="3" t="n">
        <x:v>10</x:v>
      </x:c>
      <x:c r="G2116" s="9" t="n">
        <x:v>0.15</x:v>
      </x:c>
      <x:c r="H2116" s="9" t="n">
        <x:v>1.146684</x:v>
      </x:c>
      <x:c r="I2116" s="9" t="n">
        <x:f>'Physical_Arcs'!R16</x:f>
        <x:v>7.416666666666667</x:v>
      </x:c>
      <x:c r="J2116" s="9" t="n">
        <x:f>I2116*'Parameters'!$C$18</x:f>
        <x:v>1.4833333333333334</x:v>
      </x:c>
      <x:c r="K2116" s="9" t="n">
        <x:f>J2116*'Parameters'!$C$19</x:f>
        <x:v>1.8541666666666667</x:v>
      </x:c>
      <x:c r="L2116" s="9" t="n">
        <x:f>I2116*(1-0.40)-J2116</x:f>
        <x:v>2.966666666666667</x:v>
      </x:c>
      <x:c r="M2116" s="9" t="n">
        <x:f>'Physical_Arcs'!S16</x:f>
        <x:v>7.416666666666667</x:v>
      </x:c>
      <x:c r="N2116" s="9" t="n">
        <x:f>M2116*'Parameters'!$C$18</x:f>
        <x:v>1.4833333333333334</x:v>
      </x:c>
      <x:c r="O2116" s="9" t="n">
        <x:f>N2116*'Parameters'!$C$19</x:f>
        <x:v>1.8541666666666667</x:v>
      </x:c>
      <x:c r="P2116" s="9" t="n">
        <x:f>M2116*(1-0.40)-N2116</x:f>
        <x:v>2.966666666666667</x:v>
      </x:c>
      <x:c r="Q2116" s="9" t="n">
        <x:f>'Physical_Arcs'!T16</x:f>
        <x:v>3.7222222222222223</x:v>
      </x:c>
      <x:c r="R2116" s="9" t="n">
        <x:f>Q2116*'Parameters'!$C$18</x:f>
        <x:v>0.7444444444444445</x:v>
      </x:c>
      <x:c r="S2116" s="9" t="n">
        <x:f>R2116*'Parameters'!$C$19</x:f>
        <x:v>0.9305555555555556</x:v>
      </x:c>
      <x:c r="T2116" s="9" t="n">
        <x:f>Q2116*(1-0.40)-R2116</x:f>
        <x:v>1.488888888888889</x:v>
      </x:c>
    </x:row>
    <x:row r="2117" ht="21" customHeight="1">
      <x:c r="A2117" s="3" t="n">
        <x:v>35</x:v>
      </x:c>
      <x:c r="B2117" s="3" t="str">
        <x:v>05:50</x:v>
      </x:c>
      <x:c r="C2117" s="3" t="n">
        <x:v>6</x:v>
      </x:c>
      <x:c r="D2117" s="3" t="n">
        <x:v>16</x:v>
      </x:c>
      <x:c r="E2117" s="3" t="n">
        <x:v>3</x:v>
      </x:c>
      <x:c r="F2117" s="3" t="n">
        <x:v>4</x:v>
      </x:c>
      <x:c r="G2117" s="9" t="n">
        <x:v>0.15</x:v>
      </x:c>
      <x:c r="H2117" s="9" t="n">
        <x:v>1.017658</x:v>
      </x:c>
      <x:c r="I2117" s="9" t="n">
        <x:f>'Physical_Arcs'!R17</x:f>
        <x:v>17.02777777777778</x:v>
      </x:c>
      <x:c r="J2117" s="9" t="n">
        <x:f>I2117*'Parameters'!$C$18</x:f>
        <x:v>3.405555555555556</x:v>
      </x:c>
      <x:c r="K2117" s="9" t="n">
        <x:f>J2117*'Parameters'!$C$19</x:f>
        <x:v>4.256944444444445</x:v>
      </x:c>
      <x:c r="L2117" s="9" t="n">
        <x:f>I2117*(1-0.40)-J2117</x:f>
        <x:v>6.811111111111111</x:v>
      </x:c>
      <x:c r="M2117" s="9" t="n">
        <x:f>'Physical_Arcs'!S17</x:f>
        <x:v>17.02777777777778</x:v>
      </x:c>
      <x:c r="N2117" s="9" t="n">
        <x:f>M2117*'Parameters'!$C$18</x:f>
        <x:v>3.405555555555556</x:v>
      </x:c>
      <x:c r="O2117" s="9" t="n">
        <x:f>N2117*'Parameters'!$C$19</x:f>
        <x:v>4.256944444444445</x:v>
      </x:c>
      <x:c r="P2117" s="9" t="n">
        <x:f>M2117*(1-0.40)-N2117</x:f>
        <x:v>6.811111111111111</x:v>
      </x:c>
      <x:c r="Q2117" s="9" t="n">
        <x:f>'Physical_Arcs'!T17</x:f>
        <x:v>17.02777777777778</x:v>
      </x:c>
      <x:c r="R2117" s="9" t="n">
        <x:f>Q2117*'Parameters'!$C$18</x:f>
        <x:v>3.405555555555556</x:v>
      </x:c>
      <x:c r="S2117" s="9" t="n">
        <x:f>R2117*'Parameters'!$C$19</x:f>
        <x:v>4.256944444444445</x:v>
      </x:c>
      <x:c r="T2117" s="9" t="n">
        <x:f>Q2117*(1-0.40)-R2117</x:f>
        <x:v>6.811111111111111</x:v>
      </x:c>
    </x:row>
    <x:row r="2118" ht="21" customHeight="1">
      <x:c r="A2118" s="3" t="n">
        <x:v>35</x:v>
      </x:c>
      <x:c r="B2118" s="3" t="str">
        <x:v>05:50</x:v>
      </x:c>
      <x:c r="C2118" s="3" t="n">
        <x:v>6</x:v>
      </x:c>
      <x:c r="D2118" s="3" t="n">
        <x:v>17</x:v>
      </x:c>
      <x:c r="E2118" s="3" t="n">
        <x:v>3</x:v>
      </x:c>
      <x:c r="F2118" s="3" t="n">
        <x:v>2</x:v>
      </x:c>
      <x:c r="G2118" s="9" t="n">
        <x:v>0.15</x:v>
      </x:c>
      <x:c r="H2118" s="9" t="n">
        <x:v>0.875995</x:v>
      </x:c>
      <x:c r="I2118" s="9" t="n">
        <x:f>'Physical_Arcs'!R18</x:f>
        <x:v>10.666666666666666</x:v>
      </x:c>
      <x:c r="J2118" s="9" t="n">
        <x:f>I2118*'Parameters'!$C$18</x:f>
        <x:v>2.1333333333333333</x:v>
      </x:c>
      <x:c r="K2118" s="9" t="n">
        <x:f>J2118*'Parameters'!$C$19</x:f>
        <x:v>2.6666666666666665</x:v>
      </x:c>
      <x:c r="L2118" s="9" t="n">
        <x:f>I2118*(1-0.40)-J2118</x:f>
        <x:v>4.266666666666666</x:v>
      </x:c>
      <x:c r="M2118" s="9" t="n">
        <x:f>'Physical_Arcs'!S18</x:f>
        <x:v>10.666666666666666</x:v>
      </x:c>
      <x:c r="N2118" s="9" t="n">
        <x:f>M2118*'Parameters'!$C$18</x:f>
        <x:v>2.1333333333333333</x:v>
      </x:c>
      <x:c r="O2118" s="9" t="n">
        <x:f>N2118*'Parameters'!$C$19</x:f>
        <x:v>2.6666666666666665</x:v>
      </x:c>
      <x:c r="P2118" s="9" t="n">
        <x:f>M2118*(1-0.40)-N2118</x:f>
        <x:v>4.266666666666666</x:v>
      </x:c>
      <x:c r="Q2118" s="9" t="n">
        <x:f>'Physical_Arcs'!T18</x:f>
        <x:v>5.333333333333333</x:v>
      </x:c>
      <x:c r="R2118" s="9" t="n">
        <x:f>Q2118*'Parameters'!$C$18</x:f>
        <x:v>1.0666666666666667</x:v>
      </x:c>
      <x:c r="S2118" s="9" t="n">
        <x:f>R2118*'Parameters'!$C$19</x:f>
        <x:v>1.3333333333333333</x:v>
      </x:c>
      <x:c r="T2118" s="9" t="n">
        <x:f>Q2118*(1-0.40)-R2118</x:f>
        <x:v>2.133333333333333</x:v>
      </x:c>
    </x:row>
    <x:row r="2119" ht="21" customHeight="1">
      <x:c r="A2119" s="3" t="n">
        <x:v>35</x:v>
      </x:c>
      <x:c r="B2119" s="3" t="str">
        <x:v>05:50</x:v>
      </x:c>
      <x:c r="C2119" s="3" t="n">
        <x:v>6</x:v>
      </x:c>
      <x:c r="D2119" s="3" t="n">
        <x:v>18</x:v>
      </x:c>
      <x:c r="E2119" s="3" t="n">
        <x:v>3</x:v>
      </x:c>
      <x:c r="F2119" s="3" t="n">
        <x:v>1</x:v>
      </x:c>
      <x:c r="G2119" s="9" t="n">
        <x:v>0.15</x:v>
      </x:c>
      <x:c r="H2119" s="9" t="n">
        <x:v>1.015397</x:v>
      </x:c>
      <x:c r="I2119" s="9" t="n">
        <x:f>'Physical_Arcs'!R19</x:f>
        <x:v>5.166666666666667</x:v>
      </x:c>
      <x:c r="J2119" s="9" t="n">
        <x:f>I2119*'Parameters'!$C$18</x:f>
        <x:v>1.0333333333333334</x:v>
      </x:c>
      <x:c r="K2119" s="9" t="n">
        <x:f>J2119*'Parameters'!$C$19</x:f>
        <x:v>1.2916666666666667</x:v>
      </x:c>
      <x:c r="L2119" s="9" t="n">
        <x:f>I2119*(1-0.40)-J2119</x:f>
        <x:v>2.0666666666666664</x:v>
      </x:c>
      <x:c r="M2119" s="9" t="n">
        <x:f>'Physical_Arcs'!S19</x:f>
        <x:v>5.166666666666667</x:v>
      </x:c>
      <x:c r="N2119" s="9" t="n">
        <x:f>M2119*'Parameters'!$C$18</x:f>
        <x:v>1.0333333333333334</x:v>
      </x:c>
      <x:c r="O2119" s="9" t="n">
        <x:f>N2119*'Parameters'!$C$19</x:f>
        <x:v>1.2916666666666667</x:v>
      </x:c>
      <x:c r="P2119" s="9" t="n">
        <x:f>M2119*(1-0.40)-N2119</x:f>
        <x:v>2.0666666666666664</x:v>
      </x:c>
      <x:c r="Q2119" s="9" t="n">
        <x:f>'Physical_Arcs'!T19</x:f>
        <x:v>2.5833333333333335</x:v>
      </x:c>
      <x:c r="R2119" s="9" t="n">
        <x:f>Q2119*'Parameters'!$C$18</x:f>
        <x:v>0.5166666666666667</x:v>
      </x:c>
      <x:c r="S2119" s="9" t="n">
        <x:f>R2119*'Parameters'!$C$19</x:f>
        <x:v>0.6458333333333334</x:v>
      </x:c>
      <x:c r="T2119" s="9" t="n">
        <x:f>Q2119*(1-0.40)-R2119</x:f>
        <x:v>1.0333333333333332</x:v>
      </x:c>
    </x:row>
    <x:row r="2120" ht="21" customHeight="1">
      <x:c r="A2120" s="3" t="n">
        <x:v>35</x:v>
      </x:c>
      <x:c r="B2120" s="3" t="str">
        <x:v>05:50</x:v>
      </x:c>
      <x:c r="C2120" s="3" t="n">
        <x:v>6</x:v>
      </x:c>
      <x:c r="D2120" s="3" t="n">
        <x:v>19</x:v>
      </x:c>
      <x:c r="E2120" s="3" t="n">
        <x:v>3</x:v>
      </x:c>
      <x:c r="F2120" s="3" t="n">
        <x:v>7</x:v>
      </x:c>
      <x:c r="G2120" s="9" t="n">
        <x:v>0.15</x:v>
      </x:c>
      <x:c r="H2120" s="9" t="n">
        <x:v>0.996008</x:v>
      </x:c>
      <x:c r="I2120" s="9" t="n">
        <x:f>'Physical_Arcs'!R20</x:f>
        <x:v>5.75</x:v>
      </x:c>
      <x:c r="J2120" s="9" t="n">
        <x:f>I2120*'Parameters'!$C$18</x:f>
        <x:v>1.1500000000000001</x:v>
      </x:c>
      <x:c r="K2120" s="9" t="n">
        <x:f>J2120*'Parameters'!$C$19</x:f>
        <x:v>1.4375000000000002</x:v>
      </x:c>
      <x:c r="L2120" s="9" t="n">
        <x:f>I2120*(1-0.40)-J2120</x:f>
        <x:v>2.3</x:v>
      </x:c>
      <x:c r="M2120" s="9" t="n">
        <x:f>'Physical_Arcs'!S20</x:f>
        <x:v>5.75</x:v>
      </x:c>
      <x:c r="N2120" s="9" t="n">
        <x:f>M2120*'Parameters'!$C$18</x:f>
        <x:v>1.1500000000000001</x:v>
      </x:c>
      <x:c r="O2120" s="9" t="n">
        <x:f>N2120*'Parameters'!$C$19</x:f>
        <x:v>1.4375000000000002</x:v>
      </x:c>
      <x:c r="P2120" s="9" t="n">
        <x:f>M2120*(1-0.40)-N2120</x:f>
        <x:v>2.3</x:v>
      </x:c>
      <x:c r="Q2120" s="9" t="n">
        <x:f>'Physical_Arcs'!T20</x:f>
        <x:v>2.888888888888889</x:v>
      </x:c>
      <x:c r="R2120" s="9" t="n">
        <x:f>Q2120*'Parameters'!$C$18</x:f>
        <x:v>0.5777777777777778</x:v>
      </x:c>
      <x:c r="S2120" s="9" t="n">
        <x:f>R2120*'Parameters'!$C$19</x:f>
        <x:v>0.7222222222222223</x:v>
      </x:c>
      <x:c r="T2120" s="9" t="n">
        <x:f>Q2120*(1-0.40)-R2120</x:f>
        <x:v>1.1555555555555554</x:v>
      </x:c>
    </x:row>
    <x:row r="2121" ht="21" customHeight="1">
      <x:c r="A2121" s="3" t="n">
        <x:v>35</x:v>
      </x:c>
      <x:c r="B2121" s="3" t="str">
        <x:v>05:50</x:v>
      </x:c>
      <x:c r="C2121" s="3" t="n">
        <x:v>6</x:v>
      </x:c>
      <x:c r="D2121" s="3" t="n">
        <x:v>20</x:v>
      </x:c>
      <x:c r="E2121" s="3" t="n">
        <x:v>3</x:v>
      </x:c>
      <x:c r="F2121" s="3" t="n">
        <x:v>10</x:v>
      </x:c>
      <x:c r="G2121" s="9" t="n">
        <x:v>0.15</x:v>
      </x:c>
      <x:c r="H2121" s="9" t="n">
        <x:v>1.118855</x:v>
      </x:c>
      <x:c r="I2121" s="9" t="n">
        <x:f>'Physical_Arcs'!R21</x:f>
        <x:v>5.166666666666667</x:v>
      </x:c>
      <x:c r="J2121" s="9" t="n">
        <x:f>I2121*'Parameters'!$C$18</x:f>
        <x:v>1.0333333333333334</x:v>
      </x:c>
      <x:c r="K2121" s="9" t="n">
        <x:f>J2121*'Parameters'!$C$19</x:f>
        <x:v>1.2916666666666667</x:v>
      </x:c>
      <x:c r="L2121" s="9" t="n">
        <x:f>I2121*(1-0.40)-J2121</x:f>
        <x:v>2.0666666666666664</x:v>
      </x:c>
      <x:c r="M2121" s="9" t="n">
        <x:f>'Physical_Arcs'!S21</x:f>
        <x:v>5.166666666666667</x:v>
      </x:c>
      <x:c r="N2121" s="9" t="n">
        <x:f>M2121*'Parameters'!$C$18</x:f>
        <x:v>1.0333333333333334</x:v>
      </x:c>
      <x:c r="O2121" s="9" t="n">
        <x:f>N2121*'Parameters'!$C$19</x:f>
        <x:v>1.2916666666666667</x:v>
      </x:c>
      <x:c r="P2121" s="9" t="n">
        <x:f>M2121*(1-0.40)-N2121</x:f>
        <x:v>2.0666666666666664</x:v>
      </x:c>
      <x:c r="Q2121" s="9" t="n">
        <x:f>'Physical_Arcs'!T21</x:f>
        <x:v>2.5833333333333335</x:v>
      </x:c>
      <x:c r="R2121" s="9" t="n">
        <x:f>Q2121*'Parameters'!$C$18</x:f>
        <x:v>0.5166666666666667</x:v>
      </x:c>
      <x:c r="S2121" s="9" t="n">
        <x:f>R2121*'Parameters'!$C$19</x:f>
        <x:v>0.6458333333333334</x:v>
      </x:c>
      <x:c r="T2121" s="9" t="n">
        <x:f>Q2121*(1-0.40)-R2121</x:f>
        <x:v>1.0333333333333332</x:v>
      </x:c>
    </x:row>
    <x:row r="2122" ht="21" customHeight="1">
      <x:c r="A2122" s="3" t="n">
        <x:v>35</x:v>
      </x:c>
      <x:c r="B2122" s="3" t="str">
        <x:v>05:50</x:v>
      </x:c>
      <x:c r="C2122" s="3" t="n">
        <x:v>6</x:v>
      </x:c>
      <x:c r="D2122" s="3" t="n">
        <x:v>21</x:v>
      </x:c>
      <x:c r="E2122" s="3" t="n">
        <x:v>3</x:v>
      </x:c>
      <x:c r="F2122" s="3" t="n">
        <x:v>9</x:v>
      </x:c>
      <x:c r="G2122" s="9" t="n">
        <x:v>0.15</x:v>
      </x:c>
      <x:c r="H2122" s="9" t="n">
        <x:v>0.947299</x:v>
      </x:c>
      <x:c r="I2122" s="9" t="n">
        <x:f>'Physical_Arcs'!R22</x:f>
        <x:v>9.333333333333334</x:v>
      </x:c>
      <x:c r="J2122" s="9" t="n">
        <x:f>I2122*'Parameters'!$C$18</x:f>
        <x:v>1.866666666666667</x:v>
      </x:c>
      <x:c r="K2122" s="9" t="n">
        <x:f>J2122*'Parameters'!$C$19</x:f>
        <x:v>2.3333333333333335</x:v>
      </x:c>
      <x:c r="L2122" s="9" t="n">
        <x:f>I2122*(1-0.40)-J2122</x:f>
        <x:v>3.7333333333333334</x:v>
      </x:c>
      <x:c r="M2122" s="9" t="n">
        <x:f>'Physical_Arcs'!S22</x:f>
        <x:v>9.333333333333334</x:v>
      </x:c>
      <x:c r="N2122" s="9" t="n">
        <x:f>M2122*'Parameters'!$C$18</x:f>
        <x:v>1.866666666666667</x:v>
      </x:c>
      <x:c r="O2122" s="9" t="n">
        <x:f>N2122*'Parameters'!$C$19</x:f>
        <x:v>2.3333333333333335</x:v>
      </x:c>
      <x:c r="P2122" s="9" t="n">
        <x:f>M2122*(1-0.40)-N2122</x:f>
        <x:v>3.7333333333333334</x:v>
      </x:c>
      <x:c r="Q2122" s="9" t="n">
        <x:f>'Physical_Arcs'!T22</x:f>
        <x:v>4.666666666666667</x:v>
      </x:c>
      <x:c r="R2122" s="9" t="n">
        <x:f>Q2122*'Parameters'!$C$18</x:f>
        <x:v>0.9333333333333335</x:v>
      </x:c>
      <x:c r="S2122" s="9" t="n">
        <x:f>R2122*'Parameters'!$C$19</x:f>
        <x:v>1.1666666666666667</x:v>
      </x:c>
      <x:c r="T2122" s="9" t="n">
        <x:f>Q2122*(1-0.40)-R2122</x:f>
        <x:v>1.8666666666666667</x:v>
      </x:c>
    </x:row>
    <x:row r="2123" ht="21" customHeight="1">
      <x:c r="A2123" s="3" t="n">
        <x:v>35</x:v>
      </x:c>
      <x:c r="B2123" s="3" t="str">
        <x:v>05:50</x:v>
      </x:c>
      <x:c r="C2123" s="3" t="n">
        <x:v>6</x:v>
      </x:c>
      <x:c r="D2123" s="3" t="n">
        <x:v>22</x:v>
      </x:c>
      <x:c r="E2123" s="3" t="n">
        <x:v>4</x:v>
      </x:c>
      <x:c r="F2123" s="3" t="n">
        <x:v>5</x:v>
      </x:c>
      <x:c r="G2123" s="9" t="n">
        <x:v>0.15</x:v>
      </x:c>
      <x:c r="H2123" s="9" t="n">
        <x:v>0.958485</x:v>
      </x:c>
      <x:c r="I2123" s="9" t="n">
        <x:f>'Physical_Arcs'!R23</x:f>
        <x:v>17.02777777777778</x:v>
      </x:c>
      <x:c r="J2123" s="9" t="n">
        <x:f>I2123*'Parameters'!$C$18</x:f>
        <x:v>3.405555555555556</x:v>
      </x:c>
      <x:c r="K2123" s="9" t="n">
        <x:f>J2123*'Parameters'!$C$19</x:f>
        <x:v>4.256944444444445</x:v>
      </x:c>
      <x:c r="L2123" s="9" t="n">
        <x:f>I2123*(1-0.40)-J2123</x:f>
        <x:v>6.811111111111111</x:v>
      </x:c>
      <x:c r="M2123" s="9" t="n">
        <x:f>'Physical_Arcs'!S23</x:f>
        <x:v>17.02777777777778</x:v>
      </x:c>
      <x:c r="N2123" s="9" t="n">
        <x:f>M2123*'Parameters'!$C$18</x:f>
        <x:v>3.405555555555556</x:v>
      </x:c>
      <x:c r="O2123" s="9" t="n">
        <x:f>N2123*'Parameters'!$C$19</x:f>
        <x:v>4.256944444444445</x:v>
      </x:c>
      <x:c r="P2123" s="9" t="n">
        <x:f>M2123*(1-0.40)-N2123</x:f>
        <x:v>6.811111111111111</x:v>
      </x:c>
      <x:c r="Q2123" s="9" t="n">
        <x:f>'Physical_Arcs'!T23</x:f>
        <x:v>17.02777777777778</x:v>
      </x:c>
      <x:c r="R2123" s="9" t="n">
        <x:f>Q2123*'Parameters'!$C$18</x:f>
        <x:v>3.405555555555556</x:v>
      </x:c>
      <x:c r="S2123" s="9" t="n">
        <x:f>R2123*'Parameters'!$C$19</x:f>
        <x:v>4.256944444444445</x:v>
      </x:c>
      <x:c r="T2123" s="9" t="n">
        <x:f>Q2123*(1-0.40)-R2123</x:f>
        <x:v>6.811111111111111</x:v>
      </x:c>
    </x:row>
    <x:row r="2124" ht="21" customHeight="1">
      <x:c r="A2124" s="3" t="n">
        <x:v>35</x:v>
      </x:c>
      <x:c r="B2124" s="3" t="str">
        <x:v>05:50</x:v>
      </x:c>
      <x:c r="C2124" s="3" t="n">
        <x:v>6</x:v>
      </x:c>
      <x:c r="D2124" s="3" t="n">
        <x:v>23</x:v>
      </x:c>
      <x:c r="E2124" s="3" t="n">
        <x:v>4</x:v>
      </x:c>
      <x:c r="F2124" s="3" t="n">
        <x:v>3</x:v>
      </x:c>
      <x:c r="G2124" s="9" t="n">
        <x:v>0.15</x:v>
      </x:c>
      <x:c r="H2124" s="9" t="n">
        <x:v>0.944916</x:v>
      </x:c>
      <x:c r="I2124" s="9" t="n">
        <x:f>'Physical_Arcs'!R24</x:f>
        <x:v>9.333333333333334</x:v>
      </x:c>
      <x:c r="J2124" s="9" t="n">
        <x:f>I2124*'Parameters'!$C$18</x:f>
        <x:v>1.866666666666667</x:v>
      </x:c>
      <x:c r="K2124" s="9" t="n">
        <x:f>J2124*'Parameters'!$C$19</x:f>
        <x:v>2.3333333333333335</x:v>
      </x:c>
      <x:c r="L2124" s="9" t="n">
        <x:f>I2124*(1-0.40)-J2124</x:f>
        <x:v>3.7333333333333334</x:v>
      </x:c>
      <x:c r="M2124" s="9" t="n">
        <x:f>'Physical_Arcs'!S24</x:f>
        <x:v>9.333333333333334</x:v>
      </x:c>
      <x:c r="N2124" s="9" t="n">
        <x:f>M2124*'Parameters'!$C$18</x:f>
        <x:v>1.866666666666667</x:v>
      </x:c>
      <x:c r="O2124" s="9" t="n">
        <x:f>N2124*'Parameters'!$C$19</x:f>
        <x:v>2.3333333333333335</x:v>
      </x:c>
      <x:c r="P2124" s="9" t="n">
        <x:f>M2124*(1-0.40)-N2124</x:f>
        <x:v>3.7333333333333334</x:v>
      </x:c>
      <x:c r="Q2124" s="9" t="n">
        <x:f>'Physical_Arcs'!T24</x:f>
        <x:v>4.666666666666667</x:v>
      </x:c>
      <x:c r="R2124" s="9" t="n">
        <x:f>Q2124*'Parameters'!$C$18</x:f>
        <x:v>0.9333333333333335</x:v>
      </x:c>
      <x:c r="S2124" s="9" t="n">
        <x:f>R2124*'Parameters'!$C$19</x:f>
        <x:v>1.1666666666666667</x:v>
      </x:c>
      <x:c r="T2124" s="9" t="n">
        <x:f>Q2124*(1-0.40)-R2124</x:f>
        <x:v>1.8666666666666667</x:v>
      </x:c>
    </x:row>
    <x:row r="2125" ht="21" customHeight="1">
      <x:c r="A2125" s="3" t="n">
        <x:v>35</x:v>
      </x:c>
      <x:c r="B2125" s="3" t="str">
        <x:v>05:50</x:v>
      </x:c>
      <x:c r="C2125" s="3" t="n">
        <x:v>6</x:v>
      </x:c>
      <x:c r="D2125" s="3" t="n">
        <x:v>24</x:v>
      </x:c>
      <x:c r="E2125" s="3" t="n">
        <x:v>4</x:v>
      </x:c>
      <x:c r="F2125" s="3" t="n">
        <x:v>10</x:v>
      </x:c>
      <x:c r="G2125" s="9" t="n">
        <x:v>0.15</x:v>
      </x:c>
      <x:c r="H2125" s="9" t="n">
        <x:v>0.875461</x:v>
      </x:c>
      <x:c r="I2125" s="9" t="n">
        <x:f>'Physical_Arcs'!R25</x:f>
        <x:v>7.194444444444445</x:v>
      </x:c>
      <x:c r="J2125" s="9" t="n">
        <x:f>I2125*'Parameters'!$C$18</x:f>
        <x:v>1.438888888888889</x:v>
      </x:c>
      <x:c r="K2125" s="9" t="n">
        <x:f>J2125*'Parameters'!$C$19</x:f>
        <x:v>1.7986111111111114</x:v>
      </x:c>
      <x:c r="L2125" s="9" t="n">
        <x:f>I2125*(1-0.40)-J2125</x:f>
        <x:v>2.8777777777777773</x:v>
      </x:c>
      <x:c r="M2125" s="9" t="n">
        <x:f>'Physical_Arcs'!S25</x:f>
        <x:v>7.194444444444445</x:v>
      </x:c>
      <x:c r="N2125" s="9" t="n">
        <x:f>M2125*'Parameters'!$C$18</x:f>
        <x:v>1.438888888888889</x:v>
      </x:c>
      <x:c r="O2125" s="9" t="n">
        <x:f>N2125*'Parameters'!$C$19</x:f>
        <x:v>1.7986111111111114</x:v>
      </x:c>
      <x:c r="P2125" s="9" t="n">
        <x:f>M2125*(1-0.40)-N2125</x:f>
        <x:v>2.8777777777777773</x:v>
      </x:c>
      <x:c r="Q2125" s="9" t="n">
        <x:f>'Physical_Arcs'!T25</x:f>
        <x:v>3.611111111111111</x:v>
      </x:c>
      <x:c r="R2125" s="9" t="n">
        <x:f>Q2125*'Parameters'!$C$18</x:f>
        <x:v>0.7222222222222223</x:v>
      </x:c>
      <x:c r="S2125" s="9" t="n">
        <x:f>R2125*'Parameters'!$C$19</x:f>
        <x:v>0.9027777777777779</x:v>
      </x:c>
      <x:c r="T2125" s="9" t="n">
        <x:f>Q2125*(1-0.40)-R2125</x:f>
        <x:v>1.4444444444444442</x:v>
      </x:c>
    </x:row>
    <x:row r="2126" ht="21" customHeight="1">
      <x:c r="A2126" s="3" t="n">
        <x:v>35</x:v>
      </x:c>
      <x:c r="B2126" s="3" t="str">
        <x:v>05:50</x:v>
      </x:c>
      <x:c r="C2126" s="3" t="n">
        <x:v>6</x:v>
      </x:c>
      <x:c r="D2126" s="3" t="n">
        <x:v>25</x:v>
      </x:c>
      <x:c r="E2126" s="3" t="n">
        <x:v>4</x:v>
      </x:c>
      <x:c r="F2126" s="3" t="n">
        <x:v>8</x:v>
      </x:c>
      <x:c r="G2126" s="9" t="n">
        <x:v>0.15</x:v>
      </x:c>
      <x:c r="H2126" s="9" t="n">
        <x:v>0.993326</x:v>
      </x:c>
      <x:c r="I2126" s="9" t="n">
        <x:f>'Physical_Arcs'!R26</x:f>
        <x:v>5.277777777777778</x:v>
      </x:c>
      <x:c r="J2126" s="9" t="n">
        <x:f>I2126*'Parameters'!$C$18</x:f>
        <x:v>1.0555555555555556</x:v>
      </x:c>
      <x:c r="K2126" s="9" t="n">
        <x:f>J2126*'Parameters'!$C$19</x:f>
        <x:v>1.3194444444444444</x:v>
      </x:c>
      <x:c r="L2126" s="9" t="n">
        <x:f>I2126*(1-0.40)-J2126</x:f>
        <x:v>2.1111111111111107</x:v>
      </x:c>
      <x:c r="M2126" s="9" t="n">
        <x:f>'Physical_Arcs'!S26</x:f>
        <x:v>5.277777777777778</x:v>
      </x:c>
      <x:c r="N2126" s="9" t="n">
        <x:f>M2126*'Parameters'!$C$18</x:f>
        <x:v>1.0555555555555556</x:v>
      </x:c>
      <x:c r="O2126" s="9" t="n">
        <x:f>N2126*'Parameters'!$C$19</x:f>
        <x:v>1.3194444444444444</x:v>
      </x:c>
      <x:c r="P2126" s="9" t="n">
        <x:f>M2126*(1-0.40)-N2126</x:f>
        <x:v>2.1111111111111107</x:v>
      </x:c>
      <x:c r="Q2126" s="9" t="n">
        <x:f>'Physical_Arcs'!T26</x:f>
        <x:v>2.638888888888889</x:v>
      </x:c>
      <x:c r="R2126" s="9" t="n">
        <x:f>Q2126*'Parameters'!$C$18</x:f>
        <x:v>0.5277777777777778</x:v>
      </x:c>
      <x:c r="S2126" s="9" t="n">
        <x:f>R2126*'Parameters'!$C$19</x:f>
        <x:v>0.6597222222222222</x:v>
      </x:c>
      <x:c r="T2126" s="9" t="n">
        <x:f>Q2126*(1-0.40)-R2126</x:f>
        <x:v>1.0555555555555554</x:v>
      </x:c>
    </x:row>
    <x:row r="2127" ht="21" customHeight="1">
      <x:c r="A2127" s="3" t="n">
        <x:v>35</x:v>
      </x:c>
      <x:c r="B2127" s="3" t="str">
        <x:v>05:50</x:v>
      </x:c>
      <x:c r="C2127" s="3" t="n">
        <x:v>6</x:v>
      </x:c>
      <x:c r="D2127" s="3" t="n">
        <x:v>26</x:v>
      </x:c>
      <x:c r="E2127" s="3" t="n">
        <x:v>4</x:v>
      </x:c>
      <x:c r="F2127" s="3" t="n">
        <x:v>7</x:v>
      </x:c>
      <x:c r="G2127" s="9" t="n">
        <x:v>0.15</x:v>
      </x:c>
      <x:c r="H2127" s="9" t="n">
        <x:v>1.099203</x:v>
      </x:c>
      <x:c r="I2127" s="9" t="n">
        <x:f>'Physical_Arcs'!R27</x:f>
        <x:v>6.527777777777778</x:v>
      </x:c>
      <x:c r="J2127" s="9" t="n">
        <x:f>I2127*'Parameters'!$C$18</x:f>
        <x:v>1.3055555555555556</x:v>
      </x:c>
      <x:c r="K2127" s="9" t="n">
        <x:f>J2127*'Parameters'!$C$19</x:f>
        <x:v>1.6319444444444444</x:v>
      </x:c>
      <x:c r="L2127" s="9" t="n">
        <x:f>I2127*(1-0.40)-J2127</x:f>
        <x:v>2.6111111111111107</x:v>
      </x:c>
      <x:c r="M2127" s="9" t="n">
        <x:f>'Physical_Arcs'!S27</x:f>
        <x:v>6.527777777777778</x:v>
      </x:c>
      <x:c r="N2127" s="9" t="n">
        <x:f>M2127*'Parameters'!$C$18</x:f>
        <x:v>1.3055555555555556</x:v>
      </x:c>
      <x:c r="O2127" s="9" t="n">
        <x:f>N2127*'Parameters'!$C$19</x:f>
        <x:v>1.6319444444444444</x:v>
      </x:c>
      <x:c r="P2127" s="9" t="n">
        <x:f>M2127*(1-0.40)-N2127</x:f>
        <x:v>2.6111111111111107</x:v>
      </x:c>
      <x:c r="Q2127" s="9" t="n">
        <x:f>'Physical_Arcs'!T27</x:f>
        <x:v>3.2777777777777777</x:v>
      </x:c>
      <x:c r="R2127" s="9" t="n">
        <x:f>Q2127*'Parameters'!$C$18</x:f>
        <x:v>0.6555555555555556</x:v>
      </x:c>
      <x:c r="S2127" s="9" t="n">
        <x:f>R2127*'Parameters'!$C$19</x:f>
        <x:v>0.8194444444444444</x:v>
      </x:c>
      <x:c r="T2127" s="9" t="n">
        <x:f>Q2127*(1-0.40)-R2127</x:f>
        <x:v>1.311111111111111</x:v>
      </x:c>
    </x:row>
    <x:row r="2128" ht="21" customHeight="1">
      <x:c r="A2128" s="3" t="n">
        <x:v>35</x:v>
      </x:c>
      <x:c r="B2128" s="3" t="str">
        <x:v>05:50</x:v>
      </x:c>
      <x:c r="C2128" s="3" t="n">
        <x:v>6</x:v>
      </x:c>
      <x:c r="D2128" s="3" t="n">
        <x:v>27</x:v>
      </x:c>
      <x:c r="E2128" s="3" t="n">
        <x:v>4</x:v>
      </x:c>
      <x:c r="F2128" s="3" t="n">
        <x:v>2</x:v>
      </x:c>
      <x:c r="G2128" s="9" t="n">
        <x:v>0.15</x:v>
      </x:c>
      <x:c r="H2128" s="9" t="n">
        <x:v>0.861111</x:v>
      </x:c>
      <x:c r="I2128" s="9" t="n">
        <x:f>'Physical_Arcs'!R28</x:f>
        <x:v>4.944444444444445</x:v>
      </x:c>
      <x:c r="J2128" s="9" t="n">
        <x:f>I2128*'Parameters'!$C$18</x:f>
        <x:v>0.9888888888888889</x:v>
      </x:c>
      <x:c r="K2128" s="9" t="n">
        <x:f>J2128*'Parameters'!$C$19</x:f>
        <x:v>1.2361111111111112</x:v>
      </x:c>
      <x:c r="L2128" s="9" t="n">
        <x:f>I2128*(1-0.40)-J2128</x:f>
        <x:v>1.9777777777777779</x:v>
      </x:c>
      <x:c r="M2128" s="9" t="n">
        <x:f>'Physical_Arcs'!S28</x:f>
        <x:v>4.944444444444445</x:v>
      </x:c>
      <x:c r="N2128" s="9" t="n">
        <x:f>M2128*'Parameters'!$C$18</x:f>
        <x:v>0.9888888888888889</x:v>
      </x:c>
      <x:c r="O2128" s="9" t="n">
        <x:f>N2128*'Parameters'!$C$19</x:f>
        <x:v>1.2361111111111112</x:v>
      </x:c>
      <x:c r="P2128" s="9" t="n">
        <x:f>M2128*(1-0.40)-N2128</x:f>
        <x:v>1.9777777777777779</x:v>
      </x:c>
      <x:c r="Q2128" s="9" t="n">
        <x:f>'Physical_Arcs'!T28</x:f>
        <x:v>2.4722222222222223</x:v>
      </x:c>
      <x:c r="R2128" s="9" t="n">
        <x:f>Q2128*'Parameters'!$C$18</x:f>
        <x:v>0.49444444444444446</x:v>
      </x:c>
      <x:c r="S2128" s="9" t="n">
        <x:f>R2128*'Parameters'!$C$19</x:f>
        <x:v>0.6180555555555556</x:v>
      </x:c>
      <x:c r="T2128" s="9" t="n">
        <x:f>Q2128*(1-0.40)-R2128</x:f>
        <x:v>0.9888888888888889</x:v>
      </x:c>
    </x:row>
    <x:row r="2129" ht="21" customHeight="1">
      <x:c r="A2129" s="3" t="n">
        <x:v>35</x:v>
      </x:c>
      <x:c r="B2129" s="3" t="str">
        <x:v>05:50</x:v>
      </x:c>
      <x:c r="C2129" s="3" t="n">
        <x:v>6</x:v>
      </x:c>
      <x:c r="D2129" s="3" t="n">
        <x:v>28</x:v>
      </x:c>
      <x:c r="E2129" s="3" t="n">
        <x:v>4</x:v>
      </x:c>
      <x:c r="F2129" s="3" t="n">
        <x:v>6</x:v>
      </x:c>
      <x:c r="G2129" s="9" t="n">
        <x:v>0.15</x:v>
      </x:c>
      <x:c r="H2129" s="9" t="n">
        <x:v>1.137214</x:v>
      </x:c>
      <x:c r="I2129" s="9" t="n">
        <x:f>'Physical_Arcs'!R29</x:f>
        <x:v>3.388888888888889</x:v>
      </x:c>
      <x:c r="J2129" s="9" t="n">
        <x:f>I2129*'Parameters'!$C$18</x:f>
        <x:v>0.6777777777777778</x:v>
      </x:c>
      <x:c r="K2129" s="9" t="n">
        <x:f>J2129*'Parameters'!$C$19</x:f>
        <x:v>0.8472222222222223</x:v>
      </x:c>
      <x:c r="L2129" s="9" t="n">
        <x:f>I2129*(1-0.40)-J2129</x:f>
        <x:v>1.3555555555555554</x:v>
      </x:c>
      <x:c r="M2129" s="9" t="n">
        <x:f>'Physical_Arcs'!S29</x:f>
        <x:v>3.388888888888889</x:v>
      </x:c>
      <x:c r="N2129" s="9" t="n">
        <x:f>M2129*'Parameters'!$C$18</x:f>
        <x:v>0.6777777777777778</x:v>
      </x:c>
      <x:c r="O2129" s="9" t="n">
        <x:f>N2129*'Parameters'!$C$19</x:f>
        <x:v>0.8472222222222223</x:v>
      </x:c>
      <x:c r="P2129" s="9" t="n">
        <x:f>M2129*(1-0.40)-N2129</x:f>
        <x:v>1.3555555555555554</x:v>
      </x:c>
      <x:c r="Q2129" s="9" t="n">
        <x:f>'Physical_Arcs'!T29</x:f>
        <x:v>1.6944444444444444</x:v>
      </x:c>
      <x:c r="R2129" s="9" t="n">
        <x:f>Q2129*'Parameters'!$C$18</x:f>
        <x:v>0.3388888888888889</x:v>
      </x:c>
      <x:c r="S2129" s="9" t="n">
        <x:f>R2129*'Parameters'!$C$19</x:f>
        <x:v>0.42361111111111116</x:v>
      </x:c>
      <x:c r="T2129" s="9" t="n">
        <x:f>Q2129*(1-0.40)-R2129</x:f>
        <x:v>0.6777777777777777</x:v>
      </x:c>
    </x:row>
    <x:row r="2130" ht="21" customHeight="1">
      <x:c r="A2130" s="3" t="n">
        <x:v>35</x:v>
      </x:c>
      <x:c r="B2130" s="3" t="str">
        <x:v>05:50</x:v>
      </x:c>
      <x:c r="C2130" s="3" t="n">
        <x:v>6</x:v>
      </x:c>
      <x:c r="D2130" s="3" t="n">
        <x:v>29</x:v>
      </x:c>
      <x:c r="E2130" s="3" t="n">
        <x:v>5</x:v>
      </x:c>
      <x:c r="F2130" s="3" t="n">
        <x:v>6</x:v>
      </x:c>
      <x:c r="G2130" s="9" t="n">
        <x:v>0.15</x:v>
      </x:c>
      <x:c r="H2130" s="9" t="n">
        <x:v>0.949994</x:v>
      </x:c>
      <x:c r="I2130" s="9" t="n">
        <x:f>'Physical_Arcs'!R30</x:f>
        <x:v>17.02777777777778</x:v>
      </x:c>
      <x:c r="J2130" s="9" t="n">
        <x:f>I2130*'Parameters'!$C$18</x:f>
        <x:v>3.405555555555556</x:v>
      </x:c>
      <x:c r="K2130" s="9" t="n">
        <x:f>J2130*'Parameters'!$C$19</x:f>
        <x:v>4.256944444444445</x:v>
      </x:c>
      <x:c r="L2130" s="9" t="n">
        <x:f>I2130*(1-0.40)-J2130</x:f>
        <x:v>6.811111111111111</x:v>
      </x:c>
      <x:c r="M2130" s="9" t="n">
        <x:f>'Physical_Arcs'!S30</x:f>
        <x:v>17.02777777777778</x:v>
      </x:c>
      <x:c r="N2130" s="9" t="n">
        <x:f>M2130*'Parameters'!$C$18</x:f>
        <x:v>3.405555555555556</x:v>
      </x:c>
      <x:c r="O2130" s="9" t="n">
        <x:f>N2130*'Parameters'!$C$19</x:f>
        <x:v>4.256944444444445</x:v>
      </x:c>
      <x:c r="P2130" s="9" t="n">
        <x:f>M2130*(1-0.40)-N2130</x:f>
        <x:v>6.811111111111111</x:v>
      </x:c>
      <x:c r="Q2130" s="9" t="n">
        <x:f>'Physical_Arcs'!T30</x:f>
        <x:v>17.02777777777778</x:v>
      </x:c>
      <x:c r="R2130" s="9" t="n">
        <x:f>Q2130*'Parameters'!$C$18</x:f>
        <x:v>3.405555555555556</x:v>
      </x:c>
      <x:c r="S2130" s="9" t="n">
        <x:f>R2130*'Parameters'!$C$19</x:f>
        <x:v>4.256944444444445</x:v>
      </x:c>
      <x:c r="T2130" s="9" t="n">
        <x:f>Q2130*(1-0.40)-R2130</x:f>
        <x:v>6.811111111111111</x:v>
      </x:c>
    </x:row>
    <x:row r="2131" ht="21" customHeight="1">
      <x:c r="A2131" s="3" t="n">
        <x:v>35</x:v>
      </x:c>
      <x:c r="B2131" s="3" t="str">
        <x:v>05:50</x:v>
      </x:c>
      <x:c r="C2131" s="3" t="n">
        <x:v>6</x:v>
      </x:c>
      <x:c r="D2131" s="3" t="n">
        <x:v>30</x:v>
      </x:c>
      <x:c r="E2131" s="3" t="n">
        <x:v>5</x:v>
      </x:c>
      <x:c r="F2131" s="3" t="n">
        <x:v>2</x:v>
      </x:c>
      <x:c r="G2131" s="9" t="n">
        <x:v>0.15</x:v>
      </x:c>
      <x:c r="H2131" s="9" t="n">
        <x:v>0.882396</x:v>
      </x:c>
      <x:c r="I2131" s="9" t="n">
        <x:f>'Physical_Arcs'!R31</x:f>
        <x:v>2.9444444444444446</x:v>
      </x:c>
      <x:c r="J2131" s="9" t="n">
        <x:f>I2131*'Parameters'!$C$18</x:f>
        <x:v>0.5888888888888889</x:v>
      </x:c>
      <x:c r="K2131" s="9" t="n">
        <x:f>J2131*'Parameters'!$C$19</x:f>
        <x:v>0.7361111111111112</x:v>
      </x:c>
      <x:c r="L2131" s="9" t="n">
        <x:f>I2131*(1-0.40)-J2131</x:f>
        <x:v>1.177777777777778</x:v>
      </x:c>
      <x:c r="M2131" s="9" t="n">
        <x:f>'Physical_Arcs'!S31</x:f>
        <x:v>2.9444444444444446</x:v>
      </x:c>
      <x:c r="N2131" s="9" t="n">
        <x:f>M2131*'Parameters'!$C$18</x:f>
        <x:v>0.5888888888888889</x:v>
      </x:c>
      <x:c r="O2131" s="9" t="n">
        <x:f>N2131*'Parameters'!$C$19</x:f>
        <x:v>0.7361111111111112</x:v>
      </x:c>
      <x:c r="P2131" s="9" t="n">
        <x:f>M2131*(1-0.40)-N2131</x:f>
        <x:v>1.177777777777778</x:v>
      </x:c>
      <x:c r="Q2131" s="9" t="n">
        <x:f>'Physical_Arcs'!T31</x:f>
        <x:v>1.4722222222222223</x:v>
      </x:c>
      <x:c r="R2131" s="9" t="n">
        <x:f>Q2131*'Parameters'!$C$18</x:f>
        <x:v>0.29444444444444445</x:v>
      </x:c>
      <x:c r="S2131" s="9" t="n">
        <x:f>R2131*'Parameters'!$C$19</x:f>
        <x:v>0.3680555555555556</x:v>
      </x:c>
      <x:c r="T2131" s="9" t="n">
        <x:f>Q2131*(1-0.40)-R2131</x:f>
        <x:v>0.588888888888889</x:v>
      </x:c>
    </x:row>
    <x:row r="2132" ht="21" customHeight="1">
      <x:c r="A2132" s="3" t="n">
        <x:v>35</x:v>
      </x:c>
      <x:c r="B2132" s="3" t="str">
        <x:v>05:50</x:v>
      </x:c>
      <x:c r="C2132" s="3" t="n">
        <x:v>6</x:v>
      </x:c>
      <x:c r="D2132" s="3" t="n">
        <x:v>31</x:v>
      </x:c>
      <x:c r="E2132" s="3" t="n">
        <x:v>5</x:v>
      </x:c>
      <x:c r="F2132" s="3" t="n">
        <x:v>8</x:v>
      </x:c>
      <x:c r="G2132" s="9" t="n">
        <x:v>0.15</x:v>
      </x:c>
      <x:c r="H2132" s="9" t="n">
        <x:v>0.986718</x:v>
      </x:c>
      <x:c r="I2132" s="9" t="n">
        <x:f>'Physical_Arcs'!R32</x:f>
        <x:v>9.333333333333334</x:v>
      </x:c>
      <x:c r="J2132" s="9" t="n">
        <x:f>I2132*'Parameters'!$C$18</x:f>
        <x:v>1.866666666666667</x:v>
      </x:c>
      <x:c r="K2132" s="9" t="n">
        <x:f>J2132*'Parameters'!$C$19</x:f>
        <x:v>2.3333333333333335</x:v>
      </x:c>
      <x:c r="L2132" s="9" t="n">
        <x:f>I2132*(1-0.40)-J2132</x:f>
        <x:v>3.7333333333333334</x:v>
      </x:c>
      <x:c r="M2132" s="9" t="n">
        <x:f>'Physical_Arcs'!S32</x:f>
        <x:v>9.333333333333334</x:v>
      </x:c>
      <x:c r="N2132" s="9" t="n">
        <x:f>M2132*'Parameters'!$C$18</x:f>
        <x:v>1.866666666666667</x:v>
      </x:c>
      <x:c r="O2132" s="9" t="n">
        <x:f>N2132*'Parameters'!$C$19</x:f>
        <x:v>2.3333333333333335</x:v>
      </x:c>
      <x:c r="P2132" s="9" t="n">
        <x:f>M2132*(1-0.40)-N2132</x:f>
        <x:v>3.7333333333333334</x:v>
      </x:c>
      <x:c r="Q2132" s="9" t="n">
        <x:f>'Physical_Arcs'!T32</x:f>
        <x:v>4.666666666666667</x:v>
      </x:c>
      <x:c r="R2132" s="9" t="n">
        <x:f>Q2132*'Parameters'!$C$18</x:f>
        <x:v>0.9333333333333335</x:v>
      </x:c>
      <x:c r="S2132" s="9" t="n">
        <x:f>R2132*'Parameters'!$C$19</x:f>
        <x:v>1.1666666666666667</x:v>
      </x:c>
      <x:c r="T2132" s="9" t="n">
        <x:f>Q2132*(1-0.40)-R2132</x:f>
        <x:v>1.8666666666666667</x:v>
      </x:c>
    </x:row>
    <x:row r="2133" ht="21" customHeight="1">
      <x:c r="A2133" s="3" t="n">
        <x:v>35</x:v>
      </x:c>
      <x:c r="B2133" s="3" t="str">
        <x:v>05:50</x:v>
      </x:c>
      <x:c r="C2133" s="3" t="n">
        <x:v>6</x:v>
      </x:c>
      <x:c r="D2133" s="3" t="n">
        <x:v>32</x:v>
      </x:c>
      <x:c r="E2133" s="3" t="n">
        <x:v>5</x:v>
      </x:c>
      <x:c r="F2133" s="3" t="n">
        <x:v>3</x:v>
      </x:c>
      <x:c r="G2133" s="9" t="n">
        <x:v>0.15</x:v>
      </x:c>
      <x:c r="H2133" s="9" t="n">
        <x:v>1.089544</x:v>
      </x:c>
      <x:c r="I2133" s="9" t="n">
        <x:f>'Physical_Arcs'!R33</x:f>
        <x:v>11.13888888888889</x:v>
      </x:c>
      <x:c r="J2133" s="9" t="n">
        <x:f>I2133*'Parameters'!$C$18</x:f>
        <x:v>2.227777777777778</x:v>
      </x:c>
      <x:c r="K2133" s="9" t="n">
        <x:f>J2133*'Parameters'!$C$19</x:f>
        <x:v>2.7847222222222223</x:v>
      </x:c>
      <x:c r="L2133" s="9" t="n">
        <x:f>I2133*(1-0.40)-J2133</x:f>
        <x:v>4.455555555555556</x:v>
      </x:c>
      <x:c r="M2133" s="9" t="n">
        <x:f>'Physical_Arcs'!S33</x:f>
        <x:v>11.13888888888889</x:v>
      </x:c>
      <x:c r="N2133" s="9" t="n">
        <x:f>M2133*'Parameters'!$C$18</x:f>
        <x:v>2.227777777777778</x:v>
      </x:c>
      <x:c r="O2133" s="9" t="n">
        <x:f>N2133*'Parameters'!$C$19</x:f>
        <x:v>2.7847222222222223</x:v>
      </x:c>
      <x:c r="P2133" s="9" t="n">
        <x:f>M2133*(1-0.40)-N2133</x:f>
        <x:v>4.455555555555556</x:v>
      </x:c>
      <x:c r="Q2133" s="9" t="n">
        <x:f>'Physical_Arcs'!T33</x:f>
        <x:v>5.583333333333333</x:v>
      </x:c>
      <x:c r="R2133" s="9" t="n">
        <x:f>Q2133*'Parameters'!$C$18</x:f>
        <x:v>1.1166666666666667</x:v>
      </x:c>
      <x:c r="S2133" s="9" t="n">
        <x:f>R2133*'Parameters'!$C$19</x:f>
        <x:v>1.3958333333333335</x:v>
      </x:c>
      <x:c r="T2133" s="9" t="n">
        <x:f>Q2133*(1-0.40)-R2133</x:f>
        <x:v>2.233333333333333</x:v>
      </x:c>
    </x:row>
    <x:row r="2134" ht="21" customHeight="1">
      <x:c r="A2134" s="3" t="n">
        <x:v>35</x:v>
      </x:c>
      <x:c r="B2134" s="3" t="str">
        <x:v>05:50</x:v>
      </x:c>
      <x:c r="C2134" s="3" t="n">
        <x:v>6</x:v>
      </x:c>
      <x:c r="D2134" s="3" t="n">
        <x:v>33</x:v>
      </x:c>
      <x:c r="E2134" s="3" t="n">
        <x:v>5</x:v>
      </x:c>
      <x:c r="F2134" s="3" t="n">
        <x:v>10</x:v>
      </x:c>
      <x:c r="G2134" s="9" t="n">
        <x:v>0.15</x:v>
      </x:c>
      <x:c r="H2134" s="9" t="n">
        <x:v>1.103596</x:v>
      </x:c>
      <x:c r="I2134" s="9" t="n">
        <x:f>'Physical_Arcs'!R34</x:f>
        <x:v>4.611111111111111</x:v>
      </x:c>
      <x:c r="J2134" s="9" t="n">
        <x:f>I2134*'Parameters'!$C$18</x:f>
        <x:v>0.9222222222222222</x:v>
      </x:c>
      <x:c r="K2134" s="9" t="n">
        <x:f>J2134*'Parameters'!$C$19</x:f>
        <x:v>1.1527777777777777</x:v>
      </x:c>
      <x:c r="L2134" s="9" t="n">
        <x:f>I2134*(1-0.40)-J2134</x:f>
        <x:v>1.844444444444444</x:v>
      </x:c>
      <x:c r="M2134" s="9" t="n">
        <x:f>'Physical_Arcs'!S34</x:f>
        <x:v>4.611111111111111</x:v>
      </x:c>
      <x:c r="N2134" s="9" t="n">
        <x:f>M2134*'Parameters'!$C$18</x:f>
        <x:v>0.9222222222222222</x:v>
      </x:c>
      <x:c r="O2134" s="9" t="n">
        <x:f>N2134*'Parameters'!$C$19</x:f>
        <x:v>1.1527777777777777</x:v>
      </x:c>
      <x:c r="P2134" s="9" t="n">
        <x:f>M2134*(1-0.40)-N2134</x:f>
        <x:v>1.844444444444444</x:v>
      </x:c>
      <x:c r="Q2134" s="9" t="n">
        <x:f>'Physical_Arcs'!T34</x:f>
        <x:v>2.3055555555555554</x:v>
      </x:c>
      <x:c r="R2134" s="9" t="n">
        <x:f>Q2134*'Parameters'!$C$18</x:f>
        <x:v>0.4611111111111111</x:v>
      </x:c>
      <x:c r="S2134" s="9" t="n">
        <x:f>R2134*'Parameters'!$C$19</x:f>
        <x:v>0.5763888888888888</x:v>
      </x:c>
      <x:c r="T2134" s="9" t="n">
        <x:f>Q2134*(1-0.40)-R2134</x:f>
        <x:v>0.922222222222222</x:v>
      </x:c>
    </x:row>
    <x:row r="2135" ht="21" customHeight="1">
      <x:c r="A2135" s="3" t="n">
        <x:v>35</x:v>
      </x:c>
      <x:c r="B2135" s="3" t="str">
        <x:v>05:50</x:v>
      </x:c>
      <x:c r="C2135" s="3" t="n">
        <x:v>6</x:v>
      </x:c>
      <x:c r="D2135" s="3" t="n">
        <x:v>34</x:v>
      </x:c>
      <x:c r="E2135" s="3" t="n">
        <x:v>6</x:v>
      </x:c>
      <x:c r="F2135" s="3" t="n">
        <x:v>7</x:v>
      </x:c>
      <x:c r="G2135" s="9" t="n">
        <x:v>0.15</x:v>
      </x:c>
      <x:c r="H2135" s="9" t="n">
        <x:v>0.973887</x:v>
      </x:c>
      <x:c r="I2135" s="9" t="n">
        <x:f>'Physical_Arcs'!R35</x:f>
        <x:v>17.02777777777778</x:v>
      </x:c>
      <x:c r="J2135" s="9" t="n">
        <x:f>I2135*'Parameters'!$C$18</x:f>
        <x:v>3.405555555555556</x:v>
      </x:c>
      <x:c r="K2135" s="9" t="n">
        <x:f>J2135*'Parameters'!$C$19</x:f>
        <x:v>4.256944444444445</x:v>
      </x:c>
      <x:c r="L2135" s="9" t="n">
        <x:f>I2135*(1-0.40)-J2135</x:f>
        <x:v>6.811111111111111</x:v>
      </x:c>
      <x:c r="M2135" s="9" t="n">
        <x:f>'Physical_Arcs'!S35</x:f>
        <x:v>17.02777777777778</x:v>
      </x:c>
      <x:c r="N2135" s="9" t="n">
        <x:f>M2135*'Parameters'!$C$18</x:f>
        <x:v>3.405555555555556</x:v>
      </x:c>
      <x:c r="O2135" s="9" t="n">
        <x:f>N2135*'Parameters'!$C$19</x:f>
        <x:v>4.256944444444445</x:v>
      </x:c>
      <x:c r="P2135" s="9" t="n">
        <x:f>M2135*(1-0.40)-N2135</x:f>
        <x:v>6.811111111111111</x:v>
      </x:c>
      <x:c r="Q2135" s="9" t="n">
        <x:f>'Physical_Arcs'!T35</x:f>
        <x:v>17.02777777777778</x:v>
      </x:c>
      <x:c r="R2135" s="9" t="n">
        <x:f>Q2135*'Parameters'!$C$18</x:f>
        <x:v>3.405555555555556</x:v>
      </x:c>
      <x:c r="S2135" s="9" t="n">
        <x:f>R2135*'Parameters'!$C$19</x:f>
        <x:v>4.256944444444445</x:v>
      </x:c>
      <x:c r="T2135" s="9" t="n">
        <x:f>Q2135*(1-0.40)-R2135</x:f>
        <x:v>6.811111111111111</x:v>
      </x:c>
    </x:row>
    <x:row r="2136" ht="21" customHeight="1">
      <x:c r="A2136" s="3" t="n">
        <x:v>35</x:v>
      </x:c>
      <x:c r="B2136" s="3" t="str">
        <x:v>05:50</x:v>
      </x:c>
      <x:c r="C2136" s="3" t="n">
        <x:v>6</x:v>
      </x:c>
      <x:c r="D2136" s="3" t="n">
        <x:v>35</x:v>
      </x:c>
      <x:c r="E2136" s="3" t="n">
        <x:v>6</x:v>
      </x:c>
      <x:c r="F2136" s="3" t="n">
        <x:v>10</x:v>
      </x:c>
      <x:c r="G2136" s="9" t="n">
        <x:v>0.15</x:v>
      </x:c>
      <x:c r="H2136" s="9" t="n">
        <x:v>1.009062</x:v>
      </x:c>
      <x:c r="I2136" s="9" t="n">
        <x:f>'Physical_Arcs'!R36</x:f>
        <x:v>4.055555555555555</x:v>
      </x:c>
      <x:c r="J2136" s="9" t="n">
        <x:f>I2136*'Parameters'!$C$18</x:f>
        <x:v>0.8111111111111111</x:v>
      </x:c>
      <x:c r="K2136" s="9" t="n">
        <x:f>J2136*'Parameters'!$C$19</x:f>
        <x:v>1.0138888888888888</x:v>
      </x:c>
      <x:c r="L2136" s="9" t="n">
        <x:f>I2136*(1-0.40)-J2136</x:f>
        <x:v>1.622222222222222</x:v>
      </x:c>
      <x:c r="M2136" s="9" t="n">
        <x:f>'Physical_Arcs'!S36</x:f>
        <x:v>4.055555555555555</x:v>
      </x:c>
      <x:c r="N2136" s="9" t="n">
        <x:f>M2136*'Parameters'!$C$18</x:f>
        <x:v>0.8111111111111111</x:v>
      </x:c>
      <x:c r="O2136" s="9" t="n">
        <x:f>N2136*'Parameters'!$C$19</x:f>
        <x:v>1.0138888888888888</x:v>
      </x:c>
      <x:c r="P2136" s="9" t="n">
        <x:f>M2136*(1-0.40)-N2136</x:f>
        <x:v>1.622222222222222</x:v>
      </x:c>
      <x:c r="Q2136" s="9" t="n">
        <x:f>'Physical_Arcs'!T36</x:f>
        <x:v>2.0277777777777777</x:v>
      </x:c>
      <x:c r="R2136" s="9" t="n">
        <x:f>Q2136*'Parameters'!$C$18</x:f>
        <x:v>0.40555555555555556</x:v>
      </x:c>
      <x:c r="S2136" s="9" t="n">
        <x:f>R2136*'Parameters'!$C$19</x:f>
        <x:v>0.5069444444444444</x:v>
      </x:c>
      <x:c r="T2136" s="9" t="n">
        <x:f>Q2136*(1-0.40)-R2136</x:f>
        <x:v>0.811111111111111</x:v>
      </x:c>
    </x:row>
    <x:row r="2137" ht="21" customHeight="1">
      <x:c r="A2137" s="3" t="n">
        <x:v>35</x:v>
      </x:c>
      <x:c r="B2137" s="3" t="str">
        <x:v>05:50</x:v>
      </x:c>
      <x:c r="C2137" s="3" t="n">
        <x:v>6</x:v>
      </x:c>
      <x:c r="D2137" s="3" t="n">
        <x:v>36</x:v>
      </x:c>
      <x:c r="E2137" s="3" t="n">
        <x:v>6</x:v>
      </x:c>
      <x:c r="F2137" s="3" t="n">
        <x:v>8</x:v>
      </x:c>
      <x:c r="G2137" s="9" t="n">
        <x:v>0.15</x:v>
      </x:c>
      <x:c r="H2137" s="9" t="n">
        <x:v>1.132129</x:v>
      </x:c>
      <x:c r="I2137" s="9" t="n">
        <x:f>'Physical_Arcs'!R37</x:f>
        <x:v>6.972222222222222</x:v>
      </x:c>
      <x:c r="J2137" s="9" t="n">
        <x:f>I2137*'Parameters'!$C$18</x:f>
        <x:v>1.3944444444444446</x:v>
      </x:c>
      <x:c r="K2137" s="9" t="n">
        <x:f>J2137*'Parameters'!$C$19</x:f>
        <x:v>1.7430555555555558</x:v>
      </x:c>
      <x:c r="L2137" s="9" t="n">
        <x:f>I2137*(1-0.40)-J2137</x:f>
        <x:v>2.7888888888888888</x:v>
      </x:c>
      <x:c r="M2137" s="9" t="n">
        <x:f>'Physical_Arcs'!S37</x:f>
        <x:v>6.972222222222222</x:v>
      </x:c>
      <x:c r="N2137" s="9" t="n">
        <x:f>M2137*'Parameters'!$C$18</x:f>
        <x:v>1.3944444444444446</x:v>
      </x:c>
      <x:c r="O2137" s="9" t="n">
        <x:f>N2137*'Parameters'!$C$19</x:f>
        <x:v>1.7430555555555558</x:v>
      </x:c>
      <x:c r="P2137" s="9" t="n">
        <x:f>M2137*(1-0.40)-N2137</x:f>
        <x:v>2.7888888888888888</x:v>
      </x:c>
      <x:c r="Q2137" s="9" t="n">
        <x:f>'Physical_Arcs'!T37</x:f>
        <x:v>3.5</x:v>
      </x:c>
      <x:c r="R2137" s="9" t="n">
        <x:f>Q2137*'Parameters'!$C$18</x:f>
        <x:v>0.7000000000000001</x:v>
      </x:c>
      <x:c r="S2137" s="9" t="n">
        <x:f>R2137*'Parameters'!$C$19</x:f>
        <x:v>0.8750000000000001</x:v>
      </x:c>
      <x:c r="T2137" s="9" t="n">
        <x:f>Q2137*(1-0.40)-R2137</x:f>
        <x:v>1.4</x:v>
      </x:c>
    </x:row>
    <x:row r="2138" ht="21" customHeight="1">
      <x:c r="A2138" s="3" t="n">
        <x:v>35</x:v>
      </x:c>
      <x:c r="B2138" s="3" t="str">
        <x:v>05:50</x:v>
      </x:c>
      <x:c r="C2138" s="3" t="n">
        <x:v>6</x:v>
      </x:c>
      <x:c r="D2138" s="3" t="n">
        <x:v>37</x:v>
      </x:c>
      <x:c r="E2138" s="3" t="n">
        <x:v>6</x:v>
      </x:c>
      <x:c r="F2138" s="3" t="n">
        <x:v>1</x:v>
      </x:c>
      <x:c r="G2138" s="9" t="n">
        <x:v>0.15</x:v>
      </x:c>
      <x:c r="H2138" s="9" t="n">
        <x:v>1.020746</x:v>
      </x:c>
      <x:c r="I2138" s="9" t="n">
        <x:f>'Physical_Arcs'!R38</x:f>
        <x:v>6.305555555555555</x:v>
      </x:c>
      <x:c r="J2138" s="9" t="n">
        <x:f>I2138*'Parameters'!$C$18</x:f>
        <x:v>1.261111111111111</x:v>
      </x:c>
      <x:c r="K2138" s="9" t="n">
        <x:f>J2138*'Parameters'!$C$19</x:f>
        <x:v>1.5763888888888888</x:v>
      </x:c>
      <x:c r="L2138" s="9" t="n">
        <x:f>I2138*(1-0.40)-J2138</x:f>
        <x:v>2.522222222222222</x:v>
      </x:c>
      <x:c r="M2138" s="9" t="n">
        <x:f>'Physical_Arcs'!S38</x:f>
        <x:v>6.305555555555555</x:v>
      </x:c>
      <x:c r="N2138" s="9" t="n">
        <x:f>M2138*'Parameters'!$C$18</x:f>
        <x:v>1.261111111111111</x:v>
      </x:c>
      <x:c r="O2138" s="9" t="n">
        <x:f>N2138*'Parameters'!$C$19</x:f>
        <x:v>1.5763888888888888</x:v>
      </x:c>
      <x:c r="P2138" s="9" t="n">
        <x:f>M2138*(1-0.40)-N2138</x:f>
        <x:v>2.522222222222222</x:v>
      </x:c>
      <x:c r="Q2138" s="9" t="n">
        <x:f>'Physical_Arcs'!T38</x:f>
        <x:v>3.1666666666666665</x:v>
      </x:c>
      <x:c r="R2138" s="9" t="n">
        <x:f>Q2138*'Parameters'!$C$18</x:f>
        <x:v>0.6333333333333333</x:v>
      </x:c>
      <x:c r="S2138" s="9" t="n">
        <x:f>R2138*'Parameters'!$C$19</x:f>
        <x:v>0.7916666666666666</x:v>
      </x:c>
      <x:c r="T2138" s="9" t="n">
        <x:f>Q2138*(1-0.40)-R2138</x:f>
        <x:v>1.2666666666666666</x:v>
      </x:c>
    </x:row>
    <x:row r="2139" ht="21" customHeight="1">
      <x:c r="A2139" s="3" t="n">
        <x:v>35</x:v>
      </x:c>
      <x:c r="B2139" s="3" t="str">
        <x:v>05:50</x:v>
      </x:c>
      <x:c r="C2139" s="3" t="n">
        <x:v>6</x:v>
      </x:c>
      <x:c r="D2139" s="3" t="n">
        <x:v>38</x:v>
      </x:c>
      <x:c r="E2139" s="3" t="n">
        <x:v>6</x:v>
      </x:c>
      <x:c r="F2139" s="3" t="n">
        <x:v>3</x:v>
      </x:c>
      <x:c r="G2139" s="9" t="n">
        <x:v>0.15</x:v>
      </x:c>
      <x:c r="H2139" s="9" t="n">
        <x:v>1.149081</x:v>
      </x:c>
      <x:c r="I2139" s="9" t="n">
        <x:f>'Physical_Arcs'!R39</x:f>
        <x:v>1.9166666666666667</x:v>
      </x:c>
      <x:c r="J2139" s="9" t="n">
        <x:f>I2139*'Parameters'!$C$18</x:f>
        <x:v>0.38333333333333336</x:v>
      </x:c>
      <x:c r="K2139" s="9" t="n">
        <x:f>J2139*'Parameters'!$C$19</x:f>
        <x:v>0.4791666666666667</x:v>
      </x:c>
      <x:c r="L2139" s="9" t="n">
        <x:f>I2139*(1-0.40)-J2139</x:f>
        <x:v>0.7666666666666666</x:v>
      </x:c>
      <x:c r="M2139" s="9" t="n">
        <x:f>'Physical_Arcs'!S39</x:f>
        <x:v>1.9166666666666667</x:v>
      </x:c>
      <x:c r="N2139" s="9" t="n">
        <x:f>M2139*'Parameters'!$C$18</x:f>
        <x:v>0.38333333333333336</x:v>
      </x:c>
      <x:c r="O2139" s="9" t="n">
        <x:f>N2139*'Parameters'!$C$19</x:f>
        <x:v>0.4791666666666667</x:v>
      </x:c>
      <x:c r="P2139" s="9" t="n">
        <x:f>M2139*(1-0.40)-N2139</x:f>
        <x:v>0.7666666666666666</x:v>
      </x:c>
      <x:c r="Q2139" s="9" t="n">
        <x:f>'Physical_Arcs'!T39</x:f>
        <x:v>0.9722222222222222</x:v>
      </x:c>
      <x:c r="R2139" s="9" t="n">
        <x:f>Q2139*'Parameters'!$C$18</x:f>
        <x:v>0.19444444444444445</x:v>
      </x:c>
      <x:c r="S2139" s="9" t="n">
        <x:f>R2139*'Parameters'!$C$19</x:f>
        <x:v>0.24305555555555555</x:v>
      </x:c>
      <x:c r="T2139" s="9" t="n">
        <x:f>Q2139*(1-0.40)-R2139</x:f>
        <x:v>0.38888888888888884</x:v>
      </x:c>
    </x:row>
    <x:row r="2140" ht="21" customHeight="1">
      <x:c r="A2140" s="3" t="n">
        <x:v>35</x:v>
      </x:c>
      <x:c r="B2140" s="3" t="str">
        <x:v>05:50</x:v>
      </x:c>
      <x:c r="C2140" s="3" t="n">
        <x:v>6</x:v>
      </x:c>
      <x:c r="D2140" s="3" t="n">
        <x:v>39</x:v>
      </x:c>
      <x:c r="E2140" s="3" t="n">
        <x:v>7</x:v>
      </x:c>
      <x:c r="F2140" s="3" t="n">
        <x:v>8</x:v>
      </x:c>
      <x:c r="G2140" s="9" t="n">
        <x:v>0.15</x:v>
      </x:c>
      <x:c r="H2140" s="9" t="n">
        <x:v>1.003268</x:v>
      </x:c>
      <x:c r="I2140" s="9" t="n">
        <x:f>'Physical_Arcs'!R40</x:f>
        <x:v>17.02777777777778</x:v>
      </x:c>
      <x:c r="J2140" s="9" t="n">
        <x:f>I2140*'Parameters'!$C$18</x:f>
        <x:v>3.405555555555556</x:v>
      </x:c>
      <x:c r="K2140" s="9" t="n">
        <x:f>J2140*'Parameters'!$C$19</x:f>
        <x:v>4.256944444444445</x:v>
      </x:c>
      <x:c r="L2140" s="9" t="n">
        <x:f>I2140*(1-0.40)-J2140</x:f>
        <x:v>6.811111111111111</x:v>
      </x:c>
      <x:c r="M2140" s="9" t="n">
        <x:f>'Physical_Arcs'!S40</x:f>
        <x:v>17.02777777777778</x:v>
      </x:c>
      <x:c r="N2140" s="9" t="n">
        <x:f>M2140*'Parameters'!$C$18</x:f>
        <x:v>3.405555555555556</x:v>
      </x:c>
      <x:c r="O2140" s="9" t="n">
        <x:f>N2140*'Parameters'!$C$19</x:f>
        <x:v>4.256944444444445</x:v>
      </x:c>
      <x:c r="P2140" s="9" t="n">
        <x:f>M2140*(1-0.40)-N2140</x:f>
        <x:v>6.811111111111111</x:v>
      </x:c>
      <x:c r="Q2140" s="9" t="n">
        <x:f>'Physical_Arcs'!T40</x:f>
        <x:v>17.02777777777778</x:v>
      </x:c>
      <x:c r="R2140" s="9" t="n">
        <x:f>Q2140*'Parameters'!$C$18</x:f>
        <x:v>3.405555555555556</x:v>
      </x:c>
      <x:c r="S2140" s="9" t="n">
        <x:f>R2140*'Parameters'!$C$19</x:f>
        <x:v>4.256944444444445</x:v>
      </x:c>
      <x:c r="T2140" s="9" t="n">
        <x:f>Q2140*(1-0.40)-R2140</x:f>
        <x:v>6.811111111111111</x:v>
      </x:c>
    </x:row>
    <x:row r="2141" ht="21" customHeight="1">
      <x:c r="A2141" s="3" t="n">
        <x:v>35</x:v>
      </x:c>
      <x:c r="B2141" s="3" t="str">
        <x:v>05:50</x:v>
      </x:c>
      <x:c r="C2141" s="3" t="n">
        <x:v>6</x:v>
      </x:c>
      <x:c r="D2141" s="3" t="n">
        <x:v>40</x:v>
      </x:c>
      <x:c r="E2141" s="3" t="n">
        <x:v>7</x:v>
      </x:c>
      <x:c r="F2141" s="3" t="n">
        <x:v>1</x:v>
      </x:c>
      <x:c r="G2141" s="9" t="n">
        <x:v>0.15</x:v>
      </x:c>
      <x:c r="H2141" s="9" t="n">
        <x:v>1.057592</x:v>
      </x:c>
      <x:c r="I2141" s="9" t="n">
        <x:f>'Physical_Arcs'!R41</x:f>
        <x:v>7.972222222222222</x:v>
      </x:c>
      <x:c r="J2141" s="9" t="n">
        <x:f>I2141*'Parameters'!$C$18</x:f>
        <x:v>1.5944444444444446</x:v>
      </x:c>
      <x:c r="K2141" s="9" t="n">
        <x:f>J2141*'Parameters'!$C$19</x:f>
        <x:v>1.9930555555555558</x:v>
      </x:c>
      <x:c r="L2141" s="9" t="n">
        <x:f>I2141*(1-0.40)-J2141</x:f>
        <x:v>3.1888888888888887</x:v>
      </x:c>
      <x:c r="M2141" s="9" t="n">
        <x:f>'Physical_Arcs'!S41</x:f>
        <x:v>7.972222222222222</x:v>
      </x:c>
      <x:c r="N2141" s="9" t="n">
        <x:f>M2141*'Parameters'!$C$18</x:f>
        <x:v>1.5944444444444446</x:v>
      </x:c>
      <x:c r="O2141" s="9" t="n">
        <x:f>N2141*'Parameters'!$C$19</x:f>
        <x:v>1.9930555555555558</x:v>
      </x:c>
      <x:c r="P2141" s="9" t="n">
        <x:f>M2141*(1-0.40)-N2141</x:f>
        <x:v>3.1888888888888887</x:v>
      </x:c>
      <x:c r="Q2141" s="9" t="n">
        <x:f>'Physical_Arcs'!T41</x:f>
        <x:v>4</x:v>
      </x:c>
      <x:c r="R2141" s="9" t="n">
        <x:f>Q2141*'Parameters'!$C$18</x:f>
        <x:v>0.8</x:v>
      </x:c>
      <x:c r="S2141" s="9" t="n">
        <x:f>R2141*'Parameters'!$C$19</x:f>
        <x:v>1</x:v>
      </x:c>
      <x:c r="T2141" s="9" t="n">
        <x:f>Q2141*(1-0.40)-R2141</x:f>
        <x:v>1.5999999999999999</x:v>
      </x:c>
    </x:row>
    <x:row r="2142" ht="21" customHeight="1">
      <x:c r="A2142" s="3" t="n">
        <x:v>35</x:v>
      </x:c>
      <x:c r="B2142" s="3" t="str">
        <x:v>05:50</x:v>
      </x:c>
      <x:c r="C2142" s="3" t="n">
        <x:v>6</x:v>
      </x:c>
      <x:c r="D2142" s="3" t="n">
        <x:v>41</x:v>
      </x:c>
      <x:c r="E2142" s="3" t="n">
        <x:v>7</x:v>
      </x:c>
      <x:c r="F2142" s="3" t="n">
        <x:v>9</x:v>
      </x:c>
      <x:c r="G2142" s="9" t="n">
        <x:v>0.15</x:v>
      </x:c>
      <x:c r="H2142" s="9" t="n">
        <x:v>1.14801</x:v>
      </x:c>
      <x:c r="I2142" s="9" t="n">
        <x:f>'Physical_Arcs'!R42</x:f>
        <x:v>8.88888888888889</x:v>
      </x:c>
      <x:c r="J2142" s="9" t="n">
        <x:f>I2142*'Parameters'!$C$18</x:f>
        <x:v>1.777777777777778</x:v>
      </x:c>
      <x:c r="K2142" s="9" t="n">
        <x:f>J2142*'Parameters'!$C$19</x:f>
        <x:v>2.2222222222222223</x:v>
      </x:c>
      <x:c r="L2142" s="9" t="n">
        <x:f>I2142*(1-0.40)-J2142</x:f>
        <x:v>3.5555555555555554</x:v>
      </x:c>
      <x:c r="M2142" s="9" t="n">
        <x:f>'Physical_Arcs'!S42</x:f>
        <x:v>8.88888888888889</x:v>
      </x:c>
      <x:c r="N2142" s="9" t="n">
        <x:f>M2142*'Parameters'!$C$18</x:f>
        <x:v>1.777777777777778</x:v>
      </x:c>
      <x:c r="O2142" s="9" t="n">
        <x:f>N2142*'Parameters'!$C$19</x:f>
        <x:v>2.2222222222222223</x:v>
      </x:c>
      <x:c r="P2142" s="9" t="n">
        <x:f>M2142*(1-0.40)-N2142</x:f>
        <x:v>3.5555555555555554</x:v>
      </x:c>
      <x:c r="Q2142" s="9" t="n">
        <x:f>'Physical_Arcs'!T42</x:f>
        <x:v>4.444444444444445</x:v>
      </x:c>
      <x:c r="R2142" s="9" t="n">
        <x:f>Q2142*'Parameters'!$C$18</x:f>
        <x:v>0.888888888888889</x:v>
      </x:c>
      <x:c r="S2142" s="9" t="n">
        <x:f>R2142*'Parameters'!$C$19</x:f>
        <x:v>1.1111111111111112</x:v>
      </x:c>
      <x:c r="T2142" s="9" t="n">
        <x:f>Q2142*(1-0.40)-R2142</x:f>
        <x:v>1.7777777777777777</x:v>
      </x:c>
    </x:row>
    <x:row r="2143" ht="21" customHeight="1">
      <x:c r="A2143" s="3" t="n">
        <x:v>35</x:v>
      </x:c>
      <x:c r="B2143" s="3" t="str">
        <x:v>05:50</x:v>
      </x:c>
      <x:c r="C2143" s="3" t="n">
        <x:v>6</x:v>
      </x:c>
      <x:c r="D2143" s="3" t="n">
        <x:v>42</x:v>
      </x:c>
      <x:c r="E2143" s="3" t="n">
        <x:v>7</x:v>
      </x:c>
      <x:c r="F2143" s="3" t="n">
        <x:v>2</x:v>
      </x:c>
      <x:c r="G2143" s="9" t="n">
        <x:v>0.15</x:v>
      </x:c>
      <x:c r="H2143" s="9" t="n">
        <x:v>0.989237</x:v>
      </x:c>
      <x:c r="I2143" s="9" t="n">
        <x:f>'Physical_Arcs'!R43</x:f>
        <x:v>9</x:v>
      </x:c>
      <x:c r="J2143" s="9" t="n">
        <x:f>I2143*'Parameters'!$C$18</x:f>
        <x:v>1.8</x:v>
      </x:c>
      <x:c r="K2143" s="9" t="n">
        <x:f>J2143*'Parameters'!$C$19</x:f>
        <x:v>2.25</x:v>
      </x:c>
      <x:c r="L2143" s="9" t="n">
        <x:f>I2143*(1-0.40)-J2143</x:f>
        <x:v>3.5999999999999996</x:v>
      </x:c>
      <x:c r="M2143" s="9" t="n">
        <x:f>'Physical_Arcs'!S43</x:f>
        <x:v>9</x:v>
      </x:c>
      <x:c r="N2143" s="9" t="n">
        <x:f>M2143*'Parameters'!$C$18</x:f>
        <x:v>1.8</x:v>
      </x:c>
      <x:c r="O2143" s="9" t="n">
        <x:f>N2143*'Parameters'!$C$19</x:f>
        <x:v>2.25</x:v>
      </x:c>
      <x:c r="P2143" s="9" t="n">
        <x:f>M2143*(1-0.40)-N2143</x:f>
        <x:v>3.5999999999999996</x:v>
      </x:c>
      <x:c r="Q2143" s="9" t="n">
        <x:f>'Physical_Arcs'!T43</x:f>
        <x:v>4.5</x:v>
      </x:c>
      <x:c r="R2143" s="9" t="n">
        <x:f>Q2143*'Parameters'!$C$18</x:f>
        <x:v>0.9</x:v>
      </x:c>
      <x:c r="S2143" s="9" t="n">
        <x:f>R2143*'Parameters'!$C$19</x:f>
        <x:v>1.125</x:v>
      </x:c>
      <x:c r="T2143" s="9" t="n">
        <x:f>Q2143*(1-0.40)-R2143</x:f>
        <x:v>1.7999999999999998</x:v>
      </x:c>
    </x:row>
    <x:row r="2144" ht="21" customHeight="1">
      <x:c r="A2144" s="3" t="n">
        <x:v>35</x:v>
      </x:c>
      <x:c r="B2144" s="3" t="str">
        <x:v>05:50</x:v>
      </x:c>
      <x:c r="C2144" s="3" t="n">
        <x:v>6</x:v>
      </x:c>
      <x:c r="D2144" s="3" t="n">
        <x:v>43</x:v>
      </x:c>
      <x:c r="E2144" s="3" t="n">
        <x:v>7</x:v>
      </x:c>
      <x:c r="F2144" s="3" t="n">
        <x:v>3</x:v>
      </x:c>
      <x:c r="G2144" s="9" t="n">
        <x:v>0.15</x:v>
      </x:c>
      <x:c r="H2144" s="9" t="n">
        <x:v>1.050432</x:v>
      </x:c>
      <x:c r="I2144" s="9" t="n">
        <x:f>'Physical_Arcs'!R44</x:f>
        <x:v>7.638888888888889</x:v>
      </x:c>
      <x:c r="J2144" s="9" t="n">
        <x:f>I2144*'Parameters'!$C$18</x:f>
        <x:v>1.527777777777778</x:v>
      </x:c>
      <x:c r="K2144" s="9" t="n">
        <x:f>J2144*'Parameters'!$C$19</x:f>
        <x:v>1.9097222222222223</x:v>
      </x:c>
      <x:c r="L2144" s="9" t="n">
        <x:f>I2144*(1-0.40)-J2144</x:f>
        <x:v>3.0555555555555554</x:v>
      </x:c>
      <x:c r="M2144" s="9" t="n">
        <x:f>'Physical_Arcs'!S44</x:f>
        <x:v>7.638888888888889</x:v>
      </x:c>
      <x:c r="N2144" s="9" t="n">
        <x:f>M2144*'Parameters'!$C$18</x:f>
        <x:v>1.527777777777778</x:v>
      </x:c>
      <x:c r="O2144" s="9" t="n">
        <x:f>N2144*'Parameters'!$C$19</x:f>
        <x:v>1.9097222222222223</x:v>
      </x:c>
      <x:c r="P2144" s="9" t="n">
        <x:f>M2144*(1-0.40)-N2144</x:f>
        <x:v>3.0555555555555554</x:v>
      </x:c>
      <x:c r="Q2144" s="9" t="n">
        <x:f>'Physical_Arcs'!T44</x:f>
        <x:v>3.8333333333333335</x:v>
      </x:c>
      <x:c r="R2144" s="9" t="n">
        <x:f>Q2144*'Parameters'!$C$18</x:f>
        <x:v>0.7666666666666667</x:v>
      </x:c>
      <x:c r="S2144" s="9" t="n">
        <x:f>R2144*'Parameters'!$C$19</x:f>
        <x:v>0.9583333333333334</x:v>
      </x:c>
      <x:c r="T2144" s="9" t="n">
        <x:f>Q2144*(1-0.40)-R2144</x:f>
        <x:v>1.5333333333333332</x:v>
      </x:c>
    </x:row>
    <x:row r="2145" ht="21" customHeight="1">
      <x:c r="A2145" s="3" t="n">
        <x:v>35</x:v>
      </x:c>
      <x:c r="B2145" s="3" t="str">
        <x:v>05:50</x:v>
      </x:c>
      <x:c r="C2145" s="3" t="n">
        <x:v>6</x:v>
      </x:c>
      <x:c r="D2145" s="3" t="n">
        <x:v>44</x:v>
      </x:c>
      <x:c r="E2145" s="3" t="n">
        <x:v>8</x:v>
      </x:c>
      <x:c r="F2145" s="3" t="n">
        <x:v>9</x:v>
      </x:c>
      <x:c r="G2145" s="9" t="n">
        <x:v>0.15</x:v>
      </x:c>
      <x:c r="H2145" s="9" t="n">
        <x:v>0.868101</x:v>
      </x:c>
      <x:c r="I2145" s="9" t="n">
        <x:f>'Physical_Arcs'!R45</x:f>
        <x:v>17.02777777777778</x:v>
      </x:c>
      <x:c r="J2145" s="9" t="n">
        <x:f>I2145*'Parameters'!$C$18</x:f>
        <x:v>3.405555555555556</x:v>
      </x:c>
      <x:c r="K2145" s="9" t="n">
        <x:f>J2145*'Parameters'!$C$19</x:f>
        <x:v>4.256944444444445</x:v>
      </x:c>
      <x:c r="L2145" s="9" t="n">
        <x:f>I2145*(1-0.40)-J2145</x:f>
        <x:v>6.811111111111111</x:v>
      </x:c>
      <x:c r="M2145" s="9" t="n">
        <x:f>'Physical_Arcs'!S45</x:f>
        <x:v>17.02777777777778</x:v>
      </x:c>
      <x:c r="N2145" s="9" t="n">
        <x:f>M2145*'Parameters'!$C$18</x:f>
        <x:v>3.405555555555556</x:v>
      </x:c>
      <x:c r="O2145" s="9" t="n">
        <x:f>N2145*'Parameters'!$C$19</x:f>
        <x:v>4.256944444444445</x:v>
      </x:c>
      <x:c r="P2145" s="9" t="n">
        <x:f>M2145*(1-0.40)-N2145</x:f>
        <x:v>6.811111111111111</x:v>
      </x:c>
      <x:c r="Q2145" s="9" t="n">
        <x:f>'Physical_Arcs'!T45</x:f>
        <x:v>17.02777777777778</x:v>
      </x:c>
      <x:c r="R2145" s="9" t="n">
        <x:f>Q2145*'Parameters'!$C$18</x:f>
        <x:v>3.405555555555556</x:v>
      </x:c>
      <x:c r="S2145" s="9" t="n">
        <x:f>R2145*'Parameters'!$C$19</x:f>
        <x:v>4.256944444444445</x:v>
      </x:c>
      <x:c r="T2145" s="9" t="n">
        <x:f>Q2145*(1-0.40)-R2145</x:f>
        <x:v>6.811111111111111</x:v>
      </x:c>
    </x:row>
    <x:row r="2146" ht="21" customHeight="1">
      <x:c r="A2146" s="3" t="n">
        <x:v>35</x:v>
      </x:c>
      <x:c r="B2146" s="3" t="str">
        <x:v>05:50</x:v>
      </x:c>
      <x:c r="C2146" s="3" t="n">
        <x:v>6</x:v>
      </x:c>
      <x:c r="D2146" s="3" t="n">
        <x:v>45</x:v>
      </x:c>
      <x:c r="E2146" s="3" t="n">
        <x:v>8</x:v>
      </x:c>
      <x:c r="F2146" s="3" t="n">
        <x:v>3</x:v>
      </x:c>
      <x:c r="G2146" s="9" t="n">
        <x:v>0.15</x:v>
      </x:c>
      <x:c r="H2146" s="9" t="n">
        <x:v>0.944958</x:v>
      </x:c>
      <x:c r="I2146" s="9" t="n">
        <x:f>'Physical_Arcs'!R46</x:f>
        <x:v>5.388888888888889</x:v>
      </x:c>
      <x:c r="J2146" s="9" t="n">
        <x:f>I2146*'Parameters'!$C$18</x:f>
        <x:v>1.077777777777778</x:v>
      </x:c>
      <x:c r="K2146" s="9" t="n">
        <x:f>J2146*'Parameters'!$C$19</x:f>
        <x:v>1.3472222222222223</x:v>
      </x:c>
      <x:c r="L2146" s="9" t="n">
        <x:f>I2146*(1-0.40)-J2146</x:f>
        <x:v>2.1555555555555554</x:v>
      </x:c>
      <x:c r="M2146" s="9" t="n">
        <x:f>'Physical_Arcs'!S46</x:f>
        <x:v>5.388888888888889</x:v>
      </x:c>
      <x:c r="N2146" s="9" t="n">
        <x:f>M2146*'Parameters'!$C$18</x:f>
        <x:v>1.077777777777778</x:v>
      </x:c>
      <x:c r="O2146" s="9" t="n">
        <x:f>N2146*'Parameters'!$C$19</x:f>
        <x:v>1.3472222222222223</x:v>
      </x:c>
      <x:c r="P2146" s="9" t="n">
        <x:f>M2146*(1-0.40)-N2146</x:f>
        <x:v>2.1555555555555554</x:v>
      </x:c>
      <x:c r="Q2146" s="9" t="n">
        <x:f>'Physical_Arcs'!T46</x:f>
        <x:v>2.6944444444444446</x:v>
      </x:c>
      <x:c r="R2146" s="9" t="n">
        <x:f>Q2146*'Parameters'!$C$18</x:f>
        <x:v>0.538888888888889</x:v>
      </x:c>
      <x:c r="S2146" s="9" t="n">
        <x:f>R2146*'Parameters'!$C$19</x:f>
        <x:v>0.6736111111111112</x:v>
      </x:c>
      <x:c r="T2146" s="9" t="n">
        <x:f>Q2146*(1-0.40)-R2146</x:f>
        <x:v>1.0777777777777777</x:v>
      </x:c>
    </x:row>
    <x:row r="2147" ht="21" customHeight="1">
      <x:c r="A2147" s="3" t="n">
        <x:v>35</x:v>
      </x:c>
      <x:c r="B2147" s="3" t="str">
        <x:v>05:50</x:v>
      </x:c>
      <x:c r="C2147" s="3" t="n">
        <x:v>6</x:v>
      </x:c>
      <x:c r="D2147" s="3" t="n">
        <x:v>46</x:v>
      </x:c>
      <x:c r="E2147" s="3" t="n">
        <x:v>8</x:v>
      </x:c>
      <x:c r="F2147" s="3" t="n">
        <x:v>7</x:v>
      </x:c>
      <x:c r="G2147" s="9" t="n">
        <x:v>0.15</x:v>
      </x:c>
      <x:c r="H2147" s="9" t="n">
        <x:v>0.866232</x:v>
      </x:c>
      <x:c r="I2147" s="9" t="n">
        <x:f>'Physical_Arcs'!R47</x:f>
        <x:v>5.388888888888889</x:v>
      </x:c>
      <x:c r="J2147" s="9" t="n">
        <x:f>I2147*'Parameters'!$C$18</x:f>
        <x:v>1.077777777777778</x:v>
      </x:c>
      <x:c r="K2147" s="9" t="n">
        <x:f>J2147*'Parameters'!$C$19</x:f>
        <x:v>1.3472222222222223</x:v>
      </x:c>
      <x:c r="L2147" s="9" t="n">
        <x:f>I2147*(1-0.40)-J2147</x:f>
        <x:v>2.1555555555555554</x:v>
      </x:c>
      <x:c r="M2147" s="9" t="n">
        <x:f>'Physical_Arcs'!S47</x:f>
        <x:v>5.388888888888889</x:v>
      </x:c>
      <x:c r="N2147" s="9" t="n">
        <x:f>M2147*'Parameters'!$C$18</x:f>
        <x:v>1.077777777777778</x:v>
      </x:c>
      <x:c r="O2147" s="9" t="n">
        <x:f>N2147*'Parameters'!$C$19</x:f>
        <x:v>1.3472222222222223</x:v>
      </x:c>
      <x:c r="P2147" s="9" t="n">
        <x:f>M2147*(1-0.40)-N2147</x:f>
        <x:v>2.1555555555555554</x:v>
      </x:c>
      <x:c r="Q2147" s="9" t="n">
        <x:f>'Physical_Arcs'!T47</x:f>
        <x:v>2.6944444444444446</x:v>
      </x:c>
      <x:c r="R2147" s="9" t="n">
        <x:f>Q2147*'Parameters'!$C$18</x:f>
        <x:v>0.538888888888889</x:v>
      </x:c>
      <x:c r="S2147" s="9" t="n">
        <x:f>R2147*'Parameters'!$C$19</x:f>
        <x:v>0.6736111111111112</x:v>
      </x:c>
      <x:c r="T2147" s="9" t="n">
        <x:f>Q2147*(1-0.40)-R2147</x:f>
        <x:v>1.0777777777777777</x:v>
      </x:c>
    </x:row>
    <x:row r="2148" ht="21" customHeight="1">
      <x:c r="A2148" s="3" t="n">
        <x:v>35</x:v>
      </x:c>
      <x:c r="B2148" s="3" t="str">
        <x:v>05:50</x:v>
      </x:c>
      <x:c r="C2148" s="3" t="n">
        <x:v>6</x:v>
      </x:c>
      <x:c r="D2148" s="3" t="n">
        <x:v>47</x:v>
      </x:c>
      <x:c r="E2148" s="3" t="n">
        <x:v>8</x:v>
      </x:c>
      <x:c r="F2148" s="3" t="n">
        <x:v>2</x:v>
      </x:c>
      <x:c r="G2148" s="9" t="n">
        <x:v>0.15</x:v>
      </x:c>
      <x:c r="H2148" s="9" t="n">
        <x:v>1.135644</x:v>
      </x:c>
      <x:c r="I2148" s="9" t="n">
        <x:f>'Physical_Arcs'!R48</x:f>
        <x:v>8.083333333333334</x:v>
      </x:c>
      <x:c r="J2148" s="9" t="n">
        <x:f>I2148*'Parameters'!$C$18</x:f>
        <x:v>1.616666666666667</x:v>
      </x:c>
      <x:c r="K2148" s="9" t="n">
        <x:f>J2148*'Parameters'!$C$19</x:f>
        <x:v>2.0208333333333335</x:v>
      </x:c>
      <x:c r="L2148" s="9" t="n">
        <x:f>I2148*(1-0.40)-J2148</x:f>
        <x:v>3.2333333333333334</x:v>
      </x:c>
      <x:c r="M2148" s="9" t="n">
        <x:f>'Physical_Arcs'!S48</x:f>
        <x:v>8.083333333333334</x:v>
      </x:c>
      <x:c r="N2148" s="9" t="n">
        <x:f>M2148*'Parameters'!$C$18</x:f>
        <x:v>1.616666666666667</x:v>
      </x:c>
      <x:c r="O2148" s="9" t="n">
        <x:f>N2148*'Parameters'!$C$19</x:f>
        <x:v>2.0208333333333335</x:v>
      </x:c>
      <x:c r="P2148" s="9" t="n">
        <x:f>M2148*(1-0.40)-N2148</x:f>
        <x:v>3.2333333333333334</x:v>
      </x:c>
      <x:c r="Q2148" s="9" t="n">
        <x:f>'Physical_Arcs'!T48</x:f>
        <x:v>4.055555555555555</x:v>
      </x:c>
      <x:c r="R2148" s="9" t="n">
        <x:f>Q2148*'Parameters'!$C$18</x:f>
        <x:v>0.8111111111111111</x:v>
      </x:c>
      <x:c r="S2148" s="9" t="n">
        <x:f>R2148*'Parameters'!$C$19</x:f>
        <x:v>1.0138888888888888</x:v>
      </x:c>
      <x:c r="T2148" s="9" t="n">
        <x:f>Q2148*(1-0.40)-R2148</x:f>
        <x:v>1.622222222222222</x:v>
      </x:c>
    </x:row>
    <x:row r="2149" ht="21" customHeight="1">
      <x:c r="A2149" s="3" t="n">
        <x:v>35</x:v>
      </x:c>
      <x:c r="B2149" s="3" t="str">
        <x:v>05:50</x:v>
      </x:c>
      <x:c r="C2149" s="3" t="n">
        <x:v>6</x:v>
      </x:c>
      <x:c r="D2149" s="3" t="n">
        <x:v>48</x:v>
      </x:c>
      <x:c r="E2149" s="3" t="n">
        <x:v>8</x:v>
      </x:c>
      <x:c r="F2149" s="3" t="n">
        <x:v>6</x:v>
      </x:c>
      <x:c r="G2149" s="9" t="n">
        <x:v>0.15</x:v>
      </x:c>
      <x:c r="H2149" s="9" t="n">
        <x:v>0.850778</x:v>
      </x:c>
      <x:c r="I2149" s="9" t="n">
        <x:f>'Physical_Arcs'!R49</x:f>
        <x:v>10.555555555555555</x:v>
      </x:c>
      <x:c r="J2149" s="9" t="n">
        <x:f>I2149*'Parameters'!$C$18</x:f>
        <x:v>2.111111111111111</x:v>
      </x:c>
      <x:c r="K2149" s="9" t="n">
        <x:f>J2149*'Parameters'!$C$19</x:f>
        <x:v>2.638888888888889</x:v>
      </x:c>
      <x:c r="L2149" s="9" t="n">
        <x:f>I2149*(1-0.40)-J2149</x:f>
        <x:v>4.222222222222221</x:v>
      </x:c>
      <x:c r="M2149" s="9" t="n">
        <x:f>'Physical_Arcs'!S49</x:f>
        <x:v>10.555555555555555</x:v>
      </x:c>
      <x:c r="N2149" s="9" t="n">
        <x:f>M2149*'Parameters'!$C$18</x:f>
        <x:v>2.111111111111111</x:v>
      </x:c>
      <x:c r="O2149" s="9" t="n">
        <x:f>N2149*'Parameters'!$C$19</x:f>
        <x:v>2.638888888888889</x:v>
      </x:c>
      <x:c r="P2149" s="9" t="n">
        <x:f>M2149*(1-0.40)-N2149</x:f>
        <x:v>4.222222222222221</x:v>
      </x:c>
      <x:c r="Q2149" s="9" t="n">
        <x:f>'Physical_Arcs'!T49</x:f>
        <x:v>5.277777777777778</x:v>
      </x:c>
      <x:c r="R2149" s="9" t="n">
        <x:f>Q2149*'Parameters'!$C$18</x:f>
        <x:v>1.0555555555555556</x:v>
      </x:c>
      <x:c r="S2149" s="9" t="n">
        <x:f>R2149*'Parameters'!$C$19</x:f>
        <x:v>1.3194444444444444</x:v>
      </x:c>
      <x:c r="T2149" s="9" t="n">
        <x:f>Q2149*(1-0.40)-R2149</x:f>
        <x:v>2.1111111111111107</x:v>
      </x:c>
    </x:row>
    <x:row r="2150" ht="21" customHeight="1">
      <x:c r="A2150" s="3" t="n">
        <x:v>35</x:v>
      </x:c>
      <x:c r="B2150" s="3" t="str">
        <x:v>05:50</x:v>
      </x:c>
      <x:c r="C2150" s="3" t="n">
        <x:v>6</x:v>
      </x:c>
      <x:c r="D2150" s="3" t="n">
        <x:v>49</x:v>
      </x:c>
      <x:c r="E2150" s="3" t="n">
        <x:v>8</x:v>
      </x:c>
      <x:c r="F2150" s="3" t="n">
        <x:v>4</x:v>
      </x:c>
      <x:c r="G2150" s="9" t="n">
        <x:v>0.15</x:v>
      </x:c>
      <x:c r="H2150" s="9" t="n">
        <x:v>0.904949</x:v>
      </x:c>
      <x:c r="I2150" s="9" t="n">
        <x:f>'Physical_Arcs'!R50</x:f>
        <x:v>1.5833333333333333</x:v>
      </x:c>
      <x:c r="J2150" s="9" t="n">
        <x:f>I2150*'Parameters'!$C$18</x:f>
        <x:v>0.31666666666666665</x:v>
      </x:c>
      <x:c r="K2150" s="9" t="n">
        <x:f>J2150*'Parameters'!$C$19</x:f>
        <x:v>0.3958333333333333</x:v>
      </x:c>
      <x:c r="L2150" s="9" t="n">
        <x:f>I2150*(1-0.40)-J2150</x:f>
        <x:v>0.6333333333333333</x:v>
      </x:c>
      <x:c r="M2150" s="9" t="n">
        <x:f>'Physical_Arcs'!S50</x:f>
        <x:v>1.5833333333333333</x:v>
      </x:c>
      <x:c r="N2150" s="9" t="n">
        <x:f>M2150*'Parameters'!$C$18</x:f>
        <x:v>0.31666666666666665</x:v>
      </x:c>
      <x:c r="O2150" s="9" t="n">
        <x:f>N2150*'Parameters'!$C$19</x:f>
        <x:v>0.3958333333333333</x:v>
      </x:c>
      <x:c r="P2150" s="9" t="n">
        <x:f>M2150*(1-0.40)-N2150</x:f>
        <x:v>0.6333333333333333</x:v>
      </x:c>
      <x:c r="Q2150" s="9" t="n">
        <x:f>'Physical_Arcs'!T50</x:f>
        <x:v>0.8055555555555556</x:v>
      </x:c>
      <x:c r="R2150" s="9" t="n">
        <x:f>Q2150*'Parameters'!$C$18</x:f>
        <x:v>0.16111111111111112</x:v>
      </x:c>
      <x:c r="S2150" s="9" t="n">
        <x:f>R2150*'Parameters'!$C$19</x:f>
        <x:v>0.2013888888888889</x:v>
      </x:c>
      <x:c r="T2150" s="9" t="n">
        <x:f>Q2150*(1-0.40)-R2150</x:f>
        <x:v>0.3222222222222222</x:v>
      </x:c>
    </x:row>
    <x:row r="2151" ht="21" customHeight="1">
      <x:c r="A2151" s="3" t="n">
        <x:v>35</x:v>
      </x:c>
      <x:c r="B2151" s="3" t="str">
        <x:v>05:50</x:v>
      </x:c>
      <x:c r="C2151" s="3" t="n">
        <x:v>6</x:v>
      </x:c>
      <x:c r="D2151" s="3" t="n">
        <x:v>50</x:v>
      </x:c>
      <x:c r="E2151" s="3" t="n">
        <x:v>8</x:v>
      </x:c>
      <x:c r="F2151" s="3" t="n">
        <x:v>5</x:v>
      </x:c>
      <x:c r="G2151" s="9" t="n">
        <x:v>0.15</x:v>
      </x:c>
      <x:c r="H2151" s="9" t="n">
        <x:v>0.990416</x:v>
      </x:c>
      <x:c r="I2151" s="9" t="n">
        <x:f>'Physical_Arcs'!R51</x:f>
        <x:v>10.777777777777779</x:v>
      </x:c>
      <x:c r="J2151" s="9" t="n">
        <x:f>I2151*'Parameters'!$C$18</x:f>
        <x:v>2.155555555555556</x:v>
      </x:c>
      <x:c r="K2151" s="9" t="n">
        <x:f>J2151*'Parameters'!$C$19</x:f>
        <x:v>2.6944444444444446</x:v>
      </x:c>
      <x:c r="L2151" s="9" t="n">
        <x:f>I2151*(1-0.40)-J2151</x:f>
        <x:v>4.311111111111111</x:v>
      </x:c>
      <x:c r="M2151" s="9" t="n">
        <x:f>'Physical_Arcs'!S51</x:f>
        <x:v>10.777777777777779</x:v>
      </x:c>
      <x:c r="N2151" s="9" t="n">
        <x:f>M2151*'Parameters'!$C$18</x:f>
        <x:v>2.155555555555556</x:v>
      </x:c>
      <x:c r="O2151" s="9" t="n">
        <x:f>N2151*'Parameters'!$C$19</x:f>
        <x:v>2.6944444444444446</x:v>
      </x:c>
      <x:c r="P2151" s="9" t="n">
        <x:f>M2151*(1-0.40)-N2151</x:f>
        <x:v>4.311111111111111</x:v>
      </x:c>
      <x:c r="Q2151" s="9" t="n">
        <x:f>'Physical_Arcs'!T51</x:f>
        <x:v>5.388888888888889</x:v>
      </x:c>
      <x:c r="R2151" s="9" t="n">
        <x:f>Q2151*'Parameters'!$C$18</x:f>
        <x:v>1.077777777777778</x:v>
      </x:c>
      <x:c r="S2151" s="9" t="n">
        <x:f>R2151*'Parameters'!$C$19</x:f>
        <x:v>1.3472222222222223</x:v>
      </x:c>
      <x:c r="T2151" s="9" t="n">
        <x:f>Q2151*(1-0.40)-R2151</x:f>
        <x:v>2.1555555555555554</x:v>
      </x:c>
    </x:row>
    <x:row r="2152" ht="21" customHeight="1">
      <x:c r="A2152" s="3" t="n">
        <x:v>35</x:v>
      </x:c>
      <x:c r="B2152" s="3" t="str">
        <x:v>05:50</x:v>
      </x:c>
      <x:c r="C2152" s="3" t="n">
        <x:v>6</x:v>
      </x:c>
      <x:c r="D2152" s="3" t="n">
        <x:v>51</x:v>
      </x:c>
      <x:c r="E2152" s="3" t="n">
        <x:v>8</x:v>
      </x:c>
      <x:c r="F2152" s="3" t="n">
        <x:v>1</x:v>
      </x:c>
      <x:c r="G2152" s="9" t="n">
        <x:v>0.15</x:v>
      </x:c>
      <x:c r="H2152" s="9" t="n">
        <x:v>1.039066</x:v>
      </x:c>
      <x:c r="I2152" s="9" t="n">
        <x:f>'Physical_Arcs'!R52</x:f>
        <x:v>8.88888888888889</x:v>
      </x:c>
      <x:c r="J2152" s="9" t="n">
        <x:f>I2152*'Parameters'!$C$18</x:f>
        <x:v>1.777777777777778</x:v>
      </x:c>
      <x:c r="K2152" s="9" t="n">
        <x:f>J2152*'Parameters'!$C$19</x:f>
        <x:v>2.2222222222222223</x:v>
      </x:c>
      <x:c r="L2152" s="9" t="n">
        <x:f>I2152*(1-0.40)-J2152</x:f>
        <x:v>3.5555555555555554</x:v>
      </x:c>
      <x:c r="M2152" s="9" t="n">
        <x:f>'Physical_Arcs'!S52</x:f>
        <x:v>8.88888888888889</x:v>
      </x:c>
      <x:c r="N2152" s="9" t="n">
        <x:f>M2152*'Parameters'!$C$18</x:f>
        <x:v>1.777777777777778</x:v>
      </x:c>
      <x:c r="O2152" s="9" t="n">
        <x:f>N2152*'Parameters'!$C$19</x:f>
        <x:v>2.2222222222222223</x:v>
      </x:c>
      <x:c r="P2152" s="9" t="n">
        <x:f>M2152*(1-0.40)-N2152</x:f>
        <x:v>3.5555555555555554</x:v>
      </x:c>
      <x:c r="Q2152" s="9" t="n">
        <x:f>'Physical_Arcs'!T52</x:f>
        <x:v>4.444444444444445</x:v>
      </x:c>
      <x:c r="R2152" s="9" t="n">
        <x:f>Q2152*'Parameters'!$C$18</x:f>
        <x:v>0.888888888888889</x:v>
      </x:c>
      <x:c r="S2152" s="9" t="n">
        <x:f>R2152*'Parameters'!$C$19</x:f>
        <x:v>1.1111111111111112</x:v>
      </x:c>
      <x:c r="T2152" s="9" t="n">
        <x:f>Q2152*(1-0.40)-R2152</x:f>
        <x:v>1.7777777777777777</x:v>
      </x:c>
    </x:row>
    <x:row r="2153" ht="21" customHeight="1">
      <x:c r="A2153" s="3" t="n">
        <x:v>35</x:v>
      </x:c>
      <x:c r="B2153" s="3" t="str">
        <x:v>05:50</x:v>
      </x:c>
      <x:c r="C2153" s="3" t="n">
        <x:v>6</x:v>
      </x:c>
      <x:c r="D2153" s="3" t="n">
        <x:v>52</x:v>
      </x:c>
      <x:c r="E2153" s="3" t="n">
        <x:v>9</x:v>
      </x:c>
      <x:c r="F2153" s="3" t="n">
        <x:v>10</x:v>
      </x:c>
      <x:c r="G2153" s="9" t="n">
        <x:v>0.15</x:v>
      </x:c>
      <x:c r="H2153" s="9" t="n">
        <x:v>0.954096</x:v>
      </x:c>
      <x:c r="I2153" s="9" t="n">
        <x:f>'Physical_Arcs'!R53</x:f>
        <x:v>17.02777777777778</x:v>
      </x:c>
      <x:c r="J2153" s="9" t="n">
        <x:f>I2153*'Parameters'!$C$18</x:f>
        <x:v>3.405555555555556</x:v>
      </x:c>
      <x:c r="K2153" s="9" t="n">
        <x:f>J2153*'Parameters'!$C$19</x:f>
        <x:v>4.256944444444445</x:v>
      </x:c>
      <x:c r="L2153" s="9" t="n">
        <x:f>I2153*(1-0.40)-J2153</x:f>
        <x:v>6.811111111111111</x:v>
      </x:c>
      <x:c r="M2153" s="9" t="n">
        <x:f>'Physical_Arcs'!S53</x:f>
        <x:v>17.02777777777778</x:v>
      </x:c>
      <x:c r="N2153" s="9" t="n">
        <x:f>M2153*'Parameters'!$C$18</x:f>
        <x:v>3.405555555555556</x:v>
      </x:c>
      <x:c r="O2153" s="9" t="n">
        <x:f>N2153*'Parameters'!$C$19</x:f>
        <x:v>4.256944444444445</x:v>
      </x:c>
      <x:c r="P2153" s="9" t="n">
        <x:f>M2153*(1-0.40)-N2153</x:f>
        <x:v>6.811111111111111</x:v>
      </x:c>
      <x:c r="Q2153" s="9" t="n">
        <x:f>'Physical_Arcs'!T53</x:f>
        <x:v>17.02777777777778</x:v>
      </x:c>
      <x:c r="R2153" s="9" t="n">
        <x:f>Q2153*'Parameters'!$C$18</x:f>
        <x:v>3.405555555555556</x:v>
      </x:c>
      <x:c r="S2153" s="9" t="n">
        <x:f>R2153*'Parameters'!$C$19</x:f>
        <x:v>4.256944444444445</x:v>
      </x:c>
      <x:c r="T2153" s="9" t="n">
        <x:f>Q2153*(1-0.40)-R2153</x:f>
        <x:v>6.811111111111111</x:v>
      </x:c>
    </x:row>
    <x:row r="2154" ht="21" customHeight="1">
      <x:c r="A2154" s="3" t="n">
        <x:v>35</x:v>
      </x:c>
      <x:c r="B2154" s="3" t="str">
        <x:v>05:50</x:v>
      </x:c>
      <x:c r="C2154" s="3" t="n">
        <x:v>6</x:v>
      </x:c>
      <x:c r="D2154" s="3" t="n">
        <x:v>53</x:v>
      </x:c>
      <x:c r="E2154" s="3" t="n">
        <x:v>9</x:v>
      </x:c>
      <x:c r="F2154" s="3" t="n">
        <x:v>6</x:v>
      </x:c>
      <x:c r="G2154" s="9" t="n">
        <x:v>0.15</x:v>
      </x:c>
      <x:c r="H2154" s="9" t="n">
        <x:v>1.125574</x:v>
      </x:c>
      <x:c r="I2154" s="9" t="n">
        <x:f>'Physical_Arcs'!R54</x:f>
        <x:v>9.666666666666666</x:v>
      </x:c>
      <x:c r="J2154" s="9" t="n">
        <x:f>I2154*'Parameters'!$C$18</x:f>
        <x:v>1.9333333333333333</x:v>
      </x:c>
      <x:c r="K2154" s="9" t="n">
        <x:f>J2154*'Parameters'!$C$19</x:f>
        <x:v>2.4166666666666665</x:v>
      </x:c>
      <x:c r="L2154" s="9" t="n">
        <x:f>I2154*(1-0.40)-J2154</x:f>
        <x:v>3.8666666666666663</x:v>
      </x:c>
      <x:c r="M2154" s="9" t="n">
        <x:f>'Physical_Arcs'!S54</x:f>
        <x:v>9.666666666666666</x:v>
      </x:c>
      <x:c r="N2154" s="9" t="n">
        <x:f>M2154*'Parameters'!$C$18</x:f>
        <x:v>1.9333333333333333</x:v>
      </x:c>
      <x:c r="O2154" s="9" t="n">
        <x:f>N2154*'Parameters'!$C$19</x:f>
        <x:v>2.4166666666666665</x:v>
      </x:c>
      <x:c r="P2154" s="9" t="n">
        <x:f>M2154*(1-0.40)-N2154</x:f>
        <x:v>3.8666666666666663</x:v>
      </x:c>
      <x:c r="Q2154" s="9" t="n">
        <x:f>'Physical_Arcs'!T54</x:f>
        <x:v>4.833333333333333</x:v>
      </x:c>
      <x:c r="R2154" s="9" t="n">
        <x:f>Q2154*'Parameters'!$C$18</x:f>
        <x:v>0.9666666666666667</x:v>
      </x:c>
      <x:c r="S2154" s="9" t="n">
        <x:f>R2154*'Parameters'!$C$19</x:f>
        <x:v>1.2083333333333333</x:v>
      </x:c>
      <x:c r="T2154" s="9" t="n">
        <x:f>Q2154*(1-0.40)-R2154</x:f>
        <x:v>1.9333333333333331</x:v>
      </x:c>
    </x:row>
    <x:row r="2155" ht="21" customHeight="1">
      <x:c r="A2155" s="3" t="n">
        <x:v>35</x:v>
      </x:c>
      <x:c r="B2155" s="3" t="str">
        <x:v>05:50</x:v>
      </x:c>
      <x:c r="C2155" s="3" t="n">
        <x:v>6</x:v>
      </x:c>
      <x:c r="D2155" s="3" t="n">
        <x:v>54</x:v>
      </x:c>
      <x:c r="E2155" s="3" t="n">
        <x:v>9</x:v>
      </x:c>
      <x:c r="F2155" s="3" t="n">
        <x:v>2</x:v>
      </x:c>
      <x:c r="G2155" s="9" t="n">
        <x:v>0.15</x:v>
      </x:c>
      <x:c r="H2155" s="9" t="n">
        <x:v>0.854534</x:v>
      </x:c>
      <x:c r="I2155" s="9" t="n">
        <x:f>'Physical_Arcs'!R55</x:f>
        <x:v>9.88888888888889</x:v>
      </x:c>
      <x:c r="J2155" s="9" t="n">
        <x:f>I2155*'Parameters'!$C$18</x:f>
        <x:v>1.9777777777777779</x:v>
      </x:c>
      <x:c r="K2155" s="9" t="n">
        <x:f>J2155*'Parameters'!$C$19</x:f>
        <x:v>2.4722222222222223</x:v>
      </x:c>
      <x:c r="L2155" s="9" t="n">
        <x:f>I2155*(1-0.40)-J2155</x:f>
        <x:v>3.9555555555555557</x:v>
      </x:c>
      <x:c r="M2155" s="9" t="n">
        <x:f>'Physical_Arcs'!S55</x:f>
        <x:v>9.88888888888889</x:v>
      </x:c>
      <x:c r="N2155" s="9" t="n">
        <x:f>M2155*'Parameters'!$C$18</x:f>
        <x:v>1.9777777777777779</x:v>
      </x:c>
      <x:c r="O2155" s="9" t="n">
        <x:f>N2155*'Parameters'!$C$19</x:f>
        <x:v>2.4722222222222223</x:v>
      </x:c>
      <x:c r="P2155" s="9" t="n">
        <x:f>M2155*(1-0.40)-N2155</x:f>
        <x:v>3.9555555555555557</x:v>
      </x:c>
      <x:c r="Q2155" s="9" t="n">
        <x:f>'Physical_Arcs'!T55</x:f>
        <x:v>4.944444444444445</x:v>
      </x:c>
      <x:c r="R2155" s="9" t="n">
        <x:f>Q2155*'Parameters'!$C$18</x:f>
        <x:v>0.9888888888888889</x:v>
      </x:c>
      <x:c r="S2155" s="9" t="n">
        <x:f>R2155*'Parameters'!$C$19</x:f>
        <x:v>1.2361111111111112</x:v>
      </x:c>
      <x:c r="T2155" s="9" t="n">
        <x:f>Q2155*(1-0.40)-R2155</x:f>
        <x:v>1.9777777777777779</x:v>
      </x:c>
    </x:row>
    <x:row r="2156" ht="21" customHeight="1">
      <x:c r="A2156" s="3" t="n">
        <x:v>35</x:v>
      </x:c>
      <x:c r="B2156" s="3" t="str">
        <x:v>05:50</x:v>
      </x:c>
      <x:c r="C2156" s="3" t="n">
        <x:v>6</x:v>
      </x:c>
      <x:c r="D2156" s="3" t="n">
        <x:v>55</x:v>
      </x:c>
      <x:c r="E2156" s="3" t="n">
        <x:v>9</x:v>
      </x:c>
      <x:c r="F2156" s="3" t="n">
        <x:v>7</x:v>
      </x:c>
      <x:c r="G2156" s="9" t="n">
        <x:v>0.15</x:v>
      </x:c>
      <x:c r="H2156" s="9" t="n">
        <x:v>0.900033</x:v>
      </x:c>
      <x:c r="I2156" s="9" t="n">
        <x:f>'Physical_Arcs'!R56</x:f>
        <x:v>4.166666666666667</x:v>
      </x:c>
      <x:c r="J2156" s="9" t="n">
        <x:f>I2156*'Parameters'!$C$18</x:f>
        <x:v>0.8333333333333335</x:v>
      </x:c>
      <x:c r="K2156" s="9" t="n">
        <x:f>J2156*'Parameters'!$C$19</x:f>
        <x:v>1.041666666666667</x:v>
      </x:c>
      <x:c r="L2156" s="9" t="n">
        <x:f>I2156*(1-0.40)-J2156</x:f>
        <x:v>1.6666666666666665</x:v>
      </x:c>
      <x:c r="M2156" s="9" t="n">
        <x:f>'Physical_Arcs'!S56</x:f>
        <x:v>4.166666666666667</x:v>
      </x:c>
      <x:c r="N2156" s="9" t="n">
        <x:f>M2156*'Parameters'!$C$18</x:f>
        <x:v>0.8333333333333335</x:v>
      </x:c>
      <x:c r="O2156" s="9" t="n">
        <x:f>N2156*'Parameters'!$C$19</x:f>
        <x:v>1.041666666666667</x:v>
      </x:c>
      <x:c r="P2156" s="9" t="n">
        <x:f>M2156*(1-0.40)-N2156</x:f>
        <x:v>1.6666666666666665</x:v>
      </x:c>
      <x:c r="Q2156" s="9" t="n">
        <x:f>'Physical_Arcs'!T56</x:f>
        <x:v>2.0833333333333335</x:v>
      </x:c>
      <x:c r="R2156" s="9" t="n">
        <x:f>Q2156*'Parameters'!$C$18</x:f>
        <x:v>0.41666666666666674</x:v>
      </x:c>
      <x:c r="S2156" s="9" t="n">
        <x:f>R2156*'Parameters'!$C$19</x:f>
        <x:v>0.5208333333333335</x:v>
      </x:c>
      <x:c r="T2156" s="9" t="n">
        <x:f>Q2156*(1-0.40)-R2156</x:f>
        <x:v>0.8333333333333333</x:v>
      </x:c>
    </x:row>
    <x:row r="2157" ht="21" customHeight="1">
      <x:c r="A2157" s="3" t="n">
        <x:v>35</x:v>
      </x:c>
      <x:c r="B2157" s="3" t="str">
        <x:v>05:50</x:v>
      </x:c>
      <x:c r="C2157" s="3" t="n">
        <x:v>6</x:v>
      </x:c>
      <x:c r="D2157" s="3" t="n">
        <x:v>56</x:v>
      </x:c>
      <x:c r="E2157" s="3" t="n">
        <x:v>9</x:v>
      </x:c>
      <x:c r="F2157" s="3" t="n">
        <x:v>3</x:v>
      </x:c>
      <x:c r="G2157" s="9" t="n">
        <x:v>0.15</x:v>
      </x:c>
      <x:c r="H2157" s="9" t="n">
        <x:v>0.893428</x:v>
      </x:c>
      <x:c r="I2157" s="9" t="n">
        <x:f>'Physical_Arcs'!R57</x:f>
        <x:v>3.7222222222222223</x:v>
      </x:c>
      <x:c r="J2157" s="9" t="n">
        <x:f>I2157*'Parameters'!$C$18</x:f>
        <x:v>0.7444444444444445</x:v>
      </x:c>
      <x:c r="K2157" s="9" t="n">
        <x:f>J2157*'Parameters'!$C$19</x:f>
        <x:v>0.9305555555555556</x:v>
      </x:c>
      <x:c r="L2157" s="9" t="n">
        <x:f>I2157*(1-0.40)-J2157</x:f>
        <x:v>1.488888888888889</x:v>
      </x:c>
      <x:c r="M2157" s="9" t="n">
        <x:f>'Physical_Arcs'!S57</x:f>
        <x:v>3.7222222222222223</x:v>
      </x:c>
      <x:c r="N2157" s="9" t="n">
        <x:f>M2157*'Parameters'!$C$18</x:f>
        <x:v>0.7444444444444445</x:v>
      </x:c>
      <x:c r="O2157" s="9" t="n">
        <x:f>N2157*'Parameters'!$C$19</x:f>
        <x:v>0.9305555555555556</x:v>
      </x:c>
      <x:c r="P2157" s="9" t="n">
        <x:f>M2157*(1-0.40)-N2157</x:f>
        <x:v>1.488888888888889</x:v>
      </x:c>
      <x:c r="Q2157" s="9" t="n">
        <x:f>'Physical_Arcs'!T57</x:f>
        <x:v>1.8611111111111112</x:v>
      </x:c>
      <x:c r="R2157" s="9" t="n">
        <x:f>Q2157*'Parameters'!$C$18</x:f>
        <x:v>0.37222222222222223</x:v>
      </x:c>
      <x:c r="S2157" s="9" t="n">
        <x:f>R2157*'Parameters'!$C$19</x:f>
        <x:v>0.4652777777777778</x:v>
      </x:c>
      <x:c r="T2157" s="9" t="n">
        <x:f>Q2157*(1-0.40)-R2157</x:f>
        <x:v>0.7444444444444445</x:v>
      </x:c>
    </x:row>
    <x:row r="2158" ht="21" customHeight="1">
      <x:c r="A2158" s="3" t="n">
        <x:v>35</x:v>
      </x:c>
      <x:c r="B2158" s="3" t="str">
        <x:v>05:50</x:v>
      </x:c>
      <x:c r="C2158" s="3" t="n">
        <x:v>6</x:v>
      </x:c>
      <x:c r="D2158" s="3" t="n">
        <x:v>57</x:v>
      </x:c>
      <x:c r="E2158" s="3" t="n">
        <x:v>10</x:v>
      </x:c>
      <x:c r="F2158" s="3" t="n">
        <x:v>1</x:v>
      </x:c>
      <x:c r="G2158" s="9" t="n">
        <x:v>0.15</x:v>
      </x:c>
      <x:c r="H2158" s="9" t="n">
        <x:v>1.027979</x:v>
      </x:c>
      <x:c r="I2158" s="9" t="n">
        <x:f>'Physical_Arcs'!R58</x:f>
        <x:v>17.02777777777778</x:v>
      </x:c>
      <x:c r="J2158" s="9" t="n">
        <x:f>I2158*'Parameters'!$C$18</x:f>
        <x:v>3.405555555555556</x:v>
      </x:c>
      <x:c r="K2158" s="9" t="n">
        <x:f>J2158*'Parameters'!$C$19</x:f>
        <x:v>4.256944444444445</x:v>
      </x:c>
      <x:c r="L2158" s="9" t="n">
        <x:f>I2158*(1-0.40)-J2158</x:f>
        <x:v>6.811111111111111</x:v>
      </x:c>
      <x:c r="M2158" s="9" t="n">
        <x:f>'Physical_Arcs'!S58</x:f>
        <x:v>17.02777777777778</x:v>
      </x:c>
      <x:c r="N2158" s="9" t="n">
        <x:f>M2158*'Parameters'!$C$18</x:f>
        <x:v>3.405555555555556</x:v>
      </x:c>
      <x:c r="O2158" s="9" t="n">
        <x:f>N2158*'Parameters'!$C$19</x:f>
        <x:v>4.256944444444445</x:v>
      </x:c>
      <x:c r="P2158" s="9" t="n">
        <x:f>M2158*(1-0.40)-N2158</x:f>
        <x:v>6.811111111111111</x:v>
      </x:c>
      <x:c r="Q2158" s="9" t="n">
        <x:f>'Physical_Arcs'!T58</x:f>
        <x:v>17.02777777777778</x:v>
      </x:c>
      <x:c r="R2158" s="9" t="n">
        <x:f>Q2158*'Parameters'!$C$18</x:f>
        <x:v>3.405555555555556</x:v>
      </x:c>
      <x:c r="S2158" s="9" t="n">
        <x:f>R2158*'Parameters'!$C$19</x:f>
        <x:v>4.256944444444445</x:v>
      </x:c>
      <x:c r="T2158" s="9" t="n">
        <x:f>Q2158*(1-0.40)-R2158</x:f>
        <x:v>6.811111111111111</x:v>
      </x:c>
    </x:row>
    <x:row r="2159" ht="21" customHeight="1">
      <x:c r="A2159" s="3" t="n">
        <x:v>35</x:v>
      </x:c>
      <x:c r="B2159" s="3" t="str">
        <x:v>05:50</x:v>
      </x:c>
      <x:c r="C2159" s="3" t="n">
        <x:v>6</x:v>
      </x:c>
      <x:c r="D2159" s="3" t="n">
        <x:v>58</x:v>
      </x:c>
      <x:c r="E2159" s="3" t="n">
        <x:v>10</x:v>
      </x:c>
      <x:c r="F2159" s="3" t="n">
        <x:v>6</x:v>
      </x:c>
      <x:c r="G2159" s="9" t="n">
        <x:v>0.15</x:v>
      </x:c>
      <x:c r="H2159" s="9" t="n">
        <x:v>0.952676</x:v>
      </x:c>
      <x:c r="I2159" s="9" t="n">
        <x:f>'Physical_Arcs'!R59</x:f>
        <x:v>6.305555555555555</x:v>
      </x:c>
      <x:c r="J2159" s="9" t="n">
        <x:f>I2159*'Parameters'!$C$18</x:f>
        <x:v>1.261111111111111</x:v>
      </x:c>
      <x:c r="K2159" s="9" t="n">
        <x:f>J2159*'Parameters'!$C$19</x:f>
        <x:v>1.5763888888888888</x:v>
      </x:c>
      <x:c r="L2159" s="9" t="n">
        <x:f>I2159*(1-0.40)-J2159</x:f>
        <x:v>2.522222222222222</x:v>
      </x:c>
      <x:c r="M2159" s="9" t="n">
        <x:f>'Physical_Arcs'!S59</x:f>
        <x:v>6.305555555555555</x:v>
      </x:c>
      <x:c r="N2159" s="9" t="n">
        <x:f>M2159*'Parameters'!$C$18</x:f>
        <x:v>1.261111111111111</x:v>
      </x:c>
      <x:c r="O2159" s="9" t="n">
        <x:f>N2159*'Parameters'!$C$19</x:f>
        <x:v>1.5763888888888888</x:v>
      </x:c>
      <x:c r="P2159" s="9" t="n">
        <x:f>M2159*(1-0.40)-N2159</x:f>
        <x:v>2.522222222222222</x:v>
      </x:c>
      <x:c r="Q2159" s="9" t="n">
        <x:f>'Physical_Arcs'!T59</x:f>
        <x:v>3.1666666666666665</x:v>
      </x:c>
      <x:c r="R2159" s="9" t="n">
        <x:f>Q2159*'Parameters'!$C$18</x:f>
        <x:v>0.6333333333333333</x:v>
      </x:c>
      <x:c r="S2159" s="9" t="n">
        <x:f>R2159*'Parameters'!$C$19</x:f>
        <x:v>0.7916666666666666</x:v>
      </x:c>
      <x:c r="T2159" s="9" t="n">
        <x:f>Q2159*(1-0.40)-R2159</x:f>
        <x:v>1.2666666666666666</x:v>
      </x:c>
    </x:row>
    <x:row r="2160" ht="21" customHeight="1">
      <x:c r="A2160" s="3" t="n">
        <x:v>35</x:v>
      </x:c>
      <x:c r="B2160" s="3" t="str">
        <x:v>05:50</x:v>
      </x:c>
      <x:c r="C2160" s="3" t="n">
        <x:v>6</x:v>
      </x:c>
      <x:c r="D2160" s="3" t="n">
        <x:v>59</x:v>
      </x:c>
      <x:c r="E2160" s="3" t="n">
        <x:v>10</x:v>
      </x:c>
      <x:c r="F2160" s="3" t="n">
        <x:v>4</x:v>
      </x:c>
      <x:c r="G2160" s="9" t="n">
        <x:v>0.15</x:v>
      </x:c>
      <x:c r="H2160" s="9" t="n">
        <x:v>1.114542</x:v>
      </x:c>
      <x:c r="I2160" s="9" t="n">
        <x:f>'Physical_Arcs'!R60</x:f>
        <x:v>1.5833333333333333</x:v>
      </x:c>
      <x:c r="J2160" s="9" t="n">
        <x:f>I2160*'Parameters'!$C$18</x:f>
        <x:v>0.31666666666666665</x:v>
      </x:c>
      <x:c r="K2160" s="9" t="n">
        <x:f>J2160*'Parameters'!$C$19</x:f>
        <x:v>0.3958333333333333</x:v>
      </x:c>
      <x:c r="L2160" s="9" t="n">
        <x:f>I2160*(1-0.40)-J2160</x:f>
        <x:v>0.6333333333333333</x:v>
      </x:c>
      <x:c r="M2160" s="9" t="n">
        <x:f>'Physical_Arcs'!S60</x:f>
        <x:v>1.5833333333333333</x:v>
      </x:c>
      <x:c r="N2160" s="9" t="n">
        <x:f>M2160*'Parameters'!$C$18</x:f>
        <x:v>0.31666666666666665</x:v>
      </x:c>
      <x:c r="O2160" s="9" t="n">
        <x:f>N2160*'Parameters'!$C$19</x:f>
        <x:v>0.3958333333333333</x:v>
      </x:c>
      <x:c r="P2160" s="9" t="n">
        <x:f>M2160*(1-0.40)-N2160</x:f>
        <x:v>0.6333333333333333</x:v>
      </x:c>
      <x:c r="Q2160" s="9" t="n">
        <x:f>'Physical_Arcs'!T60</x:f>
        <x:v>0.8055555555555556</x:v>
      </x:c>
      <x:c r="R2160" s="9" t="n">
        <x:f>Q2160*'Parameters'!$C$18</x:f>
        <x:v>0.16111111111111112</x:v>
      </x:c>
      <x:c r="S2160" s="9" t="n">
        <x:f>R2160*'Parameters'!$C$19</x:f>
        <x:v>0.2013888888888889</x:v>
      </x:c>
      <x:c r="T2160" s="9" t="n">
        <x:f>Q2160*(1-0.40)-R2160</x:f>
        <x:v>0.3222222222222222</x:v>
      </x:c>
    </x:row>
    <x:row r="2161" ht="21" customHeight="1">
      <x:c r="A2161" s="3" t="n">
        <x:v>35</x:v>
      </x:c>
      <x:c r="B2161" s="3" t="str">
        <x:v>05:50</x:v>
      </x:c>
      <x:c r="C2161" s="3" t="n">
        <x:v>6</x:v>
      </x:c>
      <x:c r="D2161" s="3" t="n">
        <x:v>60</x:v>
      </x:c>
      <x:c r="E2161" s="3" t="n">
        <x:v>10</x:v>
      </x:c>
      <x:c r="F2161" s="3" t="n">
        <x:v>9</x:v>
      </x:c>
      <x:c r="G2161" s="9" t="n">
        <x:v>0.15</x:v>
      </x:c>
      <x:c r="H2161" s="9" t="n">
        <x:v>1.092245</x:v>
      </x:c>
      <x:c r="I2161" s="9" t="n">
        <x:f>'Physical_Arcs'!R61</x:f>
        <x:v>10.333333333333334</x:v>
      </x:c>
      <x:c r="J2161" s="9" t="n">
        <x:f>I2161*'Parameters'!$C$18</x:f>
        <x:v>2.066666666666667</x:v>
      </x:c>
      <x:c r="K2161" s="9" t="n">
        <x:f>J2161*'Parameters'!$C$19</x:f>
        <x:v>2.5833333333333335</x:v>
      </x:c>
      <x:c r="L2161" s="9" t="n">
        <x:f>I2161*(1-0.40)-J2161</x:f>
        <x:v>4.133333333333333</x:v>
      </x:c>
      <x:c r="M2161" s="9" t="n">
        <x:f>'Physical_Arcs'!S61</x:f>
        <x:v>10.333333333333334</x:v>
      </x:c>
      <x:c r="N2161" s="9" t="n">
        <x:f>M2161*'Parameters'!$C$18</x:f>
        <x:v>2.066666666666667</x:v>
      </x:c>
      <x:c r="O2161" s="9" t="n">
        <x:f>N2161*'Parameters'!$C$19</x:f>
        <x:v>2.5833333333333335</x:v>
      </x:c>
      <x:c r="P2161" s="9" t="n">
        <x:f>M2161*(1-0.40)-N2161</x:f>
        <x:v>4.133333333333333</x:v>
      </x:c>
      <x:c r="Q2161" s="9" t="n">
        <x:f>'Physical_Arcs'!T61</x:f>
        <x:v>5.166666666666667</x:v>
      </x:c>
      <x:c r="R2161" s="9" t="n">
        <x:f>Q2161*'Parameters'!$C$18</x:f>
        <x:v>1.0333333333333334</x:v>
      </x:c>
      <x:c r="S2161" s="9" t="n">
        <x:f>R2161*'Parameters'!$C$19</x:f>
        <x:v>1.2916666666666667</x:v>
      </x:c>
      <x:c r="T2161" s="9" t="n">
        <x:f>Q2161*(1-0.40)-R2161</x:f>
        <x:v>2.0666666666666664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6f6918e4326c466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1.04808783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0.56729112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0.8091824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-0.07970093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0.8391327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0.25053374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-0.60510512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-1.04391562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-0.21715285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-1.34854916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-0.08082912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0.43806255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1.39552213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-0.57561339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0.15236214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0.51893991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-0.73541573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-0.45668809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2.90360653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0.4231828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-0.73896534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-1.9585035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-0.13488749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-0.89498904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-0.55625307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-1.0882575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0.82447439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0.68300723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-0.17454906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1.41342013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1.24313058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0.87293683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0.42959123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-0.50121407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-0.33831281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-0.24649591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-1.08048618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-0.52618992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1.3532807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1.16286273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-0.24319626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-0.45540368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-0.41710955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-1.53535306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0.90980564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0.51440974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1.52230171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-1.56971945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-0.33858637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-1.14049897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1.0782082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0.09523616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-0.825389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1.044434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-0.10984778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0.11813126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-0.6139051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1.06241161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-1.10215436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-1.12672993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2</x:v>
      </x:c>
      <x:c r="B62" s="3" t="n">
        <x:v>1</x:v>
      </x:c>
      <x:c r="C62" s="9" t="n">
        <x:v>1.68456908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2</x:v>
      </x:c>
      <x:c r="B63" s="3" t="n">
        <x:v>2</x:v>
      </x:c>
      <x:c r="C63" s="9" t="n">
        <x:v>-0.99602574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2</x:v>
      </x:c>
      <x:c r="B64" s="3" t="n">
        <x:v>3</x:v>
      </x:c>
      <x:c r="C64" s="9" t="n">
        <x:v>-0.96630957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2</x:v>
      </x:c>
      <x:c r="B65" s="3" t="n">
        <x:v>4</x:v>
      </x:c>
      <x:c r="C65" s="9" t="n">
        <x:v>0.54563951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2</x:v>
      </x:c>
      <x:c r="B66" s="3" t="n">
        <x:v>5</x:v>
      </x:c>
      <x:c r="C66" s="9" t="n">
        <x:v>-0.89357886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2</x:v>
      </x:c>
      <x:c r="B67" s="3" t="n">
        <x:v>6</x:v>
      </x:c>
      <x:c r="C67" s="9" t="n">
        <x:v>0.80302967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2</x:v>
      </x:c>
      <x:c r="B68" s="3" t="n">
        <x:v>7</x:v>
      </x:c>
      <x:c r="C68" s="9" t="n">
        <x:v>-0.14112696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2</x:v>
      </x:c>
      <x:c r="B69" s="3" t="n">
        <x:v>8</x:v>
      </x:c>
      <x:c r="C69" s="9" t="n">
        <x:v>0.94837001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2</x:v>
      </x:c>
      <x:c r="B70" s="3" t="n">
        <x:v>9</x:v>
      </x:c>
      <x:c r="C70" s="9" t="n">
        <x:v>-0.90117458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2</x:v>
      </x:c>
      <x:c r="B71" s="3" t="n">
        <x:v>10</x:v>
      </x:c>
      <x:c r="C71" s="9" t="n">
        <x:v>-0.52627454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2</x:v>
      </x:c>
      <x:c r="B72" s="3" t="n">
        <x:v>11</x:v>
      </x:c>
      <x:c r="C72" s="9" t="n">
        <x:v>-0.45837618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2</x:v>
      </x:c>
      <x:c r="B73" s="3" t="n">
        <x:v>12</x:v>
      </x:c>
      <x:c r="C73" s="9" t="n">
        <x:v>0.09447682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2</x:v>
      </x:c>
      <x:c r="B74" s="3" t="n">
        <x:v>13</x:v>
      </x:c>
      <x:c r="C74" s="9" t="n">
        <x:v>0.79706149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2</x:v>
      </x:c>
      <x:c r="B75" s="3" t="n">
        <x:v>14</x:v>
      </x:c>
      <x:c r="C75" s="9" t="n">
        <x:v>-1.239167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2</x:v>
      </x:c>
      <x:c r="B76" s="3" t="n">
        <x:v>15</x:v>
      </x:c>
      <x:c r="C76" s="9" t="n">
        <x:v>0.23641747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2</x:v>
      </x:c>
      <x:c r="B77" s="3" t="n">
        <x:v>16</x:v>
      </x:c>
      <x:c r="C77" s="9" t="n">
        <x:v>-0.10710389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2</x:v>
      </x:c>
      <x:c r="B78" s="3" t="n">
        <x:v>17</x:v>
      </x:c>
      <x:c r="C78" s="9" t="n">
        <x:v>0.88736892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2</x:v>
      </x:c>
      <x:c r="B79" s="3" t="n">
        <x:v>18</x:v>
      </x:c>
      <x:c r="C79" s="9" t="n">
        <x:v>-0.77171116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2</x:v>
      </x:c>
      <x:c r="B80" s="3" t="n">
        <x:v>19</x:v>
      </x:c>
      <x:c r="C80" s="9" t="n">
        <x:v>0.18530306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2</x:v>
      </x:c>
      <x:c r="B81" s="3" t="n">
        <x:v>20</x:v>
      </x:c>
      <x:c r="C81" s="9" t="n">
        <x:v>0.00636509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2</x:v>
      </x:c>
      <x:c r="B82" s="3" t="n">
        <x:v>21</x:v>
      </x:c>
      <x:c r="C82" s="9" t="n">
        <x:v>-0.37101634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2</x:v>
      </x:c>
      <x:c r="B83" s="3" t="n">
        <x:v>22</x:v>
      </x:c>
      <x:c r="C83" s="9" t="n">
        <x:v>0.58981088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2</x:v>
      </x:c>
      <x:c r="B84" s="3" t="n">
        <x:v>23</x:v>
      </x:c>
      <x:c r="C84" s="9" t="n">
        <x:v>-0.25596688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2</x:v>
      </x:c>
      <x:c r="B85" s="3" t="n">
        <x:v>24</x:v>
      </x:c>
      <x:c r="C85" s="9" t="n">
        <x:v>-1.04738513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2</x:v>
      </x:c>
      <x:c r="B86" s="3" t="n">
        <x:v>25</x:v>
      </x:c>
      <x:c r="C86" s="9" t="n">
        <x:v>0.63197537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2</x:v>
      </x:c>
      <x:c r="B87" s="3" t="n">
        <x:v>26</x:v>
      </x:c>
      <x:c r="C87" s="9" t="n">
        <x:v>0.28842607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2</x:v>
      </x:c>
      <x:c r="B88" s="3" t="n">
        <x:v>27</x:v>
      </x:c>
      <x:c r="C88" s="9" t="n">
        <x:v>0.8485986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2</x:v>
      </x:c>
      <x:c r="B89" s="3" t="n">
        <x:v>28</x:v>
      </x:c>
      <x:c r="C89" s="9" t="n">
        <x:v>-0.44679059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2</x:v>
      </x:c>
      <x:c r="B90" s="3" t="n">
        <x:v>29</x:v>
      </x:c>
      <x:c r="C90" s="9" t="n">
        <x:v>0.19225538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2</x:v>
      </x:c>
      <x:c r="B91" s="3" t="n">
        <x:v>30</x:v>
      </x:c>
      <x:c r="C91" s="9" t="n">
        <x:v>0.04469628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2</x:v>
      </x:c>
      <x:c r="B92" s="3" t="n">
        <x:v>31</x:v>
      </x:c>
      <x:c r="C92" s="9" t="n">
        <x:v>0.60237502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2</x:v>
      </x:c>
      <x:c r="B93" s="3" t="n">
        <x:v>32</x:v>
      </x:c>
      <x:c r="C93" s="9" t="n">
        <x:v>-0.00260732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2</x:v>
      </x:c>
      <x:c r="B94" s="3" t="n">
        <x:v>33</x:v>
      </x:c>
      <x:c r="C94" s="9" t="n">
        <x:v>-1.32372518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2</x:v>
      </x:c>
      <x:c r="B95" s="3" t="n">
        <x:v>34</x:v>
      </x:c>
      <x:c r="C95" s="9" t="n">
        <x:v>-0.29551241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2</x:v>
      </x:c>
      <x:c r="B96" s="3" t="n">
        <x:v>35</x:v>
      </x:c>
      <x:c r="C96" s="9" t="n">
        <x:v>-0.3794181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2</x:v>
      </x:c>
      <x:c r="B97" s="3" t="n">
        <x:v>36</x:v>
      </x:c>
      <x:c r="C97" s="9" t="n">
        <x:v>0.82075751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2</x:v>
      </x:c>
      <x:c r="B98" s="3" t="n">
        <x:v>37</x:v>
      </x:c>
      <x:c r="C98" s="9" t="n">
        <x:v>0.22360272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2</x:v>
      </x:c>
      <x:c r="B99" s="3" t="n">
        <x:v>38</x:v>
      </x:c>
      <x:c r="C99" s="9" t="n">
        <x:v>0.79766025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2</x:v>
      </x:c>
      <x:c r="B100" s="3" t="n">
        <x:v>39</x:v>
      </x:c>
      <x:c r="C100" s="9" t="n">
        <x:v>-0.46076468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2</x:v>
      </x:c>
      <x:c r="B101" s="3" t="n">
        <x:v>40</x:v>
      </x:c>
      <x:c r="C101" s="9" t="n">
        <x:v>1.3473835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2</x:v>
      </x:c>
      <x:c r="B102" s="3" t="n">
        <x:v>41</x:v>
      </x:c>
      <x:c r="C102" s="9" t="n">
        <x:v>0.94199273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2</x:v>
      </x:c>
      <x:c r="B103" s="3" t="n">
        <x:v>42</x:v>
      </x:c>
      <x:c r="C103" s="9" t="n">
        <x:v>0.20792443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2</x:v>
      </x:c>
      <x:c r="B104" s="3" t="n">
        <x:v>43</x:v>
      </x:c>
      <x:c r="C104" s="9" t="n">
        <x:v>-0.24596454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2</x:v>
      </x:c>
      <x:c r="B105" s="3" t="n">
        <x:v>44</x:v>
      </x:c>
      <x:c r="C105" s="9" t="n">
        <x:v>-0.68097542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2</x:v>
      </x:c>
      <x:c r="B106" s="3" t="n">
        <x:v>45</x:v>
      </x:c>
      <x:c r="C106" s="9" t="n">
        <x:v>-2.06813503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2</x:v>
      </x:c>
      <x:c r="B107" s="3" t="n">
        <x:v>46</x:v>
      </x:c>
      <x:c r="C107" s="9" t="n">
        <x:v>0.21697353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2</x:v>
      </x:c>
      <x:c r="B108" s="3" t="n">
        <x:v>47</x:v>
      </x:c>
      <x:c r="C108" s="9" t="n">
        <x:v>-0.62990133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2</x:v>
      </x:c>
      <x:c r="B109" s="3" t="n">
        <x:v>48</x:v>
      </x:c>
      <x:c r="C109" s="9" t="n">
        <x:v>-0.43263045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2</x:v>
      </x:c>
      <x:c r="B110" s="3" t="n">
        <x:v>49</x:v>
      </x:c>
      <x:c r="C110" s="9" t="n">
        <x:v>-0.31689927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2</x:v>
      </x:c>
      <x:c r="B111" s="3" t="n">
        <x:v>50</x:v>
      </x:c>
      <x:c r="C111" s="9" t="n">
        <x:v>0.30843596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2</x:v>
      </x:c>
      <x:c r="B112" s="3" t="n">
        <x:v>51</x:v>
      </x:c>
      <x:c r="C112" s="9" t="n">
        <x:v>1.13662179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2</x:v>
      </x:c>
      <x:c r="B113" s="3" t="n">
        <x:v>52</x:v>
      </x:c>
      <x:c r="C113" s="9" t="n">
        <x:v>-0.76844105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2</x:v>
      </x:c>
      <x:c r="B114" s="3" t="n">
        <x:v>53</x:v>
      </x:c>
      <x:c r="C114" s="9" t="n">
        <x:v>-0.41950993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2</x:v>
      </x:c>
      <x:c r="B115" s="3" t="n">
        <x:v>54</x:v>
      </x:c>
      <x:c r="C115" s="9" t="n">
        <x:v>2.70193233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2</x:v>
      </x:c>
      <x:c r="B116" s="3" t="n">
        <x:v>55</x:v>
      </x:c>
      <x:c r="C116" s="9" t="n">
        <x:v>0.3764847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2</x:v>
      </x:c>
      <x:c r="B117" s="3" t="n">
        <x:v>56</x:v>
      </x:c>
      <x:c r="C117" s="9" t="n">
        <x:v>1.85223563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2</x:v>
      </x:c>
      <x:c r="B118" s="3" t="n">
        <x:v>57</x:v>
      </x:c>
      <x:c r="C118" s="9" t="n">
        <x:v>0.96549476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2</x:v>
      </x:c>
      <x:c r="B119" s="3" t="n">
        <x:v>58</x:v>
      </x:c>
      <x:c r="C119" s="9" t="n">
        <x:v>-0.35668044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2</x:v>
      </x:c>
      <x:c r="B120" s="3" t="n">
        <x:v>59</x:v>
      </x:c>
      <x:c r="C120" s="9" t="n">
        <x:v>0.89174403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2</x:v>
      </x:c>
      <x:c r="B121" s="3" t="n">
        <x:v>60</x:v>
      </x:c>
      <x:c r="C121" s="9" t="n">
        <x:v>0.2584944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3</x:v>
      </x:c>
      <x:c r="B122" s="3" t="n">
        <x:v>1</x:v>
      </x:c>
      <x:c r="C122" s="9" t="n">
        <x:v>-0.84559559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3</x:v>
      </x:c>
      <x:c r="B123" s="3" t="n">
        <x:v>2</x:v>
      </x:c>
      <x:c r="C123" s="9" t="n">
        <x:v>-0.0267143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3</x:v>
      </x:c>
      <x:c r="B124" s="3" t="n">
        <x:v>3</x:v>
      </x:c>
      <x:c r="C124" s="9" t="n">
        <x:v>-2.0956414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3</x:v>
      </x:c>
      <x:c r="B125" s="3" t="n">
        <x:v>4</x:v>
      </x:c>
      <x:c r="C125" s="9" t="n">
        <x:v>0.39741678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3</x:v>
      </x:c>
      <x:c r="B126" s="3" t="n">
        <x:v>5</x:v>
      </x:c>
      <x:c r="C126" s="9" t="n">
        <x:v>0.84915214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3</x:v>
      </x:c>
      <x:c r="B127" s="3" t="n">
        <x:v>6</x:v>
      </x:c>
      <x:c r="C127" s="9" t="n">
        <x:v>0.00807453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3</x:v>
      </x:c>
      <x:c r="B128" s="3" t="n">
        <x:v>7</x:v>
      </x:c>
      <x:c r="C128" s="9" t="n">
        <x:v>-0.05732588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3</x:v>
      </x:c>
      <x:c r="B129" s="3" t="n">
        <x:v>8</x:v>
      </x:c>
      <x:c r="C129" s="9" t="n">
        <x:v>-0.04756223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3</x:v>
      </x:c>
      <x:c r="B130" s="3" t="n">
        <x:v>9</x:v>
      </x:c>
      <x:c r="C130" s="9" t="n">
        <x:v>1.48013602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3</x:v>
      </x:c>
      <x:c r="B131" s="3" t="n">
        <x:v>10</x:v>
      </x:c>
      <x:c r="C131" s="9" t="n">
        <x:v>2.11098271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3</x:v>
      </x:c>
      <x:c r="B132" s="3" t="n">
        <x:v>11</x:v>
      </x:c>
      <x:c r="C132" s="9" t="n">
        <x:v>-0.0257405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3</x:v>
      </x:c>
      <x:c r="B133" s="3" t="n">
        <x:v>12</x:v>
      </x:c>
      <x:c r="C133" s="9" t="n">
        <x:v>1.11058075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3</x:v>
      </x:c>
      <x:c r="B134" s="3" t="n">
        <x:v>13</x:v>
      </x:c>
      <x:c r="C134" s="9" t="n">
        <x:v>1.90421971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3</x:v>
      </x:c>
      <x:c r="B135" s="3" t="n">
        <x:v>14</x:v>
      </x:c>
      <x:c r="C135" s="9" t="n">
        <x:v>-1.03765061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3</x:v>
      </x:c>
      <x:c r="B136" s="3" t="n">
        <x:v>15</x:v>
      </x:c>
      <x:c r="C136" s="9" t="n">
        <x:v>0.1218015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3</x:v>
      </x:c>
      <x:c r="B137" s="3" t="n">
        <x:v>16</x:v>
      </x:c>
      <x:c r="C137" s="9" t="n">
        <x:v>-0.42950798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3</x:v>
      </x:c>
      <x:c r="B138" s="3" t="n">
        <x:v>17</x:v>
      </x:c>
      <x:c r="C138" s="9" t="n">
        <x:v>-1.50800637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3</x:v>
      </x:c>
      <x:c r="B139" s="3" t="n">
        <x:v>18</x:v>
      </x:c>
      <x:c r="C139" s="9" t="n">
        <x:v>1.34586131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3</x:v>
      </x:c>
      <x:c r="B140" s="3" t="n">
        <x:v>19</x:v>
      </x:c>
      <x:c r="C140" s="9" t="n">
        <x:v>-0.42581283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3</x:v>
      </x:c>
      <x:c r="B141" s="3" t="n">
        <x:v>20</x:v>
      </x:c>
      <x:c r="C141" s="9" t="n">
        <x:v>0.4923992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3</x:v>
      </x:c>
      <x:c r="B142" s="3" t="n">
        <x:v>21</x:v>
      </x:c>
      <x:c r="C142" s="9" t="n">
        <x:v>0.25159172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3</x:v>
      </x:c>
      <x:c r="B143" s="3" t="n">
        <x:v>22</x:v>
      </x:c>
      <x:c r="C143" s="9" t="n">
        <x:v>-0.35617095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3</x:v>
      </x:c>
      <x:c r="B144" s="3" t="n">
        <x:v>23</x:v>
      </x:c>
      <x:c r="C144" s="9" t="n">
        <x:v>0.7700909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3</x:v>
      </x:c>
      <x:c r="B145" s="3" t="n">
        <x:v>24</x:v>
      </x:c>
      <x:c r="C145" s="9" t="n">
        <x:v>-1.53577897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3</x:v>
      </x:c>
      <x:c r="B146" s="3" t="n">
        <x:v>25</x:v>
      </x:c>
      <x:c r="C146" s="9" t="n">
        <x:v>-0.43910494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3</x:v>
      </x:c>
      <x:c r="B147" s="3" t="n">
        <x:v>26</x:v>
      </x:c>
      <x:c r="C147" s="9" t="n">
        <x:v>1.38085972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3</x:v>
      </x:c>
      <x:c r="B148" s="3" t="n">
        <x:v>27</x:v>
      </x:c>
      <x:c r="C148" s="9" t="n">
        <x:v>-0.36280346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3</x:v>
      </x:c>
      <x:c r="B149" s="3" t="n">
        <x:v>28</x:v>
      </x:c>
      <x:c r="C149" s="9" t="n">
        <x:v>-0.96861764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3</x:v>
      </x:c>
      <x:c r="B150" s="3" t="n">
        <x:v>29</x:v>
      </x:c>
      <x:c r="C150" s="9" t="n">
        <x:v>0.03228935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3</x:v>
      </x:c>
      <x:c r="B151" s="3" t="n">
        <x:v>30</x:v>
      </x:c>
      <x:c r="C151" s="9" t="n">
        <x:v>0.64620411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3</x:v>
      </x:c>
      <x:c r="B152" s="3" t="n">
        <x:v>31</x:v>
      </x:c>
      <x:c r="C152" s="9" t="n">
        <x:v>-0.89454848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3</x:v>
      </x:c>
      <x:c r="B153" s="3" t="n">
        <x:v>32</x:v>
      </x:c>
      <x:c r="C153" s="9" t="n">
        <x:v>-1.85885783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3</x:v>
      </x:c>
      <x:c r="B154" s="3" t="n">
        <x:v>33</x:v>
      </x:c>
      <x:c r="C154" s="9" t="n">
        <x:v>0.40736144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3</x:v>
      </x:c>
      <x:c r="B155" s="3" t="n">
        <x:v>34</x:v>
      </x:c>
      <x:c r="C155" s="9" t="n">
        <x:v>-0.7610844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3</x:v>
      </x:c>
      <x:c r="B156" s="3" t="n">
        <x:v>35</x:v>
      </x:c>
      <x:c r="C156" s="9" t="n">
        <x:v>-1.35964487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3</x:v>
      </x:c>
      <x:c r="B157" s="3" t="n">
        <x:v>36</x:v>
      </x:c>
      <x:c r="C157" s="9" t="n">
        <x:v>0.49856939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3</x:v>
      </x:c>
      <x:c r="B158" s="3" t="n">
        <x:v>37</x:v>
      </x:c>
      <x:c r="C158" s="9" t="n">
        <x:v>-0.30583446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3</x:v>
      </x:c>
      <x:c r="B159" s="3" t="n">
        <x:v>38</x:v>
      </x:c>
      <x:c r="C159" s="9" t="n">
        <x:v>-0.46372545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3</x:v>
      </x:c>
      <x:c r="B160" s="3" t="n">
        <x:v>39</x:v>
      </x:c>
      <x:c r="C160" s="9" t="n">
        <x:v>1.25679927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3</x:v>
      </x:c>
      <x:c r="B161" s="3" t="n">
        <x:v>40</x:v>
      </x:c>
      <x:c r="C161" s="9" t="n">
        <x:v>-1.12580337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3</x:v>
      </x:c>
      <x:c r="B162" s="3" t="n">
        <x:v>41</x:v>
      </x:c>
      <x:c r="C162" s="9" t="n">
        <x:v>1.20944184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3</x:v>
      </x:c>
      <x:c r="B163" s="3" t="n">
        <x:v>42</x:v>
      </x:c>
      <x:c r="C163" s="9" t="n">
        <x:v>0.59731235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3</x:v>
      </x:c>
      <x:c r="B164" s="3" t="n">
        <x:v>43</x:v>
      </x:c>
      <x:c r="C164" s="9" t="n">
        <x:v>-0.57481797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3</x:v>
      </x:c>
      <x:c r="B165" s="3" t="n">
        <x:v>44</x:v>
      </x:c>
      <x:c r="C165" s="9" t="n">
        <x:v>1.14798881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3</x:v>
      </x:c>
      <x:c r="B166" s="3" t="n">
        <x:v>45</x:v>
      </x:c>
      <x:c r="C166" s="9" t="n">
        <x:v>-0.19284691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3</x:v>
      </x:c>
      <x:c r="B167" s="3" t="n">
        <x:v>46</x:v>
      </x:c>
      <x:c r="C167" s="9" t="n">
        <x:v>-1.61626315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3</x:v>
      </x:c>
      <x:c r="B168" s="3" t="n">
        <x:v>47</x:v>
      </x:c>
      <x:c r="C168" s="9" t="n">
        <x:v>-0.03651679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3</x:v>
      </x:c>
      <x:c r="B169" s="3" t="n">
        <x:v>48</x:v>
      </x:c>
      <x:c r="C169" s="9" t="n">
        <x:v>0.76278458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3</x:v>
      </x:c>
      <x:c r="B170" s="3" t="n">
        <x:v>49</x:v>
      </x:c>
      <x:c r="C170" s="9" t="n">
        <x:v>-1.11122637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3</x:v>
      </x:c>
      <x:c r="B171" s="3" t="n">
        <x:v>50</x:v>
      </x:c>
      <x:c r="C171" s="9" t="n">
        <x:v>0.25452345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3</x:v>
      </x:c>
      <x:c r="B172" s="3" t="n">
        <x:v>51</x:v>
      </x:c>
      <x:c r="C172" s="9" t="n">
        <x:v>1.52120261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3</x:v>
      </x:c>
      <x:c r="B173" s="3" t="n">
        <x:v>52</x:v>
      </x:c>
      <x:c r="C173" s="9" t="n">
        <x:v>0.53329334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3</x:v>
      </x:c>
      <x:c r="B174" s="3" t="n">
        <x:v>53</x:v>
      </x:c>
      <x:c r="C174" s="9" t="n">
        <x:v>0.62287524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3</x:v>
      </x:c>
      <x:c r="B175" s="3" t="n">
        <x:v>54</x:v>
      </x:c>
      <x:c r="C175" s="9" t="n">
        <x:v>-0.29343308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3</x:v>
      </x:c>
      <x:c r="B176" s="3" t="n">
        <x:v>55</x:v>
      </x:c>
      <x:c r="C176" s="9" t="n">
        <x:v>-0.41414422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3</x:v>
      </x:c>
      <x:c r="B177" s="3" t="n">
        <x:v>56</x:v>
      </x:c>
      <x:c r="C177" s="9" t="n">
        <x:v>-0.72530215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3</x:v>
      </x:c>
      <x:c r="B178" s="3" t="n">
        <x:v>57</x:v>
      </x:c>
      <x:c r="C178" s="9" t="n">
        <x:v>-0.6404381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3</x:v>
      </x:c>
      <x:c r="B179" s="3" t="n">
        <x:v>58</x:v>
      </x:c>
      <x:c r="C179" s="9" t="n">
        <x:v>-0.08227699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3</x:v>
      </x:c>
      <x:c r="B180" s="3" t="n">
        <x:v>59</x:v>
      </x:c>
      <x:c r="C180" s="9" t="n">
        <x:v>-0.46896653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3</x:v>
      </x:c>
      <x:c r="B181" s="3" t="n">
        <x:v>60</x:v>
      </x:c>
      <x:c r="C181" s="9" t="n">
        <x:v>-0.65519177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4</x:v>
      </x:c>
      <x:c r="B182" s="3" t="n">
        <x:v>1</x:v>
      </x:c>
      <x:c r="C182" s="9" t="n">
        <x:v>-3.11302282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4</x:v>
      </x:c>
      <x:c r="B183" s="3" t="n">
        <x:v>2</x:v>
      </x:c>
      <x:c r="C183" s="9" t="n">
        <x:v>-0.23367978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4</x:v>
      </x:c>
      <x:c r="B184" s="3" t="n">
        <x:v>3</x:v>
      </x:c>
      <x:c r="C184" s="9" t="n">
        <x:v>-2.22965298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4</x:v>
      </x:c>
      <x:c r="B185" s="3" t="n">
        <x:v>4</x:v>
      </x:c>
      <x:c r="C185" s="9" t="n">
        <x:v>-1.11193734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4</x:v>
      </x:c>
      <x:c r="B186" s="3" t="n">
        <x:v>5</x:v>
      </x:c>
      <x:c r="C186" s="9" t="n">
        <x:v>1.11069463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4</x:v>
      </x:c>
      <x:c r="B187" s="3" t="n">
        <x:v>6</x:v>
      </x:c>
      <x:c r="C187" s="9" t="n">
        <x:v>-0.39771988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4</x:v>
      </x:c>
      <x:c r="B188" s="3" t="n">
        <x:v>7</x:v>
      </x:c>
      <x:c r="C188" s="9" t="n">
        <x:v>0.13730945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4</x:v>
      </x:c>
      <x:c r="B189" s="3" t="n">
        <x:v>8</x:v>
      </x:c>
      <x:c r="C189" s="9" t="n">
        <x:v>-1.19108418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4</x:v>
      </x:c>
      <x:c r="B190" s="3" t="n">
        <x:v>9</x:v>
      </x:c>
      <x:c r="C190" s="9" t="n">
        <x:v>-0.06557088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4</x:v>
      </x:c>
      <x:c r="B191" s="3" t="n">
        <x:v>10</x:v>
      </x:c>
      <x:c r="C191" s="9" t="n">
        <x:v>-0.10068013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4</x:v>
      </x:c>
      <x:c r="B192" s="3" t="n">
        <x:v>11</x:v>
      </x:c>
      <x:c r="C192" s="9" t="n">
        <x:v>0.65986481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4</x:v>
      </x:c>
      <x:c r="B193" s="3" t="n">
        <x:v>12</x:v>
      </x:c>
      <x:c r="C193" s="9" t="n">
        <x:v>0.35718721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4</x:v>
      </x:c>
      <x:c r="B194" s="3" t="n">
        <x:v>13</x:v>
      </x:c>
      <x:c r="C194" s="9" t="n">
        <x:v>-0.66286259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4</x:v>
      </x:c>
      <x:c r="B195" s="3" t="n">
        <x:v>14</x:v>
      </x:c>
      <x:c r="C195" s="9" t="n">
        <x:v>0.22352691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4</x:v>
      </x:c>
      <x:c r="B196" s="3" t="n">
        <x:v>15</x:v>
      </x:c>
      <x:c r="C196" s="9" t="n">
        <x:v>-2.08128765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4</x:v>
      </x:c>
      <x:c r="B197" s="3" t="n">
        <x:v>16</x:v>
      </x:c>
      <x:c r="C197" s="9" t="n">
        <x:v>-0.82240277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4</x:v>
      </x:c>
      <x:c r="B198" s="3" t="n">
        <x:v>17</x:v>
      </x:c>
      <x:c r="C198" s="9" t="n">
        <x:v>-0.77073418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4</x:v>
      </x:c>
      <x:c r="B199" s="3" t="n">
        <x:v>18</x:v>
      </x:c>
      <x:c r="C199" s="9" t="n">
        <x:v>0.35764041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4</x:v>
      </x:c>
      <x:c r="B200" s="3" t="n">
        <x:v>19</x:v>
      </x:c>
      <x:c r="C200" s="9" t="n">
        <x:v>0.39754801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4</x:v>
      </x:c>
      <x:c r="B201" s="3" t="n">
        <x:v>20</x:v>
      </x:c>
      <x:c r="C201" s="9" t="n">
        <x:v>1.16623447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4</x:v>
      </x:c>
      <x:c r="B202" s="3" t="n">
        <x:v>21</x:v>
      </x:c>
      <x:c r="C202" s="9" t="n">
        <x:v>0.23217014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4</x:v>
      </x:c>
      <x:c r="B203" s="3" t="n">
        <x:v>22</x:v>
      </x:c>
      <x:c r="C203" s="9" t="n">
        <x:v>-0.82631847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4</x:v>
      </x:c>
      <x:c r="B204" s="3" t="n">
        <x:v>23</x:v>
      </x:c>
      <x:c r="C204" s="9" t="n">
        <x:v>1.43018168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4</x:v>
      </x:c>
      <x:c r="B205" s="3" t="n">
        <x:v>24</x:v>
      </x:c>
      <x:c r="C205" s="9" t="n">
        <x:v>0.64353524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4</x:v>
      </x:c>
      <x:c r="B206" s="3" t="n">
        <x:v>25</x:v>
      </x:c>
      <x:c r="C206" s="9" t="n">
        <x:v>1.08656805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4</x:v>
      </x:c>
      <x:c r="B207" s="3" t="n">
        <x:v>26</x:v>
      </x:c>
      <x:c r="C207" s="9" t="n">
        <x:v>-0.92515867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4</x:v>
      </x:c>
      <x:c r="B208" s="3" t="n">
        <x:v>27</x:v>
      </x:c>
      <x:c r="C208" s="9" t="n">
        <x:v>-1.38671867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4</x:v>
      </x:c>
      <x:c r="B209" s="3" t="n">
        <x:v>28</x:v>
      </x:c>
      <x:c r="C209" s="9" t="n">
        <x:v>-0.06972684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4</x:v>
      </x:c>
      <x:c r="B210" s="3" t="n">
        <x:v>29</x:v>
      </x:c>
      <x:c r="C210" s="9" t="n">
        <x:v>-0.10448309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4</x:v>
      </x:c>
      <x:c r="B211" s="3" t="n">
        <x:v>30</x:v>
      </x:c>
      <x:c r="C211" s="9" t="n">
        <x:v>1.58901971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4</x:v>
      </x:c>
      <x:c r="B212" s="3" t="n">
        <x:v>31</x:v>
      </x:c>
      <x:c r="C212" s="9" t="n">
        <x:v>0.58263301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4</x:v>
      </x:c>
      <x:c r="B213" s="3" t="n">
        <x:v>32</x:v>
      </x:c>
      <x:c r="C213" s="9" t="n">
        <x:v>-1.62456036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4</x:v>
      </x:c>
      <x:c r="B214" s="3" t="n">
        <x:v>33</x:v>
      </x:c>
      <x:c r="C214" s="9" t="n">
        <x:v>-1.21418899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4</x:v>
      </x:c>
      <x:c r="B215" s="3" t="n">
        <x:v>34</x:v>
      </x:c>
      <x:c r="C215" s="9" t="n">
        <x:v>0.16098976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4</x:v>
      </x:c>
      <x:c r="B216" s="3" t="n">
        <x:v>35</x:v>
      </x:c>
      <x:c r="C216" s="9" t="n">
        <x:v>0.83849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4</x:v>
      </x:c>
      <x:c r="B217" s="3" t="n">
        <x:v>36</x:v>
      </x:c>
      <x:c r="C217" s="9" t="n">
        <x:v>-1.56489682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4</x:v>
      </x:c>
      <x:c r="B218" s="3" t="n">
        <x:v>37</x:v>
      </x:c>
      <x:c r="C218" s="9" t="n">
        <x:v>-0.69730202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4</x:v>
      </x:c>
      <x:c r="B219" s="3" t="n">
        <x:v>38</x:v>
      </x:c>
      <x:c r="C219" s="9" t="n">
        <x:v>-0.34207733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4</x:v>
      </x:c>
      <x:c r="B220" s="3" t="n">
        <x:v>39</x:v>
      </x:c>
      <x:c r="C220" s="9" t="n">
        <x:v>-0.52543234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4</x:v>
      </x:c>
      <x:c r="B221" s="3" t="n">
        <x:v>40</x:v>
      </x:c>
      <x:c r="C221" s="9" t="n">
        <x:v>0.52026072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4</x:v>
      </x:c>
      <x:c r="B222" s="3" t="n">
        <x:v>41</x:v>
      </x:c>
      <x:c r="C222" s="9" t="n">
        <x:v>0.33660778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4</x:v>
      </x:c>
      <x:c r="B223" s="3" t="n">
        <x:v>42</x:v>
      </x:c>
      <x:c r="C223" s="9" t="n">
        <x:v>-0.62813264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4</x:v>
      </x:c>
      <x:c r="B224" s="3" t="n">
        <x:v>43</x:v>
      </x:c>
      <x:c r="C224" s="9" t="n">
        <x:v>1.22567345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4</x:v>
      </x:c>
      <x:c r="B225" s="3" t="n">
        <x:v>44</x:v>
      </x:c>
      <x:c r="C225" s="9" t="n">
        <x:v>0.63420182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4</x:v>
      </x:c>
      <x:c r="B226" s="3" t="n">
        <x:v>45</x:v>
      </x:c>
      <x:c r="C226" s="9" t="n">
        <x:v>-0.21483129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4</x:v>
      </x:c>
      <x:c r="B227" s="3" t="n">
        <x:v>46</x:v>
      </x:c>
      <x:c r="C227" s="9" t="n">
        <x:v>-0.46743883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4</x:v>
      </x:c>
      <x:c r="B228" s="3" t="n">
        <x:v>47</x:v>
      </x:c>
      <x:c r="C228" s="9" t="n">
        <x:v>1.07203114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4</x:v>
      </x:c>
      <x:c r="B229" s="3" t="n">
        <x:v>48</x:v>
      </x:c>
      <x:c r="C229" s="9" t="n">
        <x:v>0.22703547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4</x:v>
      </x:c>
      <x:c r="B230" s="3" t="n">
        <x:v>49</x:v>
      </x:c>
      <x:c r="C230" s="9" t="n">
        <x:v>0.72136178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4</x:v>
      </x:c>
      <x:c r="B231" s="3" t="n">
        <x:v>50</x:v>
      </x:c>
      <x:c r="C231" s="9" t="n">
        <x:v>0.72695301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4</x:v>
      </x:c>
      <x:c r="B232" s="3" t="n">
        <x:v>51</x:v>
      </x:c>
      <x:c r="C232" s="9" t="n">
        <x:v>0.15909112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4</x:v>
      </x:c>
      <x:c r="B233" s="3" t="n">
        <x:v>52</x:v>
      </x:c>
      <x:c r="C233" s="9" t="n">
        <x:v>-0.26536667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4</x:v>
      </x:c>
      <x:c r="B234" s="3" t="n">
        <x:v>53</x:v>
      </x:c>
      <x:c r="C234" s="9" t="n">
        <x:v>-0.53121677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4</x:v>
      </x:c>
      <x:c r="B235" s="3" t="n">
        <x:v>54</x:v>
      </x:c>
      <x:c r="C235" s="9" t="n">
        <x:v>-0.15939807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4</x:v>
      </x:c>
      <x:c r="B236" s="3" t="n">
        <x:v>55</x:v>
      </x:c>
      <x:c r="C236" s="9" t="n">
        <x:v>0.67673701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4</x:v>
      </x:c>
      <x:c r="B237" s="3" t="n">
        <x:v>56</x:v>
      </x:c>
      <x:c r="C237" s="9" t="n">
        <x:v>2.03480298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4</x:v>
      </x:c>
      <x:c r="B238" s="3" t="n">
        <x:v>57</x:v>
      </x:c>
      <x:c r="C238" s="9" t="n">
        <x:v>-0.20155263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4</x:v>
      </x:c>
      <x:c r="B239" s="3" t="n">
        <x:v>58</x:v>
      </x:c>
      <x:c r="C239" s="9" t="n">
        <x:v>0.00188331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4</x:v>
      </x:c>
      <x:c r="B240" s="3" t="n">
        <x:v>59</x:v>
      </x:c>
      <x:c r="C240" s="9" t="n">
        <x:v>-0.4874717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4</x:v>
      </x:c>
      <x:c r="B241" s="3" t="n">
        <x:v>60</x:v>
      </x:c>
      <x:c r="C241" s="9" t="n">
        <x:v>-0.8647495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5</x:v>
      </x:c>
      <x:c r="B242" s="3" t="n">
        <x:v>1</x:v>
      </x:c>
      <x:c r="C242" s="9" t="n">
        <x:v>0.19329788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5</x:v>
      </x:c>
      <x:c r="B243" s="3" t="n">
        <x:v>2</x:v>
      </x:c>
      <x:c r="C243" s="9" t="n">
        <x:v>-1.90137212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5</x:v>
      </x:c>
      <x:c r="B244" s="3" t="n">
        <x:v>3</x:v>
      </x:c>
      <x:c r="C244" s="9" t="n">
        <x:v>1.09708664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5</x:v>
      </x:c>
      <x:c r="B245" s="3" t="n">
        <x:v>4</x:v>
      </x:c>
      <x:c r="C245" s="9" t="n">
        <x:v>0.89631084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5</x:v>
      </x:c>
      <x:c r="B246" s="3" t="n">
        <x:v>5</x:v>
      </x:c>
      <x:c r="C246" s="9" t="n">
        <x:v>0.16710146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5</x:v>
      </x:c>
      <x:c r="B247" s="3" t="n">
        <x:v>6</x:v>
      </x:c>
      <x:c r="C247" s="9" t="n">
        <x:v>1.01151345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5</x:v>
      </x:c>
      <x:c r="B248" s="3" t="n">
        <x:v>7</x:v>
      </x:c>
      <x:c r="C248" s="9" t="n">
        <x:v>-0.05045264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5</x:v>
      </x:c>
      <x:c r="B249" s="3" t="n">
        <x:v>8</x:v>
      </x:c>
      <x:c r="C249" s="9" t="n">
        <x:v>0.55028154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5</x:v>
      </x:c>
      <x:c r="B250" s="3" t="n">
        <x:v>9</x:v>
      </x:c>
      <x:c r="C250" s="9" t="n">
        <x:v>0.30645731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5</x:v>
      </x:c>
      <x:c r="B251" s="3" t="n">
        <x:v>10</x:v>
      </x:c>
      <x:c r="C251" s="9" t="n">
        <x:v>0.12770802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5</x:v>
      </x:c>
      <x:c r="B252" s="3" t="n">
        <x:v>11</x:v>
      </x:c>
      <x:c r="C252" s="9" t="n">
        <x:v>1.63292837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5</x:v>
      </x:c>
      <x:c r="B253" s="3" t="n">
        <x:v>12</x:v>
      </x:c>
      <x:c r="C253" s="9" t="n">
        <x:v>-0.48882003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5</x:v>
      </x:c>
      <x:c r="B254" s="3" t="n">
        <x:v>13</x:v>
      </x:c>
      <x:c r="C254" s="9" t="n">
        <x:v>1.82083145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5</x:v>
      </x:c>
      <x:c r="B255" s="3" t="n">
        <x:v>14</x:v>
      </x:c>
      <x:c r="C255" s="9" t="n">
        <x:v>-1.38114369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5</x:v>
      </x:c>
      <x:c r="B256" s="3" t="n">
        <x:v>15</x:v>
      </x:c>
      <x:c r="C256" s="9" t="n">
        <x:v>-0.71923099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5</x:v>
      </x:c>
      <x:c r="B257" s="3" t="n">
        <x:v>16</x:v>
      </x:c>
      <x:c r="C257" s="9" t="n">
        <x:v>0.53160561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5</x:v>
      </x:c>
      <x:c r="B258" s="3" t="n">
        <x:v>17</x:v>
      </x:c>
      <x:c r="C258" s="9" t="n">
        <x:v>-0.66057501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5</x:v>
      </x:c>
      <x:c r="B259" s="3" t="n">
        <x:v>18</x:v>
      </x:c>
      <x:c r="C259" s="9" t="n">
        <x:v>0.95401497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5</x:v>
      </x:c>
      <x:c r="B260" s="3" t="n">
        <x:v>19</x:v>
      </x:c>
      <x:c r="C260" s="9" t="n">
        <x:v>-0.28684017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5</x:v>
      </x:c>
      <x:c r="B261" s="3" t="n">
        <x:v>20</x:v>
      </x:c>
      <x:c r="C261" s="9" t="n">
        <x:v>-0.37569619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5</x:v>
      </x:c>
      <x:c r="B262" s="3" t="n">
        <x:v>21</x:v>
      </x:c>
      <x:c r="C262" s="9" t="n">
        <x:v>-0.18451432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5</x:v>
      </x:c>
      <x:c r="B263" s="3" t="n">
        <x:v>22</x:v>
      </x:c>
      <x:c r="C263" s="9" t="n">
        <x:v>-0.17470994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5</x:v>
      </x:c>
      <x:c r="B264" s="3" t="n">
        <x:v>23</x:v>
      </x:c>
      <x:c r="C264" s="9" t="n">
        <x:v>-0.85299783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5</x:v>
      </x:c>
      <x:c r="B265" s="3" t="n">
        <x:v>24</x:v>
      </x:c>
      <x:c r="C265" s="9" t="n">
        <x:v>1.46661603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5</x:v>
      </x:c>
      <x:c r="B266" s="3" t="n">
        <x:v>25</x:v>
      </x:c>
      <x:c r="C266" s="9" t="n">
        <x:v>2.18783148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5</x:v>
      </x:c>
      <x:c r="B267" s="3" t="n">
        <x:v>26</x:v>
      </x:c>
      <x:c r="C267" s="9" t="n">
        <x:v>1.41314352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5</x:v>
      </x:c>
      <x:c r="B268" s="3" t="n">
        <x:v>27</x:v>
      </x:c>
      <x:c r="C268" s="9" t="n">
        <x:v>0.45521322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5</x:v>
      </x:c>
      <x:c r="B269" s="3" t="n">
        <x:v>28</x:v>
      </x:c>
      <x:c r="C269" s="9" t="n">
        <x:v>-1.05566985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5</x:v>
      </x:c>
      <x:c r="B270" s="3" t="n">
        <x:v>29</x:v>
      </x:c>
      <x:c r="C270" s="9" t="n">
        <x:v>0.19023235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5</x:v>
      </x:c>
      <x:c r="B271" s="3" t="n">
        <x:v>30</x:v>
      </x:c>
      <x:c r="C271" s="9" t="n">
        <x:v>-0.19559203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5</x:v>
      </x:c>
      <x:c r="B272" s="3" t="n">
        <x:v>31</x:v>
      </x:c>
      <x:c r="C272" s="9" t="n">
        <x:v>-0.41182053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5</x:v>
      </x:c>
      <x:c r="B273" s="3" t="n">
        <x:v>32</x:v>
      </x:c>
      <x:c r="C273" s="9" t="n">
        <x:v>-0.30117692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5</x:v>
      </x:c>
      <x:c r="B274" s="3" t="n">
        <x:v>33</x:v>
      </x:c>
      <x:c r="C274" s="9" t="n">
        <x:v>-2.40400097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5</x:v>
      </x:c>
      <x:c r="B275" s="3" t="n">
        <x:v>34</x:v>
      </x:c>
      <x:c r="C275" s="9" t="n">
        <x:v>0.89764519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5</x:v>
      </x:c>
      <x:c r="B276" s="3" t="n">
        <x:v>35</x:v>
      </x:c>
      <x:c r="C276" s="9" t="n">
        <x:v>0.11215873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5</x:v>
      </x:c>
      <x:c r="B277" s="3" t="n">
        <x:v>36</x:v>
      </x:c>
      <x:c r="C277" s="9" t="n">
        <x:v>1.41944676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5</x:v>
      </x:c>
      <x:c r="B278" s="3" t="n">
        <x:v>37</x:v>
      </x:c>
      <x:c r="C278" s="9" t="n">
        <x:v>-0.12015728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5</x:v>
      </x:c>
      <x:c r="B279" s="3" t="n">
        <x:v>38</x:v>
      </x:c>
      <x:c r="C279" s="9" t="n">
        <x:v>1.53874808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5</x:v>
      </x:c>
      <x:c r="B280" s="3" t="n">
        <x:v>39</x:v>
      </x:c>
      <x:c r="C280" s="9" t="n">
        <x:v>-1.32114949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5</x:v>
      </x:c>
      <x:c r="B281" s="3" t="n">
        <x:v>40</x:v>
      </x:c>
      <x:c r="C281" s="9" t="n">
        <x:v>1.32642807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5</x:v>
      </x:c>
      <x:c r="B282" s="3" t="n">
        <x:v>41</x:v>
      </x:c>
      <x:c r="C282" s="9" t="n">
        <x:v>1.47913458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5</x:v>
      </x:c>
      <x:c r="B283" s="3" t="n">
        <x:v>42</x:v>
      </x:c>
      <x:c r="C283" s="9" t="n">
        <x:v>-0.31958805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5</x:v>
      </x:c>
      <x:c r="B284" s="3" t="n">
        <x:v>43</x:v>
      </x:c>
      <x:c r="C284" s="9" t="n">
        <x:v>-0.23531788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5</x:v>
      </x:c>
      <x:c r="B285" s="3" t="n">
        <x:v>44</x:v>
      </x:c>
      <x:c r="C285" s="9" t="n">
        <x:v>1.65658554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5</x:v>
      </x:c>
      <x:c r="B286" s="3" t="n">
        <x:v>45</x:v>
      </x:c>
      <x:c r="C286" s="9" t="n">
        <x:v>-0.24562285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5</x:v>
      </x:c>
      <x:c r="B287" s="3" t="n">
        <x:v>46</x:v>
      </x:c>
      <x:c r="C287" s="9" t="n">
        <x:v>-0.38542084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5</x:v>
      </x:c>
      <x:c r="B288" s="3" t="n">
        <x:v>47</x:v>
      </x:c>
      <x:c r="C288" s="9" t="n">
        <x:v>0.82785654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5</x:v>
      </x:c>
      <x:c r="B289" s="3" t="n">
        <x:v>48</x:v>
      </x:c>
      <x:c r="C289" s="9" t="n">
        <x:v>0.61196205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5</x:v>
      </x:c>
      <x:c r="B290" s="3" t="n">
        <x:v>49</x:v>
      </x:c>
      <x:c r="C290" s="9" t="n">
        <x:v>0.13438323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5</x:v>
      </x:c>
      <x:c r="B291" s="3" t="n">
        <x:v>50</x:v>
      </x:c>
      <x:c r="C291" s="9" t="n">
        <x:v>2.01795361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5</x:v>
      </x:c>
      <x:c r="B292" s="3" t="n">
        <x:v>51</x:v>
      </x:c>
      <x:c r="C292" s="9" t="n">
        <x:v>0.45335856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5</x:v>
      </x:c>
      <x:c r="B293" s="3" t="n">
        <x:v>52</x:v>
      </x:c>
      <x:c r="C293" s="9" t="n">
        <x:v>-0.72694407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5</x:v>
      </x:c>
      <x:c r="B294" s="3" t="n">
        <x:v>53</x:v>
      </x:c>
      <x:c r="C294" s="9" t="n">
        <x:v>1.272385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5</x:v>
      </x:c>
      <x:c r="B295" s="3" t="n">
        <x:v>54</x:v>
      </x:c>
      <x:c r="C295" s="9" t="n">
        <x:v>-0.84462671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5</x:v>
      </x:c>
      <x:c r="B296" s="3" t="n">
        <x:v>55</x:v>
      </x:c>
      <x:c r="C296" s="9" t="n">
        <x:v>0.67818869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5</x:v>
      </x:c>
      <x:c r="B297" s="3" t="n">
        <x:v>56</x:v>
      </x:c>
      <x:c r="C297" s="9" t="n">
        <x:v>0.41277745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5</x:v>
      </x:c>
      <x:c r="B298" s="3" t="n">
        <x:v>57</x:v>
      </x:c>
      <x:c r="C298" s="9" t="n">
        <x:v>0.63736249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5</x:v>
      </x:c>
      <x:c r="B299" s="3" t="n">
        <x:v>58</x:v>
      </x:c>
      <x:c r="C299" s="9" t="n">
        <x:v>-0.28331375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5</x:v>
      </x:c>
      <x:c r="B300" s="3" t="n">
        <x:v>59</x:v>
      </x:c>
      <x:c r="C300" s="9" t="n">
        <x:v>0.26283407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5</x:v>
      </x:c>
      <x:c r="B301" s="3" t="n">
        <x:v>60</x:v>
      </x:c>
      <x:c r="C301" s="9" t="n">
        <x:v>-1.43775602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6</x:v>
      </x:c>
      <x:c r="B302" s="3" t="n">
        <x:v>1</x:v>
      </x:c>
      <x:c r="C302" s="9" t="n">
        <x:v>1.02673862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6</x:v>
      </x:c>
      <x:c r="B303" s="3" t="n">
        <x:v>2</x:v>
      </x:c>
      <x:c r="C303" s="9" t="n">
        <x:v>-1.59648376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6</x:v>
      </x:c>
      <x:c r="B304" s="3" t="n">
        <x:v>3</x:v>
      </x:c>
      <x:c r="C304" s="9" t="n">
        <x:v>-0.8293101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6</x:v>
      </x:c>
      <x:c r="B305" s="3" t="n">
        <x:v>4</x:v>
      </x:c>
      <x:c r="C305" s="9" t="n">
        <x:v>1.30212034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6</x:v>
      </x:c>
      <x:c r="B306" s="3" t="n">
        <x:v>5</x:v>
      </x:c>
      <x:c r="C306" s="9" t="n">
        <x:v>1.36480148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6</x:v>
      </x:c>
      <x:c r="B307" s="3" t="n">
        <x:v>6</x:v>
      </x:c>
      <x:c r="C307" s="9" t="n">
        <x:v>-0.35995706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6</x:v>
      </x:c>
      <x:c r="B308" s="3" t="n">
        <x:v>7</x:v>
      </x:c>
      <x:c r="C308" s="9" t="n">
        <x:v>1.24830856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6</x:v>
      </x:c>
      <x:c r="B309" s="3" t="n">
        <x:v>8</x:v>
      </x:c>
      <x:c r="C309" s="9" t="n">
        <x:v>0.98899433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6</x:v>
      </x:c>
      <x:c r="B310" s="3" t="n">
        <x:v>9</x:v>
      </x:c>
      <x:c r="C310" s="9" t="n">
        <x:v>0.04056322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6</x:v>
      </x:c>
      <x:c r="B311" s="3" t="n">
        <x:v>10</x:v>
      </x:c>
      <x:c r="C311" s="9" t="n">
        <x:v>-2.60485556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6</x:v>
      </x:c>
      <x:c r="B312" s="3" t="n">
        <x:v>11</x:v>
      </x:c>
      <x:c r="C312" s="9" t="n">
        <x:v>-1.05723566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6</x:v>
      </x:c>
      <x:c r="B313" s="3" t="n">
        <x:v>12</x:v>
      </x:c>
      <x:c r="C313" s="9" t="n">
        <x:v>0.79125333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6</x:v>
      </x:c>
      <x:c r="B314" s="3" t="n">
        <x:v>13</x:v>
      </x:c>
      <x:c r="C314" s="9" t="n">
        <x:v>0.37601606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6</x:v>
      </x:c>
      <x:c r="B315" s="3" t="n">
        <x:v>14</x:v>
      </x:c>
      <x:c r="C315" s="9" t="n">
        <x:v>0.43982955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6</x:v>
      </x:c>
      <x:c r="B316" s="3" t="n">
        <x:v>15</x:v>
      </x:c>
      <x:c r="C316" s="9" t="n">
        <x:v>-1.45215519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6</x:v>
      </x:c>
      <x:c r="B317" s="3" t="n">
        <x:v>16</x:v>
      </x:c>
      <x:c r="C317" s="9" t="n">
        <x:v>-1.82031592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6</x:v>
      </x:c>
      <x:c r="B318" s="3" t="n">
        <x:v>17</x:v>
      </x:c>
      <x:c r="C318" s="9" t="n">
        <x:v>-0.35706137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6</x:v>
      </x:c>
      <x:c r="B319" s="3" t="n">
        <x:v>18</x:v>
      </x:c>
      <x:c r="C319" s="9" t="n">
        <x:v>0.21678105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6</x:v>
      </x:c>
      <x:c r="B320" s="3" t="n">
        <x:v>19</x:v>
      </x:c>
      <x:c r="C320" s="9" t="n">
        <x:v>-1.41434804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6</x:v>
      </x:c>
      <x:c r="B321" s="3" t="n">
        <x:v>20</x:v>
      </x:c>
      <x:c r="C321" s="9" t="n">
        <x:v>0.23922659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6</x:v>
      </x:c>
      <x:c r="B322" s="3" t="n">
        <x:v>21</x:v>
      </x:c>
      <x:c r="C322" s="9" t="n">
        <x:v>0.12401767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6</x:v>
      </x:c>
      <x:c r="B323" s="3" t="n">
        <x:v>22</x:v>
      </x:c>
      <x:c r="C323" s="9" t="n">
        <x:v>-0.07588572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6</x:v>
      </x:c>
      <x:c r="B324" s="3" t="n">
        <x:v>23</x:v>
      </x:c>
      <x:c r="C324" s="9" t="n">
        <x:v>-0.27952702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6</x:v>
      </x:c>
      <x:c r="B325" s="3" t="n">
        <x:v>24</x:v>
      </x:c>
      <x:c r="C325" s="9" t="n">
        <x:v>-0.61148321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6</x:v>
      </x:c>
      <x:c r="B326" s="3" t="n">
        <x:v>25</x:v>
      </x:c>
      <x:c r="C326" s="9" t="n">
        <x:v>0.16120141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6</x:v>
      </x:c>
      <x:c r="B327" s="3" t="n">
        <x:v>26</x:v>
      </x:c>
      <x:c r="C327" s="9" t="n">
        <x:v>0.83347721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6</x:v>
      </x:c>
      <x:c r="B328" s="3" t="n">
        <x:v>27</x:v>
      </x:c>
      <x:c r="C328" s="9" t="n">
        <x:v>-0.11361451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6</x:v>
      </x:c>
      <x:c r="B329" s="3" t="n">
        <x:v>28</x:v>
      </x:c>
      <x:c r="C329" s="9" t="n">
        <x:v>0.54479509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6</x:v>
      </x:c>
      <x:c r="B330" s="3" t="n">
        <x:v>29</x:v>
      </x:c>
      <x:c r="C330" s="9" t="n">
        <x:v>-0.88559492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6</x:v>
      </x:c>
      <x:c r="B331" s="3" t="n">
        <x:v>30</x:v>
      </x:c>
      <x:c r="C331" s="9" t="n">
        <x:v>-1.10552394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6</x:v>
      </x:c>
      <x:c r="B332" s="3" t="n">
        <x:v>31</x:v>
      </x:c>
      <x:c r="C332" s="9" t="n">
        <x:v>0.07053022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6</x:v>
      </x:c>
      <x:c r="B333" s="3" t="n">
        <x:v>32</x:v>
      </x:c>
      <x:c r="C333" s="9" t="n">
        <x:v>-0.29579166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6</x:v>
      </x:c>
      <x:c r="B334" s="3" t="n">
        <x:v>33</x:v>
      </x:c>
      <x:c r="C334" s="9" t="n">
        <x:v>0.37509479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6</x:v>
      </x:c>
      <x:c r="B335" s="3" t="n">
        <x:v>34</x:v>
      </x:c>
      <x:c r="C335" s="9" t="n">
        <x:v>-1.12525901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6</x:v>
      </x:c>
      <x:c r="B336" s="3" t="n">
        <x:v>35</x:v>
      </x:c>
      <x:c r="C336" s="9" t="n">
        <x:v>-0.4540618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6</x:v>
      </x:c>
      <x:c r="B337" s="3" t="n">
        <x:v>36</x:v>
      </x:c>
      <x:c r="C337" s="9" t="n">
        <x:v>0.39641274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6</x:v>
      </x:c>
      <x:c r="B338" s="3" t="n">
        <x:v>37</x:v>
      </x:c>
      <x:c r="C338" s="9" t="n">
        <x:v>-0.47787914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6</x:v>
      </x:c>
      <x:c r="B339" s="3" t="n">
        <x:v>38</x:v>
      </x:c>
      <x:c r="C339" s="9" t="n">
        <x:v>-0.67289562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6</x:v>
      </x:c>
      <x:c r="B340" s="3" t="n">
        <x:v>39</x:v>
      </x:c>
      <x:c r="C340" s="9" t="n">
        <x:v>1.45133647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6</x:v>
      </x:c>
      <x:c r="B341" s="3" t="n">
        <x:v>40</x:v>
      </x:c>
      <x:c r="C341" s="9" t="n">
        <x:v>1.99165222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6</x:v>
      </x:c>
      <x:c r="B342" s="3" t="n">
        <x:v>41</x:v>
      </x:c>
      <x:c r="C342" s="9" t="n">
        <x:v>0.61012517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6</x:v>
      </x:c>
      <x:c r="B343" s="3" t="n">
        <x:v>42</x:v>
      </x:c>
      <x:c r="C343" s="9" t="n">
        <x:v>1.18428051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6</x:v>
      </x:c>
      <x:c r="B344" s="3" t="n">
        <x:v>43</x:v>
      </x:c>
      <x:c r="C344" s="9" t="n">
        <x:v>0.2051939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6</x:v>
      </x:c>
      <x:c r="B345" s="3" t="n">
        <x:v>44</x:v>
      </x:c>
      <x:c r="C345" s="9" t="n">
        <x:v>-0.94754811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6</x:v>
      </x:c>
      <x:c r="B346" s="3" t="n">
        <x:v>45</x:v>
      </x:c>
      <x:c r="C346" s="9" t="n">
        <x:v>-0.38566959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6</x:v>
      </x:c>
      <x:c r="B347" s="3" t="n">
        <x:v>46</x:v>
      </x:c>
      <x:c r="C347" s="9" t="n">
        <x:v>1.6340968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6</x:v>
      </x:c>
      <x:c r="B348" s="3" t="n">
        <x:v>47</x:v>
      </x:c>
      <x:c r="C348" s="9" t="n">
        <x:v>-0.37877375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6</x:v>
      </x:c>
      <x:c r="B349" s="3" t="n">
        <x:v>48</x:v>
      </x:c>
      <x:c r="C349" s="9" t="n">
        <x:v>0.4732284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6</x:v>
      </x:c>
      <x:c r="B350" s="3" t="n">
        <x:v>49</x:v>
      </x:c>
      <x:c r="C350" s="9" t="n">
        <x:v>0.35603314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6</x:v>
      </x:c>
      <x:c r="B351" s="3" t="n">
        <x:v>50</x:v>
      </x:c>
      <x:c r="C351" s="9" t="n">
        <x:v>-0.80302639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6</x:v>
      </x:c>
      <x:c r="B352" s="3" t="n">
        <x:v>51</x:v>
      </x:c>
      <x:c r="C352" s="9" t="n">
        <x:v>0.76748556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6</x:v>
      </x:c>
      <x:c r="B353" s="3" t="n">
        <x:v>52</x:v>
      </x:c>
      <x:c r="C353" s="9" t="n">
        <x:v>-0.89753592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6</x:v>
      </x:c>
      <x:c r="B354" s="3" t="n">
        <x:v>53</x:v>
      </x:c>
      <x:c r="C354" s="9" t="n">
        <x:v>0.53391631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6</x:v>
      </x:c>
      <x:c r="B355" s="3" t="n">
        <x:v>54</x:v>
      </x:c>
      <x:c r="C355" s="9" t="n">
        <x:v>1.7008619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6</x:v>
      </x:c>
      <x:c r="B356" s="3" t="n">
        <x:v>55</x:v>
      </x:c>
      <x:c r="C356" s="9" t="n">
        <x:v>-0.25778996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6</x:v>
      </x:c>
      <x:c r="B357" s="3" t="n">
        <x:v>56</x:v>
      </x:c>
      <x:c r="C357" s="9" t="n">
        <x:v>0.08026819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6</x:v>
      </x:c>
      <x:c r="B358" s="3" t="n">
        <x:v>57</x:v>
      </x:c>
      <x:c r="C358" s="9" t="n">
        <x:v>0.66311056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6</x:v>
      </x:c>
      <x:c r="B359" s="3" t="n">
        <x:v>58</x:v>
      </x:c>
      <x:c r="C359" s="9" t="n">
        <x:v>0.35170999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6</x:v>
      </x:c>
      <x:c r="B360" s="3" t="n">
        <x:v>59</x:v>
      </x:c>
      <x:c r="C360" s="9" t="n">
        <x:v>-0.237005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6</x:v>
      </x:c>
      <x:c r="B361" s="3" t="n">
        <x:v>60</x:v>
      </x:c>
      <x:c r="C361" s="9" t="n">
        <x:v>-1.44185929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7</x:v>
      </x:c>
      <x:c r="B362" s="3" t="n">
        <x:v>1</x:v>
      </x:c>
      <x:c r="C362" s="9" t="n">
        <x:v>-0.38580184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7</x:v>
      </x:c>
      <x:c r="B363" s="3" t="n">
        <x:v>2</x:v>
      </x:c>
      <x:c r="C363" s="9" t="n">
        <x:v>-1.10760387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7</x:v>
      </x:c>
      <x:c r="B364" s="3" t="n">
        <x:v>3</x:v>
      </x:c>
      <x:c r="C364" s="9" t="n">
        <x:v>0.08053547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7</x:v>
      </x:c>
      <x:c r="B365" s="3" t="n">
        <x:v>4</x:v>
      </x:c>
      <x:c r="C365" s="9" t="n">
        <x:v>-0.23583554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7</x:v>
      </x:c>
      <x:c r="B366" s="3" t="n">
        <x:v>5</x:v>
      </x:c>
      <x:c r="C366" s="9" t="n">
        <x:v>-0.18801647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7</x:v>
      </x:c>
      <x:c r="B367" s="3" t="n">
        <x:v>6</x:v>
      </x:c>
      <x:c r="C367" s="9" t="n">
        <x:v>0.41717775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7</x:v>
      </x:c>
      <x:c r="B368" s="3" t="n">
        <x:v>7</x:v>
      </x:c>
      <x:c r="C368" s="9" t="n">
        <x:v>-0.21733854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7</x:v>
      </x:c>
      <x:c r="B369" s="3" t="n">
        <x:v>8</x:v>
      </x:c>
      <x:c r="C369" s="9" t="n">
        <x:v>0.48755776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7</x:v>
      </x:c>
      <x:c r="B370" s="3" t="n">
        <x:v>9</x:v>
      </x:c>
      <x:c r="C370" s="9" t="n">
        <x:v>-0.26050289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7</x:v>
      </x:c>
      <x:c r="B371" s="3" t="n">
        <x:v>10</x:v>
      </x:c>
      <x:c r="C371" s="9" t="n">
        <x:v>-0.65576401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7</x:v>
      </x:c>
      <x:c r="B372" s="3" t="n">
        <x:v>11</x:v>
      </x:c>
      <x:c r="C372" s="9" t="n">
        <x:v>0.12120936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7</x:v>
      </x:c>
      <x:c r="B373" s="3" t="n">
        <x:v>12</x:v>
      </x:c>
      <x:c r="C373" s="9" t="n">
        <x:v>-1.0186086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7</x:v>
      </x:c>
      <x:c r="B374" s="3" t="n">
        <x:v>13</x:v>
      </x:c>
      <x:c r="C374" s="9" t="n">
        <x:v>1.07845143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7</x:v>
      </x:c>
      <x:c r="B375" s="3" t="n">
        <x:v>14</x:v>
      </x:c>
      <x:c r="C375" s="9" t="n">
        <x:v>-0.42541905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7</x:v>
      </x:c>
      <x:c r="B376" s="3" t="n">
        <x:v>15</x:v>
      </x:c>
      <x:c r="C376" s="9" t="n">
        <x:v>-0.51088104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7</x:v>
      </x:c>
      <x:c r="B377" s="3" t="n">
        <x:v>16</x:v>
      </x:c>
      <x:c r="C377" s="9" t="n">
        <x:v>-1.72625013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7</x:v>
      </x:c>
      <x:c r="B378" s="3" t="n">
        <x:v>17</x:v>
      </x:c>
      <x:c r="C378" s="9" t="n">
        <x:v>2.16350061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7</x:v>
      </x:c>
      <x:c r="B379" s="3" t="n">
        <x:v>18</x:v>
      </x:c>
      <x:c r="C379" s="9" t="n">
        <x:v>-0.46396404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7</x:v>
      </x:c>
      <x:c r="B380" s="3" t="n">
        <x:v>19</x:v>
      </x:c>
      <x:c r="C380" s="9" t="n">
        <x:v>-0.62144226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7</x:v>
      </x:c>
      <x:c r="B381" s="3" t="n">
        <x:v>20</x:v>
      </x:c>
      <x:c r="C381" s="9" t="n">
        <x:v>0.04193615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7</x:v>
      </x:c>
      <x:c r="B382" s="3" t="n">
        <x:v>21</x:v>
      </x:c>
      <x:c r="C382" s="9" t="n">
        <x:v>0.90372549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7</x:v>
      </x:c>
      <x:c r="B383" s="3" t="n">
        <x:v>22</x:v>
      </x:c>
      <x:c r="C383" s="9" t="n">
        <x:v>1.6458669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7</x:v>
      </x:c>
      <x:c r="B384" s="3" t="n">
        <x:v>23</x:v>
      </x:c>
      <x:c r="C384" s="9" t="n">
        <x:v>0.54605965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7</x:v>
      </x:c>
      <x:c r="B385" s="3" t="n">
        <x:v>24</x:v>
      </x:c>
      <x:c r="C385" s="9" t="n">
        <x:v>-0.95973644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7</x:v>
      </x:c>
      <x:c r="B386" s="3" t="n">
        <x:v>25</x:v>
      </x:c>
      <x:c r="C386" s="9" t="n">
        <x:v>-0.34286726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7</x:v>
      </x:c>
      <x:c r="B387" s="3" t="n">
        <x:v>26</x:v>
      </x:c>
      <x:c r="C387" s="9" t="n">
        <x:v>-1.01196635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7</x:v>
      </x:c>
      <x:c r="B388" s="3" t="n">
        <x:v>27</x:v>
      </x:c>
      <x:c r="C388" s="9" t="n">
        <x:v>-0.09012367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7</x:v>
      </x:c>
      <x:c r="B389" s="3" t="n">
        <x:v>28</x:v>
      </x:c>
      <x:c r="C389" s="9" t="n">
        <x:v>-1.06769927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7</x:v>
      </x:c>
      <x:c r="B390" s="3" t="n">
        <x:v>29</x:v>
      </x:c>
      <x:c r="C390" s="9" t="n">
        <x:v>-0.10547132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7</x:v>
      </x:c>
      <x:c r="B391" s="3" t="n">
        <x:v>30</x:v>
      </x:c>
      <x:c r="C391" s="9" t="n">
        <x:v>-0.7816307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7</x:v>
      </x:c>
      <x:c r="B392" s="3" t="n">
        <x:v>31</x:v>
      </x:c>
      <x:c r="C392" s="9" t="n">
        <x:v>1.33668286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7</x:v>
      </x:c>
      <x:c r="B393" s="3" t="n">
        <x:v>32</x:v>
      </x:c>
      <x:c r="C393" s="9" t="n">
        <x:v>0.23361025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7</x:v>
      </x:c>
      <x:c r="B394" s="3" t="n">
        <x:v>33</x:v>
      </x:c>
      <x:c r="C394" s="9" t="n">
        <x:v>-0.31085124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7</x:v>
      </x:c>
      <x:c r="B395" s="3" t="n">
        <x:v>34</x:v>
      </x:c>
      <x:c r="C395" s="9" t="n">
        <x:v>-1.56664293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7</x:v>
      </x:c>
      <x:c r="B396" s="3" t="n">
        <x:v>35</x:v>
      </x:c>
      <x:c r="C396" s="9" t="n">
        <x:v>0.32902472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7</x:v>
      </x:c>
      <x:c r="B397" s="3" t="n">
        <x:v>36</x:v>
      </x:c>
      <x:c r="C397" s="9" t="n">
        <x:v>-0.44567231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7</x:v>
      </x:c>
      <x:c r="B398" s="3" t="n">
        <x:v>37</x:v>
      </x:c>
      <x:c r="C398" s="9" t="n">
        <x:v>0.33246462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7</x:v>
      </x:c>
      <x:c r="B399" s="3" t="n">
        <x:v>38</x:v>
      </x:c>
      <x:c r="C399" s="9" t="n">
        <x:v>-0.83899334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7</x:v>
      </x:c>
      <x:c r="B400" s="3" t="n">
        <x:v>39</x:v>
      </x:c>
      <x:c r="C400" s="9" t="n">
        <x:v>0.89064624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7</x:v>
      </x:c>
      <x:c r="B401" s="3" t="n">
        <x:v>40</x:v>
      </x:c>
      <x:c r="C401" s="9" t="n">
        <x:v>-0.40331041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7</x:v>
      </x:c>
      <x:c r="B402" s="3" t="n">
        <x:v>41</x:v>
      </x:c>
      <x:c r="C402" s="9" t="n">
        <x:v>2.01358047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7</x:v>
      </x:c>
      <x:c r="B403" s="3" t="n">
        <x:v>42</x:v>
      </x:c>
      <x:c r="C403" s="9" t="n">
        <x:v>1.30279901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7</x:v>
      </x:c>
      <x:c r="B404" s="3" t="n">
        <x:v>43</x:v>
      </x:c>
      <x:c r="C404" s="9" t="n">
        <x:v>2.231662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7</x:v>
      </x:c>
      <x:c r="B405" s="3" t="n">
        <x:v>44</x:v>
      </x:c>
      <x:c r="C405" s="9" t="n">
        <x:v>1.25844131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7</x:v>
      </x:c>
      <x:c r="B406" s="3" t="n">
        <x:v>45</x:v>
      </x:c>
      <x:c r="C406" s="9" t="n">
        <x:v>-1.22639091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7</x:v>
      </x:c>
      <x:c r="B407" s="3" t="n">
        <x:v>46</x:v>
      </x:c>
      <x:c r="C407" s="9" t="n">
        <x:v>-0.87284971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7</x:v>
      </x:c>
      <x:c r="B408" s="3" t="n">
        <x:v>47</x:v>
      </x:c>
      <x:c r="C408" s="9" t="n">
        <x:v>-0.61662778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7</x:v>
      </x:c>
      <x:c r="B409" s="3" t="n">
        <x:v>48</x:v>
      </x:c>
      <x:c r="C409" s="9" t="n">
        <x:v>-0.34945263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7</x:v>
      </x:c>
      <x:c r="B410" s="3" t="n">
        <x:v>49</x:v>
      </x:c>
      <x:c r="C410" s="9" t="n">
        <x:v>-1.92616524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7</x:v>
      </x:c>
      <x:c r="B411" s="3" t="n">
        <x:v>50</x:v>
      </x:c>
      <x:c r="C411" s="9" t="n">
        <x:v>1.02037128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7</x:v>
      </x:c>
      <x:c r="B412" s="3" t="n">
        <x:v>51</x:v>
      </x:c>
      <x:c r="C412" s="9" t="n">
        <x:v>0.40146858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7</x:v>
      </x:c>
      <x:c r="B413" s="3" t="n">
        <x:v>52</x:v>
      </x:c>
      <x:c r="C413" s="9" t="n">
        <x:v>-2.65714545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7</x:v>
      </x:c>
      <x:c r="B414" s="3" t="n">
        <x:v>53</x:v>
      </x:c>
      <x:c r="C414" s="9" t="n">
        <x:v>-0.96737592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7</x:v>
      </x:c>
      <x:c r="B415" s="3" t="n">
        <x:v>54</x:v>
      </x:c>
      <x:c r="C415" s="9" t="n">
        <x:v>-0.78015084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7</x:v>
      </x:c>
      <x:c r="B416" s="3" t="n">
        <x:v>55</x:v>
      </x:c>
      <x:c r="C416" s="9" t="n">
        <x:v>0.35000317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7</x:v>
      </x:c>
      <x:c r="B417" s="3" t="n">
        <x:v>56</x:v>
      </x:c>
      <x:c r="C417" s="9" t="n">
        <x:v>-0.13772501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7</x:v>
      </x:c>
      <x:c r="B418" s="3" t="n">
        <x:v>57</x:v>
      </x:c>
      <x:c r="C418" s="9" t="n">
        <x:v>0.62382861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7</x:v>
      </x:c>
      <x:c r="B419" s="3" t="n">
        <x:v>58</x:v>
      </x:c>
      <x:c r="C419" s="9" t="n">
        <x:v>-0.62422249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7</x:v>
      </x:c>
      <x:c r="B420" s="3" t="n">
        <x:v>59</x:v>
      </x:c>
      <x:c r="C420" s="9" t="n">
        <x:v>-0.6228844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7</x:v>
      </x:c>
      <x:c r="B421" s="3" t="n">
        <x:v>60</x:v>
      </x:c>
      <x:c r="C421" s="9" t="n">
        <x:v>0.78787936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8</x:v>
      </x:c>
      <x:c r="B422" s="3" t="n">
        <x:v>1</x:v>
      </x:c>
      <x:c r="C422" s="9" t="n">
        <x:v>1.07498262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8</x:v>
      </x:c>
      <x:c r="B423" s="3" t="n">
        <x:v>2</x:v>
      </x:c>
      <x:c r="C423" s="9" t="n">
        <x:v>-0.45288989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8</x:v>
      </x:c>
      <x:c r="B424" s="3" t="n">
        <x:v>3</x:v>
      </x:c>
      <x:c r="C424" s="9" t="n">
        <x:v>0.41091487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8</x:v>
      </x:c>
      <x:c r="B425" s="3" t="n">
        <x:v>4</x:v>
      </x:c>
      <x:c r="C425" s="9" t="n">
        <x:v>0.54252611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8</x:v>
      </x:c>
      <x:c r="B426" s="3" t="n">
        <x:v>5</x:v>
      </x:c>
      <x:c r="C426" s="9" t="n">
        <x:v>2.09709294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8</x:v>
      </x:c>
      <x:c r="B427" s="3" t="n">
        <x:v>6</x:v>
      </x:c>
      <x:c r="C427" s="9" t="n">
        <x:v>0.27230916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8</x:v>
      </x:c>
      <x:c r="B428" s="3" t="n">
        <x:v>7</x:v>
      </x:c>
      <x:c r="C428" s="9" t="n">
        <x:v>0.71305523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8</x:v>
      </x:c>
      <x:c r="B429" s="3" t="n">
        <x:v>8</x:v>
      </x:c>
      <x:c r="C429" s="9" t="n">
        <x:v>0.604042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8</x:v>
      </x:c>
      <x:c r="B430" s="3" t="n">
        <x:v>9</x:v>
      </x:c>
      <x:c r="C430" s="9" t="n">
        <x:v>0.53358315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8</x:v>
      </x:c>
      <x:c r="B431" s="3" t="n">
        <x:v>10</x:v>
      </x:c>
      <x:c r="C431" s="9" t="n">
        <x:v>-0.12535919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8</x:v>
      </x:c>
      <x:c r="B432" s="3" t="n">
        <x:v>11</x:v>
      </x:c>
      <x:c r="C432" s="9" t="n">
        <x:v>-0.36529535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8</x:v>
      </x:c>
      <x:c r="B433" s="3" t="n">
        <x:v>12</x:v>
      </x:c>
      <x:c r="C433" s="9" t="n">
        <x:v>0.10175559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8</x:v>
      </x:c>
      <x:c r="B434" s="3" t="n">
        <x:v>13</x:v>
      </x:c>
      <x:c r="C434" s="9" t="n">
        <x:v>-0.42189311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8</x:v>
      </x:c>
      <x:c r="B435" s="3" t="n">
        <x:v>14</x:v>
      </x:c>
      <x:c r="C435" s="9" t="n">
        <x:v>1.73234833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8</x:v>
      </x:c>
      <x:c r="B436" s="3" t="n">
        <x:v>15</x:v>
      </x:c>
      <x:c r="C436" s="9" t="n">
        <x:v>-1.04710114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8</x:v>
      </x:c>
      <x:c r="B437" s="3" t="n">
        <x:v>16</x:v>
      </x:c>
      <x:c r="C437" s="9" t="n">
        <x:v>-1.46855859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8</x:v>
      </x:c>
      <x:c r="B438" s="3" t="n">
        <x:v>17</x:v>
      </x:c>
      <x:c r="C438" s="9" t="n">
        <x:v>-0.48160683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8</x:v>
      </x:c>
      <x:c r="B439" s="3" t="n">
        <x:v>18</x:v>
      </x:c>
      <x:c r="C439" s="9" t="n">
        <x:v>-2.04276701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8</x:v>
      </x:c>
      <x:c r="B440" s="3" t="n">
        <x:v>19</x:v>
      </x:c>
      <x:c r="C440" s="9" t="n">
        <x:v>0.72155072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8</x:v>
      </x:c>
      <x:c r="B441" s="3" t="n">
        <x:v>20</x:v>
      </x:c>
      <x:c r="C441" s="9" t="n">
        <x:v>0.45350588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8</x:v>
      </x:c>
      <x:c r="B442" s="3" t="n">
        <x:v>21</x:v>
      </x:c>
      <x:c r="C442" s="9" t="n">
        <x:v>0.39311763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8</x:v>
      </x:c>
      <x:c r="B443" s="3" t="n">
        <x:v>22</x:v>
      </x:c>
      <x:c r="C443" s="9" t="n">
        <x:v>-0.45677653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8</x:v>
      </x:c>
      <x:c r="B444" s="3" t="n">
        <x:v>23</x:v>
      </x:c>
      <x:c r="C444" s="9" t="n">
        <x:v>0.64961574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8</x:v>
      </x:c>
      <x:c r="B445" s="3" t="n">
        <x:v>24</x:v>
      </x:c>
      <x:c r="C445" s="9" t="n">
        <x:v>1.284541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8</x:v>
      </x:c>
      <x:c r="B446" s="3" t="n">
        <x:v>25</x:v>
      </x:c>
      <x:c r="C446" s="9" t="n">
        <x:v>-0.06774053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8</x:v>
      </x:c>
      <x:c r="B447" s="3" t="n">
        <x:v>26</x:v>
      </x:c>
      <x:c r="C447" s="9" t="n">
        <x:v>0.65701281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8</x:v>
      </x:c>
      <x:c r="B448" s="3" t="n">
        <x:v>27</x:v>
      </x:c>
      <x:c r="C448" s="9" t="n">
        <x:v>0.90093293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8</x:v>
      </x:c>
      <x:c r="B449" s="3" t="n">
        <x:v>28</x:v>
      </x:c>
      <x:c r="C449" s="9" t="n">
        <x:v>0.73334709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8</x:v>
      </x:c>
      <x:c r="B450" s="3" t="n">
        <x:v>29</x:v>
      </x:c>
      <x:c r="C450" s="9" t="n">
        <x:v>-2.00911733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8</x:v>
      </x:c>
      <x:c r="B451" s="3" t="n">
        <x:v>30</x:v>
      </x:c>
      <x:c r="C451" s="9" t="n">
        <x:v>1.5970888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8</x:v>
      </x:c>
      <x:c r="B452" s="3" t="n">
        <x:v>31</x:v>
      </x:c>
      <x:c r="C452" s="9" t="n">
        <x:v>-0.1851588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8</x:v>
      </x:c>
      <x:c r="B453" s="3" t="n">
        <x:v>32</x:v>
      </x:c>
      <x:c r="C453" s="9" t="n">
        <x:v>-1.42097037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8</x:v>
      </x:c>
      <x:c r="B454" s="3" t="n">
        <x:v>33</x:v>
      </x:c>
      <x:c r="C454" s="9" t="n">
        <x:v>1.42430398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8</x:v>
      </x:c>
      <x:c r="B455" s="3" t="n">
        <x:v>34</x:v>
      </x:c>
      <x:c r="C455" s="9" t="n">
        <x:v>-0.96593949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8</x:v>
      </x:c>
      <x:c r="B456" s="3" t="n">
        <x:v>35</x:v>
      </x:c>
      <x:c r="C456" s="9" t="n">
        <x:v>1.87065115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8</x:v>
      </x:c>
      <x:c r="B457" s="3" t="n">
        <x:v>36</x:v>
      </x:c>
      <x:c r="C457" s="9" t="n">
        <x:v>-0.01879731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8</x:v>
      </x:c>
      <x:c r="B458" s="3" t="n">
        <x:v>37</x:v>
      </x:c>
      <x:c r="C458" s="9" t="n">
        <x:v>0.34511481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8</x:v>
      </x:c>
      <x:c r="B459" s="3" t="n">
        <x:v>38</x:v>
      </x:c>
      <x:c r="C459" s="9" t="n">
        <x:v>-1.16081973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8</x:v>
      </x:c>
      <x:c r="B460" s="3" t="n">
        <x:v>39</x:v>
      </x:c>
      <x:c r="C460" s="9" t="n">
        <x:v>-1.41703704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8</x:v>
      </x:c>
      <x:c r="B461" s="3" t="n">
        <x:v>40</x:v>
      </x:c>
      <x:c r="C461" s="9" t="n">
        <x:v>0.02540108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8</x:v>
      </x:c>
      <x:c r="B462" s="3" t="n">
        <x:v>41</x:v>
      </x:c>
      <x:c r="C462" s="9" t="n">
        <x:v>-0.17036889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8</x:v>
      </x:c>
      <x:c r="B463" s="3" t="n">
        <x:v>42</x:v>
      </x:c>
      <x:c r="C463" s="9" t="n">
        <x:v>1.55916738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8</x:v>
      </x:c>
      <x:c r="B464" s="3" t="n">
        <x:v>43</x:v>
      </x:c>
      <x:c r="C464" s="9" t="n">
        <x:v>-0.17401739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8</x:v>
      </x:c>
      <x:c r="B465" s="3" t="n">
        <x:v>44</x:v>
      </x:c>
      <x:c r="C465" s="9" t="n">
        <x:v>-0.50062149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8</x:v>
      </x:c>
      <x:c r="B466" s="3" t="n">
        <x:v>45</x:v>
      </x:c>
      <x:c r="C466" s="9" t="n">
        <x:v>-1.58310052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8</x:v>
      </x:c>
      <x:c r="B467" s="3" t="n">
        <x:v>46</x:v>
      </x:c>
      <x:c r="C467" s="9" t="n">
        <x:v>-1.74638171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8</x:v>
      </x:c>
      <x:c r="B468" s="3" t="n">
        <x:v>47</x:v>
      </x:c>
      <x:c r="C468" s="9" t="n">
        <x:v>-0.58486577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8</x:v>
      </x:c>
      <x:c r="B469" s="3" t="n">
        <x:v>48</x:v>
      </x:c>
      <x:c r="C469" s="9" t="n">
        <x:v>-0.02679402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8</x:v>
      </x:c>
      <x:c r="B470" s="3" t="n">
        <x:v>49</x:v>
      </x:c>
      <x:c r="C470" s="9" t="n">
        <x:v>1.16111858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8</x:v>
      </x:c>
      <x:c r="B471" s="3" t="n">
        <x:v>50</x:v>
      </x:c>
      <x:c r="C471" s="9" t="n">
        <x:v>0.7179768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8</x:v>
      </x:c>
      <x:c r="B472" s="3" t="n">
        <x:v>51</x:v>
      </x:c>
      <x:c r="C472" s="9" t="n">
        <x:v>0.5608178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8</x:v>
      </x:c>
      <x:c r="B473" s="3" t="n">
        <x:v>52</x:v>
      </x:c>
      <x:c r="C473" s="9" t="n">
        <x:v>0.06945611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8</x:v>
      </x:c>
      <x:c r="B474" s="3" t="n">
        <x:v>53</x:v>
      </x:c>
      <x:c r="C474" s="9" t="n">
        <x:v>-1.17120042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8</x:v>
      </x:c>
      <x:c r="B475" s="3" t="n">
        <x:v>54</x:v>
      </x:c>
      <x:c r="C475" s="9" t="n">
        <x:v>-0.10250291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8</x:v>
      </x:c>
      <x:c r="B476" s="3" t="n">
        <x:v>55</x:v>
      </x:c>
      <x:c r="C476" s="9" t="n">
        <x:v>0.16182493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8</x:v>
      </x:c>
      <x:c r="B477" s="3" t="n">
        <x:v>56</x:v>
      </x:c>
      <x:c r="C477" s="9" t="n">
        <x:v>0.37012076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8</x:v>
      </x:c>
      <x:c r="B478" s="3" t="n">
        <x:v>57</x:v>
      </x:c>
      <x:c r="C478" s="9" t="n">
        <x:v>-0.05939683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8</x:v>
      </x:c>
      <x:c r="B479" s="3" t="n">
        <x:v>58</x:v>
      </x:c>
      <x:c r="C479" s="9" t="n">
        <x:v>1.82355364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8</x:v>
      </x:c>
      <x:c r="B480" s="3" t="n">
        <x:v>59</x:v>
      </x:c>
      <x:c r="C480" s="9" t="n">
        <x:v>-0.49969025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8</x:v>
      </x:c>
      <x:c r="B481" s="3" t="n">
        <x:v>60</x:v>
      </x:c>
      <x:c r="C481" s="9" t="n">
        <x:v>-1.45659945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9</x:v>
      </x:c>
      <x:c r="B482" s="3" t="n">
        <x:v>1</x:v>
      </x:c>
      <x:c r="C482" s="9" t="n">
        <x:v>-2.19720657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9</x:v>
      </x:c>
      <x:c r="B483" s="3" t="n">
        <x:v>2</x:v>
      </x:c>
      <x:c r="C483" s="9" t="n">
        <x:v>-0.58568294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9</x:v>
      </x:c>
      <x:c r="B484" s="3" t="n">
        <x:v>3</x:v>
      </x:c>
      <x:c r="C484" s="9" t="n">
        <x:v>1.25995611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9</x:v>
      </x:c>
      <x:c r="B485" s="3" t="n">
        <x:v>4</x:v>
      </x:c>
      <x:c r="C485" s="9" t="n">
        <x:v>1.08350111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9</x:v>
      </x:c>
      <x:c r="B486" s="3" t="n">
        <x:v>5</x:v>
      </x:c>
      <x:c r="C486" s="9" t="n">
        <x:v>0.22513541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9</x:v>
      </x:c>
      <x:c r="B487" s="3" t="n">
        <x:v>6</x:v>
      </x:c>
      <x:c r="C487" s="9" t="n">
        <x:v>-0.28906876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9</x:v>
      </x:c>
      <x:c r="B488" s="3" t="n">
        <x:v>7</x:v>
      </x:c>
      <x:c r="C488" s="9" t="n">
        <x:v>0.60028443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9</x:v>
      </x:c>
      <x:c r="B489" s="3" t="n">
        <x:v>8</x:v>
      </x:c>
      <x:c r="C489" s="9" t="n">
        <x:v>0.27693294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9</x:v>
      </x:c>
      <x:c r="B490" s="3" t="n">
        <x:v>9</x:v>
      </x:c>
      <x:c r="C490" s="9" t="n">
        <x:v>1.26792651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9</x:v>
      </x:c>
      <x:c r="B491" s="3" t="n">
        <x:v>10</x:v>
      </x:c>
      <x:c r="C491" s="9" t="n">
        <x:v>0.58294651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9</x:v>
      </x:c>
      <x:c r="B492" s="3" t="n">
        <x:v>11</x:v>
      </x:c>
      <x:c r="C492" s="9" t="n">
        <x:v>2.06509615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9</x:v>
      </x:c>
      <x:c r="B493" s="3" t="n">
        <x:v>12</x:v>
      </x:c>
      <x:c r="C493" s="9" t="n">
        <x:v>0.50575173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9</x:v>
      </x:c>
      <x:c r="B494" s="3" t="n">
        <x:v>13</x:v>
      </x:c>
      <x:c r="C494" s="9" t="n">
        <x:v>-1.10887692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9</x:v>
      </x:c>
      <x:c r="B495" s="3" t="n">
        <x:v>14</x:v>
      </x:c>
      <x:c r="C495" s="9" t="n">
        <x:v>-0.53104753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9</x:v>
      </x:c>
      <x:c r="B496" s="3" t="n">
        <x:v>15</x:v>
      </x:c>
      <x:c r="C496" s="9" t="n">
        <x:v>1.35698272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9</x:v>
      </x:c>
      <x:c r="B497" s="3" t="n">
        <x:v>16</x:v>
      </x:c>
      <x:c r="C497" s="9" t="n">
        <x:v>1.38956481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9</x:v>
      </x:c>
      <x:c r="B498" s="3" t="n">
        <x:v>17</x:v>
      </x:c>
      <x:c r="C498" s="9" t="n">
        <x:v>-0.62507869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9</x:v>
      </x:c>
      <x:c r="B499" s="3" t="n">
        <x:v>18</x:v>
      </x:c>
      <x:c r="C499" s="9" t="n">
        <x:v>-0.03343818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9</x:v>
      </x:c>
      <x:c r="B500" s="3" t="n">
        <x:v>19</x:v>
      </x:c>
      <x:c r="C500" s="9" t="n">
        <x:v>0.34174451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9</x:v>
      </x:c>
      <x:c r="B501" s="3" t="n">
        <x:v>20</x:v>
      </x:c>
      <x:c r="C501" s="9" t="n">
        <x:v>-0.87832373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9</x:v>
      </x:c>
      <x:c r="B502" s="3" t="n">
        <x:v>21</x:v>
      </x:c>
      <x:c r="C502" s="9" t="n">
        <x:v>0.09117497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9</x:v>
      </x:c>
      <x:c r="B503" s="3" t="n">
        <x:v>22</x:v>
      </x:c>
      <x:c r="C503" s="9" t="n">
        <x:v>-0.31787083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9</x:v>
      </x:c>
      <x:c r="B504" s="3" t="n">
        <x:v>23</x:v>
      </x:c>
      <x:c r="C504" s="9" t="n">
        <x:v>-0.90096531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9</x:v>
      </x:c>
      <x:c r="B505" s="3" t="n">
        <x:v>24</x:v>
      </x:c>
      <x:c r="C505" s="9" t="n">
        <x:v>1.58300651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9</x:v>
      </x:c>
      <x:c r="B506" s="3" t="n">
        <x:v>25</x:v>
      </x:c>
      <x:c r="C506" s="9" t="n">
        <x:v>-0.32563264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9</x:v>
      </x:c>
      <x:c r="B507" s="3" t="n">
        <x:v>26</x:v>
      </x:c>
      <x:c r="C507" s="9" t="n">
        <x:v>-0.86176197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9</x:v>
      </x:c>
      <x:c r="B508" s="3" t="n">
        <x:v>27</x:v>
      </x:c>
      <x:c r="C508" s="9" t="n">
        <x:v>1.11330706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9</x:v>
      </x:c>
      <x:c r="B509" s="3" t="n">
        <x:v>28</x:v>
      </x:c>
      <x:c r="C509" s="9" t="n">
        <x:v>1.70133654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9</x:v>
      </x:c>
      <x:c r="B510" s="3" t="n">
        <x:v>29</x:v>
      </x:c>
      <x:c r="C510" s="9" t="n">
        <x:v>-0.55332437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9</x:v>
      </x:c>
      <x:c r="B511" s="3" t="n">
        <x:v>30</x:v>
      </x:c>
      <x:c r="C511" s="9" t="n">
        <x:v>0.51909082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9</x:v>
      </x:c>
      <x:c r="B512" s="3" t="n">
        <x:v>31</x:v>
      </x:c>
      <x:c r="C512" s="9" t="n">
        <x:v>0.34639196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9</x:v>
      </x:c>
      <x:c r="B513" s="3" t="n">
        <x:v>32</x:v>
      </x:c>
      <x:c r="C513" s="9" t="n">
        <x:v>0.95332097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9</x:v>
      </x:c>
      <x:c r="B514" s="3" t="n">
        <x:v>33</x:v>
      </x:c>
      <x:c r="C514" s="9" t="n">
        <x:v>0.16626061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9</x:v>
      </x:c>
      <x:c r="B515" s="3" t="n">
        <x:v>34</x:v>
      </x:c>
      <x:c r="C515" s="9" t="n">
        <x:v>0.29756001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9</x:v>
      </x:c>
      <x:c r="B516" s="3" t="n">
        <x:v>35</x:v>
      </x:c>
      <x:c r="C516" s="9" t="n">
        <x:v>1.09436233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9</x:v>
      </x:c>
      <x:c r="B517" s="3" t="n">
        <x:v>36</x:v>
      </x:c>
      <x:c r="C517" s="9" t="n">
        <x:v>0.7013341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9</x:v>
      </x:c>
      <x:c r="B518" s="3" t="n">
        <x:v>37</x:v>
      </x:c>
      <x:c r="C518" s="9" t="n">
        <x:v>-0.98508835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9</x:v>
      </x:c>
      <x:c r="B519" s="3" t="n">
        <x:v>38</x:v>
      </x:c>
      <x:c r="C519" s="9" t="n">
        <x:v>-1.37028077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9</x:v>
      </x:c>
      <x:c r="B520" s="3" t="n">
        <x:v>39</x:v>
      </x:c>
      <x:c r="C520" s="9" t="n">
        <x:v>0.85670553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9</x:v>
      </x:c>
      <x:c r="B521" s="3" t="n">
        <x:v>40</x:v>
      </x:c>
      <x:c r="C521" s="9" t="n">
        <x:v>0.91538397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9</x:v>
      </x:c>
      <x:c r="B522" s="3" t="n">
        <x:v>41</x:v>
      </x:c>
      <x:c r="C522" s="9" t="n">
        <x:v>0.78059827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9</x:v>
      </x:c>
      <x:c r="B523" s="3" t="n">
        <x:v>42</x:v>
      </x:c>
      <x:c r="C523" s="9" t="n">
        <x:v>-1.08194388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9</x:v>
      </x:c>
      <x:c r="B524" s="3" t="n">
        <x:v>43</x:v>
      </x:c>
      <x:c r="C524" s="9" t="n">
        <x:v>0.45010959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9</x:v>
      </x:c>
      <x:c r="B525" s="3" t="n">
        <x:v>44</x:v>
      </x:c>
      <x:c r="C525" s="9" t="n">
        <x:v>1.35497535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9</x:v>
      </x:c>
      <x:c r="B526" s="3" t="n">
        <x:v>45</x:v>
      </x:c>
      <x:c r="C526" s="9" t="n">
        <x:v>0.40835828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9</x:v>
      </x:c>
      <x:c r="B527" s="3" t="n">
        <x:v>46</x:v>
      </x:c>
      <x:c r="C527" s="9" t="n">
        <x:v>0.02719947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9</x:v>
      </x:c>
      <x:c r="B528" s="3" t="n">
        <x:v>47</x:v>
      </x:c>
      <x:c r="C528" s="9" t="n">
        <x:v>-1.07507385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9</x:v>
      </x:c>
      <x:c r="B529" s="3" t="n">
        <x:v>48</x:v>
      </x:c>
      <x:c r="C529" s="9" t="n">
        <x:v>-0.24522382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9</x:v>
      </x:c>
      <x:c r="B530" s="3" t="n">
        <x:v>49</x:v>
      </x:c>
      <x:c r="C530" s="9" t="n">
        <x:v>0.0972507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9</x:v>
      </x:c>
      <x:c r="B531" s="3" t="n">
        <x:v>50</x:v>
      </x:c>
      <x:c r="C531" s="9" t="n">
        <x:v>-0.65406723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9</x:v>
      </x:c>
      <x:c r="B532" s="3" t="n">
        <x:v>51</x:v>
      </x:c>
      <x:c r="C532" s="9" t="n">
        <x:v>-0.15664628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9</x:v>
      </x:c>
      <x:c r="B533" s="3" t="n">
        <x:v>52</x:v>
      </x:c>
      <x:c r="C533" s="9" t="n">
        <x:v>1.41372895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9</x:v>
      </x:c>
      <x:c r="B534" s="3" t="n">
        <x:v>53</x:v>
      </x:c>
      <x:c r="C534" s="9" t="n">
        <x:v>0.86716133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9</x:v>
      </x:c>
      <x:c r="B535" s="3" t="n">
        <x:v>54</x:v>
      </x:c>
      <x:c r="C535" s="9" t="n">
        <x:v>-0.72523898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9</x:v>
      </x:c>
      <x:c r="B536" s="3" t="n">
        <x:v>55</x:v>
      </x:c>
      <x:c r="C536" s="9" t="n">
        <x:v>-0.28686188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9</x:v>
      </x:c>
      <x:c r="B537" s="3" t="n">
        <x:v>56</x:v>
      </x:c>
      <x:c r="C537" s="9" t="n">
        <x:v>1.51784233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9</x:v>
      </x:c>
      <x:c r="B538" s="3" t="n">
        <x:v>57</x:v>
      </x:c>
      <x:c r="C538" s="9" t="n">
        <x:v>0.01070558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9</x:v>
      </x:c>
      <x:c r="B539" s="3" t="n">
        <x:v>58</x:v>
      </x:c>
      <x:c r="C539" s="9" t="n">
        <x:v>0.10021313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9</x:v>
      </x:c>
      <x:c r="B540" s="3" t="n">
        <x:v>59</x:v>
      </x:c>
      <x:c r="C540" s="9" t="n">
        <x:v>0.71857329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9</x:v>
      </x:c>
      <x:c r="B541" s="3" t="n">
        <x:v>60</x:v>
      </x:c>
      <x:c r="C541" s="9" t="n">
        <x:v>0.58147338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10</x:v>
      </x:c>
      <x:c r="B542" s="3" t="n">
        <x:v>1</x:v>
      </x:c>
      <x:c r="C542" s="9" t="n">
        <x:v>-1.26911351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10</x:v>
      </x:c>
      <x:c r="B543" s="3" t="n">
        <x:v>2</x:v>
      </x:c>
      <x:c r="C543" s="9" t="n">
        <x:v>0.1474614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10</x:v>
      </x:c>
      <x:c r="B544" s="3" t="n">
        <x:v>3</x:v>
      </x:c>
      <x:c r="C544" s="9" t="n">
        <x:v>-0.29376902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10</x:v>
      </x:c>
      <x:c r="B545" s="3" t="n">
        <x:v>4</x:v>
      </x:c>
      <x:c r="C545" s="9" t="n">
        <x:v>-1.21659861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10</x:v>
      </x:c>
      <x:c r="B546" s="3" t="n">
        <x:v>5</x:v>
      </x:c>
      <x:c r="C546" s="9" t="n">
        <x:v>1.61728883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10</x:v>
      </x:c>
      <x:c r="B547" s="3" t="n">
        <x:v>6</x:v>
      </x:c>
      <x:c r="C547" s="9" t="n">
        <x:v>0.78568471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10</x:v>
      </x:c>
      <x:c r="B548" s="3" t="n">
        <x:v>7</x:v>
      </x:c>
      <x:c r="C548" s="9" t="n">
        <x:v>2.26038181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10</x:v>
      </x:c>
      <x:c r="B549" s="3" t="n">
        <x:v>8</x:v>
      </x:c>
      <x:c r="C549" s="9" t="n">
        <x:v>-0.0511593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10</x:v>
      </x:c>
      <x:c r="B550" s="3" t="n">
        <x:v>9</x:v>
      </x:c>
      <x:c r="C550" s="9" t="n">
        <x:v>1.3516148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10</x:v>
      </x:c>
      <x:c r="B551" s="3" t="n">
        <x:v>10</x:v>
      </x:c>
      <x:c r="C551" s="9" t="n">
        <x:v>0.0160863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10</x:v>
      </x:c>
      <x:c r="B552" s="3" t="n">
        <x:v>11</x:v>
      </x:c>
      <x:c r="C552" s="9" t="n">
        <x:v>-1.13447772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10</x:v>
      </x:c>
      <x:c r="B553" s="3" t="n">
        <x:v>12</x:v>
      </x:c>
      <x:c r="C553" s="9" t="n">
        <x:v>0.4365474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10</x:v>
      </x:c>
      <x:c r="B554" s="3" t="n">
        <x:v>13</x:v>
      </x:c>
      <x:c r="C554" s="9" t="n">
        <x:v>-0.80986845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10</x:v>
      </x:c>
      <x:c r="B555" s="3" t="n">
        <x:v>14</x:v>
      </x:c>
      <x:c r="C555" s="9" t="n">
        <x:v>-0.46738196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10</x:v>
      </x:c>
      <x:c r="B556" s="3" t="n">
        <x:v>15</x:v>
      </x:c>
      <x:c r="C556" s="9" t="n">
        <x:v>1.91119835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10</x:v>
      </x:c>
      <x:c r="B557" s="3" t="n">
        <x:v>16</x:v>
      </x:c>
      <x:c r="C557" s="9" t="n">
        <x:v>-0.47763456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10</x:v>
      </x:c>
      <x:c r="B558" s="3" t="n">
        <x:v>17</x:v>
      </x:c>
      <x:c r="C558" s="9" t="n">
        <x:v>-0.46433836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10</x:v>
      </x:c>
      <x:c r="B559" s="3" t="n">
        <x:v>18</x:v>
      </x:c>
      <x:c r="C559" s="9" t="n">
        <x:v>-0.02414977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10</x:v>
      </x:c>
      <x:c r="B560" s="3" t="n">
        <x:v>19</x:v>
      </x:c>
      <x:c r="C560" s="9" t="n">
        <x:v>0.34235977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10</x:v>
      </x:c>
      <x:c r="B561" s="3" t="n">
        <x:v>20</x:v>
      </x:c>
      <x:c r="C561" s="9" t="n">
        <x:v>1.49948759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10</x:v>
      </x:c>
      <x:c r="B562" s="3" t="n">
        <x:v>21</x:v>
      </x:c>
      <x:c r="C562" s="9" t="n">
        <x:v>-0.09052012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10</x:v>
      </x:c>
      <x:c r="B563" s="3" t="n">
        <x:v>22</x:v>
      </x:c>
      <x:c r="C563" s="9" t="n">
        <x:v>-0.96534033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10</x:v>
      </x:c>
      <x:c r="B564" s="3" t="n">
        <x:v>23</x:v>
      </x:c>
      <x:c r="C564" s="9" t="n">
        <x:v>1.08594641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10</x:v>
      </x:c>
      <x:c r="B565" s="3" t="n">
        <x:v>24</x:v>
      </x:c>
      <x:c r="C565" s="9" t="n">
        <x:v>1.24136051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10</x:v>
      </x:c>
      <x:c r="B566" s="3" t="n">
        <x:v>25</x:v>
      </x:c>
      <x:c r="C566" s="9" t="n">
        <x:v>2.51972709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10</x:v>
      </x:c>
      <x:c r="B567" s="3" t="n">
        <x:v>26</x:v>
      </x:c>
      <x:c r="C567" s="9" t="n">
        <x:v>-0.09242568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10</x:v>
      </x:c>
      <x:c r="B568" s="3" t="n">
        <x:v>27</x:v>
      </x:c>
      <x:c r="C568" s="9" t="n">
        <x:v>-1.18282742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10</x:v>
      </x:c>
      <x:c r="B569" s="3" t="n">
        <x:v>28</x:v>
      </x:c>
      <x:c r="C569" s="9" t="n">
        <x:v>-0.24136529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10</x:v>
      </x:c>
      <x:c r="B570" s="3" t="n">
        <x:v>29</x:v>
      </x:c>
      <x:c r="C570" s="9" t="n">
        <x:v>-1.44413949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10</x:v>
      </x:c>
      <x:c r="B571" s="3" t="n">
        <x:v>30</x:v>
      </x:c>
      <x:c r="C571" s="9" t="n">
        <x:v>-0.99129626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10</x:v>
      </x:c>
      <x:c r="B572" s="3" t="n">
        <x:v>31</x:v>
      </x:c>
      <x:c r="C572" s="9" t="n">
        <x:v>-0.89867156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10</x:v>
      </x:c>
      <x:c r="B573" s="3" t="n">
        <x:v>32</x:v>
      </x:c>
      <x:c r="C573" s="9" t="n">
        <x:v>0.56086912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10</x:v>
      </x:c>
      <x:c r="B574" s="3" t="n">
        <x:v>33</x:v>
      </x:c>
      <x:c r="C574" s="9" t="n">
        <x:v>-1.54392429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10</x:v>
      </x:c>
      <x:c r="B575" s="3" t="n">
        <x:v>34</x:v>
      </x:c>
      <x:c r="C575" s="9" t="n">
        <x:v>1.11476009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10</x:v>
      </x:c>
      <x:c r="B576" s="3" t="n">
        <x:v>35</x:v>
      </x:c>
      <x:c r="C576" s="9" t="n">
        <x:v>1.26613069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10</x:v>
      </x:c>
      <x:c r="B577" s="3" t="n">
        <x:v>36</x:v>
      </x:c>
      <x:c r="C577" s="9" t="n">
        <x:v>-0.8598036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10</x:v>
      </x:c>
      <x:c r="B578" s="3" t="n">
        <x:v>37</x:v>
      </x:c>
      <x:c r="C578" s="9" t="n">
        <x:v>0.35678245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10</x:v>
      </x:c>
      <x:c r="B579" s="3" t="n">
        <x:v>38</x:v>
      </x:c>
      <x:c r="C579" s="9" t="n">
        <x:v>-0.53893612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10</x:v>
      </x:c>
      <x:c r="B580" s="3" t="n">
        <x:v>39</x:v>
      </x:c>
      <x:c r="C580" s="9" t="n">
        <x:v>-0.12926589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10</x:v>
      </x:c>
      <x:c r="B581" s="3" t="n">
        <x:v>40</x:v>
      </x:c>
      <x:c r="C581" s="9" t="n">
        <x:v>0.63455107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10</x:v>
      </x:c>
      <x:c r="B582" s="3" t="n">
        <x:v>41</x:v>
      </x:c>
      <x:c r="C582" s="9" t="n">
        <x:v>0.63019774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10</x:v>
      </x:c>
      <x:c r="B583" s="3" t="n">
        <x:v>42</x:v>
      </x:c>
      <x:c r="C583" s="9" t="n">
        <x:v>0.69903017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10</x:v>
      </x:c>
      <x:c r="B584" s="3" t="n">
        <x:v>43</x:v>
      </x:c>
      <x:c r="C584" s="9" t="n">
        <x:v>0.28697669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10</x:v>
      </x:c>
      <x:c r="B585" s="3" t="n">
        <x:v>44</x:v>
      </x:c>
      <x:c r="C585" s="9" t="n">
        <x:v>0.32541809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10</x:v>
      </x:c>
      <x:c r="B586" s="3" t="n">
        <x:v>45</x:v>
      </x:c>
      <x:c r="C586" s="9" t="n">
        <x:v>-0.29640161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10</x:v>
      </x:c>
      <x:c r="B587" s="3" t="n">
        <x:v>46</x:v>
      </x:c>
      <x:c r="C587" s="9" t="n">
        <x:v>1.03730088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10</x:v>
      </x:c>
      <x:c r="B588" s="3" t="n">
        <x:v>47</x:v>
      </x:c>
      <x:c r="C588" s="9" t="n">
        <x:v>-0.52013319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10</x:v>
      </x:c>
      <x:c r="B589" s="3" t="n">
        <x:v>48</x:v>
      </x:c>
      <x:c r="C589" s="9" t="n">
        <x:v>-0.07283287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10</x:v>
      </x:c>
      <x:c r="B590" s="3" t="n">
        <x:v>49</x:v>
      </x:c>
      <x:c r="C590" s="9" t="n">
        <x:v>1.39797077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10</x:v>
      </x:c>
      <x:c r="B591" s="3" t="n">
        <x:v>50</x:v>
      </x:c>
      <x:c r="C591" s="9" t="n">
        <x:v>-0.20962597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10</x:v>
      </x:c>
      <x:c r="B592" s="3" t="n">
        <x:v>51</x:v>
      </x:c>
      <x:c r="C592" s="9" t="n">
        <x:v>0.89327585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10</x:v>
      </x:c>
      <x:c r="B593" s="3" t="n">
        <x:v>52</x:v>
      </x:c>
      <x:c r="C593" s="9" t="n">
        <x:v>-0.41528103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10</x:v>
      </x:c>
      <x:c r="B594" s="3" t="n">
        <x:v>53</x:v>
      </x:c>
      <x:c r="C594" s="9" t="n">
        <x:v>-0.58170315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10</x:v>
      </x:c>
      <x:c r="B595" s="3" t="n">
        <x:v>54</x:v>
      </x:c>
      <x:c r="C595" s="9" t="n">
        <x:v>0.75863054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10</x:v>
      </x:c>
      <x:c r="B596" s="3" t="n">
        <x:v>55</x:v>
      </x:c>
      <x:c r="C596" s="9" t="n">
        <x:v>-0.94517069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10</x:v>
      </x:c>
      <x:c r="B597" s="3" t="n">
        <x:v>56</x:v>
      </x:c>
      <x:c r="C597" s="9" t="n">
        <x:v>1.71463226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10</x:v>
      </x:c>
      <x:c r="B598" s="3" t="n">
        <x:v>57</x:v>
      </x:c>
      <x:c r="C598" s="9" t="n">
        <x:v>1.94274208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10</x:v>
      </x:c>
      <x:c r="B599" s="3" t="n">
        <x:v>58</x:v>
      </x:c>
      <x:c r="C599" s="9" t="n">
        <x:v>0.15385325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10</x:v>
      </x:c>
      <x:c r="B600" s="3" t="n">
        <x:v>59</x:v>
      </x:c>
      <x:c r="C600" s="9" t="n">
        <x:v>-0.93438305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10</x:v>
      </x:c>
      <x:c r="B601" s="3" t="n">
        <x:v>60</x:v>
      </x:c>
      <x:c r="C601" s="9" t="n">
        <x:v>-1.04529743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11</x:v>
      </x:c>
      <x:c r="B602" s="3" t="n">
        <x:v>1</x:v>
      </x:c>
      <x:c r="C602" s="9" t="n">
        <x:v>1.73500873</x:v>
      </x:c>
      <x:c r="D602" s="3" t="n">
        <x:v>0</x:v>
      </x:c>
      <x:c r="E602" s="3" t="n">
        <x:v>1</x:v>
      </x:c>
      <x:c r="F602" s="3" t="n">
        <x:v>1</x:v>
      </x:c>
    </x:row>
    <x:row r="603" ht="21" customHeight="1">
      <x:c r="A603" s="3" t="n">
        <x:v>11</x:v>
      </x:c>
      <x:c r="B603" s="3" t="n">
        <x:v>2</x:v>
      </x:c>
      <x:c r="C603" s="9" t="n">
        <x:v>0.85907926</x:v>
      </x:c>
      <x:c r="D603" s="3" t="n">
        <x:v>0</x:v>
      </x:c>
      <x:c r="E603" s="3" t="n">
        <x:v>1</x:v>
      </x:c>
      <x:c r="F603" s="3" t="n">
        <x:v>1</x:v>
      </x:c>
    </x:row>
    <x:row r="604" ht="21" customHeight="1">
      <x:c r="A604" s="3" t="n">
        <x:v>11</x:v>
      </x:c>
      <x:c r="B604" s="3" t="n">
        <x:v>3</x:v>
      </x:c>
      <x:c r="C604" s="9" t="n">
        <x:v>-0.96091756</x:v>
      </x:c>
      <x:c r="D604" s="3" t="n">
        <x:v>0</x:v>
      </x:c>
      <x:c r="E604" s="3" t="n">
        <x:v>1</x:v>
      </x:c>
      <x:c r="F604" s="3" t="n">
        <x:v>1</x:v>
      </x:c>
    </x:row>
    <x:row r="605" ht="21" customHeight="1">
      <x:c r="A605" s="3" t="n">
        <x:v>11</x:v>
      </x:c>
      <x:c r="B605" s="3" t="n">
        <x:v>4</x:v>
      </x:c>
      <x:c r="C605" s="9" t="n">
        <x:v>0.24967114</x:v>
      </x:c>
      <x:c r="D605" s="3" t="n">
        <x:v>0</x:v>
      </x:c>
      <x:c r="E605" s="3" t="n">
        <x:v>1</x:v>
      </x:c>
      <x:c r="F605" s="3" t="n">
        <x:v>1</x:v>
      </x:c>
    </x:row>
    <x:row r="606" ht="21" customHeight="1">
      <x:c r="A606" s="3" t="n">
        <x:v>11</x:v>
      </x:c>
      <x:c r="B606" s="3" t="n">
        <x:v>5</x:v>
      </x:c>
      <x:c r="C606" s="9" t="n">
        <x:v>0.11968897</x:v>
      </x:c>
      <x:c r="D606" s="3" t="n">
        <x:v>0</x:v>
      </x:c>
      <x:c r="E606" s="3" t="n">
        <x:v>1</x:v>
      </x:c>
      <x:c r="F606" s="3" t="n">
        <x:v>1</x:v>
      </x:c>
    </x:row>
    <x:row r="607" ht="21" customHeight="1">
      <x:c r="A607" s="3" t="n">
        <x:v>11</x:v>
      </x:c>
      <x:c r="B607" s="3" t="n">
        <x:v>6</x:v>
      </x:c>
      <x:c r="C607" s="9" t="n">
        <x:v>-0.4849251</x:v>
      </x:c>
      <x:c r="D607" s="3" t="n">
        <x:v>0</x:v>
      </x:c>
      <x:c r="E607" s="3" t="n">
        <x:v>1</x:v>
      </x:c>
      <x:c r="F607" s="3" t="n">
        <x:v>1</x:v>
      </x:c>
    </x:row>
    <x:row r="608" ht="21" customHeight="1">
      <x:c r="A608" s="3" t="n">
        <x:v>11</x:v>
      </x:c>
      <x:c r="B608" s="3" t="n">
        <x:v>7</x:v>
      </x:c>
      <x:c r="C608" s="9" t="n">
        <x:v>-0.97617213</x:v>
      </x:c>
      <x:c r="D608" s="3" t="n">
        <x:v>0</x:v>
      </x:c>
      <x:c r="E608" s="3" t="n">
        <x:v>1</x:v>
      </x:c>
      <x:c r="F608" s="3" t="n">
        <x:v>1</x:v>
      </x:c>
    </x:row>
    <x:row r="609" ht="21" customHeight="1">
      <x:c r="A609" s="3" t="n">
        <x:v>11</x:v>
      </x:c>
      <x:c r="B609" s="3" t="n">
        <x:v>8</x:v>
      </x:c>
      <x:c r="C609" s="9" t="n">
        <x:v>1.50275795</x:v>
      </x:c>
      <x:c r="D609" s="3" t="n">
        <x:v>0</x:v>
      </x:c>
      <x:c r="E609" s="3" t="n">
        <x:v>1</x:v>
      </x:c>
      <x:c r="F609" s="3" t="n">
        <x:v>1</x:v>
      </x:c>
    </x:row>
    <x:row r="610" ht="21" customHeight="1">
      <x:c r="A610" s="3" t="n">
        <x:v>11</x:v>
      </x:c>
      <x:c r="B610" s="3" t="n">
        <x:v>9</x:v>
      </x:c>
      <x:c r="C610" s="9" t="n">
        <x:v>1.3634407</x:v>
      </x:c>
      <x:c r="D610" s="3" t="n">
        <x:v>0</x:v>
      </x:c>
      <x:c r="E610" s="3" t="n">
        <x:v>1</x:v>
      </x:c>
      <x:c r="F610" s="3" t="n">
        <x:v>1</x:v>
      </x:c>
    </x:row>
    <x:row r="611" ht="21" customHeight="1">
      <x:c r="A611" s="3" t="n">
        <x:v>11</x:v>
      </x:c>
      <x:c r="B611" s="3" t="n">
        <x:v>10</x:v>
      </x:c>
      <x:c r="C611" s="9" t="n">
        <x:v>0.7945894</x:v>
      </x:c>
      <x:c r="D611" s="3" t="n">
        <x:v>0</x:v>
      </x:c>
      <x:c r="E611" s="3" t="n">
        <x:v>1</x:v>
      </x:c>
      <x:c r="F611" s="3" t="n">
        <x:v>1</x:v>
      </x:c>
    </x:row>
    <x:row r="612" ht="21" customHeight="1">
      <x:c r="A612" s="3" t="n">
        <x:v>11</x:v>
      </x:c>
      <x:c r="B612" s="3" t="n">
        <x:v>11</x:v>
      </x:c>
      <x:c r="C612" s="9" t="n">
        <x:v>-0.34117336</x:v>
      </x:c>
      <x:c r="D612" s="3" t="n">
        <x:v>0</x:v>
      </x:c>
      <x:c r="E612" s="3" t="n">
        <x:v>1</x:v>
      </x:c>
      <x:c r="F612" s="3" t="n">
        <x:v>1</x:v>
      </x:c>
    </x:row>
    <x:row r="613" ht="21" customHeight="1">
      <x:c r="A613" s="3" t="n">
        <x:v>11</x:v>
      </x:c>
      <x:c r="B613" s="3" t="n">
        <x:v>12</x:v>
      </x:c>
      <x:c r="C613" s="9" t="n">
        <x:v>0.4138794</x:v>
      </x:c>
      <x:c r="D613" s="3" t="n">
        <x:v>0</x:v>
      </x:c>
      <x:c r="E613" s="3" t="n">
        <x:v>1</x:v>
      </x:c>
      <x:c r="F613" s="3" t="n">
        <x:v>1</x:v>
      </x:c>
    </x:row>
    <x:row r="614" ht="21" customHeight="1">
      <x:c r="A614" s="3" t="n">
        <x:v>11</x:v>
      </x:c>
      <x:c r="B614" s="3" t="n">
        <x:v>13</x:v>
      </x:c>
      <x:c r="C614" s="9" t="n">
        <x:v>-0.1189916</x:v>
      </x:c>
      <x:c r="D614" s="3" t="n">
        <x:v>0</x:v>
      </x:c>
      <x:c r="E614" s="3" t="n">
        <x:v>1</x:v>
      </x:c>
      <x:c r="F614" s="3" t="n">
        <x:v>1</x:v>
      </x:c>
    </x:row>
    <x:row r="615" ht="21" customHeight="1">
      <x:c r="A615" s="3" t="n">
        <x:v>11</x:v>
      </x:c>
      <x:c r="B615" s="3" t="n">
        <x:v>14</x:v>
      </x:c>
      <x:c r="C615" s="9" t="n">
        <x:v>0.1932157</x:v>
      </x:c>
      <x:c r="D615" s="3" t="n">
        <x:v>0</x:v>
      </x:c>
      <x:c r="E615" s="3" t="n">
        <x:v>1</x:v>
      </x:c>
      <x:c r="F615" s="3" t="n">
        <x:v>1</x:v>
      </x:c>
    </x:row>
    <x:row r="616" ht="21" customHeight="1">
      <x:c r="A616" s="3" t="n">
        <x:v>11</x:v>
      </x:c>
      <x:c r="B616" s="3" t="n">
        <x:v>15</x:v>
      </x:c>
      <x:c r="C616" s="9" t="n">
        <x:v>-0.87282181</x:v>
      </x:c>
      <x:c r="D616" s="3" t="n">
        <x:v>0</x:v>
      </x:c>
      <x:c r="E616" s="3" t="n">
        <x:v>1</x:v>
      </x:c>
      <x:c r="F616" s="3" t="n">
        <x:v>1</x:v>
      </x:c>
    </x:row>
    <x:row r="617" ht="21" customHeight="1">
      <x:c r="A617" s="3" t="n">
        <x:v>11</x:v>
      </x:c>
      <x:c r="B617" s="3" t="n">
        <x:v>16</x:v>
      </x:c>
      <x:c r="C617" s="9" t="n">
        <x:v>0.33225333</x:v>
      </x:c>
      <x:c r="D617" s="3" t="n">
        <x:v>0</x:v>
      </x:c>
      <x:c r="E617" s="3" t="n">
        <x:v>1</x:v>
      </x:c>
      <x:c r="F617" s="3" t="n">
        <x:v>1</x:v>
      </x:c>
    </x:row>
    <x:row r="618" ht="21" customHeight="1">
      <x:c r="A618" s="3" t="n">
        <x:v>11</x:v>
      </x:c>
      <x:c r="B618" s="3" t="n">
        <x:v>17</x:v>
      </x:c>
      <x:c r="C618" s="9" t="n">
        <x:v>0.74447108</x:v>
      </x:c>
      <x:c r="D618" s="3" t="n">
        <x:v>0</x:v>
      </x:c>
      <x:c r="E618" s="3" t="n">
        <x:v>1</x:v>
      </x:c>
      <x:c r="F618" s="3" t="n">
        <x:v>1</x:v>
      </x:c>
    </x:row>
    <x:row r="619" ht="21" customHeight="1">
      <x:c r="A619" s="3" t="n">
        <x:v>11</x:v>
      </x:c>
      <x:c r="B619" s="3" t="n">
        <x:v>18</x:v>
      </x:c>
      <x:c r="C619" s="9" t="n">
        <x:v>0.07028211</x:v>
      </x:c>
      <x:c r="D619" s="3" t="n">
        <x:v>0</x:v>
      </x:c>
      <x:c r="E619" s="3" t="n">
        <x:v>1</x:v>
      </x:c>
      <x:c r="F619" s="3" t="n">
        <x:v>1</x:v>
      </x:c>
    </x:row>
    <x:row r="620" ht="21" customHeight="1">
      <x:c r="A620" s="3" t="n">
        <x:v>11</x:v>
      </x:c>
      <x:c r="B620" s="3" t="n">
        <x:v>19</x:v>
      </x:c>
      <x:c r="C620" s="9" t="n">
        <x:v>-0.32773153</x:v>
      </x:c>
      <x:c r="D620" s="3" t="n">
        <x:v>0</x:v>
      </x:c>
      <x:c r="E620" s="3" t="n">
        <x:v>1</x:v>
      </x:c>
      <x:c r="F620" s="3" t="n">
        <x:v>1</x:v>
      </x:c>
    </x:row>
    <x:row r="621" ht="21" customHeight="1">
      <x:c r="A621" s="3" t="n">
        <x:v>11</x:v>
      </x:c>
      <x:c r="B621" s="3" t="n">
        <x:v>20</x:v>
      </x:c>
      <x:c r="C621" s="9" t="n">
        <x:v>-0.39772032</x:v>
      </x:c>
      <x:c r="D621" s="3" t="n">
        <x:v>0</x:v>
      </x:c>
      <x:c r="E621" s="3" t="n">
        <x:v>1</x:v>
      </x:c>
      <x:c r="F621" s="3" t="n">
        <x:v>1</x:v>
      </x:c>
    </x:row>
    <x:row r="622" ht="21" customHeight="1">
      <x:c r="A622" s="3" t="n">
        <x:v>11</x:v>
      </x:c>
      <x:c r="B622" s="3" t="n">
        <x:v>21</x:v>
      </x:c>
      <x:c r="C622" s="9" t="n">
        <x:v>0.61933886</x:v>
      </x:c>
      <x:c r="D622" s="3" t="n">
        <x:v>0</x:v>
      </x:c>
      <x:c r="E622" s="3" t="n">
        <x:v>1</x:v>
      </x:c>
      <x:c r="F622" s="3" t="n">
        <x:v>1</x:v>
      </x:c>
    </x:row>
    <x:row r="623" ht="21" customHeight="1">
      <x:c r="A623" s="3" t="n">
        <x:v>11</x:v>
      </x:c>
      <x:c r="B623" s="3" t="n">
        <x:v>22</x:v>
      </x:c>
      <x:c r="C623" s="9" t="n">
        <x:v>0.76865699</x:v>
      </x:c>
      <x:c r="D623" s="3" t="n">
        <x:v>0</x:v>
      </x:c>
      <x:c r="E623" s="3" t="n">
        <x:v>1</x:v>
      </x:c>
      <x:c r="F623" s="3" t="n">
        <x:v>1</x:v>
      </x:c>
    </x:row>
    <x:row r="624" ht="21" customHeight="1">
      <x:c r="A624" s="3" t="n">
        <x:v>11</x:v>
      </x:c>
      <x:c r="B624" s="3" t="n">
        <x:v>23</x:v>
      </x:c>
      <x:c r="C624" s="9" t="n">
        <x:v>-0.65293209</x:v>
      </x:c>
      <x:c r="D624" s="3" t="n">
        <x:v>0</x:v>
      </x:c>
      <x:c r="E624" s="3" t="n">
        <x:v>1</x:v>
      </x:c>
      <x:c r="F624" s="3" t="n">
        <x:v>1</x:v>
      </x:c>
    </x:row>
    <x:row r="625" ht="21" customHeight="1">
      <x:c r="A625" s="3" t="n">
        <x:v>11</x:v>
      </x:c>
      <x:c r="B625" s="3" t="n">
        <x:v>24</x:v>
      </x:c>
      <x:c r="C625" s="9" t="n">
        <x:v>-0.59339748</x:v>
      </x:c>
      <x:c r="D625" s="3" t="n">
        <x:v>0</x:v>
      </x:c>
      <x:c r="E625" s="3" t="n">
        <x:v>1</x:v>
      </x:c>
      <x:c r="F625" s="3" t="n">
        <x:v>1</x:v>
      </x:c>
    </x:row>
    <x:row r="626" ht="21" customHeight="1">
      <x:c r="A626" s="3" t="n">
        <x:v>11</x:v>
      </x:c>
      <x:c r="B626" s="3" t="n">
        <x:v>25</x:v>
      </x:c>
      <x:c r="C626" s="9" t="n">
        <x:v>-1.22578503</x:v>
      </x:c>
      <x:c r="D626" s="3" t="n">
        <x:v>0</x:v>
      </x:c>
      <x:c r="E626" s="3" t="n">
        <x:v>1</x:v>
      </x:c>
      <x:c r="F626" s="3" t="n">
        <x:v>1</x:v>
      </x:c>
    </x:row>
    <x:row r="627" ht="21" customHeight="1">
      <x:c r="A627" s="3" t="n">
        <x:v>11</x:v>
      </x:c>
      <x:c r="B627" s="3" t="n">
        <x:v>26</x:v>
      </x:c>
      <x:c r="C627" s="9" t="n">
        <x:v>-0.63154672</x:v>
      </x:c>
      <x:c r="D627" s="3" t="n">
        <x:v>0</x:v>
      </x:c>
      <x:c r="E627" s="3" t="n">
        <x:v>1</x:v>
      </x:c>
      <x:c r="F627" s="3" t="n">
        <x:v>1</x:v>
      </x:c>
    </x:row>
    <x:row r="628" ht="21" customHeight="1">
      <x:c r="A628" s="3" t="n">
        <x:v>11</x:v>
      </x:c>
      <x:c r="B628" s="3" t="n">
        <x:v>27</x:v>
      </x:c>
      <x:c r="C628" s="9" t="n">
        <x:v>-1.64061482</x:v>
      </x:c>
      <x:c r="D628" s="3" t="n">
        <x:v>0</x:v>
      </x:c>
      <x:c r="E628" s="3" t="n">
        <x:v>1</x:v>
      </x:c>
      <x:c r="F628" s="3" t="n">
        <x:v>1</x:v>
      </x:c>
    </x:row>
    <x:row r="629" ht="21" customHeight="1">
      <x:c r="A629" s="3" t="n">
        <x:v>11</x:v>
      </x:c>
      <x:c r="B629" s="3" t="n">
        <x:v>28</x:v>
      </x:c>
      <x:c r="C629" s="9" t="n">
        <x:v>-0.69242679</x:v>
      </x:c>
      <x:c r="D629" s="3" t="n">
        <x:v>0</x:v>
      </x:c>
      <x:c r="E629" s="3" t="n">
        <x:v>1</x:v>
      </x:c>
      <x:c r="F629" s="3" t="n">
        <x:v>1</x:v>
      </x:c>
    </x:row>
    <x:row r="630" ht="21" customHeight="1">
      <x:c r="A630" s="3" t="n">
        <x:v>11</x:v>
      </x:c>
      <x:c r="B630" s="3" t="n">
        <x:v>29</x:v>
      </x:c>
      <x:c r="C630" s="9" t="n">
        <x:v>1.18338822</x:v>
      </x:c>
      <x:c r="D630" s="3" t="n">
        <x:v>0</x:v>
      </x:c>
      <x:c r="E630" s="3" t="n">
        <x:v>1</x:v>
      </x:c>
      <x:c r="F630" s="3" t="n">
        <x:v>1</x:v>
      </x:c>
    </x:row>
    <x:row r="631" ht="21" customHeight="1">
      <x:c r="A631" s="3" t="n">
        <x:v>11</x:v>
      </x:c>
      <x:c r="B631" s="3" t="n">
        <x:v>30</x:v>
      </x:c>
      <x:c r="C631" s="9" t="n">
        <x:v>0.32994339</x:v>
      </x:c>
      <x:c r="D631" s="3" t="n">
        <x:v>0</x:v>
      </x:c>
      <x:c r="E631" s="3" t="n">
        <x:v>1</x:v>
      </x:c>
      <x:c r="F631" s="3" t="n">
        <x:v>1</x:v>
      </x:c>
    </x:row>
    <x:row r="632" ht="21" customHeight="1">
      <x:c r="A632" s="3" t="n">
        <x:v>11</x:v>
      </x:c>
      <x:c r="B632" s="3" t="n">
        <x:v>31</x:v>
      </x:c>
      <x:c r="C632" s="9" t="n">
        <x:v>0.98564663</x:v>
      </x:c>
      <x:c r="D632" s="3" t="n">
        <x:v>0</x:v>
      </x:c>
      <x:c r="E632" s="3" t="n">
        <x:v>1</x:v>
      </x:c>
      <x:c r="F632" s="3" t="n">
        <x:v>1</x:v>
      </x:c>
    </x:row>
    <x:row r="633" ht="21" customHeight="1">
      <x:c r="A633" s="3" t="n">
        <x:v>11</x:v>
      </x:c>
      <x:c r="B633" s="3" t="n">
        <x:v>32</x:v>
      </x:c>
      <x:c r="C633" s="9" t="n">
        <x:v>0.04344977</x:v>
      </x:c>
      <x:c r="D633" s="3" t="n">
        <x:v>0</x:v>
      </x:c>
      <x:c r="E633" s="3" t="n">
        <x:v>1</x:v>
      </x:c>
      <x:c r="F633" s="3" t="n">
        <x:v>1</x:v>
      </x:c>
    </x:row>
    <x:row r="634" ht="21" customHeight="1">
      <x:c r="A634" s="3" t="n">
        <x:v>11</x:v>
      </x:c>
      <x:c r="B634" s="3" t="n">
        <x:v>33</x:v>
      </x:c>
      <x:c r="C634" s="9" t="n">
        <x:v>-0.16835777</x:v>
      </x:c>
      <x:c r="D634" s="3" t="n">
        <x:v>0</x:v>
      </x:c>
      <x:c r="E634" s="3" t="n">
        <x:v>1</x:v>
      </x:c>
      <x:c r="F634" s="3" t="n">
        <x:v>1</x:v>
      </x:c>
    </x:row>
    <x:row r="635" ht="21" customHeight="1">
      <x:c r="A635" s="3" t="n">
        <x:v>11</x:v>
      </x:c>
      <x:c r="B635" s="3" t="n">
        <x:v>34</x:v>
      </x:c>
      <x:c r="C635" s="9" t="n">
        <x:v>-0.16859157</x:v>
      </x:c>
      <x:c r="D635" s="3" t="n">
        <x:v>0</x:v>
      </x:c>
      <x:c r="E635" s="3" t="n">
        <x:v>1</x:v>
      </x:c>
      <x:c r="F635" s="3" t="n">
        <x:v>1</x:v>
      </x:c>
    </x:row>
    <x:row r="636" ht="21" customHeight="1">
      <x:c r="A636" s="3" t="n">
        <x:v>11</x:v>
      </x:c>
      <x:c r="B636" s="3" t="n">
        <x:v>35</x:v>
      </x:c>
      <x:c r="C636" s="9" t="n">
        <x:v>-0.2739576</x:v>
      </x:c>
      <x:c r="D636" s="3" t="n">
        <x:v>0</x:v>
      </x:c>
      <x:c r="E636" s="3" t="n">
        <x:v>1</x:v>
      </x:c>
      <x:c r="F636" s="3" t="n">
        <x:v>1</x:v>
      </x:c>
    </x:row>
    <x:row r="637" ht="21" customHeight="1">
      <x:c r="A637" s="3" t="n">
        <x:v>11</x:v>
      </x:c>
      <x:c r="B637" s="3" t="n">
        <x:v>36</x:v>
      </x:c>
      <x:c r="C637" s="9" t="n">
        <x:v>-0.4090552</x:v>
      </x:c>
      <x:c r="D637" s="3" t="n">
        <x:v>0</x:v>
      </x:c>
      <x:c r="E637" s="3" t="n">
        <x:v>1</x:v>
      </x:c>
      <x:c r="F637" s="3" t="n">
        <x:v>1</x:v>
      </x:c>
    </x:row>
    <x:row r="638" ht="21" customHeight="1">
      <x:c r="A638" s="3" t="n">
        <x:v>11</x:v>
      </x:c>
      <x:c r="B638" s="3" t="n">
        <x:v>37</x:v>
      </x:c>
      <x:c r="C638" s="9" t="n">
        <x:v>-0.0912573</x:v>
      </x:c>
      <x:c r="D638" s="3" t="n">
        <x:v>0</x:v>
      </x:c>
      <x:c r="E638" s="3" t="n">
        <x:v>1</x:v>
      </x:c>
      <x:c r="F638" s="3" t="n">
        <x:v>1</x:v>
      </x:c>
    </x:row>
    <x:row r="639" ht="21" customHeight="1">
      <x:c r="A639" s="3" t="n">
        <x:v>11</x:v>
      </x:c>
      <x:c r="B639" s="3" t="n">
        <x:v>38</x:v>
      </x:c>
      <x:c r="C639" s="9" t="n">
        <x:v>0.47790772</x:v>
      </x:c>
      <x:c r="D639" s="3" t="n">
        <x:v>0</x:v>
      </x:c>
      <x:c r="E639" s="3" t="n">
        <x:v>1</x:v>
      </x:c>
      <x:c r="F639" s="3" t="n">
        <x:v>1</x:v>
      </x:c>
    </x:row>
    <x:row r="640" ht="21" customHeight="1">
      <x:c r="A640" s="3" t="n">
        <x:v>11</x:v>
      </x:c>
      <x:c r="B640" s="3" t="n">
        <x:v>39</x:v>
      </x:c>
      <x:c r="C640" s="9" t="n">
        <x:v>0.72360288</x:v>
      </x:c>
      <x:c r="D640" s="3" t="n">
        <x:v>0</x:v>
      </x:c>
      <x:c r="E640" s="3" t="n">
        <x:v>1</x:v>
      </x:c>
      <x:c r="F640" s="3" t="n">
        <x:v>1</x:v>
      </x:c>
    </x:row>
    <x:row r="641" ht="21" customHeight="1">
      <x:c r="A641" s="3" t="n">
        <x:v>11</x:v>
      </x:c>
      <x:c r="B641" s="3" t="n">
        <x:v>40</x:v>
      </x:c>
      <x:c r="C641" s="9" t="n">
        <x:v>1.26410427</x:v>
      </x:c>
      <x:c r="D641" s="3" t="n">
        <x:v>0</x:v>
      </x:c>
      <x:c r="E641" s="3" t="n">
        <x:v>1</x:v>
      </x:c>
      <x:c r="F641" s="3" t="n">
        <x:v>1</x:v>
      </x:c>
    </x:row>
    <x:row r="642" ht="21" customHeight="1">
      <x:c r="A642" s="3" t="n">
        <x:v>11</x:v>
      </x:c>
      <x:c r="B642" s="3" t="n">
        <x:v>41</x:v>
      </x:c>
      <x:c r="C642" s="9" t="n">
        <x:v>0.49202114</x:v>
      </x:c>
      <x:c r="D642" s="3" t="n">
        <x:v>0</x:v>
      </x:c>
      <x:c r="E642" s="3" t="n">
        <x:v>1</x:v>
      </x:c>
      <x:c r="F642" s="3" t="n">
        <x:v>1</x:v>
      </x:c>
    </x:row>
    <x:row r="643" ht="21" customHeight="1">
      <x:c r="A643" s="3" t="n">
        <x:v>11</x:v>
      </x:c>
      <x:c r="B643" s="3" t="n">
        <x:v>42</x:v>
      </x:c>
      <x:c r="C643" s="9" t="n">
        <x:v>1.25781521</x:v>
      </x:c>
      <x:c r="D643" s="3" t="n">
        <x:v>0</x:v>
      </x:c>
      <x:c r="E643" s="3" t="n">
        <x:v>1</x:v>
      </x:c>
      <x:c r="F643" s="3" t="n">
        <x:v>1</x:v>
      </x:c>
    </x:row>
    <x:row r="644" ht="21" customHeight="1">
      <x:c r="A644" s="3" t="n">
        <x:v>11</x:v>
      </x:c>
      <x:c r="B644" s="3" t="n">
        <x:v>43</x:v>
      </x:c>
      <x:c r="C644" s="9" t="n">
        <x:v>-0.04828288</x:v>
      </x:c>
      <x:c r="D644" s="3" t="n">
        <x:v>0</x:v>
      </x:c>
      <x:c r="E644" s="3" t="n">
        <x:v>1</x:v>
      </x:c>
      <x:c r="F644" s="3" t="n">
        <x:v>1</x:v>
      </x:c>
    </x:row>
    <x:row r="645" ht="21" customHeight="1">
      <x:c r="A645" s="3" t="n">
        <x:v>11</x:v>
      </x:c>
      <x:c r="B645" s="3" t="n">
        <x:v>44</x:v>
      </x:c>
      <x:c r="C645" s="9" t="n">
        <x:v>1.20161308</x:v>
      </x:c>
      <x:c r="D645" s="3" t="n">
        <x:v>0</x:v>
      </x:c>
      <x:c r="E645" s="3" t="n">
        <x:v>1</x:v>
      </x:c>
      <x:c r="F645" s="3" t="n">
        <x:v>1</x:v>
      </x:c>
    </x:row>
    <x:row r="646" ht="21" customHeight="1">
      <x:c r="A646" s="3" t="n">
        <x:v>11</x:v>
      </x:c>
      <x:c r="B646" s="3" t="n">
        <x:v>45</x:v>
      </x:c>
      <x:c r="C646" s="9" t="n">
        <x:v>1.4316143</x:v>
      </x:c>
      <x:c r="D646" s="3" t="n">
        <x:v>0</x:v>
      </x:c>
      <x:c r="E646" s="3" t="n">
        <x:v>1</x:v>
      </x:c>
      <x:c r="F646" s="3" t="n">
        <x:v>1</x:v>
      </x:c>
    </x:row>
    <x:row r="647" ht="21" customHeight="1">
      <x:c r="A647" s="3" t="n">
        <x:v>11</x:v>
      </x:c>
      <x:c r="B647" s="3" t="n">
        <x:v>46</x:v>
      </x:c>
      <x:c r="C647" s="9" t="n">
        <x:v>-0.95427826</x:v>
      </x:c>
      <x:c r="D647" s="3" t="n">
        <x:v>0</x:v>
      </x:c>
      <x:c r="E647" s="3" t="n">
        <x:v>1</x:v>
      </x:c>
      <x:c r="F647" s="3" t="n">
        <x:v>1</x:v>
      </x:c>
    </x:row>
    <x:row r="648" ht="21" customHeight="1">
      <x:c r="A648" s="3" t="n">
        <x:v>11</x:v>
      </x:c>
      <x:c r="B648" s="3" t="n">
        <x:v>47</x:v>
      </x:c>
      <x:c r="C648" s="9" t="n">
        <x:v>-0.38867781</x:v>
      </x:c>
      <x:c r="D648" s="3" t="n">
        <x:v>0</x:v>
      </x:c>
      <x:c r="E648" s="3" t="n">
        <x:v>1</x:v>
      </x:c>
      <x:c r="F648" s="3" t="n">
        <x:v>1</x:v>
      </x:c>
    </x:row>
    <x:row r="649" ht="21" customHeight="1">
      <x:c r="A649" s="3" t="n">
        <x:v>11</x:v>
      </x:c>
      <x:c r="B649" s="3" t="n">
        <x:v>48</x:v>
      </x:c>
      <x:c r="C649" s="9" t="n">
        <x:v>0.94471175</x:v>
      </x:c>
      <x:c r="D649" s="3" t="n">
        <x:v>0</x:v>
      </x:c>
      <x:c r="E649" s="3" t="n">
        <x:v>1</x:v>
      </x:c>
      <x:c r="F649" s="3" t="n">
        <x:v>1</x:v>
      </x:c>
    </x:row>
    <x:row r="650" ht="21" customHeight="1">
      <x:c r="A650" s="3" t="n">
        <x:v>11</x:v>
      </x:c>
      <x:c r="B650" s="3" t="n">
        <x:v>49</x:v>
      </x:c>
      <x:c r="C650" s="9" t="n">
        <x:v>0.6183225</x:v>
      </x:c>
      <x:c r="D650" s="3" t="n">
        <x:v>0</x:v>
      </x:c>
      <x:c r="E650" s="3" t="n">
        <x:v>1</x:v>
      </x:c>
      <x:c r="F650" s="3" t="n">
        <x:v>1</x:v>
      </x:c>
    </x:row>
    <x:row r="651" ht="21" customHeight="1">
      <x:c r="A651" s="3" t="n">
        <x:v>11</x:v>
      </x:c>
      <x:c r="B651" s="3" t="n">
        <x:v>50</x:v>
      </x:c>
      <x:c r="C651" s="9" t="n">
        <x:v>-0.4292956</x:v>
      </x:c>
      <x:c r="D651" s="3" t="n">
        <x:v>0</x:v>
      </x:c>
      <x:c r="E651" s="3" t="n">
        <x:v>1</x:v>
      </x:c>
      <x:c r="F651" s="3" t="n">
        <x:v>1</x:v>
      </x:c>
    </x:row>
    <x:row r="652" ht="21" customHeight="1">
      <x:c r="A652" s="3" t="n">
        <x:v>11</x:v>
      </x:c>
      <x:c r="B652" s="3" t="n">
        <x:v>51</x:v>
      </x:c>
      <x:c r="C652" s="9" t="n">
        <x:v>-0.35918649</x:v>
      </x:c>
      <x:c r="D652" s="3" t="n">
        <x:v>0</x:v>
      </x:c>
      <x:c r="E652" s="3" t="n">
        <x:v>1</x:v>
      </x:c>
      <x:c r="F652" s="3" t="n">
        <x:v>1</x:v>
      </x:c>
    </x:row>
    <x:row r="653" ht="21" customHeight="1">
      <x:c r="A653" s="3" t="n">
        <x:v>11</x:v>
      </x:c>
      <x:c r="B653" s="3" t="n">
        <x:v>52</x:v>
      </x:c>
      <x:c r="C653" s="9" t="n">
        <x:v>1.17627039</x:v>
      </x:c>
      <x:c r="D653" s="3" t="n">
        <x:v>0</x:v>
      </x:c>
      <x:c r="E653" s="3" t="n">
        <x:v>1</x:v>
      </x:c>
      <x:c r="F653" s="3" t="n">
        <x:v>1</x:v>
      </x:c>
    </x:row>
    <x:row r="654" ht="21" customHeight="1">
      <x:c r="A654" s="3" t="n">
        <x:v>11</x:v>
      </x:c>
      <x:c r="B654" s="3" t="n">
        <x:v>53</x:v>
      </x:c>
      <x:c r="C654" s="9" t="n">
        <x:v>0.62614695</x:v>
      </x:c>
      <x:c r="D654" s="3" t="n">
        <x:v>0</x:v>
      </x:c>
      <x:c r="E654" s="3" t="n">
        <x:v>1</x:v>
      </x:c>
      <x:c r="F654" s="3" t="n">
        <x:v>1</x:v>
      </x:c>
    </x:row>
    <x:row r="655" ht="21" customHeight="1">
      <x:c r="A655" s="3" t="n">
        <x:v>11</x:v>
      </x:c>
      <x:c r="B655" s="3" t="n">
        <x:v>54</x:v>
      </x:c>
      <x:c r="C655" s="9" t="n">
        <x:v>0.15818754</x:v>
      </x:c>
      <x:c r="D655" s="3" t="n">
        <x:v>0</x:v>
      </x:c>
      <x:c r="E655" s="3" t="n">
        <x:v>1</x:v>
      </x:c>
      <x:c r="F655" s="3" t="n">
        <x:v>1</x:v>
      </x:c>
    </x:row>
    <x:row r="656" ht="21" customHeight="1">
      <x:c r="A656" s="3" t="n">
        <x:v>11</x:v>
      </x:c>
      <x:c r="B656" s="3" t="n">
        <x:v>55</x:v>
      </x:c>
      <x:c r="C656" s="9" t="n">
        <x:v>-0.84923702</x:v>
      </x:c>
      <x:c r="D656" s="3" t="n">
        <x:v>0</x:v>
      </x:c>
      <x:c r="E656" s="3" t="n">
        <x:v>1</x:v>
      </x:c>
      <x:c r="F656" s="3" t="n">
        <x:v>1</x:v>
      </x:c>
    </x:row>
    <x:row r="657" ht="21" customHeight="1">
      <x:c r="A657" s="3" t="n">
        <x:v>11</x:v>
      </x:c>
      <x:c r="B657" s="3" t="n">
        <x:v>56</x:v>
      </x:c>
      <x:c r="C657" s="9" t="n">
        <x:v>-0.75470913</x:v>
      </x:c>
      <x:c r="D657" s="3" t="n">
        <x:v>0</x:v>
      </x:c>
      <x:c r="E657" s="3" t="n">
        <x:v>1</x:v>
      </x:c>
      <x:c r="F657" s="3" t="n">
        <x:v>1</x:v>
      </x:c>
    </x:row>
    <x:row r="658" ht="21" customHeight="1">
      <x:c r="A658" s="3" t="n">
        <x:v>11</x:v>
      </x:c>
      <x:c r="B658" s="3" t="n">
        <x:v>57</x:v>
      </x:c>
      <x:c r="C658" s="9" t="n">
        <x:v>1.14408303</x:v>
      </x:c>
      <x:c r="D658" s="3" t="n">
        <x:v>0</x:v>
      </x:c>
      <x:c r="E658" s="3" t="n">
        <x:v>1</x:v>
      </x:c>
      <x:c r="F658" s="3" t="n">
        <x:v>1</x:v>
      </x:c>
    </x:row>
    <x:row r="659" ht="21" customHeight="1">
      <x:c r="A659" s="3" t="n">
        <x:v>11</x:v>
      </x:c>
      <x:c r="B659" s="3" t="n">
        <x:v>58</x:v>
      </x:c>
      <x:c r="C659" s="9" t="n">
        <x:v>0.6329714</x:v>
      </x:c>
      <x:c r="D659" s="3" t="n">
        <x:v>0</x:v>
      </x:c>
      <x:c r="E659" s="3" t="n">
        <x:v>1</x:v>
      </x:c>
      <x:c r="F659" s="3" t="n">
        <x:v>1</x:v>
      </x:c>
    </x:row>
    <x:row r="660" ht="21" customHeight="1">
      <x:c r="A660" s="3" t="n">
        <x:v>11</x:v>
      </x:c>
      <x:c r="B660" s="3" t="n">
        <x:v>59</x:v>
      </x:c>
      <x:c r="C660" s="9" t="n">
        <x:v>-0.16949058</x:v>
      </x:c>
      <x:c r="D660" s="3" t="n">
        <x:v>0</x:v>
      </x:c>
      <x:c r="E660" s="3" t="n">
        <x:v>1</x:v>
      </x:c>
      <x:c r="F660" s="3" t="n">
        <x:v>1</x:v>
      </x:c>
    </x:row>
    <x:row r="661" ht="21" customHeight="1">
      <x:c r="A661" s="3" t="n">
        <x:v>11</x:v>
      </x:c>
      <x:c r="B661" s="3" t="n">
        <x:v>60</x:v>
      </x:c>
      <x:c r="C661" s="9" t="n">
        <x:v>0.02458404</x:v>
      </x:c>
      <x:c r="D661" s="3" t="n">
        <x:v>0</x:v>
      </x:c>
      <x:c r="E661" s="3" t="n">
        <x:v>1</x:v>
      </x:c>
      <x:c r="F661" s="3" t="n">
        <x:v>1</x:v>
      </x:c>
    </x:row>
    <x:row r="662" ht="21" customHeight="1">
      <x:c r="A662" s="3" t="n">
        <x:v>12</x:v>
      </x:c>
      <x:c r="B662" s="3" t="n">
        <x:v>1</x:v>
      </x:c>
      <x:c r="C662" s="9" t="n">
        <x:v>-0.00180517</x:v>
      </x:c>
      <x:c r="D662" s="3" t="n">
        <x:v>0</x:v>
      </x:c>
      <x:c r="E662" s="3" t="n">
        <x:v>1</x:v>
      </x:c>
      <x:c r="F662" s="3" t="n">
        <x:v>1</x:v>
      </x:c>
    </x:row>
    <x:row r="663" ht="21" customHeight="1">
      <x:c r="A663" s="3" t="n">
        <x:v>12</x:v>
      </x:c>
      <x:c r="B663" s="3" t="n">
        <x:v>2</x:v>
      </x:c>
      <x:c r="C663" s="9" t="n">
        <x:v>0.88408223</x:v>
      </x:c>
      <x:c r="D663" s="3" t="n">
        <x:v>0</x:v>
      </x:c>
      <x:c r="E663" s="3" t="n">
        <x:v>1</x:v>
      </x:c>
      <x:c r="F663" s="3" t="n">
        <x:v>1</x:v>
      </x:c>
    </x:row>
    <x:row r="664" ht="21" customHeight="1">
      <x:c r="A664" s="3" t="n">
        <x:v>12</x:v>
      </x:c>
      <x:c r="B664" s="3" t="n">
        <x:v>3</x:v>
      </x:c>
      <x:c r="C664" s="9" t="n">
        <x:v>-0.13810529</x:v>
      </x:c>
      <x:c r="D664" s="3" t="n">
        <x:v>0</x:v>
      </x:c>
      <x:c r="E664" s="3" t="n">
        <x:v>1</x:v>
      </x:c>
      <x:c r="F664" s="3" t="n">
        <x:v>1</x:v>
      </x:c>
    </x:row>
    <x:row r="665" ht="21" customHeight="1">
      <x:c r="A665" s="3" t="n">
        <x:v>12</x:v>
      </x:c>
      <x:c r="B665" s="3" t="n">
        <x:v>4</x:v>
      </x:c>
      <x:c r="C665" s="9" t="n">
        <x:v>-1.82565439</x:v>
      </x:c>
      <x:c r="D665" s="3" t="n">
        <x:v>0</x:v>
      </x:c>
      <x:c r="E665" s="3" t="n">
        <x:v>1</x:v>
      </x:c>
      <x:c r="F665" s="3" t="n">
        <x:v>1</x:v>
      </x:c>
    </x:row>
    <x:row r="666" ht="21" customHeight="1">
      <x:c r="A666" s="3" t="n">
        <x:v>12</x:v>
      </x:c>
      <x:c r="B666" s="3" t="n">
        <x:v>5</x:v>
      </x:c>
      <x:c r="C666" s="9" t="n">
        <x:v>-0.24912086</x:v>
      </x:c>
      <x:c r="D666" s="3" t="n">
        <x:v>0</x:v>
      </x:c>
      <x:c r="E666" s="3" t="n">
        <x:v>1</x:v>
      </x:c>
      <x:c r="F666" s="3" t="n">
        <x:v>1</x:v>
      </x:c>
    </x:row>
    <x:row r="667" ht="21" customHeight="1">
      <x:c r="A667" s="3" t="n">
        <x:v>12</x:v>
      </x:c>
      <x:c r="B667" s="3" t="n">
        <x:v>6</x:v>
      </x:c>
      <x:c r="C667" s="9" t="n">
        <x:v>-0.46239352</x:v>
      </x:c>
      <x:c r="D667" s="3" t="n">
        <x:v>0</x:v>
      </x:c>
      <x:c r="E667" s="3" t="n">
        <x:v>1</x:v>
      </x:c>
      <x:c r="F667" s="3" t="n">
        <x:v>1</x:v>
      </x:c>
    </x:row>
    <x:row r="668" ht="21" customHeight="1">
      <x:c r="A668" s="3" t="n">
        <x:v>12</x:v>
      </x:c>
      <x:c r="B668" s="3" t="n">
        <x:v>7</x:v>
      </x:c>
      <x:c r="C668" s="9" t="n">
        <x:v>-0.66297461</x:v>
      </x:c>
      <x:c r="D668" s="3" t="n">
        <x:v>0</x:v>
      </x:c>
      <x:c r="E668" s="3" t="n">
        <x:v>1</x:v>
      </x:c>
      <x:c r="F668" s="3" t="n">
        <x:v>1</x:v>
      </x:c>
    </x:row>
    <x:row r="669" ht="21" customHeight="1">
      <x:c r="A669" s="3" t="n">
        <x:v>12</x:v>
      </x:c>
      <x:c r="B669" s="3" t="n">
        <x:v>8</x:v>
      </x:c>
      <x:c r="C669" s="9" t="n">
        <x:v>-0.48156297</x:v>
      </x:c>
      <x:c r="D669" s="3" t="n">
        <x:v>0</x:v>
      </x:c>
      <x:c r="E669" s="3" t="n">
        <x:v>1</x:v>
      </x:c>
      <x:c r="F669" s="3" t="n">
        <x:v>1</x:v>
      </x:c>
    </x:row>
    <x:row r="670" ht="21" customHeight="1">
      <x:c r="A670" s="3" t="n">
        <x:v>12</x:v>
      </x:c>
      <x:c r="B670" s="3" t="n">
        <x:v>9</x:v>
      </x:c>
      <x:c r="C670" s="9" t="n">
        <x:v>1.10448053</x:v>
      </x:c>
      <x:c r="D670" s="3" t="n">
        <x:v>0</x:v>
      </x:c>
      <x:c r="E670" s="3" t="n">
        <x:v>1</x:v>
      </x:c>
      <x:c r="F670" s="3" t="n">
        <x:v>1</x:v>
      </x:c>
    </x:row>
    <x:row r="671" ht="21" customHeight="1">
      <x:c r="A671" s="3" t="n">
        <x:v>12</x:v>
      </x:c>
      <x:c r="B671" s="3" t="n">
        <x:v>10</x:v>
      </x:c>
      <x:c r="C671" s="9" t="n">
        <x:v>-0.55876579</x:v>
      </x:c>
      <x:c r="D671" s="3" t="n">
        <x:v>0</x:v>
      </x:c>
      <x:c r="E671" s="3" t="n">
        <x:v>1</x:v>
      </x:c>
      <x:c r="F671" s="3" t="n">
        <x:v>1</x:v>
      </x:c>
    </x:row>
    <x:row r="672" ht="21" customHeight="1">
      <x:c r="A672" s="3" t="n">
        <x:v>12</x:v>
      </x:c>
      <x:c r="B672" s="3" t="n">
        <x:v>11</x:v>
      </x:c>
      <x:c r="C672" s="9" t="n">
        <x:v>0.46645798</x:v>
      </x:c>
      <x:c r="D672" s="3" t="n">
        <x:v>0</x:v>
      </x:c>
      <x:c r="E672" s="3" t="n">
        <x:v>1</x:v>
      </x:c>
      <x:c r="F672" s="3" t="n">
        <x:v>1</x:v>
      </x:c>
    </x:row>
    <x:row r="673" ht="21" customHeight="1">
      <x:c r="A673" s="3" t="n">
        <x:v>12</x:v>
      </x:c>
      <x:c r="B673" s="3" t="n">
        <x:v>12</x:v>
      </x:c>
      <x:c r="C673" s="9" t="n">
        <x:v>0.87733186</x:v>
      </x:c>
      <x:c r="D673" s="3" t="n">
        <x:v>0</x:v>
      </x:c>
      <x:c r="E673" s="3" t="n">
        <x:v>1</x:v>
      </x:c>
      <x:c r="F673" s="3" t="n">
        <x:v>1</x:v>
      </x:c>
    </x:row>
    <x:row r="674" ht="21" customHeight="1">
      <x:c r="A674" s="3" t="n">
        <x:v>12</x:v>
      </x:c>
      <x:c r="B674" s="3" t="n">
        <x:v>13</x:v>
      </x:c>
      <x:c r="C674" s="9" t="n">
        <x:v>-1.69178144</x:v>
      </x:c>
      <x:c r="D674" s="3" t="n">
        <x:v>0</x:v>
      </x:c>
      <x:c r="E674" s="3" t="n">
        <x:v>1</x:v>
      </x:c>
      <x:c r="F674" s="3" t="n">
        <x:v>1</x:v>
      </x:c>
    </x:row>
    <x:row r="675" ht="21" customHeight="1">
      <x:c r="A675" s="3" t="n">
        <x:v>12</x:v>
      </x:c>
      <x:c r="B675" s="3" t="n">
        <x:v>14</x:v>
      </x:c>
      <x:c r="C675" s="9" t="n">
        <x:v>0.7996245</x:v>
      </x:c>
      <x:c r="D675" s="3" t="n">
        <x:v>0</x:v>
      </x:c>
      <x:c r="E675" s="3" t="n">
        <x:v>1</x:v>
      </x:c>
      <x:c r="F675" s="3" t="n">
        <x:v>1</x:v>
      </x:c>
    </x:row>
    <x:row r="676" ht="21" customHeight="1">
      <x:c r="A676" s="3" t="n">
        <x:v>12</x:v>
      </x:c>
      <x:c r="B676" s="3" t="n">
        <x:v>15</x:v>
      </x:c>
      <x:c r="C676" s="9" t="n">
        <x:v>-0.63771793</x:v>
      </x:c>
      <x:c r="D676" s="3" t="n">
        <x:v>0</x:v>
      </x:c>
      <x:c r="E676" s="3" t="n">
        <x:v>1</x:v>
      </x:c>
      <x:c r="F676" s="3" t="n">
        <x:v>1</x:v>
      </x:c>
    </x:row>
    <x:row r="677" ht="21" customHeight="1">
      <x:c r="A677" s="3" t="n">
        <x:v>12</x:v>
      </x:c>
      <x:c r="B677" s="3" t="n">
        <x:v>16</x:v>
      </x:c>
      <x:c r="C677" s="9" t="n">
        <x:v>0.58493923</x:v>
      </x:c>
      <x:c r="D677" s="3" t="n">
        <x:v>0</x:v>
      </x:c>
      <x:c r="E677" s="3" t="n">
        <x:v>1</x:v>
      </x:c>
      <x:c r="F677" s="3" t="n">
        <x:v>1</x:v>
      </x:c>
    </x:row>
    <x:row r="678" ht="21" customHeight="1">
      <x:c r="A678" s="3" t="n">
        <x:v>12</x:v>
      </x:c>
      <x:c r="B678" s="3" t="n">
        <x:v>17</x:v>
      </x:c>
      <x:c r="C678" s="9" t="n">
        <x:v>-0.74834516</x:v>
      </x:c>
      <x:c r="D678" s="3" t="n">
        <x:v>0</x:v>
      </x:c>
      <x:c r="E678" s="3" t="n">
        <x:v>1</x:v>
      </x:c>
      <x:c r="F678" s="3" t="n">
        <x:v>1</x:v>
      </x:c>
    </x:row>
    <x:row r="679" ht="21" customHeight="1">
      <x:c r="A679" s="3" t="n">
        <x:v>12</x:v>
      </x:c>
      <x:c r="B679" s="3" t="n">
        <x:v>18</x:v>
      </x:c>
      <x:c r="C679" s="9" t="n">
        <x:v>2.07578238</x:v>
      </x:c>
      <x:c r="D679" s="3" t="n">
        <x:v>0</x:v>
      </x:c>
      <x:c r="E679" s="3" t="n">
        <x:v>1</x:v>
      </x:c>
      <x:c r="F679" s="3" t="n">
        <x:v>1</x:v>
      </x:c>
    </x:row>
    <x:row r="680" ht="21" customHeight="1">
      <x:c r="A680" s="3" t="n">
        <x:v>12</x:v>
      </x:c>
      <x:c r="B680" s="3" t="n">
        <x:v>19</x:v>
      </x:c>
      <x:c r="C680" s="9" t="n">
        <x:v>0.5929416</x:v>
      </x:c>
      <x:c r="D680" s="3" t="n">
        <x:v>0</x:v>
      </x:c>
      <x:c r="E680" s="3" t="n">
        <x:v>1</x:v>
      </x:c>
      <x:c r="F680" s="3" t="n">
        <x:v>1</x:v>
      </x:c>
    </x:row>
    <x:row r="681" ht="21" customHeight="1">
      <x:c r="A681" s="3" t="n">
        <x:v>12</x:v>
      </x:c>
      <x:c r="B681" s="3" t="n">
        <x:v>20</x:v>
      </x:c>
      <x:c r="C681" s="9" t="n">
        <x:v>0.08861762</x:v>
      </x:c>
      <x:c r="D681" s="3" t="n">
        <x:v>0</x:v>
      </x:c>
      <x:c r="E681" s="3" t="n">
        <x:v>1</x:v>
      </x:c>
      <x:c r="F681" s="3" t="n">
        <x:v>1</x:v>
      </x:c>
    </x:row>
    <x:row r="682" ht="21" customHeight="1">
      <x:c r="A682" s="3" t="n">
        <x:v>12</x:v>
      </x:c>
      <x:c r="B682" s="3" t="n">
        <x:v>21</x:v>
      </x:c>
      <x:c r="C682" s="9" t="n">
        <x:v>-0.62331025</x:v>
      </x:c>
      <x:c r="D682" s="3" t="n">
        <x:v>0</x:v>
      </x:c>
      <x:c r="E682" s="3" t="n">
        <x:v>1</x:v>
      </x:c>
      <x:c r="F682" s="3" t="n">
        <x:v>1</x:v>
      </x:c>
    </x:row>
    <x:row r="683" ht="21" customHeight="1">
      <x:c r="A683" s="3" t="n">
        <x:v>12</x:v>
      </x:c>
      <x:c r="B683" s="3" t="n">
        <x:v>22</x:v>
      </x:c>
      <x:c r="C683" s="9" t="n">
        <x:v>-0.40681776</x:v>
      </x:c>
      <x:c r="D683" s="3" t="n">
        <x:v>0</x:v>
      </x:c>
      <x:c r="E683" s="3" t="n">
        <x:v>1</x:v>
      </x:c>
      <x:c r="F683" s="3" t="n">
        <x:v>1</x:v>
      </x:c>
    </x:row>
    <x:row r="684" ht="21" customHeight="1">
      <x:c r="A684" s="3" t="n">
        <x:v>12</x:v>
      </x:c>
      <x:c r="B684" s="3" t="n">
        <x:v>23</x:v>
      </x:c>
      <x:c r="C684" s="9" t="n">
        <x:v>-1.283025</x:v>
      </x:c>
      <x:c r="D684" s="3" t="n">
        <x:v>0</x:v>
      </x:c>
      <x:c r="E684" s="3" t="n">
        <x:v>1</x:v>
      </x:c>
      <x:c r="F684" s="3" t="n">
        <x:v>1</x:v>
      </x:c>
    </x:row>
    <x:row r="685" ht="21" customHeight="1">
      <x:c r="A685" s="3" t="n">
        <x:v>12</x:v>
      </x:c>
      <x:c r="B685" s="3" t="n">
        <x:v>24</x:v>
      </x:c>
      <x:c r="C685" s="9" t="n">
        <x:v>1.76909445</x:v>
      </x:c>
      <x:c r="D685" s="3" t="n">
        <x:v>0</x:v>
      </x:c>
      <x:c r="E685" s="3" t="n">
        <x:v>1</x:v>
      </x:c>
      <x:c r="F685" s="3" t="n">
        <x:v>1</x:v>
      </x:c>
    </x:row>
    <x:row r="686" ht="21" customHeight="1">
      <x:c r="A686" s="3" t="n">
        <x:v>12</x:v>
      </x:c>
      <x:c r="B686" s="3" t="n">
        <x:v>25</x:v>
      </x:c>
      <x:c r="C686" s="9" t="n">
        <x:v>-1.2440664</x:v>
      </x:c>
      <x:c r="D686" s="3" t="n">
        <x:v>0</x:v>
      </x:c>
      <x:c r="E686" s="3" t="n">
        <x:v>1</x:v>
      </x:c>
      <x:c r="F686" s="3" t="n">
        <x:v>1</x:v>
      </x:c>
    </x:row>
    <x:row r="687" ht="21" customHeight="1">
      <x:c r="A687" s="3" t="n">
        <x:v>12</x:v>
      </x:c>
      <x:c r="B687" s="3" t="n">
        <x:v>26</x:v>
      </x:c>
      <x:c r="C687" s="9" t="n">
        <x:v>-0.78598651</x:v>
      </x:c>
      <x:c r="D687" s="3" t="n">
        <x:v>0</x:v>
      </x:c>
      <x:c r="E687" s="3" t="n">
        <x:v>1</x:v>
      </x:c>
      <x:c r="F687" s="3" t="n">
        <x:v>1</x:v>
      </x:c>
    </x:row>
    <x:row r="688" ht="21" customHeight="1">
      <x:c r="A688" s="3" t="n">
        <x:v>12</x:v>
      </x:c>
      <x:c r="B688" s="3" t="n">
        <x:v>27</x:v>
      </x:c>
      <x:c r="C688" s="9" t="n">
        <x:v>-0.68041123</x:v>
      </x:c>
      <x:c r="D688" s="3" t="n">
        <x:v>0</x:v>
      </x:c>
      <x:c r="E688" s="3" t="n">
        <x:v>1</x:v>
      </x:c>
      <x:c r="F688" s="3" t="n">
        <x:v>1</x:v>
      </x:c>
    </x:row>
    <x:row r="689" ht="21" customHeight="1">
      <x:c r="A689" s="3" t="n">
        <x:v>12</x:v>
      </x:c>
      <x:c r="B689" s="3" t="n">
        <x:v>28</x:v>
      </x:c>
      <x:c r="C689" s="9" t="n">
        <x:v>1.81261734</x:v>
      </x:c>
      <x:c r="D689" s="3" t="n">
        <x:v>0</x:v>
      </x:c>
      <x:c r="E689" s="3" t="n">
        <x:v>1</x:v>
      </x:c>
      <x:c r="F689" s="3" t="n">
        <x:v>1</x:v>
      </x:c>
    </x:row>
    <x:row r="690" ht="21" customHeight="1">
      <x:c r="A690" s="3" t="n">
        <x:v>12</x:v>
      </x:c>
      <x:c r="B690" s="3" t="n">
        <x:v>29</x:v>
      </x:c>
      <x:c r="C690" s="9" t="n">
        <x:v>0.56859995</x:v>
      </x:c>
      <x:c r="D690" s="3" t="n">
        <x:v>0</x:v>
      </x:c>
      <x:c r="E690" s="3" t="n">
        <x:v>1</x:v>
      </x:c>
      <x:c r="F690" s="3" t="n">
        <x:v>1</x:v>
      </x:c>
    </x:row>
    <x:row r="691" ht="21" customHeight="1">
      <x:c r="A691" s="3" t="n">
        <x:v>12</x:v>
      </x:c>
      <x:c r="B691" s="3" t="n">
        <x:v>30</x:v>
      </x:c>
      <x:c r="C691" s="9" t="n">
        <x:v>0.81162066</x:v>
      </x:c>
      <x:c r="D691" s="3" t="n">
        <x:v>0</x:v>
      </x:c>
      <x:c r="E691" s="3" t="n">
        <x:v>1</x:v>
      </x:c>
      <x:c r="F691" s="3" t="n">
        <x:v>1</x:v>
      </x:c>
    </x:row>
    <x:row r="692" ht="21" customHeight="1">
      <x:c r="A692" s="3" t="n">
        <x:v>12</x:v>
      </x:c>
      <x:c r="B692" s="3" t="n">
        <x:v>31</x:v>
      </x:c>
      <x:c r="C692" s="9" t="n">
        <x:v>0.77452209</x:v>
      </x:c>
      <x:c r="D692" s="3" t="n">
        <x:v>0</x:v>
      </x:c>
      <x:c r="E692" s="3" t="n">
        <x:v>1</x:v>
      </x:c>
      <x:c r="F692" s="3" t="n">
        <x:v>1</x:v>
      </x:c>
    </x:row>
    <x:row r="693" ht="21" customHeight="1">
      <x:c r="A693" s="3" t="n">
        <x:v>12</x:v>
      </x:c>
      <x:c r="B693" s="3" t="n">
        <x:v>32</x:v>
      </x:c>
      <x:c r="C693" s="9" t="n">
        <x:v>-0.46463448</x:v>
      </x:c>
      <x:c r="D693" s="3" t="n">
        <x:v>0</x:v>
      </x:c>
      <x:c r="E693" s="3" t="n">
        <x:v>1</x:v>
      </x:c>
      <x:c r="F693" s="3" t="n">
        <x:v>1</x:v>
      </x:c>
    </x:row>
    <x:row r="694" ht="21" customHeight="1">
      <x:c r="A694" s="3" t="n">
        <x:v>12</x:v>
      </x:c>
      <x:c r="B694" s="3" t="n">
        <x:v>33</x:v>
      </x:c>
      <x:c r="C694" s="9" t="n">
        <x:v>0.39850065</x:v>
      </x:c>
      <x:c r="D694" s="3" t="n">
        <x:v>0</x:v>
      </x:c>
      <x:c r="E694" s="3" t="n">
        <x:v>1</x:v>
      </x:c>
      <x:c r="F694" s="3" t="n">
        <x:v>1</x:v>
      </x:c>
    </x:row>
    <x:row r="695" ht="21" customHeight="1">
      <x:c r="A695" s="3" t="n">
        <x:v>12</x:v>
      </x:c>
      <x:c r="B695" s="3" t="n">
        <x:v>34</x:v>
      </x:c>
      <x:c r="C695" s="9" t="n">
        <x:v>-1.68628634</x:v>
      </x:c>
      <x:c r="D695" s="3" t="n">
        <x:v>0</x:v>
      </x:c>
      <x:c r="E695" s="3" t="n">
        <x:v>1</x:v>
      </x:c>
      <x:c r="F695" s="3" t="n">
        <x:v>1</x:v>
      </x:c>
    </x:row>
    <x:row r="696" ht="21" customHeight="1">
      <x:c r="A696" s="3" t="n">
        <x:v>12</x:v>
      </x:c>
      <x:c r="B696" s="3" t="n">
        <x:v>35</x:v>
      </x:c>
      <x:c r="C696" s="9" t="n">
        <x:v>-0.68790898</x:v>
      </x:c>
      <x:c r="D696" s="3" t="n">
        <x:v>0</x:v>
      </x:c>
      <x:c r="E696" s="3" t="n">
        <x:v>1</x:v>
      </x:c>
      <x:c r="F696" s="3" t="n">
        <x:v>1</x:v>
      </x:c>
    </x:row>
    <x:row r="697" ht="21" customHeight="1">
      <x:c r="A697" s="3" t="n">
        <x:v>12</x:v>
      </x:c>
      <x:c r="B697" s="3" t="n">
        <x:v>36</x:v>
      </x:c>
      <x:c r="C697" s="9" t="n">
        <x:v>0.62410517</x:v>
      </x:c>
      <x:c r="D697" s="3" t="n">
        <x:v>0</x:v>
      </x:c>
      <x:c r="E697" s="3" t="n">
        <x:v>1</x:v>
      </x:c>
      <x:c r="F697" s="3" t="n">
        <x:v>1</x:v>
      </x:c>
    </x:row>
    <x:row r="698" ht="21" customHeight="1">
      <x:c r="A698" s="3" t="n">
        <x:v>12</x:v>
      </x:c>
      <x:c r="B698" s="3" t="n">
        <x:v>37</x:v>
      </x:c>
      <x:c r="C698" s="9" t="n">
        <x:v>-0.61990656</x:v>
      </x:c>
      <x:c r="D698" s="3" t="n">
        <x:v>0</x:v>
      </x:c>
      <x:c r="E698" s="3" t="n">
        <x:v>1</x:v>
      </x:c>
      <x:c r="F698" s="3" t="n">
        <x:v>1</x:v>
      </x:c>
    </x:row>
    <x:row r="699" ht="21" customHeight="1">
      <x:c r="A699" s="3" t="n">
        <x:v>12</x:v>
      </x:c>
      <x:c r="B699" s="3" t="n">
        <x:v>38</x:v>
      </x:c>
      <x:c r="C699" s="9" t="n">
        <x:v>0.39432073</x:v>
      </x:c>
      <x:c r="D699" s="3" t="n">
        <x:v>0</x:v>
      </x:c>
      <x:c r="E699" s="3" t="n">
        <x:v>1</x:v>
      </x:c>
      <x:c r="F699" s="3" t="n">
        <x:v>1</x:v>
      </x:c>
    </x:row>
    <x:row r="700" ht="21" customHeight="1">
      <x:c r="A700" s="3" t="n">
        <x:v>12</x:v>
      </x:c>
      <x:c r="B700" s="3" t="n">
        <x:v>39</x:v>
      </x:c>
      <x:c r="C700" s="9" t="n">
        <x:v>-1.21575721</x:v>
      </x:c>
      <x:c r="D700" s="3" t="n">
        <x:v>0</x:v>
      </x:c>
      <x:c r="E700" s="3" t="n">
        <x:v>1</x:v>
      </x:c>
      <x:c r="F700" s="3" t="n">
        <x:v>1</x:v>
      </x:c>
    </x:row>
    <x:row r="701" ht="21" customHeight="1">
      <x:c r="A701" s="3" t="n">
        <x:v>12</x:v>
      </x:c>
      <x:c r="B701" s="3" t="n">
        <x:v>40</x:v>
      </x:c>
      <x:c r="C701" s="9" t="n">
        <x:v>-1.326084</x:v>
      </x:c>
      <x:c r="D701" s="3" t="n">
        <x:v>0</x:v>
      </x:c>
      <x:c r="E701" s="3" t="n">
        <x:v>1</x:v>
      </x:c>
      <x:c r="F701" s="3" t="n">
        <x:v>1</x:v>
      </x:c>
    </x:row>
    <x:row r="702" ht="21" customHeight="1">
      <x:c r="A702" s="3" t="n">
        <x:v>12</x:v>
      </x:c>
      <x:c r="B702" s="3" t="n">
        <x:v>41</x:v>
      </x:c>
      <x:c r="C702" s="9" t="n">
        <x:v>0.15955237</x:v>
      </x:c>
      <x:c r="D702" s="3" t="n">
        <x:v>0</x:v>
      </x:c>
      <x:c r="E702" s="3" t="n">
        <x:v>1</x:v>
      </x:c>
      <x:c r="F702" s="3" t="n">
        <x:v>1</x:v>
      </x:c>
    </x:row>
    <x:row r="703" ht="21" customHeight="1">
      <x:c r="A703" s="3" t="n">
        <x:v>12</x:v>
      </x:c>
      <x:c r="B703" s="3" t="n">
        <x:v>42</x:v>
      </x:c>
      <x:c r="C703" s="9" t="n">
        <x:v>0.6839067</x:v>
      </x:c>
      <x:c r="D703" s="3" t="n">
        <x:v>0</x:v>
      </x:c>
      <x:c r="E703" s="3" t="n">
        <x:v>1</x:v>
      </x:c>
      <x:c r="F703" s="3" t="n">
        <x:v>1</x:v>
      </x:c>
    </x:row>
    <x:row r="704" ht="21" customHeight="1">
      <x:c r="A704" s="3" t="n">
        <x:v>12</x:v>
      </x:c>
      <x:c r="B704" s="3" t="n">
        <x:v>43</x:v>
      </x:c>
      <x:c r="C704" s="9" t="n">
        <x:v>-0.48580594</x:v>
      </x:c>
      <x:c r="D704" s="3" t="n">
        <x:v>0</x:v>
      </x:c>
      <x:c r="E704" s="3" t="n">
        <x:v>1</x:v>
      </x:c>
      <x:c r="F704" s="3" t="n">
        <x:v>1</x:v>
      </x:c>
    </x:row>
    <x:row r="705" ht="21" customHeight="1">
      <x:c r="A705" s="3" t="n">
        <x:v>12</x:v>
      </x:c>
      <x:c r="B705" s="3" t="n">
        <x:v>44</x:v>
      </x:c>
      <x:c r="C705" s="9" t="n">
        <x:v>-0.97921136</x:v>
      </x:c>
      <x:c r="D705" s="3" t="n">
        <x:v>0</x:v>
      </x:c>
      <x:c r="E705" s="3" t="n">
        <x:v>1</x:v>
      </x:c>
      <x:c r="F705" s="3" t="n">
        <x:v>1</x:v>
      </x:c>
    </x:row>
    <x:row r="706" ht="21" customHeight="1">
      <x:c r="A706" s="3" t="n">
        <x:v>12</x:v>
      </x:c>
      <x:c r="B706" s="3" t="n">
        <x:v>45</x:v>
      </x:c>
      <x:c r="C706" s="9" t="n">
        <x:v>-0.37159615</x:v>
      </x:c>
      <x:c r="D706" s="3" t="n">
        <x:v>0</x:v>
      </x:c>
      <x:c r="E706" s="3" t="n">
        <x:v>1</x:v>
      </x:c>
      <x:c r="F706" s="3" t="n">
        <x:v>1</x:v>
      </x:c>
    </x:row>
    <x:row r="707" ht="21" customHeight="1">
      <x:c r="A707" s="3" t="n">
        <x:v>12</x:v>
      </x:c>
      <x:c r="B707" s="3" t="n">
        <x:v>46</x:v>
      </x:c>
      <x:c r="C707" s="9" t="n">
        <x:v>-0.55640638</x:v>
      </x:c>
      <x:c r="D707" s="3" t="n">
        <x:v>0</x:v>
      </x:c>
      <x:c r="E707" s="3" t="n">
        <x:v>1</x:v>
      </x:c>
      <x:c r="F707" s="3" t="n">
        <x:v>1</x:v>
      </x:c>
    </x:row>
    <x:row r="708" ht="21" customHeight="1">
      <x:c r="A708" s="3" t="n">
        <x:v>12</x:v>
      </x:c>
      <x:c r="B708" s="3" t="n">
        <x:v>47</x:v>
      </x:c>
      <x:c r="C708" s="9" t="n">
        <x:v>0.60778982</x:v>
      </x:c>
      <x:c r="D708" s="3" t="n">
        <x:v>0</x:v>
      </x:c>
      <x:c r="E708" s="3" t="n">
        <x:v>1</x:v>
      </x:c>
      <x:c r="F708" s="3" t="n">
        <x:v>1</x:v>
      </x:c>
    </x:row>
    <x:row r="709" ht="21" customHeight="1">
      <x:c r="A709" s="3" t="n">
        <x:v>12</x:v>
      </x:c>
      <x:c r="B709" s="3" t="n">
        <x:v>48</x:v>
      </x:c>
      <x:c r="C709" s="9" t="n">
        <x:v>-1.45679487</x:v>
      </x:c>
      <x:c r="D709" s="3" t="n">
        <x:v>0</x:v>
      </x:c>
      <x:c r="E709" s="3" t="n">
        <x:v>1</x:v>
      </x:c>
      <x:c r="F709" s="3" t="n">
        <x:v>1</x:v>
      </x:c>
    </x:row>
    <x:row r="710" ht="21" customHeight="1">
      <x:c r="A710" s="3" t="n">
        <x:v>12</x:v>
      </x:c>
      <x:c r="B710" s="3" t="n">
        <x:v>49</x:v>
      </x:c>
      <x:c r="C710" s="9" t="n">
        <x:v>0.56124228</x:v>
      </x:c>
      <x:c r="D710" s="3" t="n">
        <x:v>0</x:v>
      </x:c>
      <x:c r="E710" s="3" t="n">
        <x:v>1</x:v>
      </x:c>
      <x:c r="F710" s="3" t="n">
        <x:v>1</x:v>
      </x:c>
    </x:row>
    <x:row r="711" ht="21" customHeight="1">
      <x:c r="A711" s="3" t="n">
        <x:v>12</x:v>
      </x:c>
      <x:c r="B711" s="3" t="n">
        <x:v>50</x:v>
      </x:c>
      <x:c r="C711" s="9" t="n">
        <x:v>-0.77945225</x:v>
      </x:c>
      <x:c r="D711" s="3" t="n">
        <x:v>0</x:v>
      </x:c>
      <x:c r="E711" s="3" t="n">
        <x:v>1</x:v>
      </x:c>
      <x:c r="F711" s="3" t="n">
        <x:v>1</x:v>
      </x:c>
    </x:row>
    <x:row r="712" ht="21" customHeight="1">
      <x:c r="A712" s="3" t="n">
        <x:v>12</x:v>
      </x:c>
      <x:c r="B712" s="3" t="n">
        <x:v>51</x:v>
      </x:c>
      <x:c r="C712" s="9" t="n">
        <x:v>-0.71512203</x:v>
      </x:c>
      <x:c r="D712" s="3" t="n">
        <x:v>0</x:v>
      </x:c>
      <x:c r="E712" s="3" t="n">
        <x:v>1</x:v>
      </x:c>
      <x:c r="F712" s="3" t="n">
        <x:v>1</x:v>
      </x:c>
    </x:row>
    <x:row r="713" ht="21" customHeight="1">
      <x:c r="A713" s="3" t="n">
        <x:v>12</x:v>
      </x:c>
      <x:c r="B713" s="3" t="n">
        <x:v>52</x:v>
      </x:c>
      <x:c r="C713" s="9" t="n">
        <x:v>-1.04008176</x:v>
      </x:c>
      <x:c r="D713" s="3" t="n">
        <x:v>0</x:v>
      </x:c>
      <x:c r="E713" s="3" t="n">
        <x:v>1</x:v>
      </x:c>
      <x:c r="F713" s="3" t="n">
        <x:v>1</x:v>
      </x:c>
    </x:row>
    <x:row r="714" ht="21" customHeight="1">
      <x:c r="A714" s="3" t="n">
        <x:v>12</x:v>
      </x:c>
      <x:c r="B714" s="3" t="n">
        <x:v>53</x:v>
      </x:c>
      <x:c r="C714" s="9" t="n">
        <x:v>1.13669348</x:v>
      </x:c>
      <x:c r="D714" s="3" t="n">
        <x:v>0</x:v>
      </x:c>
      <x:c r="E714" s="3" t="n">
        <x:v>1</x:v>
      </x:c>
      <x:c r="F714" s="3" t="n">
        <x:v>1</x:v>
      </x:c>
    </x:row>
    <x:row r="715" ht="21" customHeight="1">
      <x:c r="A715" s="3" t="n">
        <x:v>12</x:v>
      </x:c>
      <x:c r="B715" s="3" t="n">
        <x:v>54</x:v>
      </x:c>
      <x:c r="C715" s="9" t="n">
        <x:v>2.24173545</x:v>
      </x:c>
      <x:c r="D715" s="3" t="n">
        <x:v>0</x:v>
      </x:c>
      <x:c r="E715" s="3" t="n">
        <x:v>1</x:v>
      </x:c>
      <x:c r="F715" s="3" t="n">
        <x:v>1</x:v>
      </x:c>
    </x:row>
    <x:row r="716" ht="21" customHeight="1">
      <x:c r="A716" s="3" t="n">
        <x:v>12</x:v>
      </x:c>
      <x:c r="B716" s="3" t="n">
        <x:v>55</x:v>
      </x:c>
      <x:c r="C716" s="9" t="n">
        <x:v>-0.23024551</x:v>
      </x:c>
      <x:c r="D716" s="3" t="n">
        <x:v>0</x:v>
      </x:c>
      <x:c r="E716" s="3" t="n">
        <x:v>1</x:v>
      </x:c>
      <x:c r="F716" s="3" t="n">
        <x:v>1</x:v>
      </x:c>
    </x:row>
    <x:row r="717" ht="21" customHeight="1">
      <x:c r="A717" s="3" t="n">
        <x:v>12</x:v>
      </x:c>
      <x:c r="B717" s="3" t="n">
        <x:v>56</x:v>
      </x:c>
      <x:c r="C717" s="9" t="n">
        <x:v>0.29974492</x:v>
      </x:c>
      <x:c r="D717" s="3" t="n">
        <x:v>0</x:v>
      </x:c>
      <x:c r="E717" s="3" t="n">
        <x:v>1</x:v>
      </x:c>
      <x:c r="F717" s="3" t="n">
        <x:v>1</x:v>
      </x:c>
    </x:row>
    <x:row r="718" ht="21" customHeight="1">
      <x:c r="A718" s="3" t="n">
        <x:v>12</x:v>
      </x:c>
      <x:c r="B718" s="3" t="n">
        <x:v>57</x:v>
      </x:c>
      <x:c r="C718" s="9" t="n">
        <x:v>0.37436817</x:v>
      </x:c>
      <x:c r="D718" s="3" t="n">
        <x:v>0</x:v>
      </x:c>
      <x:c r="E718" s="3" t="n">
        <x:v>1</x:v>
      </x:c>
      <x:c r="F718" s="3" t="n">
        <x:v>1</x:v>
      </x:c>
    </x:row>
    <x:row r="719" ht="21" customHeight="1">
      <x:c r="A719" s="3" t="n">
        <x:v>12</x:v>
      </x:c>
      <x:c r="B719" s="3" t="n">
        <x:v>58</x:v>
      </x:c>
      <x:c r="C719" s="9" t="n">
        <x:v>-0.24974138</x:v>
      </x:c>
      <x:c r="D719" s="3" t="n">
        <x:v>0</x:v>
      </x:c>
      <x:c r="E719" s="3" t="n">
        <x:v>1</x:v>
      </x:c>
      <x:c r="F719" s="3" t="n">
        <x:v>1</x:v>
      </x:c>
    </x:row>
    <x:row r="720" ht="21" customHeight="1">
      <x:c r="A720" s="3" t="n">
        <x:v>12</x:v>
      </x:c>
      <x:c r="B720" s="3" t="n">
        <x:v>59</x:v>
      </x:c>
      <x:c r="C720" s="9" t="n">
        <x:v>0.50075499</x:v>
      </x:c>
      <x:c r="D720" s="3" t="n">
        <x:v>0</x:v>
      </x:c>
      <x:c r="E720" s="3" t="n">
        <x:v>1</x:v>
      </x:c>
      <x:c r="F720" s="3" t="n">
        <x:v>1</x:v>
      </x:c>
    </x:row>
    <x:row r="721" ht="21" customHeight="1">
      <x:c r="A721" s="3" t="n">
        <x:v>12</x:v>
      </x:c>
      <x:c r="B721" s="3" t="n">
        <x:v>60</x:v>
      </x:c>
      <x:c r="C721" s="9" t="n">
        <x:v>0.77374446</x:v>
      </x:c>
      <x:c r="D721" s="3" t="n">
        <x:v>0</x:v>
      </x:c>
      <x:c r="E721" s="3" t="n">
        <x:v>1</x:v>
      </x:c>
      <x:c r="F721" s="3" t="n">
        <x:v>1</x:v>
      </x:c>
    </x:row>
    <x:row r="722" ht="21" customHeight="1">
      <x:c r="A722" s="3" t="n">
        <x:v>13</x:v>
      </x:c>
      <x:c r="B722" s="3" t="n">
        <x:v>1</x:v>
      </x:c>
      <x:c r="C722" s="9" t="n">
        <x:v>1.30907567</x:v>
      </x:c>
      <x:c r="D722" s="3" t="n">
        <x:v>0</x:v>
      </x:c>
      <x:c r="E722" s="3" t="n">
        <x:v>1</x:v>
      </x:c>
      <x:c r="F722" s="3" t="n">
        <x:v>1</x:v>
      </x:c>
    </x:row>
    <x:row r="723" ht="21" customHeight="1">
      <x:c r="A723" s="3" t="n">
        <x:v>13</x:v>
      </x:c>
      <x:c r="B723" s="3" t="n">
        <x:v>2</x:v>
      </x:c>
      <x:c r="C723" s="9" t="n">
        <x:v>1.24825769</x:v>
      </x:c>
      <x:c r="D723" s="3" t="n">
        <x:v>0</x:v>
      </x:c>
      <x:c r="E723" s="3" t="n">
        <x:v>1</x:v>
      </x:c>
      <x:c r="F723" s="3" t="n">
        <x:v>1</x:v>
      </x:c>
    </x:row>
    <x:row r="724" ht="21" customHeight="1">
      <x:c r="A724" s="3" t="n">
        <x:v>13</x:v>
      </x:c>
      <x:c r="B724" s="3" t="n">
        <x:v>3</x:v>
      </x:c>
      <x:c r="C724" s="9" t="n">
        <x:v>0.71812414</x:v>
      </x:c>
      <x:c r="D724" s="3" t="n">
        <x:v>0</x:v>
      </x:c>
      <x:c r="E724" s="3" t="n">
        <x:v>1</x:v>
      </x:c>
      <x:c r="F724" s="3" t="n">
        <x:v>1</x:v>
      </x:c>
    </x:row>
    <x:row r="725" ht="21" customHeight="1">
      <x:c r="A725" s="3" t="n">
        <x:v>13</x:v>
      </x:c>
      <x:c r="B725" s="3" t="n">
        <x:v>4</x:v>
      </x:c>
      <x:c r="C725" s="9" t="n">
        <x:v>-0.90443137</x:v>
      </x:c>
      <x:c r="D725" s="3" t="n">
        <x:v>0</x:v>
      </x:c>
      <x:c r="E725" s="3" t="n">
        <x:v>1</x:v>
      </x:c>
      <x:c r="F725" s="3" t="n">
        <x:v>1</x:v>
      </x:c>
    </x:row>
    <x:row r="726" ht="21" customHeight="1">
      <x:c r="A726" s="3" t="n">
        <x:v>13</x:v>
      </x:c>
      <x:c r="B726" s="3" t="n">
        <x:v>5</x:v>
      </x:c>
      <x:c r="C726" s="9" t="n">
        <x:v>0.72927798</x:v>
      </x:c>
      <x:c r="D726" s="3" t="n">
        <x:v>0</x:v>
      </x:c>
      <x:c r="E726" s="3" t="n">
        <x:v>1</x:v>
      </x:c>
      <x:c r="F726" s="3" t="n">
        <x:v>1</x:v>
      </x:c>
    </x:row>
    <x:row r="727" ht="21" customHeight="1">
      <x:c r="A727" s="3" t="n">
        <x:v>13</x:v>
      </x:c>
      <x:c r="B727" s="3" t="n">
        <x:v>6</x:v>
      </x:c>
      <x:c r="C727" s="9" t="n">
        <x:v>0.75676866</x:v>
      </x:c>
      <x:c r="D727" s="3" t="n">
        <x:v>0</x:v>
      </x:c>
      <x:c r="E727" s="3" t="n">
        <x:v>1</x:v>
      </x:c>
      <x:c r="F727" s="3" t="n">
        <x:v>1</x:v>
      </x:c>
    </x:row>
    <x:row r="728" ht="21" customHeight="1">
      <x:c r="A728" s="3" t="n">
        <x:v>13</x:v>
      </x:c>
      <x:c r="B728" s="3" t="n">
        <x:v>7</x:v>
      </x:c>
      <x:c r="C728" s="9" t="n">
        <x:v>0.89766657</x:v>
      </x:c>
      <x:c r="D728" s="3" t="n">
        <x:v>0</x:v>
      </x:c>
      <x:c r="E728" s="3" t="n">
        <x:v>1</x:v>
      </x:c>
      <x:c r="F728" s="3" t="n">
        <x:v>1</x:v>
      </x:c>
    </x:row>
    <x:row r="729" ht="21" customHeight="1">
      <x:c r="A729" s="3" t="n">
        <x:v>13</x:v>
      </x:c>
      <x:c r="B729" s="3" t="n">
        <x:v>8</x:v>
      </x:c>
      <x:c r="C729" s="9" t="n">
        <x:v>-1.03357035</x:v>
      </x:c>
      <x:c r="D729" s="3" t="n">
        <x:v>0</x:v>
      </x:c>
      <x:c r="E729" s="3" t="n">
        <x:v>1</x:v>
      </x:c>
      <x:c r="F729" s="3" t="n">
        <x:v>1</x:v>
      </x:c>
    </x:row>
    <x:row r="730" ht="21" customHeight="1">
      <x:c r="A730" s="3" t="n">
        <x:v>13</x:v>
      </x:c>
      <x:c r="B730" s="3" t="n">
        <x:v>9</x:v>
      </x:c>
      <x:c r="C730" s="9" t="n">
        <x:v>0.32045404</x:v>
      </x:c>
      <x:c r="D730" s="3" t="n">
        <x:v>0</x:v>
      </x:c>
      <x:c r="E730" s="3" t="n">
        <x:v>1</x:v>
      </x:c>
      <x:c r="F730" s="3" t="n">
        <x:v>1</x:v>
      </x:c>
    </x:row>
    <x:row r="731" ht="21" customHeight="1">
      <x:c r="A731" s="3" t="n">
        <x:v>13</x:v>
      </x:c>
      <x:c r="B731" s="3" t="n">
        <x:v>10</x:v>
      </x:c>
      <x:c r="C731" s="9" t="n">
        <x:v>0.06488407</x:v>
      </x:c>
      <x:c r="D731" s="3" t="n">
        <x:v>0</x:v>
      </x:c>
      <x:c r="E731" s="3" t="n">
        <x:v>1</x:v>
      </x:c>
      <x:c r="F731" s="3" t="n">
        <x:v>1</x:v>
      </x:c>
    </x:row>
    <x:row r="732" ht="21" customHeight="1">
      <x:c r="A732" s="3" t="n">
        <x:v>13</x:v>
      </x:c>
      <x:c r="B732" s="3" t="n">
        <x:v>11</x:v>
      </x:c>
      <x:c r="C732" s="9" t="n">
        <x:v>-0.72146547</x:v>
      </x:c>
      <x:c r="D732" s="3" t="n">
        <x:v>0</x:v>
      </x:c>
      <x:c r="E732" s="3" t="n">
        <x:v>1</x:v>
      </x:c>
      <x:c r="F732" s="3" t="n">
        <x:v>1</x:v>
      </x:c>
    </x:row>
    <x:row r="733" ht="21" customHeight="1">
      <x:c r="A733" s="3" t="n">
        <x:v>13</x:v>
      </x:c>
      <x:c r="B733" s="3" t="n">
        <x:v>12</x:v>
      </x:c>
      <x:c r="C733" s="9" t="n">
        <x:v>-1.99180702</x:v>
      </x:c>
      <x:c r="D733" s="3" t="n">
        <x:v>0</x:v>
      </x:c>
      <x:c r="E733" s="3" t="n">
        <x:v>1</x:v>
      </x:c>
      <x:c r="F733" s="3" t="n">
        <x:v>1</x:v>
      </x:c>
    </x:row>
    <x:row r="734" ht="21" customHeight="1">
      <x:c r="A734" s="3" t="n">
        <x:v>13</x:v>
      </x:c>
      <x:c r="B734" s="3" t="n">
        <x:v>13</x:v>
      </x:c>
      <x:c r="C734" s="9" t="n">
        <x:v>0.4844002</x:v>
      </x:c>
      <x:c r="D734" s="3" t="n">
        <x:v>0</x:v>
      </x:c>
      <x:c r="E734" s="3" t="n">
        <x:v>1</x:v>
      </x:c>
      <x:c r="F734" s="3" t="n">
        <x:v>1</x:v>
      </x:c>
    </x:row>
    <x:row r="735" ht="21" customHeight="1">
      <x:c r="A735" s="3" t="n">
        <x:v>13</x:v>
      </x:c>
      <x:c r="B735" s="3" t="n">
        <x:v>14</x:v>
      </x:c>
      <x:c r="C735" s="9" t="n">
        <x:v>0.17912063</x:v>
      </x:c>
      <x:c r="D735" s="3" t="n">
        <x:v>0</x:v>
      </x:c>
      <x:c r="E735" s="3" t="n">
        <x:v>1</x:v>
      </x:c>
      <x:c r="F735" s="3" t="n">
        <x:v>1</x:v>
      </x:c>
    </x:row>
    <x:row r="736" ht="21" customHeight="1">
      <x:c r="A736" s="3" t="n">
        <x:v>13</x:v>
      </x:c>
      <x:c r="B736" s="3" t="n">
        <x:v>15</x:v>
      </x:c>
      <x:c r="C736" s="9" t="n">
        <x:v>0.32413365</x:v>
      </x:c>
      <x:c r="D736" s="3" t="n">
        <x:v>0</x:v>
      </x:c>
      <x:c r="E736" s="3" t="n">
        <x:v>1</x:v>
      </x:c>
      <x:c r="F736" s="3" t="n">
        <x:v>1</x:v>
      </x:c>
    </x:row>
    <x:row r="737" ht="21" customHeight="1">
      <x:c r="A737" s="3" t="n">
        <x:v>13</x:v>
      </x:c>
      <x:c r="B737" s="3" t="n">
        <x:v>16</x:v>
      </x:c>
      <x:c r="C737" s="9" t="n">
        <x:v>-0.06626542</x:v>
      </x:c>
      <x:c r="D737" s="3" t="n">
        <x:v>0</x:v>
      </x:c>
      <x:c r="E737" s="3" t="n">
        <x:v>1</x:v>
      </x:c>
      <x:c r="F737" s="3" t="n">
        <x:v>1</x:v>
      </x:c>
    </x:row>
    <x:row r="738" ht="21" customHeight="1">
      <x:c r="A738" s="3" t="n">
        <x:v>13</x:v>
      </x:c>
      <x:c r="B738" s="3" t="n">
        <x:v>17</x:v>
      </x:c>
      <x:c r="C738" s="9" t="n">
        <x:v>0.36078776</x:v>
      </x:c>
      <x:c r="D738" s="3" t="n">
        <x:v>0</x:v>
      </x:c>
      <x:c r="E738" s="3" t="n">
        <x:v>1</x:v>
      </x:c>
      <x:c r="F738" s="3" t="n">
        <x:v>1</x:v>
      </x:c>
    </x:row>
    <x:row r="739" ht="21" customHeight="1">
      <x:c r="A739" s="3" t="n">
        <x:v>13</x:v>
      </x:c>
      <x:c r="B739" s="3" t="n">
        <x:v>18</x:v>
      </x:c>
      <x:c r="C739" s="9" t="n">
        <x:v>0.91262724</x:v>
      </x:c>
      <x:c r="D739" s="3" t="n">
        <x:v>0</x:v>
      </x:c>
      <x:c r="E739" s="3" t="n">
        <x:v>1</x:v>
      </x:c>
      <x:c r="F739" s="3" t="n">
        <x:v>1</x:v>
      </x:c>
    </x:row>
    <x:row r="740" ht="21" customHeight="1">
      <x:c r="A740" s="3" t="n">
        <x:v>13</x:v>
      </x:c>
      <x:c r="B740" s="3" t="n">
        <x:v>19</x:v>
      </x:c>
      <x:c r="C740" s="9" t="n">
        <x:v>0.68795727</x:v>
      </x:c>
      <x:c r="D740" s="3" t="n">
        <x:v>0</x:v>
      </x:c>
      <x:c r="E740" s="3" t="n">
        <x:v>1</x:v>
      </x:c>
      <x:c r="F740" s="3" t="n">
        <x:v>1</x:v>
      </x:c>
    </x:row>
    <x:row r="741" ht="21" customHeight="1">
      <x:c r="A741" s="3" t="n">
        <x:v>13</x:v>
      </x:c>
      <x:c r="B741" s="3" t="n">
        <x:v>20</x:v>
      </x:c>
      <x:c r="C741" s="9" t="n">
        <x:v>0.91036033</x:v>
      </x:c>
      <x:c r="D741" s="3" t="n">
        <x:v>0</x:v>
      </x:c>
      <x:c r="E741" s="3" t="n">
        <x:v>1</x:v>
      </x:c>
      <x:c r="F741" s="3" t="n">
        <x:v>1</x:v>
      </x:c>
    </x:row>
    <x:row r="742" ht="21" customHeight="1">
      <x:c r="A742" s="3" t="n">
        <x:v>13</x:v>
      </x:c>
      <x:c r="B742" s="3" t="n">
        <x:v>21</x:v>
      </x:c>
      <x:c r="C742" s="9" t="n">
        <x:v>1.00130498</x:v>
      </x:c>
      <x:c r="D742" s="3" t="n">
        <x:v>0</x:v>
      </x:c>
      <x:c r="E742" s="3" t="n">
        <x:v>1</x:v>
      </x:c>
      <x:c r="F742" s="3" t="n">
        <x:v>1</x:v>
      </x:c>
    </x:row>
    <x:row r="743" ht="21" customHeight="1">
      <x:c r="A743" s="3" t="n">
        <x:v>13</x:v>
      </x:c>
      <x:c r="B743" s="3" t="n">
        <x:v>22</x:v>
      </x:c>
      <x:c r="C743" s="9" t="n">
        <x:v>-1.76832108</x:v>
      </x:c>
      <x:c r="D743" s="3" t="n">
        <x:v>0</x:v>
      </x:c>
      <x:c r="E743" s="3" t="n">
        <x:v>1</x:v>
      </x:c>
      <x:c r="F743" s="3" t="n">
        <x:v>1</x:v>
      </x:c>
    </x:row>
    <x:row r="744" ht="21" customHeight="1">
      <x:c r="A744" s="3" t="n">
        <x:v>13</x:v>
      </x:c>
      <x:c r="B744" s="3" t="n">
        <x:v>23</x:v>
      </x:c>
      <x:c r="C744" s="9" t="n">
        <x:v>0.81557912</x:v>
      </x:c>
      <x:c r="D744" s="3" t="n">
        <x:v>0</x:v>
      </x:c>
      <x:c r="E744" s="3" t="n">
        <x:v>1</x:v>
      </x:c>
      <x:c r="F744" s="3" t="n">
        <x:v>1</x:v>
      </x:c>
    </x:row>
    <x:row r="745" ht="21" customHeight="1">
      <x:c r="A745" s="3" t="n">
        <x:v>13</x:v>
      </x:c>
      <x:c r="B745" s="3" t="n">
        <x:v>24</x:v>
      </x:c>
      <x:c r="C745" s="9" t="n">
        <x:v>-0.20159324</x:v>
      </x:c>
      <x:c r="D745" s="3" t="n">
        <x:v>0</x:v>
      </x:c>
      <x:c r="E745" s="3" t="n">
        <x:v>1</x:v>
      </x:c>
      <x:c r="F745" s="3" t="n">
        <x:v>1</x:v>
      </x:c>
    </x:row>
    <x:row r="746" ht="21" customHeight="1">
      <x:c r="A746" s="3" t="n">
        <x:v>13</x:v>
      </x:c>
      <x:c r="B746" s="3" t="n">
        <x:v>25</x:v>
      </x:c>
      <x:c r="C746" s="9" t="n">
        <x:v>-0.12340874</x:v>
      </x:c>
      <x:c r="D746" s="3" t="n">
        <x:v>0</x:v>
      </x:c>
      <x:c r="E746" s="3" t="n">
        <x:v>1</x:v>
      </x:c>
      <x:c r="F746" s="3" t="n">
        <x:v>1</x:v>
      </x:c>
    </x:row>
    <x:row r="747" ht="21" customHeight="1">
      <x:c r="A747" s="3" t="n">
        <x:v>13</x:v>
      </x:c>
      <x:c r="B747" s="3" t="n">
        <x:v>26</x:v>
      </x:c>
      <x:c r="C747" s="9" t="n">
        <x:v>-1.17614311</x:v>
      </x:c>
      <x:c r="D747" s="3" t="n">
        <x:v>0</x:v>
      </x:c>
      <x:c r="E747" s="3" t="n">
        <x:v>1</x:v>
      </x:c>
      <x:c r="F747" s="3" t="n">
        <x:v>1</x:v>
      </x:c>
    </x:row>
    <x:row r="748" ht="21" customHeight="1">
      <x:c r="A748" s="3" t="n">
        <x:v>13</x:v>
      </x:c>
      <x:c r="B748" s="3" t="n">
        <x:v>27</x:v>
      </x:c>
      <x:c r="C748" s="9" t="n">
        <x:v>-1.72401622</x:v>
      </x:c>
      <x:c r="D748" s="3" t="n">
        <x:v>0</x:v>
      </x:c>
      <x:c r="E748" s="3" t="n">
        <x:v>1</x:v>
      </x:c>
      <x:c r="F748" s="3" t="n">
        <x:v>1</x:v>
      </x:c>
    </x:row>
    <x:row r="749" ht="21" customHeight="1">
      <x:c r="A749" s="3" t="n">
        <x:v>13</x:v>
      </x:c>
      <x:c r="B749" s="3" t="n">
        <x:v>28</x:v>
      </x:c>
      <x:c r="C749" s="9" t="n">
        <x:v>-1.52194778</x:v>
      </x:c>
      <x:c r="D749" s="3" t="n">
        <x:v>0</x:v>
      </x:c>
      <x:c r="E749" s="3" t="n">
        <x:v>1</x:v>
      </x:c>
      <x:c r="F749" s="3" t="n">
        <x:v>1</x:v>
      </x:c>
    </x:row>
    <x:row r="750" ht="21" customHeight="1">
      <x:c r="A750" s="3" t="n">
        <x:v>13</x:v>
      </x:c>
      <x:c r="B750" s="3" t="n">
        <x:v>29</x:v>
      </x:c>
      <x:c r="C750" s="9" t="n">
        <x:v>-1.80700598</x:v>
      </x:c>
      <x:c r="D750" s="3" t="n">
        <x:v>0</x:v>
      </x:c>
      <x:c r="E750" s="3" t="n">
        <x:v>1</x:v>
      </x:c>
      <x:c r="F750" s="3" t="n">
        <x:v>1</x:v>
      </x:c>
    </x:row>
    <x:row r="751" ht="21" customHeight="1">
      <x:c r="A751" s="3" t="n">
        <x:v>13</x:v>
      </x:c>
      <x:c r="B751" s="3" t="n">
        <x:v>30</x:v>
      </x:c>
      <x:c r="C751" s="9" t="n">
        <x:v>1.70949916</x:v>
      </x:c>
      <x:c r="D751" s="3" t="n">
        <x:v>0</x:v>
      </x:c>
      <x:c r="E751" s="3" t="n">
        <x:v>1</x:v>
      </x:c>
      <x:c r="F751" s="3" t="n">
        <x:v>1</x:v>
      </x:c>
    </x:row>
    <x:row r="752" ht="21" customHeight="1">
      <x:c r="A752" s="3" t="n">
        <x:v>13</x:v>
      </x:c>
      <x:c r="B752" s="3" t="n">
        <x:v>31</x:v>
      </x:c>
      <x:c r="C752" s="9" t="n">
        <x:v>-1.43090186</x:v>
      </x:c>
      <x:c r="D752" s="3" t="n">
        <x:v>0</x:v>
      </x:c>
      <x:c r="E752" s="3" t="n">
        <x:v>1</x:v>
      </x:c>
      <x:c r="F752" s="3" t="n">
        <x:v>1</x:v>
      </x:c>
    </x:row>
    <x:row r="753" ht="21" customHeight="1">
      <x:c r="A753" s="3" t="n">
        <x:v>13</x:v>
      </x:c>
      <x:c r="B753" s="3" t="n">
        <x:v>32</x:v>
      </x:c>
      <x:c r="C753" s="9" t="n">
        <x:v>1.26036779</x:v>
      </x:c>
      <x:c r="D753" s="3" t="n">
        <x:v>0</x:v>
      </x:c>
      <x:c r="E753" s="3" t="n">
        <x:v>1</x:v>
      </x:c>
      <x:c r="F753" s="3" t="n">
        <x:v>1</x:v>
      </x:c>
    </x:row>
    <x:row r="754" ht="21" customHeight="1">
      <x:c r="A754" s="3" t="n">
        <x:v>13</x:v>
      </x:c>
      <x:c r="B754" s="3" t="n">
        <x:v>33</x:v>
      </x:c>
      <x:c r="C754" s="9" t="n">
        <x:v>-0.8506182</x:v>
      </x:c>
      <x:c r="D754" s="3" t="n">
        <x:v>0</x:v>
      </x:c>
      <x:c r="E754" s="3" t="n">
        <x:v>1</x:v>
      </x:c>
      <x:c r="F754" s="3" t="n">
        <x:v>1</x:v>
      </x:c>
    </x:row>
    <x:row r="755" ht="21" customHeight="1">
      <x:c r="A755" s="3" t="n">
        <x:v>13</x:v>
      </x:c>
      <x:c r="B755" s="3" t="n">
        <x:v>34</x:v>
      </x:c>
      <x:c r="C755" s="9" t="n">
        <x:v>0.73008048</x:v>
      </x:c>
      <x:c r="D755" s="3" t="n">
        <x:v>0</x:v>
      </x:c>
      <x:c r="E755" s="3" t="n">
        <x:v>1</x:v>
      </x:c>
      <x:c r="F755" s="3" t="n">
        <x:v>1</x:v>
      </x:c>
    </x:row>
    <x:row r="756" ht="21" customHeight="1">
      <x:c r="A756" s="3" t="n">
        <x:v>13</x:v>
      </x:c>
      <x:c r="B756" s="3" t="n">
        <x:v>35</x:v>
      </x:c>
      <x:c r="C756" s="9" t="n">
        <x:v>-0.57287047</x:v>
      </x:c>
      <x:c r="D756" s="3" t="n">
        <x:v>0</x:v>
      </x:c>
      <x:c r="E756" s="3" t="n">
        <x:v>1</x:v>
      </x:c>
      <x:c r="F756" s="3" t="n">
        <x:v>1</x:v>
      </x:c>
    </x:row>
    <x:row r="757" ht="21" customHeight="1">
      <x:c r="A757" s="3" t="n">
        <x:v>13</x:v>
      </x:c>
      <x:c r="B757" s="3" t="n">
        <x:v>36</x:v>
      </x:c>
      <x:c r="C757" s="9" t="n">
        <x:v>0.61050008</x:v>
      </x:c>
      <x:c r="D757" s="3" t="n">
        <x:v>0</x:v>
      </x:c>
      <x:c r="E757" s="3" t="n">
        <x:v>1</x:v>
      </x:c>
      <x:c r="F757" s="3" t="n">
        <x:v>1</x:v>
      </x:c>
    </x:row>
    <x:row r="758" ht="21" customHeight="1">
      <x:c r="A758" s="3" t="n">
        <x:v>13</x:v>
      </x:c>
      <x:c r="B758" s="3" t="n">
        <x:v>37</x:v>
      </x:c>
      <x:c r="C758" s="9" t="n">
        <x:v>-0.17111338</x:v>
      </x:c>
      <x:c r="D758" s="3" t="n">
        <x:v>0</x:v>
      </x:c>
      <x:c r="E758" s="3" t="n">
        <x:v>1</x:v>
      </x:c>
      <x:c r="F758" s="3" t="n">
        <x:v>1</x:v>
      </x:c>
    </x:row>
    <x:row r="759" ht="21" customHeight="1">
      <x:c r="A759" s="3" t="n">
        <x:v>13</x:v>
      </x:c>
      <x:c r="B759" s="3" t="n">
        <x:v>38</x:v>
      </x:c>
      <x:c r="C759" s="9" t="n">
        <x:v>-0.71793974</x:v>
      </x:c>
      <x:c r="D759" s="3" t="n">
        <x:v>0</x:v>
      </x:c>
      <x:c r="E759" s="3" t="n">
        <x:v>1</x:v>
      </x:c>
      <x:c r="F759" s="3" t="n">
        <x:v>1</x:v>
      </x:c>
    </x:row>
    <x:row r="760" ht="21" customHeight="1">
      <x:c r="A760" s="3" t="n">
        <x:v>13</x:v>
      </x:c>
      <x:c r="B760" s="3" t="n">
        <x:v>39</x:v>
      </x:c>
      <x:c r="C760" s="9" t="n">
        <x:v>-0.01108284</x:v>
      </x:c>
      <x:c r="D760" s="3" t="n">
        <x:v>0</x:v>
      </x:c>
      <x:c r="E760" s="3" t="n">
        <x:v>1</x:v>
      </x:c>
      <x:c r="F760" s="3" t="n">
        <x:v>1</x:v>
      </x:c>
    </x:row>
    <x:row r="761" ht="21" customHeight="1">
      <x:c r="A761" s="3" t="n">
        <x:v>13</x:v>
      </x:c>
      <x:c r="B761" s="3" t="n">
        <x:v>40</x:v>
      </x:c>
      <x:c r="C761" s="9" t="n">
        <x:v>2.11274619</x:v>
      </x:c>
      <x:c r="D761" s="3" t="n">
        <x:v>0</x:v>
      </x:c>
      <x:c r="E761" s="3" t="n">
        <x:v>1</x:v>
      </x:c>
      <x:c r="F761" s="3" t="n">
        <x:v>1</x:v>
      </x:c>
    </x:row>
    <x:row r="762" ht="21" customHeight="1">
      <x:c r="A762" s="3" t="n">
        <x:v>13</x:v>
      </x:c>
      <x:c r="B762" s="3" t="n">
        <x:v>41</x:v>
      </x:c>
      <x:c r="C762" s="9" t="n">
        <x:v>-0.87746899</x:v>
      </x:c>
      <x:c r="D762" s="3" t="n">
        <x:v>0</x:v>
      </x:c>
      <x:c r="E762" s="3" t="n">
        <x:v>1</x:v>
      </x:c>
      <x:c r="F762" s="3" t="n">
        <x:v>1</x:v>
      </x:c>
    </x:row>
    <x:row r="763" ht="21" customHeight="1">
      <x:c r="A763" s="3" t="n">
        <x:v>13</x:v>
      </x:c>
      <x:c r="B763" s="3" t="n">
        <x:v>42</x:v>
      </x:c>
      <x:c r="C763" s="9" t="n">
        <x:v>-0.69498414</x:v>
      </x:c>
      <x:c r="D763" s="3" t="n">
        <x:v>0</x:v>
      </x:c>
      <x:c r="E763" s="3" t="n">
        <x:v>1</x:v>
      </x:c>
      <x:c r="F763" s="3" t="n">
        <x:v>1</x:v>
      </x:c>
    </x:row>
    <x:row r="764" ht="21" customHeight="1">
      <x:c r="A764" s="3" t="n">
        <x:v>13</x:v>
      </x:c>
      <x:c r="B764" s="3" t="n">
        <x:v>43</x:v>
      </x:c>
      <x:c r="C764" s="9" t="n">
        <x:v>1.0568816</x:v>
      </x:c>
      <x:c r="D764" s="3" t="n">
        <x:v>0</x:v>
      </x:c>
      <x:c r="E764" s="3" t="n">
        <x:v>1</x:v>
      </x:c>
      <x:c r="F764" s="3" t="n">
        <x:v>1</x:v>
      </x:c>
    </x:row>
    <x:row r="765" ht="21" customHeight="1">
      <x:c r="A765" s="3" t="n">
        <x:v>13</x:v>
      </x:c>
      <x:c r="B765" s="3" t="n">
        <x:v>44</x:v>
      </x:c>
      <x:c r="C765" s="9" t="n">
        <x:v>-0.2437318</x:v>
      </x:c>
      <x:c r="D765" s="3" t="n">
        <x:v>0</x:v>
      </x:c>
      <x:c r="E765" s="3" t="n">
        <x:v>1</x:v>
      </x:c>
      <x:c r="F765" s="3" t="n">
        <x:v>1</x:v>
      </x:c>
    </x:row>
    <x:row r="766" ht="21" customHeight="1">
      <x:c r="A766" s="3" t="n">
        <x:v>13</x:v>
      </x:c>
      <x:c r="B766" s="3" t="n">
        <x:v>45</x:v>
      </x:c>
      <x:c r="C766" s="9" t="n">
        <x:v>-1.3709663</x:v>
      </x:c>
      <x:c r="D766" s="3" t="n">
        <x:v>0</x:v>
      </x:c>
      <x:c r="E766" s="3" t="n">
        <x:v>1</x:v>
      </x:c>
      <x:c r="F766" s="3" t="n">
        <x:v>1</x:v>
      </x:c>
    </x:row>
    <x:row r="767" ht="21" customHeight="1">
      <x:c r="A767" s="3" t="n">
        <x:v>13</x:v>
      </x:c>
      <x:c r="B767" s="3" t="n">
        <x:v>46</x:v>
      </x:c>
      <x:c r="C767" s="9" t="n">
        <x:v>0.1834279</x:v>
      </x:c>
      <x:c r="D767" s="3" t="n">
        <x:v>0</x:v>
      </x:c>
      <x:c r="E767" s="3" t="n">
        <x:v>1</x:v>
      </x:c>
      <x:c r="F767" s="3" t="n">
        <x:v>1</x:v>
      </x:c>
    </x:row>
    <x:row r="768" ht="21" customHeight="1">
      <x:c r="A768" s="3" t="n">
        <x:v>13</x:v>
      </x:c>
      <x:c r="B768" s="3" t="n">
        <x:v>47</x:v>
      </x:c>
      <x:c r="C768" s="9" t="n">
        <x:v>-0.61785228</x:v>
      </x:c>
      <x:c r="D768" s="3" t="n">
        <x:v>0</x:v>
      </x:c>
      <x:c r="E768" s="3" t="n">
        <x:v>1</x:v>
      </x:c>
      <x:c r="F768" s="3" t="n">
        <x:v>1</x:v>
      </x:c>
    </x:row>
    <x:row r="769" ht="21" customHeight="1">
      <x:c r="A769" s="3" t="n">
        <x:v>13</x:v>
      </x:c>
      <x:c r="B769" s="3" t="n">
        <x:v>48</x:v>
      </x:c>
      <x:c r="C769" s="9" t="n">
        <x:v>0.0804901</x:v>
      </x:c>
      <x:c r="D769" s="3" t="n">
        <x:v>0</x:v>
      </x:c>
      <x:c r="E769" s="3" t="n">
        <x:v>1</x:v>
      </x:c>
      <x:c r="F769" s="3" t="n">
        <x:v>1</x:v>
      </x:c>
    </x:row>
    <x:row r="770" ht="21" customHeight="1">
      <x:c r="A770" s="3" t="n">
        <x:v>13</x:v>
      </x:c>
      <x:c r="B770" s="3" t="n">
        <x:v>49</x:v>
      </x:c>
      <x:c r="C770" s="9" t="n">
        <x:v>-0.60279724</x:v>
      </x:c>
      <x:c r="D770" s="3" t="n">
        <x:v>0</x:v>
      </x:c>
      <x:c r="E770" s="3" t="n">
        <x:v>1</x:v>
      </x:c>
      <x:c r="F770" s="3" t="n">
        <x:v>1</x:v>
      </x:c>
    </x:row>
    <x:row r="771" ht="21" customHeight="1">
      <x:c r="A771" s="3" t="n">
        <x:v>13</x:v>
      </x:c>
      <x:c r="B771" s="3" t="n">
        <x:v>50</x:v>
      </x:c>
      <x:c r="C771" s="9" t="n">
        <x:v>1.44018656</x:v>
      </x:c>
      <x:c r="D771" s="3" t="n">
        <x:v>0</x:v>
      </x:c>
      <x:c r="E771" s="3" t="n">
        <x:v>1</x:v>
      </x:c>
      <x:c r="F771" s="3" t="n">
        <x:v>1</x:v>
      </x:c>
    </x:row>
    <x:row r="772" ht="21" customHeight="1">
      <x:c r="A772" s="3" t="n">
        <x:v>13</x:v>
      </x:c>
      <x:c r="B772" s="3" t="n">
        <x:v>51</x:v>
      </x:c>
      <x:c r="C772" s="9" t="n">
        <x:v>-0.07077337</x:v>
      </x:c>
      <x:c r="D772" s="3" t="n">
        <x:v>0</x:v>
      </x:c>
      <x:c r="E772" s="3" t="n">
        <x:v>1</x:v>
      </x:c>
      <x:c r="F772" s="3" t="n">
        <x:v>1</x:v>
      </x:c>
    </x:row>
    <x:row r="773" ht="21" customHeight="1">
      <x:c r="A773" s="3" t="n">
        <x:v>13</x:v>
      </x:c>
      <x:c r="B773" s="3" t="n">
        <x:v>52</x:v>
      </x:c>
      <x:c r="C773" s="9" t="n">
        <x:v>-0.20142919</x:v>
      </x:c>
      <x:c r="D773" s="3" t="n">
        <x:v>0</x:v>
      </x:c>
      <x:c r="E773" s="3" t="n">
        <x:v>1</x:v>
      </x:c>
      <x:c r="F773" s="3" t="n">
        <x:v>1</x:v>
      </x:c>
    </x:row>
    <x:row r="774" ht="21" customHeight="1">
      <x:c r="A774" s="3" t="n">
        <x:v>13</x:v>
      </x:c>
      <x:c r="B774" s="3" t="n">
        <x:v>53</x:v>
      </x:c>
      <x:c r="C774" s="9" t="n">
        <x:v>1.63208213</x:v>
      </x:c>
      <x:c r="D774" s="3" t="n">
        <x:v>0</x:v>
      </x:c>
      <x:c r="E774" s="3" t="n">
        <x:v>1</x:v>
      </x:c>
      <x:c r="F774" s="3" t="n">
        <x:v>1</x:v>
      </x:c>
    </x:row>
    <x:row r="775" ht="21" customHeight="1">
      <x:c r="A775" s="3" t="n">
        <x:v>13</x:v>
      </x:c>
      <x:c r="B775" s="3" t="n">
        <x:v>54</x:v>
      </x:c>
      <x:c r="C775" s="9" t="n">
        <x:v>-1.75380035</x:v>
      </x:c>
      <x:c r="D775" s="3" t="n">
        <x:v>0</x:v>
      </x:c>
      <x:c r="E775" s="3" t="n">
        <x:v>1</x:v>
      </x:c>
      <x:c r="F775" s="3" t="n">
        <x:v>1</x:v>
      </x:c>
    </x:row>
    <x:row r="776" ht="21" customHeight="1">
      <x:c r="A776" s="3" t="n">
        <x:v>13</x:v>
      </x:c>
      <x:c r="B776" s="3" t="n">
        <x:v>55</x:v>
      </x:c>
      <x:c r="C776" s="9" t="n">
        <x:v>-0.62934055</x:v>
      </x:c>
      <x:c r="D776" s="3" t="n">
        <x:v>0</x:v>
      </x:c>
      <x:c r="E776" s="3" t="n">
        <x:v>1</x:v>
      </x:c>
      <x:c r="F776" s="3" t="n">
        <x:v>1</x:v>
      </x:c>
    </x:row>
    <x:row r="777" ht="21" customHeight="1">
      <x:c r="A777" s="3" t="n">
        <x:v>13</x:v>
      </x:c>
      <x:c r="B777" s="3" t="n">
        <x:v>56</x:v>
      </x:c>
      <x:c r="C777" s="9" t="n">
        <x:v>0.41427863</x:v>
      </x:c>
      <x:c r="D777" s="3" t="n">
        <x:v>0</x:v>
      </x:c>
      <x:c r="E777" s="3" t="n">
        <x:v>1</x:v>
      </x:c>
      <x:c r="F777" s="3" t="n">
        <x:v>1</x:v>
      </x:c>
    </x:row>
    <x:row r="778" ht="21" customHeight="1">
      <x:c r="A778" s="3" t="n">
        <x:v>13</x:v>
      </x:c>
      <x:c r="B778" s="3" t="n">
        <x:v>57</x:v>
      </x:c>
      <x:c r="C778" s="9" t="n">
        <x:v>-0.54114829</x:v>
      </x:c>
      <x:c r="D778" s="3" t="n">
        <x:v>0</x:v>
      </x:c>
      <x:c r="E778" s="3" t="n">
        <x:v>1</x:v>
      </x:c>
      <x:c r="F778" s="3" t="n">
        <x:v>1</x:v>
      </x:c>
    </x:row>
    <x:row r="779" ht="21" customHeight="1">
      <x:c r="A779" s="3" t="n">
        <x:v>13</x:v>
      </x:c>
      <x:c r="B779" s="3" t="n">
        <x:v>58</x:v>
      </x:c>
      <x:c r="C779" s="9" t="n">
        <x:v>-0.50931511</x:v>
      </x:c>
      <x:c r="D779" s="3" t="n">
        <x:v>0</x:v>
      </x:c>
      <x:c r="E779" s="3" t="n">
        <x:v>1</x:v>
      </x:c>
      <x:c r="F779" s="3" t="n">
        <x:v>1</x:v>
      </x:c>
    </x:row>
    <x:row r="780" ht="21" customHeight="1">
      <x:c r="A780" s="3" t="n">
        <x:v>13</x:v>
      </x:c>
      <x:c r="B780" s="3" t="n">
        <x:v>59</x:v>
      </x:c>
      <x:c r="C780" s="9" t="n">
        <x:v>1.23401318</x:v>
      </x:c>
      <x:c r="D780" s="3" t="n">
        <x:v>0</x:v>
      </x:c>
      <x:c r="E780" s="3" t="n">
        <x:v>1</x:v>
      </x:c>
      <x:c r="F780" s="3" t="n">
        <x:v>1</x:v>
      </x:c>
    </x:row>
    <x:row r="781" ht="21" customHeight="1">
      <x:c r="A781" s="3" t="n">
        <x:v>13</x:v>
      </x:c>
      <x:c r="B781" s="3" t="n">
        <x:v>60</x:v>
      </x:c>
      <x:c r="C781" s="9" t="n">
        <x:v>0.26532249</x:v>
      </x:c>
      <x:c r="D781" s="3" t="n">
        <x:v>0</x:v>
      </x:c>
      <x:c r="E781" s="3" t="n">
        <x:v>1</x:v>
      </x:c>
      <x:c r="F781" s="3" t="n">
        <x:v>1</x:v>
      </x:c>
    </x:row>
    <x:row r="782" ht="21" customHeight="1">
      <x:c r="A782" s="3" t="n">
        <x:v>14</x:v>
      </x:c>
      <x:c r="B782" s="3" t="n">
        <x:v>1</x:v>
      </x:c>
      <x:c r="C782" s="9" t="n">
        <x:v>-1.68212753</x:v>
      </x:c>
      <x:c r="D782" s="3" t="n">
        <x:v>0</x:v>
      </x:c>
      <x:c r="E782" s="3" t="n">
        <x:v>1</x:v>
      </x:c>
      <x:c r="F782" s="3" t="n">
        <x:v>1</x:v>
      </x:c>
    </x:row>
    <x:row r="783" ht="21" customHeight="1">
      <x:c r="A783" s="3" t="n">
        <x:v>14</x:v>
      </x:c>
      <x:c r="B783" s="3" t="n">
        <x:v>2</x:v>
      </x:c>
      <x:c r="C783" s="9" t="n">
        <x:v>-0.91091727</x:v>
      </x:c>
      <x:c r="D783" s="3" t="n">
        <x:v>0</x:v>
      </x:c>
      <x:c r="E783" s="3" t="n">
        <x:v>1</x:v>
      </x:c>
      <x:c r="F783" s="3" t="n">
        <x:v>1</x:v>
      </x:c>
    </x:row>
    <x:row r="784" ht="21" customHeight="1">
      <x:c r="A784" s="3" t="n">
        <x:v>14</x:v>
      </x:c>
      <x:c r="B784" s="3" t="n">
        <x:v>3</x:v>
      </x:c>
      <x:c r="C784" s="9" t="n">
        <x:v>-0.88139481</x:v>
      </x:c>
      <x:c r="D784" s="3" t="n">
        <x:v>0</x:v>
      </x:c>
      <x:c r="E784" s="3" t="n">
        <x:v>1</x:v>
      </x:c>
      <x:c r="F784" s="3" t="n">
        <x:v>1</x:v>
      </x:c>
    </x:row>
    <x:row r="785" ht="21" customHeight="1">
      <x:c r="A785" s="3" t="n">
        <x:v>14</x:v>
      </x:c>
      <x:c r="B785" s="3" t="n">
        <x:v>4</x:v>
      </x:c>
      <x:c r="C785" s="9" t="n">
        <x:v>1.74126952</x:v>
      </x:c>
      <x:c r="D785" s="3" t="n">
        <x:v>0</x:v>
      </x:c>
      <x:c r="E785" s="3" t="n">
        <x:v>1</x:v>
      </x:c>
      <x:c r="F785" s="3" t="n">
        <x:v>1</x:v>
      </x:c>
    </x:row>
    <x:row r="786" ht="21" customHeight="1">
      <x:c r="A786" s="3" t="n">
        <x:v>14</x:v>
      </x:c>
      <x:c r="B786" s="3" t="n">
        <x:v>5</x:v>
      </x:c>
      <x:c r="C786" s="9" t="n">
        <x:v>0.49777904</x:v>
      </x:c>
      <x:c r="D786" s="3" t="n">
        <x:v>0</x:v>
      </x:c>
      <x:c r="E786" s="3" t="n">
        <x:v>1</x:v>
      </x:c>
      <x:c r="F786" s="3" t="n">
        <x:v>1</x:v>
      </x:c>
    </x:row>
    <x:row r="787" ht="21" customHeight="1">
      <x:c r="A787" s="3" t="n">
        <x:v>14</x:v>
      </x:c>
      <x:c r="B787" s="3" t="n">
        <x:v>6</x:v>
      </x:c>
      <x:c r="C787" s="9" t="n">
        <x:v>-0.98391849</x:v>
      </x:c>
      <x:c r="D787" s="3" t="n">
        <x:v>0</x:v>
      </x:c>
      <x:c r="E787" s="3" t="n">
        <x:v>1</x:v>
      </x:c>
      <x:c r="F787" s="3" t="n">
        <x:v>1</x:v>
      </x:c>
    </x:row>
    <x:row r="788" ht="21" customHeight="1">
      <x:c r="A788" s="3" t="n">
        <x:v>14</x:v>
      </x:c>
      <x:c r="B788" s="3" t="n">
        <x:v>7</x:v>
      </x:c>
      <x:c r="C788" s="9" t="n">
        <x:v>1.23628393</x:v>
      </x:c>
      <x:c r="D788" s="3" t="n">
        <x:v>0</x:v>
      </x:c>
      <x:c r="E788" s="3" t="n">
        <x:v>1</x:v>
      </x:c>
      <x:c r="F788" s="3" t="n">
        <x:v>1</x:v>
      </x:c>
    </x:row>
    <x:row r="789" ht="21" customHeight="1">
      <x:c r="A789" s="3" t="n">
        <x:v>14</x:v>
      </x:c>
      <x:c r="B789" s="3" t="n">
        <x:v>8</x:v>
      </x:c>
      <x:c r="C789" s="9" t="n">
        <x:v>-0.31180094</x:v>
      </x:c>
      <x:c r="D789" s="3" t="n">
        <x:v>0</x:v>
      </x:c>
      <x:c r="E789" s="3" t="n">
        <x:v>1</x:v>
      </x:c>
      <x:c r="F789" s="3" t="n">
        <x:v>1</x:v>
      </x:c>
    </x:row>
    <x:row r="790" ht="21" customHeight="1">
      <x:c r="A790" s="3" t="n">
        <x:v>14</x:v>
      </x:c>
      <x:c r="B790" s="3" t="n">
        <x:v>9</x:v>
      </x:c>
      <x:c r="C790" s="9" t="n">
        <x:v>1.66364528</x:v>
      </x:c>
      <x:c r="D790" s="3" t="n">
        <x:v>0</x:v>
      </x:c>
      <x:c r="E790" s="3" t="n">
        <x:v>1</x:v>
      </x:c>
      <x:c r="F790" s="3" t="n">
        <x:v>1</x:v>
      </x:c>
    </x:row>
    <x:row r="791" ht="21" customHeight="1">
      <x:c r="A791" s="3" t="n">
        <x:v>14</x:v>
      </x:c>
      <x:c r="B791" s="3" t="n">
        <x:v>10</x:v>
      </x:c>
      <x:c r="C791" s="9" t="n">
        <x:v>-0.14527454</x:v>
      </x:c>
      <x:c r="D791" s="3" t="n">
        <x:v>0</x:v>
      </x:c>
      <x:c r="E791" s="3" t="n">
        <x:v>1</x:v>
      </x:c>
      <x:c r="F791" s="3" t="n">
        <x:v>1</x:v>
      </x:c>
    </x:row>
    <x:row r="792" ht="21" customHeight="1">
      <x:c r="A792" s="3" t="n">
        <x:v>14</x:v>
      </x:c>
      <x:c r="B792" s="3" t="n">
        <x:v>11</x:v>
      </x:c>
      <x:c r="C792" s="9" t="n">
        <x:v>-1.38321678</x:v>
      </x:c>
      <x:c r="D792" s="3" t="n">
        <x:v>0</x:v>
      </x:c>
      <x:c r="E792" s="3" t="n">
        <x:v>1</x:v>
      </x:c>
      <x:c r="F792" s="3" t="n">
        <x:v>1</x:v>
      </x:c>
    </x:row>
    <x:row r="793" ht="21" customHeight="1">
      <x:c r="A793" s="3" t="n">
        <x:v>14</x:v>
      </x:c>
      <x:c r="B793" s="3" t="n">
        <x:v>12</x:v>
      </x:c>
      <x:c r="C793" s="9" t="n">
        <x:v>-0.69934996</x:v>
      </x:c>
      <x:c r="D793" s="3" t="n">
        <x:v>0</x:v>
      </x:c>
      <x:c r="E793" s="3" t="n">
        <x:v>1</x:v>
      </x:c>
      <x:c r="F793" s="3" t="n">
        <x:v>1</x:v>
      </x:c>
    </x:row>
    <x:row r="794" ht="21" customHeight="1">
      <x:c r="A794" s="3" t="n">
        <x:v>14</x:v>
      </x:c>
      <x:c r="B794" s="3" t="n">
        <x:v>13</x:v>
      </x:c>
      <x:c r="C794" s="9" t="n">
        <x:v>-1.27908671</x:v>
      </x:c>
      <x:c r="D794" s="3" t="n">
        <x:v>0</x:v>
      </x:c>
      <x:c r="E794" s="3" t="n">
        <x:v>1</x:v>
      </x:c>
      <x:c r="F794" s="3" t="n">
        <x:v>1</x:v>
      </x:c>
    </x:row>
    <x:row r="795" ht="21" customHeight="1">
      <x:c r="A795" s="3" t="n">
        <x:v>14</x:v>
      </x:c>
      <x:c r="B795" s="3" t="n">
        <x:v>14</x:v>
      </x:c>
      <x:c r="C795" s="9" t="n">
        <x:v>-0.02978448</x:v>
      </x:c>
      <x:c r="D795" s="3" t="n">
        <x:v>0</x:v>
      </x:c>
      <x:c r="E795" s="3" t="n">
        <x:v>1</x:v>
      </x:c>
      <x:c r="F795" s="3" t="n">
        <x:v>1</x:v>
      </x:c>
    </x:row>
    <x:row r="796" ht="21" customHeight="1">
      <x:c r="A796" s="3" t="n">
        <x:v>14</x:v>
      </x:c>
      <x:c r="B796" s="3" t="n">
        <x:v>15</x:v>
      </x:c>
      <x:c r="C796" s="9" t="n">
        <x:v>1.8310674</x:v>
      </x:c>
      <x:c r="D796" s="3" t="n">
        <x:v>0</x:v>
      </x:c>
      <x:c r="E796" s="3" t="n">
        <x:v>1</x:v>
      </x:c>
      <x:c r="F796" s="3" t="n">
        <x:v>1</x:v>
      </x:c>
    </x:row>
    <x:row r="797" ht="21" customHeight="1">
      <x:c r="A797" s="3" t="n">
        <x:v>14</x:v>
      </x:c>
      <x:c r="B797" s="3" t="n">
        <x:v>16</x:v>
      </x:c>
      <x:c r="C797" s="9" t="n">
        <x:v>0.85657998</x:v>
      </x:c>
      <x:c r="D797" s="3" t="n">
        <x:v>0</x:v>
      </x:c>
      <x:c r="E797" s="3" t="n">
        <x:v>1</x:v>
      </x:c>
      <x:c r="F797" s="3" t="n">
        <x:v>1</x:v>
      </x:c>
    </x:row>
    <x:row r="798" ht="21" customHeight="1">
      <x:c r="A798" s="3" t="n">
        <x:v>14</x:v>
      </x:c>
      <x:c r="B798" s="3" t="n">
        <x:v>17</x:v>
      </x:c>
      <x:c r="C798" s="9" t="n">
        <x:v>-0.03200983</x:v>
      </x:c>
      <x:c r="D798" s="3" t="n">
        <x:v>0</x:v>
      </x:c>
      <x:c r="E798" s="3" t="n">
        <x:v>1</x:v>
      </x:c>
      <x:c r="F798" s="3" t="n">
        <x:v>1</x:v>
      </x:c>
    </x:row>
    <x:row r="799" ht="21" customHeight="1">
      <x:c r="A799" s="3" t="n">
        <x:v>14</x:v>
      </x:c>
      <x:c r="B799" s="3" t="n">
        <x:v>18</x:v>
      </x:c>
      <x:c r="C799" s="9" t="n">
        <x:v>-0.77836775</x:v>
      </x:c>
      <x:c r="D799" s="3" t="n">
        <x:v>0</x:v>
      </x:c>
      <x:c r="E799" s="3" t="n">
        <x:v>1</x:v>
      </x:c>
      <x:c r="F799" s="3" t="n">
        <x:v>1</x:v>
      </x:c>
    </x:row>
    <x:row r="800" ht="21" customHeight="1">
      <x:c r="A800" s="3" t="n">
        <x:v>14</x:v>
      </x:c>
      <x:c r="B800" s="3" t="n">
        <x:v>19</x:v>
      </x:c>
      <x:c r="C800" s="9" t="n">
        <x:v>-0.90956628</x:v>
      </x:c>
      <x:c r="D800" s="3" t="n">
        <x:v>0</x:v>
      </x:c>
      <x:c r="E800" s="3" t="n">
        <x:v>1</x:v>
      </x:c>
      <x:c r="F800" s="3" t="n">
        <x:v>1</x:v>
      </x:c>
    </x:row>
    <x:row r="801" ht="21" customHeight="1">
      <x:c r="A801" s="3" t="n">
        <x:v>14</x:v>
      </x:c>
      <x:c r="B801" s="3" t="n">
        <x:v>20</x:v>
      </x:c>
      <x:c r="C801" s="9" t="n">
        <x:v>1.52604808</x:v>
      </x:c>
      <x:c r="D801" s="3" t="n">
        <x:v>0</x:v>
      </x:c>
      <x:c r="E801" s="3" t="n">
        <x:v>1</x:v>
      </x:c>
      <x:c r="F801" s="3" t="n">
        <x:v>1</x:v>
      </x:c>
    </x:row>
    <x:row r="802" ht="21" customHeight="1">
      <x:c r="A802" s="3" t="n">
        <x:v>14</x:v>
      </x:c>
      <x:c r="B802" s="3" t="n">
        <x:v>21</x:v>
      </x:c>
      <x:c r="C802" s="9" t="n">
        <x:v>-0.47367098</x:v>
      </x:c>
      <x:c r="D802" s="3" t="n">
        <x:v>0</x:v>
      </x:c>
      <x:c r="E802" s="3" t="n">
        <x:v>1</x:v>
      </x:c>
      <x:c r="F802" s="3" t="n">
        <x:v>1</x:v>
      </x:c>
    </x:row>
    <x:row r="803" ht="21" customHeight="1">
      <x:c r="A803" s="3" t="n">
        <x:v>14</x:v>
      </x:c>
      <x:c r="B803" s="3" t="n">
        <x:v>22</x:v>
      </x:c>
      <x:c r="C803" s="9" t="n">
        <x:v>-0.02997739</x:v>
      </x:c>
      <x:c r="D803" s="3" t="n">
        <x:v>0</x:v>
      </x:c>
      <x:c r="E803" s="3" t="n">
        <x:v>1</x:v>
      </x:c>
      <x:c r="F803" s="3" t="n">
        <x:v>1</x:v>
      </x:c>
    </x:row>
    <x:row r="804" ht="21" customHeight="1">
      <x:c r="A804" s="3" t="n">
        <x:v>14</x:v>
      </x:c>
      <x:c r="B804" s="3" t="n">
        <x:v>23</x:v>
      </x:c>
      <x:c r="C804" s="9" t="n">
        <x:v>-0.87765378</x:v>
      </x:c>
      <x:c r="D804" s="3" t="n">
        <x:v>0</x:v>
      </x:c>
      <x:c r="E804" s="3" t="n">
        <x:v>1</x:v>
      </x:c>
      <x:c r="F804" s="3" t="n">
        <x:v>1</x:v>
      </x:c>
    </x:row>
    <x:row r="805" ht="21" customHeight="1">
      <x:c r="A805" s="3" t="n">
        <x:v>14</x:v>
      </x:c>
      <x:c r="B805" s="3" t="n">
        <x:v>24</x:v>
      </x:c>
      <x:c r="C805" s="9" t="n">
        <x:v>0.55061405</x:v>
      </x:c>
      <x:c r="D805" s="3" t="n">
        <x:v>0</x:v>
      </x:c>
      <x:c r="E805" s="3" t="n">
        <x:v>1</x:v>
      </x:c>
      <x:c r="F805" s="3" t="n">
        <x:v>1</x:v>
      </x:c>
    </x:row>
    <x:row r="806" ht="21" customHeight="1">
      <x:c r="A806" s="3" t="n">
        <x:v>14</x:v>
      </x:c>
      <x:c r="B806" s="3" t="n">
        <x:v>25</x:v>
      </x:c>
      <x:c r="C806" s="9" t="n">
        <x:v>0.40373362</x:v>
      </x:c>
      <x:c r="D806" s="3" t="n">
        <x:v>0</x:v>
      </x:c>
      <x:c r="E806" s="3" t="n">
        <x:v>1</x:v>
      </x:c>
      <x:c r="F806" s="3" t="n">
        <x:v>1</x:v>
      </x:c>
    </x:row>
    <x:row r="807" ht="21" customHeight="1">
      <x:c r="A807" s="3" t="n">
        <x:v>14</x:v>
      </x:c>
      <x:c r="B807" s="3" t="n">
        <x:v>26</x:v>
      </x:c>
      <x:c r="C807" s="9" t="n">
        <x:v>-0.38694884</x:v>
      </x:c>
      <x:c r="D807" s="3" t="n">
        <x:v>0</x:v>
      </x:c>
      <x:c r="E807" s="3" t="n">
        <x:v>1</x:v>
      </x:c>
      <x:c r="F807" s="3" t="n">
        <x:v>1</x:v>
      </x:c>
    </x:row>
    <x:row r="808" ht="21" customHeight="1">
      <x:c r="A808" s="3" t="n">
        <x:v>14</x:v>
      </x:c>
      <x:c r="B808" s="3" t="n">
        <x:v>27</x:v>
      </x:c>
      <x:c r="C808" s="9" t="n">
        <x:v>0.91877461</x:v>
      </x:c>
      <x:c r="D808" s="3" t="n">
        <x:v>0</x:v>
      </x:c>
      <x:c r="E808" s="3" t="n">
        <x:v>1</x:v>
      </x:c>
      <x:c r="F808" s="3" t="n">
        <x:v>1</x:v>
      </x:c>
    </x:row>
    <x:row r="809" ht="21" customHeight="1">
      <x:c r="A809" s="3" t="n">
        <x:v>14</x:v>
      </x:c>
      <x:c r="B809" s="3" t="n">
        <x:v>28</x:v>
      </x:c>
      <x:c r="C809" s="9" t="n">
        <x:v>-0.63424306</x:v>
      </x:c>
      <x:c r="D809" s="3" t="n">
        <x:v>0</x:v>
      </x:c>
      <x:c r="E809" s="3" t="n">
        <x:v>1</x:v>
      </x:c>
      <x:c r="F809" s="3" t="n">
        <x:v>1</x:v>
      </x:c>
    </x:row>
    <x:row r="810" ht="21" customHeight="1">
      <x:c r="A810" s="3" t="n">
        <x:v>14</x:v>
      </x:c>
      <x:c r="B810" s="3" t="n">
        <x:v>29</x:v>
      </x:c>
      <x:c r="C810" s="9" t="n">
        <x:v>0.82152983</x:v>
      </x:c>
      <x:c r="D810" s="3" t="n">
        <x:v>0</x:v>
      </x:c>
      <x:c r="E810" s="3" t="n">
        <x:v>1</x:v>
      </x:c>
      <x:c r="F810" s="3" t="n">
        <x:v>1</x:v>
      </x:c>
    </x:row>
    <x:row r="811" ht="21" customHeight="1">
      <x:c r="A811" s="3" t="n">
        <x:v>14</x:v>
      </x:c>
      <x:c r="B811" s="3" t="n">
        <x:v>30</x:v>
      </x:c>
      <x:c r="C811" s="9" t="n">
        <x:v>-0.93714103</x:v>
      </x:c>
      <x:c r="D811" s="3" t="n">
        <x:v>0</x:v>
      </x:c>
      <x:c r="E811" s="3" t="n">
        <x:v>1</x:v>
      </x:c>
      <x:c r="F811" s="3" t="n">
        <x:v>1</x:v>
      </x:c>
    </x:row>
    <x:row r="812" ht="21" customHeight="1">
      <x:c r="A812" s="3" t="n">
        <x:v>14</x:v>
      </x:c>
      <x:c r="B812" s="3" t="n">
        <x:v>31</x:v>
      </x:c>
      <x:c r="C812" s="9" t="n">
        <x:v>0.73831512</x:v>
      </x:c>
      <x:c r="D812" s="3" t="n">
        <x:v>0</x:v>
      </x:c>
      <x:c r="E812" s="3" t="n">
        <x:v>1</x:v>
      </x:c>
      <x:c r="F812" s="3" t="n">
        <x:v>1</x:v>
      </x:c>
    </x:row>
    <x:row r="813" ht="21" customHeight="1">
      <x:c r="A813" s="3" t="n">
        <x:v>14</x:v>
      </x:c>
      <x:c r="B813" s="3" t="n">
        <x:v>32</x:v>
      </x:c>
      <x:c r="C813" s="9" t="n">
        <x:v>-0.84675143</x:v>
      </x:c>
      <x:c r="D813" s="3" t="n">
        <x:v>0</x:v>
      </x:c>
      <x:c r="E813" s="3" t="n">
        <x:v>1</x:v>
      </x:c>
      <x:c r="F813" s="3" t="n">
        <x:v>1</x:v>
      </x:c>
    </x:row>
    <x:row r="814" ht="21" customHeight="1">
      <x:c r="A814" s="3" t="n">
        <x:v>14</x:v>
      </x:c>
      <x:c r="B814" s="3" t="n">
        <x:v>33</x:v>
      </x:c>
      <x:c r="C814" s="9" t="n">
        <x:v>1.93620729</x:v>
      </x:c>
      <x:c r="D814" s="3" t="n">
        <x:v>0</x:v>
      </x:c>
      <x:c r="E814" s="3" t="n">
        <x:v>1</x:v>
      </x:c>
      <x:c r="F814" s="3" t="n">
        <x:v>1</x:v>
      </x:c>
    </x:row>
    <x:row r="815" ht="21" customHeight="1">
      <x:c r="A815" s="3" t="n">
        <x:v>14</x:v>
      </x:c>
      <x:c r="B815" s="3" t="n">
        <x:v>34</x:v>
      </x:c>
      <x:c r="C815" s="9" t="n">
        <x:v>1.06281578</x:v>
      </x:c>
      <x:c r="D815" s="3" t="n">
        <x:v>0</x:v>
      </x:c>
      <x:c r="E815" s="3" t="n">
        <x:v>1</x:v>
      </x:c>
      <x:c r="F815" s="3" t="n">
        <x:v>1</x:v>
      </x:c>
    </x:row>
    <x:row r="816" ht="21" customHeight="1">
      <x:c r="A816" s="3" t="n">
        <x:v>14</x:v>
      </x:c>
      <x:c r="B816" s="3" t="n">
        <x:v>35</x:v>
      </x:c>
      <x:c r="C816" s="9" t="n">
        <x:v>-0.06937856</x:v>
      </x:c>
      <x:c r="D816" s="3" t="n">
        <x:v>0</x:v>
      </x:c>
      <x:c r="E816" s="3" t="n">
        <x:v>1</x:v>
      </x:c>
      <x:c r="F816" s="3" t="n">
        <x:v>1</x:v>
      </x:c>
    </x:row>
    <x:row r="817" ht="21" customHeight="1">
      <x:c r="A817" s="3" t="n">
        <x:v>14</x:v>
      </x:c>
      <x:c r="B817" s="3" t="n">
        <x:v>36</x:v>
      </x:c>
      <x:c r="C817" s="9" t="n">
        <x:v>-0.52847375</x:v>
      </x:c>
      <x:c r="D817" s="3" t="n">
        <x:v>0</x:v>
      </x:c>
      <x:c r="E817" s="3" t="n">
        <x:v>1</x:v>
      </x:c>
      <x:c r="F817" s="3" t="n">
        <x:v>1</x:v>
      </x:c>
    </x:row>
    <x:row r="818" ht="21" customHeight="1">
      <x:c r="A818" s="3" t="n">
        <x:v>14</x:v>
      </x:c>
      <x:c r="B818" s="3" t="n">
        <x:v>37</x:v>
      </x:c>
      <x:c r="C818" s="9" t="n">
        <x:v>0.36540839</x:v>
      </x:c>
      <x:c r="D818" s="3" t="n">
        <x:v>0</x:v>
      </x:c>
      <x:c r="E818" s="3" t="n">
        <x:v>1</x:v>
      </x:c>
      <x:c r="F818" s="3" t="n">
        <x:v>1</x:v>
      </x:c>
    </x:row>
    <x:row r="819" ht="21" customHeight="1">
      <x:c r="A819" s="3" t="n">
        <x:v>14</x:v>
      </x:c>
      <x:c r="B819" s="3" t="n">
        <x:v>38</x:v>
      </x:c>
      <x:c r="C819" s="9" t="n">
        <x:v>-1.88048415</x:v>
      </x:c>
      <x:c r="D819" s="3" t="n">
        <x:v>0</x:v>
      </x:c>
      <x:c r="E819" s="3" t="n">
        <x:v>1</x:v>
      </x:c>
      <x:c r="F819" s="3" t="n">
        <x:v>1</x:v>
      </x:c>
    </x:row>
    <x:row r="820" ht="21" customHeight="1">
      <x:c r="A820" s="3" t="n">
        <x:v>14</x:v>
      </x:c>
      <x:c r="B820" s="3" t="n">
        <x:v>39</x:v>
      </x:c>
      <x:c r="C820" s="9" t="n">
        <x:v>0.20436411</x:v>
      </x:c>
      <x:c r="D820" s="3" t="n">
        <x:v>0</x:v>
      </x:c>
      <x:c r="E820" s="3" t="n">
        <x:v>1</x:v>
      </x:c>
      <x:c r="F820" s="3" t="n">
        <x:v>1</x:v>
      </x:c>
    </x:row>
    <x:row r="821" ht="21" customHeight="1">
      <x:c r="A821" s="3" t="n">
        <x:v>14</x:v>
      </x:c>
      <x:c r="B821" s="3" t="n">
        <x:v>40</x:v>
      </x:c>
      <x:c r="C821" s="9" t="n">
        <x:v>0.16898844</x:v>
      </x:c>
      <x:c r="D821" s="3" t="n">
        <x:v>0</x:v>
      </x:c>
      <x:c r="E821" s="3" t="n">
        <x:v>1</x:v>
      </x:c>
      <x:c r="F821" s="3" t="n">
        <x:v>1</x:v>
      </x:c>
    </x:row>
    <x:row r="822" ht="21" customHeight="1">
      <x:c r="A822" s="3" t="n">
        <x:v>14</x:v>
      </x:c>
      <x:c r="B822" s="3" t="n">
        <x:v>41</x:v>
      </x:c>
      <x:c r="C822" s="9" t="n">
        <x:v>1.01410857</x:v>
      </x:c>
      <x:c r="D822" s="3" t="n">
        <x:v>0</x:v>
      </x:c>
      <x:c r="E822" s="3" t="n">
        <x:v>1</x:v>
      </x:c>
      <x:c r="F822" s="3" t="n">
        <x:v>1</x:v>
      </x:c>
    </x:row>
    <x:row r="823" ht="21" customHeight="1">
      <x:c r="A823" s="3" t="n">
        <x:v>14</x:v>
      </x:c>
      <x:c r="B823" s="3" t="n">
        <x:v>42</x:v>
      </x:c>
      <x:c r="C823" s="9" t="n">
        <x:v>-1.3480157</x:v>
      </x:c>
      <x:c r="D823" s="3" t="n">
        <x:v>0</x:v>
      </x:c>
      <x:c r="E823" s="3" t="n">
        <x:v>1</x:v>
      </x:c>
      <x:c r="F823" s="3" t="n">
        <x:v>1</x:v>
      </x:c>
    </x:row>
    <x:row r="824" ht="21" customHeight="1">
      <x:c r="A824" s="3" t="n">
        <x:v>14</x:v>
      </x:c>
      <x:c r="B824" s="3" t="n">
        <x:v>43</x:v>
      </x:c>
      <x:c r="C824" s="9" t="n">
        <x:v>-0.18746714</x:v>
      </x:c>
      <x:c r="D824" s="3" t="n">
        <x:v>0</x:v>
      </x:c>
      <x:c r="E824" s="3" t="n">
        <x:v>1</x:v>
      </x:c>
      <x:c r="F824" s="3" t="n">
        <x:v>1</x:v>
      </x:c>
    </x:row>
    <x:row r="825" ht="21" customHeight="1">
      <x:c r="A825" s="3" t="n">
        <x:v>14</x:v>
      </x:c>
      <x:c r="B825" s="3" t="n">
        <x:v>44</x:v>
      </x:c>
      <x:c r="C825" s="9" t="n">
        <x:v>0.52583855</x:v>
      </x:c>
      <x:c r="D825" s="3" t="n">
        <x:v>0</x:v>
      </x:c>
      <x:c r="E825" s="3" t="n">
        <x:v>1</x:v>
      </x:c>
      <x:c r="F825" s="3" t="n">
        <x:v>1</x:v>
      </x:c>
    </x:row>
    <x:row r="826" ht="21" customHeight="1">
      <x:c r="A826" s="3" t="n">
        <x:v>14</x:v>
      </x:c>
      <x:c r="B826" s="3" t="n">
        <x:v>45</x:v>
      </x:c>
      <x:c r="C826" s="9" t="n">
        <x:v>-0.47966979</x:v>
      </x:c>
      <x:c r="D826" s="3" t="n">
        <x:v>0</x:v>
      </x:c>
      <x:c r="E826" s="3" t="n">
        <x:v>1</x:v>
      </x:c>
      <x:c r="F826" s="3" t="n">
        <x:v>1</x:v>
      </x:c>
    </x:row>
    <x:row r="827" ht="21" customHeight="1">
      <x:c r="A827" s="3" t="n">
        <x:v>14</x:v>
      </x:c>
      <x:c r="B827" s="3" t="n">
        <x:v>46</x:v>
      </x:c>
      <x:c r="C827" s="9" t="n">
        <x:v>-0.52761151</x:v>
      </x:c>
      <x:c r="D827" s="3" t="n">
        <x:v>0</x:v>
      </x:c>
      <x:c r="E827" s="3" t="n">
        <x:v>1</x:v>
      </x:c>
      <x:c r="F827" s="3" t="n">
        <x:v>1</x:v>
      </x:c>
    </x:row>
    <x:row r="828" ht="21" customHeight="1">
      <x:c r="A828" s="3" t="n">
        <x:v>14</x:v>
      </x:c>
      <x:c r="B828" s="3" t="n">
        <x:v>47</x:v>
      </x:c>
      <x:c r="C828" s="9" t="n">
        <x:v>-0.1591761</x:v>
      </x:c>
      <x:c r="D828" s="3" t="n">
        <x:v>0</x:v>
      </x:c>
      <x:c r="E828" s="3" t="n">
        <x:v>1</x:v>
      </x:c>
      <x:c r="F828" s="3" t="n">
        <x:v>1</x:v>
      </x:c>
    </x:row>
    <x:row r="829" ht="21" customHeight="1">
      <x:c r="A829" s="3" t="n">
        <x:v>14</x:v>
      </x:c>
      <x:c r="B829" s="3" t="n">
        <x:v>48</x:v>
      </x:c>
      <x:c r="C829" s="9" t="n">
        <x:v>-1.14965691</x:v>
      </x:c>
      <x:c r="D829" s="3" t="n">
        <x:v>0</x:v>
      </x:c>
      <x:c r="E829" s="3" t="n">
        <x:v>1</x:v>
      </x:c>
      <x:c r="F829" s="3" t="n">
        <x:v>1</x:v>
      </x:c>
    </x:row>
    <x:row r="830" ht="21" customHeight="1">
      <x:c r="A830" s="3" t="n">
        <x:v>14</x:v>
      </x:c>
      <x:c r="B830" s="3" t="n">
        <x:v>49</x:v>
      </x:c>
      <x:c r="C830" s="9" t="n">
        <x:v>-0.74036479</x:v>
      </x:c>
      <x:c r="D830" s="3" t="n">
        <x:v>0</x:v>
      </x:c>
      <x:c r="E830" s="3" t="n">
        <x:v>1</x:v>
      </x:c>
      <x:c r="F830" s="3" t="n">
        <x:v>1</x:v>
      </x:c>
    </x:row>
    <x:row r="831" ht="21" customHeight="1">
      <x:c r="A831" s="3" t="n">
        <x:v>14</x:v>
      </x:c>
      <x:c r="B831" s="3" t="n">
        <x:v>50</x:v>
      </x:c>
      <x:c r="C831" s="9" t="n">
        <x:v>-0.37428809</x:v>
      </x:c>
      <x:c r="D831" s="3" t="n">
        <x:v>0</x:v>
      </x:c>
      <x:c r="E831" s="3" t="n">
        <x:v>1</x:v>
      </x:c>
      <x:c r="F831" s="3" t="n">
        <x:v>1</x:v>
      </x:c>
    </x:row>
    <x:row r="832" ht="21" customHeight="1">
      <x:c r="A832" s="3" t="n">
        <x:v>14</x:v>
      </x:c>
      <x:c r="B832" s="3" t="n">
        <x:v>51</x:v>
      </x:c>
      <x:c r="C832" s="9" t="n">
        <x:v>-0.11253511</x:v>
      </x:c>
      <x:c r="D832" s="3" t="n">
        <x:v>0</x:v>
      </x:c>
      <x:c r="E832" s="3" t="n">
        <x:v>1</x:v>
      </x:c>
      <x:c r="F832" s="3" t="n">
        <x:v>1</x:v>
      </x:c>
    </x:row>
    <x:row r="833" ht="21" customHeight="1">
      <x:c r="A833" s="3" t="n">
        <x:v>14</x:v>
      </x:c>
      <x:c r="B833" s="3" t="n">
        <x:v>52</x:v>
      </x:c>
      <x:c r="C833" s="9" t="n">
        <x:v>1.56590814</x:v>
      </x:c>
      <x:c r="D833" s="3" t="n">
        <x:v>0</x:v>
      </x:c>
      <x:c r="E833" s="3" t="n">
        <x:v>1</x:v>
      </x:c>
      <x:c r="F833" s="3" t="n">
        <x:v>1</x:v>
      </x:c>
    </x:row>
    <x:row r="834" ht="21" customHeight="1">
      <x:c r="A834" s="3" t="n">
        <x:v>14</x:v>
      </x:c>
      <x:c r="B834" s="3" t="n">
        <x:v>53</x:v>
      </x:c>
      <x:c r="C834" s="9" t="n">
        <x:v>-0.08457656</x:v>
      </x:c>
      <x:c r="D834" s="3" t="n">
        <x:v>0</x:v>
      </x:c>
      <x:c r="E834" s="3" t="n">
        <x:v>1</x:v>
      </x:c>
      <x:c r="F834" s="3" t="n">
        <x:v>1</x:v>
      </x:c>
    </x:row>
    <x:row r="835" ht="21" customHeight="1">
      <x:c r="A835" s="3" t="n">
        <x:v>14</x:v>
      </x:c>
      <x:c r="B835" s="3" t="n">
        <x:v>54</x:v>
      </x:c>
      <x:c r="C835" s="9" t="n">
        <x:v>-0.00670344</x:v>
      </x:c>
      <x:c r="D835" s="3" t="n">
        <x:v>0</x:v>
      </x:c>
      <x:c r="E835" s="3" t="n">
        <x:v>1</x:v>
      </x:c>
      <x:c r="F835" s="3" t="n">
        <x:v>1</x:v>
      </x:c>
    </x:row>
    <x:row r="836" ht="21" customHeight="1">
      <x:c r="A836" s="3" t="n">
        <x:v>14</x:v>
      </x:c>
      <x:c r="B836" s="3" t="n">
        <x:v>55</x:v>
      </x:c>
      <x:c r="C836" s="9" t="n">
        <x:v>0.52635443</x:v>
      </x:c>
      <x:c r="D836" s="3" t="n">
        <x:v>0</x:v>
      </x:c>
      <x:c r="E836" s="3" t="n">
        <x:v>1</x:v>
      </x:c>
      <x:c r="F836" s="3" t="n">
        <x:v>1</x:v>
      </x:c>
    </x:row>
    <x:row r="837" ht="21" customHeight="1">
      <x:c r="A837" s="3" t="n">
        <x:v>14</x:v>
      </x:c>
      <x:c r="B837" s="3" t="n">
        <x:v>56</x:v>
      </x:c>
      <x:c r="C837" s="9" t="n">
        <x:v>-1.16424383</x:v>
      </x:c>
      <x:c r="D837" s="3" t="n">
        <x:v>0</x:v>
      </x:c>
      <x:c r="E837" s="3" t="n">
        <x:v>1</x:v>
      </x:c>
      <x:c r="F837" s="3" t="n">
        <x:v>1</x:v>
      </x:c>
    </x:row>
    <x:row r="838" ht="21" customHeight="1">
      <x:c r="A838" s="3" t="n">
        <x:v>14</x:v>
      </x:c>
      <x:c r="B838" s="3" t="n">
        <x:v>57</x:v>
      </x:c>
      <x:c r="C838" s="9" t="n">
        <x:v>-1.46008416</x:v>
      </x:c>
      <x:c r="D838" s="3" t="n">
        <x:v>0</x:v>
      </x:c>
      <x:c r="E838" s="3" t="n">
        <x:v>1</x:v>
      </x:c>
      <x:c r="F838" s="3" t="n">
        <x:v>1</x:v>
      </x:c>
    </x:row>
    <x:row r="839" ht="21" customHeight="1">
      <x:c r="A839" s="3" t="n">
        <x:v>14</x:v>
      </x:c>
      <x:c r="B839" s="3" t="n">
        <x:v>58</x:v>
      </x:c>
      <x:c r="C839" s="9" t="n">
        <x:v>1.15023053</x:v>
      </x:c>
      <x:c r="D839" s="3" t="n">
        <x:v>0</x:v>
      </x:c>
      <x:c r="E839" s="3" t="n">
        <x:v>1</x:v>
      </x:c>
      <x:c r="F839" s="3" t="n">
        <x:v>1</x:v>
      </x:c>
    </x:row>
    <x:row r="840" ht="21" customHeight="1">
      <x:c r="A840" s="3" t="n">
        <x:v>14</x:v>
      </x:c>
      <x:c r="B840" s="3" t="n">
        <x:v>59</x:v>
      </x:c>
      <x:c r="C840" s="9" t="n">
        <x:v>0.34145576</x:v>
      </x:c>
      <x:c r="D840" s="3" t="n">
        <x:v>0</x:v>
      </x:c>
      <x:c r="E840" s="3" t="n">
        <x:v>1</x:v>
      </x:c>
      <x:c r="F840" s="3" t="n">
        <x:v>1</x:v>
      </x:c>
    </x:row>
    <x:row r="841" ht="21" customHeight="1">
      <x:c r="A841" s="3" t="n">
        <x:v>14</x:v>
      </x:c>
      <x:c r="B841" s="3" t="n">
        <x:v>60</x:v>
      </x:c>
      <x:c r="C841" s="9" t="n">
        <x:v>-0.18232672</x:v>
      </x:c>
      <x:c r="D841" s="3" t="n">
        <x:v>0</x:v>
      </x:c>
      <x:c r="E841" s="3" t="n">
        <x:v>1</x:v>
      </x:c>
      <x:c r="F841" s="3" t="n">
        <x:v>1</x:v>
      </x:c>
    </x:row>
    <x:row r="842" ht="21" customHeight="1">
      <x:c r="A842" s="3" t="n">
        <x:v>15</x:v>
      </x:c>
      <x:c r="B842" s="3" t="n">
        <x:v>1</x:v>
      </x:c>
      <x:c r="C842" s="9" t="n">
        <x:v>0.91381233</x:v>
      </x:c>
      <x:c r="D842" s="3" t="n">
        <x:v>0</x:v>
      </x:c>
      <x:c r="E842" s="3" t="n">
        <x:v>1</x:v>
      </x:c>
      <x:c r="F842" s="3" t="n">
        <x:v>1</x:v>
      </x:c>
    </x:row>
    <x:row r="843" ht="21" customHeight="1">
      <x:c r="A843" s="3" t="n">
        <x:v>15</x:v>
      </x:c>
      <x:c r="B843" s="3" t="n">
        <x:v>2</x:v>
      </x:c>
      <x:c r="C843" s="9" t="n">
        <x:v>0.3648228</x:v>
      </x:c>
      <x:c r="D843" s="3" t="n">
        <x:v>0</x:v>
      </x:c>
      <x:c r="E843" s="3" t="n">
        <x:v>1</x:v>
      </x:c>
      <x:c r="F843" s="3" t="n">
        <x:v>1</x:v>
      </x:c>
    </x:row>
    <x:row r="844" ht="21" customHeight="1">
      <x:c r="A844" s="3" t="n">
        <x:v>15</x:v>
      </x:c>
      <x:c r="B844" s="3" t="n">
        <x:v>3</x:v>
      </x:c>
      <x:c r="C844" s="9" t="n">
        <x:v>0.6321581</x:v>
      </x:c>
      <x:c r="D844" s="3" t="n">
        <x:v>0</x:v>
      </x:c>
      <x:c r="E844" s="3" t="n">
        <x:v>1</x:v>
      </x:c>
      <x:c r="F844" s="3" t="n">
        <x:v>1</x:v>
      </x:c>
    </x:row>
    <x:row r="845" ht="21" customHeight="1">
      <x:c r="A845" s="3" t="n">
        <x:v>15</x:v>
      </x:c>
      <x:c r="B845" s="3" t="n">
        <x:v>4</x:v>
      </x:c>
      <x:c r="C845" s="9" t="n">
        <x:v>0.1824969</x:v>
      </x:c>
      <x:c r="D845" s="3" t="n">
        <x:v>0</x:v>
      </x:c>
      <x:c r="E845" s="3" t="n">
        <x:v>1</x:v>
      </x:c>
      <x:c r="F845" s="3" t="n">
        <x:v>1</x:v>
      </x:c>
    </x:row>
    <x:row r="846" ht="21" customHeight="1">
      <x:c r="A846" s="3" t="n">
        <x:v>15</x:v>
      </x:c>
      <x:c r="B846" s="3" t="n">
        <x:v>5</x:v>
      </x:c>
      <x:c r="C846" s="9" t="n">
        <x:v>-0.76130057</x:v>
      </x:c>
      <x:c r="D846" s="3" t="n">
        <x:v>0</x:v>
      </x:c>
      <x:c r="E846" s="3" t="n">
        <x:v>1</x:v>
      </x:c>
      <x:c r="F846" s="3" t="n">
        <x:v>1</x:v>
      </x:c>
    </x:row>
    <x:row r="847" ht="21" customHeight="1">
      <x:c r="A847" s="3" t="n">
        <x:v>15</x:v>
      </x:c>
      <x:c r="B847" s="3" t="n">
        <x:v>6</x:v>
      </x:c>
      <x:c r="C847" s="9" t="n">
        <x:v>2.34863731</x:v>
      </x:c>
      <x:c r="D847" s="3" t="n">
        <x:v>0</x:v>
      </x:c>
      <x:c r="E847" s="3" t="n">
        <x:v>1</x:v>
      </x:c>
      <x:c r="F847" s="3" t="n">
        <x:v>1</x:v>
      </x:c>
    </x:row>
    <x:row r="848" ht="21" customHeight="1">
      <x:c r="A848" s="3" t="n">
        <x:v>15</x:v>
      </x:c>
      <x:c r="B848" s="3" t="n">
        <x:v>7</x:v>
      </x:c>
      <x:c r="C848" s="9" t="n">
        <x:v>1.37660536</x:v>
      </x:c>
      <x:c r="D848" s="3" t="n">
        <x:v>0</x:v>
      </x:c>
      <x:c r="E848" s="3" t="n">
        <x:v>1</x:v>
      </x:c>
      <x:c r="F848" s="3" t="n">
        <x:v>1</x:v>
      </x:c>
    </x:row>
    <x:row r="849" ht="21" customHeight="1">
      <x:c r="A849" s="3" t="n">
        <x:v>15</x:v>
      </x:c>
      <x:c r="B849" s="3" t="n">
        <x:v>8</x:v>
      </x:c>
      <x:c r="C849" s="9" t="n">
        <x:v>-1.17611738</x:v>
      </x:c>
      <x:c r="D849" s="3" t="n">
        <x:v>0</x:v>
      </x:c>
      <x:c r="E849" s="3" t="n">
        <x:v>1</x:v>
      </x:c>
      <x:c r="F849" s="3" t="n">
        <x:v>1</x:v>
      </x:c>
    </x:row>
    <x:row r="850" ht="21" customHeight="1">
      <x:c r="A850" s="3" t="n">
        <x:v>15</x:v>
      </x:c>
      <x:c r="B850" s="3" t="n">
        <x:v>9</x:v>
      </x:c>
      <x:c r="C850" s="9" t="n">
        <x:v>-0.61548198</x:v>
      </x:c>
      <x:c r="D850" s="3" t="n">
        <x:v>0</x:v>
      </x:c>
      <x:c r="E850" s="3" t="n">
        <x:v>1</x:v>
      </x:c>
      <x:c r="F850" s="3" t="n">
        <x:v>1</x:v>
      </x:c>
    </x:row>
    <x:row r="851" ht="21" customHeight="1">
      <x:c r="A851" s="3" t="n">
        <x:v>15</x:v>
      </x:c>
      <x:c r="B851" s="3" t="n">
        <x:v>10</x:v>
      </x:c>
      <x:c r="C851" s="9" t="n">
        <x:v>-0.26136987</x:v>
      </x:c>
      <x:c r="D851" s="3" t="n">
        <x:v>0</x:v>
      </x:c>
      <x:c r="E851" s="3" t="n">
        <x:v>1</x:v>
      </x:c>
      <x:c r="F851" s="3" t="n">
        <x:v>1</x:v>
      </x:c>
    </x:row>
    <x:row r="852" ht="21" customHeight="1">
      <x:c r="A852" s="3" t="n">
        <x:v>15</x:v>
      </x:c>
      <x:c r="B852" s="3" t="n">
        <x:v>11</x:v>
      </x:c>
      <x:c r="C852" s="9" t="n">
        <x:v>-0.51288916</x:v>
      </x:c>
      <x:c r="D852" s="3" t="n">
        <x:v>0</x:v>
      </x:c>
      <x:c r="E852" s="3" t="n">
        <x:v>1</x:v>
      </x:c>
      <x:c r="F852" s="3" t="n">
        <x:v>1</x:v>
      </x:c>
    </x:row>
    <x:row r="853" ht="21" customHeight="1">
      <x:c r="A853" s="3" t="n">
        <x:v>15</x:v>
      </x:c>
      <x:c r="B853" s="3" t="n">
        <x:v>12</x:v>
      </x:c>
      <x:c r="C853" s="9" t="n">
        <x:v>0.20347277</x:v>
      </x:c>
      <x:c r="D853" s="3" t="n">
        <x:v>0</x:v>
      </x:c>
      <x:c r="E853" s="3" t="n">
        <x:v>1</x:v>
      </x:c>
      <x:c r="F853" s="3" t="n">
        <x:v>1</x:v>
      </x:c>
    </x:row>
    <x:row r="854" ht="21" customHeight="1">
      <x:c r="A854" s="3" t="n">
        <x:v>15</x:v>
      </x:c>
      <x:c r="B854" s="3" t="n">
        <x:v>13</x:v>
      </x:c>
      <x:c r="C854" s="9" t="n">
        <x:v>-1.09935811</x:v>
      </x:c>
      <x:c r="D854" s="3" t="n">
        <x:v>0</x:v>
      </x:c>
      <x:c r="E854" s="3" t="n">
        <x:v>1</x:v>
      </x:c>
      <x:c r="F854" s="3" t="n">
        <x:v>1</x:v>
      </x:c>
    </x:row>
    <x:row r="855" ht="21" customHeight="1">
      <x:c r="A855" s="3" t="n">
        <x:v>15</x:v>
      </x:c>
      <x:c r="B855" s="3" t="n">
        <x:v>14</x:v>
      </x:c>
      <x:c r="C855" s="9" t="n">
        <x:v>-0.11344764</x:v>
      </x:c>
      <x:c r="D855" s="3" t="n">
        <x:v>0</x:v>
      </x:c>
      <x:c r="E855" s="3" t="n">
        <x:v>1</x:v>
      </x:c>
      <x:c r="F855" s="3" t="n">
        <x:v>1</x:v>
      </x:c>
    </x:row>
    <x:row r="856" ht="21" customHeight="1">
      <x:c r="A856" s="3" t="n">
        <x:v>15</x:v>
      </x:c>
      <x:c r="B856" s="3" t="n">
        <x:v>15</x:v>
      </x:c>
      <x:c r="C856" s="9" t="n">
        <x:v>-0.50389737</x:v>
      </x:c>
      <x:c r="D856" s="3" t="n">
        <x:v>0</x:v>
      </x:c>
      <x:c r="E856" s="3" t="n">
        <x:v>1</x:v>
      </x:c>
      <x:c r="F856" s="3" t="n">
        <x:v>1</x:v>
      </x:c>
    </x:row>
    <x:row r="857" ht="21" customHeight="1">
      <x:c r="A857" s="3" t="n">
        <x:v>15</x:v>
      </x:c>
      <x:c r="B857" s="3" t="n">
        <x:v>16</x:v>
      </x:c>
      <x:c r="C857" s="9" t="n">
        <x:v>-1.24851952</x:v>
      </x:c>
      <x:c r="D857" s="3" t="n">
        <x:v>0</x:v>
      </x:c>
      <x:c r="E857" s="3" t="n">
        <x:v>1</x:v>
      </x:c>
      <x:c r="F857" s="3" t="n">
        <x:v>1</x:v>
      </x:c>
    </x:row>
    <x:row r="858" ht="21" customHeight="1">
      <x:c r="A858" s="3" t="n">
        <x:v>15</x:v>
      </x:c>
      <x:c r="B858" s="3" t="n">
        <x:v>17</x:v>
      </x:c>
      <x:c r="C858" s="9" t="n">
        <x:v>2.12002916</x:v>
      </x:c>
      <x:c r="D858" s="3" t="n">
        <x:v>0</x:v>
      </x:c>
      <x:c r="E858" s="3" t="n">
        <x:v>1</x:v>
      </x:c>
      <x:c r="F858" s="3" t="n">
        <x:v>1</x:v>
      </x:c>
    </x:row>
    <x:row r="859" ht="21" customHeight="1">
      <x:c r="A859" s="3" t="n">
        <x:v>15</x:v>
      </x:c>
      <x:c r="B859" s="3" t="n">
        <x:v>18</x:v>
      </x:c>
      <x:c r="C859" s="9" t="n">
        <x:v>0.52435794</x:v>
      </x:c>
      <x:c r="D859" s="3" t="n">
        <x:v>0</x:v>
      </x:c>
      <x:c r="E859" s="3" t="n">
        <x:v>1</x:v>
      </x:c>
      <x:c r="F859" s="3" t="n">
        <x:v>1</x:v>
      </x:c>
    </x:row>
    <x:row r="860" ht="21" customHeight="1">
      <x:c r="A860" s="3" t="n">
        <x:v>15</x:v>
      </x:c>
      <x:c r="B860" s="3" t="n">
        <x:v>19</x:v>
      </x:c>
      <x:c r="C860" s="9" t="n">
        <x:v>-1.54223889</x:v>
      </x:c>
      <x:c r="D860" s="3" t="n">
        <x:v>0</x:v>
      </x:c>
      <x:c r="E860" s="3" t="n">
        <x:v>1</x:v>
      </x:c>
      <x:c r="F860" s="3" t="n">
        <x:v>1</x:v>
      </x:c>
    </x:row>
    <x:row r="861" ht="21" customHeight="1">
      <x:c r="A861" s="3" t="n">
        <x:v>15</x:v>
      </x:c>
      <x:c r="B861" s="3" t="n">
        <x:v>20</x:v>
      </x:c>
      <x:c r="C861" s="9" t="n">
        <x:v>0.91378256</x:v>
      </x:c>
      <x:c r="D861" s="3" t="n">
        <x:v>0</x:v>
      </x:c>
      <x:c r="E861" s="3" t="n">
        <x:v>1</x:v>
      </x:c>
      <x:c r="F861" s="3" t="n">
        <x:v>1</x:v>
      </x:c>
    </x:row>
    <x:row r="862" ht="21" customHeight="1">
      <x:c r="A862" s="3" t="n">
        <x:v>15</x:v>
      </x:c>
      <x:c r="B862" s="3" t="n">
        <x:v>21</x:v>
      </x:c>
      <x:c r="C862" s="9" t="n">
        <x:v>-0.5512389</x:v>
      </x:c>
      <x:c r="D862" s="3" t="n">
        <x:v>0</x:v>
      </x:c>
      <x:c r="E862" s="3" t="n">
        <x:v>1</x:v>
      </x:c>
      <x:c r="F862" s="3" t="n">
        <x:v>1</x:v>
      </x:c>
    </x:row>
    <x:row r="863" ht="21" customHeight="1">
      <x:c r="A863" s="3" t="n">
        <x:v>15</x:v>
      </x:c>
      <x:c r="B863" s="3" t="n">
        <x:v>22</x:v>
      </x:c>
      <x:c r="C863" s="9" t="n">
        <x:v>-1.55607691</x:v>
      </x:c>
      <x:c r="D863" s="3" t="n">
        <x:v>0</x:v>
      </x:c>
      <x:c r="E863" s="3" t="n">
        <x:v>1</x:v>
      </x:c>
      <x:c r="F863" s="3" t="n">
        <x:v>1</x:v>
      </x:c>
    </x:row>
    <x:row r="864" ht="21" customHeight="1">
      <x:c r="A864" s="3" t="n">
        <x:v>15</x:v>
      </x:c>
      <x:c r="B864" s="3" t="n">
        <x:v>23</x:v>
      </x:c>
      <x:c r="C864" s="9" t="n">
        <x:v>-0.72603358</x:v>
      </x:c>
      <x:c r="D864" s="3" t="n">
        <x:v>0</x:v>
      </x:c>
      <x:c r="E864" s="3" t="n">
        <x:v>1</x:v>
      </x:c>
      <x:c r="F864" s="3" t="n">
        <x:v>1</x:v>
      </x:c>
    </x:row>
    <x:row r="865" ht="21" customHeight="1">
      <x:c r="A865" s="3" t="n">
        <x:v>15</x:v>
      </x:c>
      <x:c r="B865" s="3" t="n">
        <x:v>24</x:v>
      </x:c>
      <x:c r="C865" s="9" t="n">
        <x:v>0.76177323</x:v>
      </x:c>
      <x:c r="D865" s="3" t="n">
        <x:v>0</x:v>
      </x:c>
      <x:c r="E865" s="3" t="n">
        <x:v>1</x:v>
      </x:c>
      <x:c r="F865" s="3" t="n">
        <x:v>1</x:v>
      </x:c>
    </x:row>
    <x:row r="866" ht="21" customHeight="1">
      <x:c r="A866" s="3" t="n">
        <x:v>15</x:v>
      </x:c>
      <x:c r="B866" s="3" t="n">
        <x:v>25</x:v>
      </x:c>
      <x:c r="C866" s="9" t="n">
        <x:v>0.0699789</x:v>
      </x:c>
      <x:c r="D866" s="3" t="n">
        <x:v>0</x:v>
      </x:c>
      <x:c r="E866" s="3" t="n">
        <x:v>1</x:v>
      </x:c>
      <x:c r="F866" s="3" t="n">
        <x:v>1</x:v>
      </x:c>
    </x:row>
    <x:row r="867" ht="21" customHeight="1">
      <x:c r="A867" s="3" t="n">
        <x:v>15</x:v>
      </x:c>
      <x:c r="B867" s="3" t="n">
        <x:v>26</x:v>
      </x:c>
      <x:c r="C867" s="9" t="n">
        <x:v>2.11760692</x:v>
      </x:c>
      <x:c r="D867" s="3" t="n">
        <x:v>0</x:v>
      </x:c>
      <x:c r="E867" s="3" t="n">
        <x:v>1</x:v>
      </x:c>
      <x:c r="F867" s="3" t="n">
        <x:v>1</x:v>
      </x:c>
    </x:row>
    <x:row r="868" ht="21" customHeight="1">
      <x:c r="A868" s="3" t="n">
        <x:v>15</x:v>
      </x:c>
      <x:c r="B868" s="3" t="n">
        <x:v>27</x:v>
      </x:c>
      <x:c r="C868" s="9" t="n">
        <x:v>0.53494798</x:v>
      </x:c>
      <x:c r="D868" s="3" t="n">
        <x:v>0</x:v>
      </x:c>
      <x:c r="E868" s="3" t="n">
        <x:v>1</x:v>
      </x:c>
      <x:c r="F868" s="3" t="n">
        <x:v>1</x:v>
      </x:c>
    </x:row>
    <x:row r="869" ht="21" customHeight="1">
      <x:c r="A869" s="3" t="n">
        <x:v>15</x:v>
      </x:c>
      <x:c r="B869" s="3" t="n">
        <x:v>28</x:v>
      </x:c>
      <x:c r="C869" s="9" t="n">
        <x:v>0.75020368</x:v>
      </x:c>
      <x:c r="D869" s="3" t="n">
        <x:v>0</x:v>
      </x:c>
      <x:c r="E869" s="3" t="n">
        <x:v>1</x:v>
      </x:c>
      <x:c r="F869" s="3" t="n">
        <x:v>1</x:v>
      </x:c>
    </x:row>
    <x:row r="870" ht="21" customHeight="1">
      <x:c r="A870" s="3" t="n">
        <x:v>15</x:v>
      </x:c>
      <x:c r="B870" s="3" t="n">
        <x:v>29</x:v>
      </x:c>
      <x:c r="C870" s="9" t="n">
        <x:v>1.85414673</x:v>
      </x:c>
      <x:c r="D870" s="3" t="n">
        <x:v>0</x:v>
      </x:c>
      <x:c r="E870" s="3" t="n">
        <x:v>1</x:v>
      </x:c>
      <x:c r="F870" s="3" t="n">
        <x:v>1</x:v>
      </x:c>
    </x:row>
    <x:row r="871" ht="21" customHeight="1">
      <x:c r="A871" s="3" t="n">
        <x:v>15</x:v>
      </x:c>
      <x:c r="B871" s="3" t="n">
        <x:v>30</x:v>
      </x:c>
      <x:c r="C871" s="9" t="n">
        <x:v>-0.96641472</x:v>
      </x:c>
      <x:c r="D871" s="3" t="n">
        <x:v>0</x:v>
      </x:c>
      <x:c r="E871" s="3" t="n">
        <x:v>1</x:v>
      </x:c>
      <x:c r="F871" s="3" t="n">
        <x:v>1</x:v>
      </x:c>
    </x:row>
    <x:row r="872" ht="21" customHeight="1">
      <x:c r="A872" s="3" t="n">
        <x:v>15</x:v>
      </x:c>
      <x:c r="B872" s="3" t="n">
        <x:v>31</x:v>
      </x:c>
      <x:c r="C872" s="9" t="n">
        <x:v>0.03898373</x:v>
      </x:c>
      <x:c r="D872" s="3" t="n">
        <x:v>0</x:v>
      </x:c>
      <x:c r="E872" s="3" t="n">
        <x:v>1</x:v>
      </x:c>
      <x:c r="F872" s="3" t="n">
        <x:v>1</x:v>
      </x:c>
    </x:row>
    <x:row r="873" ht="21" customHeight="1">
      <x:c r="A873" s="3" t="n">
        <x:v>15</x:v>
      </x:c>
      <x:c r="B873" s="3" t="n">
        <x:v>32</x:v>
      </x:c>
      <x:c r="C873" s="9" t="n">
        <x:v>-0.13979431</x:v>
      </x:c>
      <x:c r="D873" s="3" t="n">
        <x:v>0</x:v>
      </x:c>
      <x:c r="E873" s="3" t="n">
        <x:v>1</x:v>
      </x:c>
      <x:c r="F873" s="3" t="n">
        <x:v>1</x:v>
      </x:c>
    </x:row>
    <x:row r="874" ht="21" customHeight="1">
      <x:c r="A874" s="3" t="n">
        <x:v>15</x:v>
      </x:c>
      <x:c r="B874" s="3" t="n">
        <x:v>33</x:v>
      </x:c>
      <x:c r="C874" s="9" t="n">
        <x:v>0.89504283</x:v>
      </x:c>
      <x:c r="D874" s="3" t="n">
        <x:v>0</x:v>
      </x:c>
      <x:c r="E874" s="3" t="n">
        <x:v>1</x:v>
      </x:c>
      <x:c r="F874" s="3" t="n">
        <x:v>1</x:v>
      </x:c>
    </x:row>
    <x:row r="875" ht="21" customHeight="1">
      <x:c r="A875" s="3" t="n">
        <x:v>15</x:v>
      </x:c>
      <x:c r="B875" s="3" t="n">
        <x:v>34</x:v>
      </x:c>
      <x:c r="C875" s="9" t="n">
        <x:v>-0.85635346</x:v>
      </x:c>
      <x:c r="D875" s="3" t="n">
        <x:v>0</x:v>
      </x:c>
      <x:c r="E875" s="3" t="n">
        <x:v>1</x:v>
      </x:c>
      <x:c r="F875" s="3" t="n">
        <x:v>1</x:v>
      </x:c>
    </x:row>
    <x:row r="876" ht="21" customHeight="1">
      <x:c r="A876" s="3" t="n">
        <x:v>15</x:v>
      </x:c>
      <x:c r="B876" s="3" t="n">
        <x:v>35</x:v>
      </x:c>
      <x:c r="C876" s="9" t="n">
        <x:v>0.66757994</x:v>
      </x:c>
      <x:c r="D876" s="3" t="n">
        <x:v>0</x:v>
      </x:c>
      <x:c r="E876" s="3" t="n">
        <x:v>1</x:v>
      </x:c>
      <x:c r="F876" s="3" t="n">
        <x:v>1</x:v>
      </x:c>
    </x:row>
    <x:row r="877" ht="21" customHeight="1">
      <x:c r="A877" s="3" t="n">
        <x:v>15</x:v>
      </x:c>
      <x:c r="B877" s="3" t="n">
        <x:v>36</x:v>
      </x:c>
      <x:c r="C877" s="9" t="n">
        <x:v>-0.67823305</x:v>
      </x:c>
      <x:c r="D877" s="3" t="n">
        <x:v>0</x:v>
      </x:c>
      <x:c r="E877" s="3" t="n">
        <x:v>1</x:v>
      </x:c>
      <x:c r="F877" s="3" t="n">
        <x:v>1</x:v>
      </x:c>
    </x:row>
    <x:row r="878" ht="21" customHeight="1">
      <x:c r="A878" s="3" t="n">
        <x:v>15</x:v>
      </x:c>
      <x:c r="B878" s="3" t="n">
        <x:v>37</x:v>
      </x:c>
      <x:c r="C878" s="9" t="n">
        <x:v>-0.38687732</x:v>
      </x:c>
      <x:c r="D878" s="3" t="n">
        <x:v>0</x:v>
      </x:c>
      <x:c r="E878" s="3" t="n">
        <x:v>1</x:v>
      </x:c>
      <x:c r="F878" s="3" t="n">
        <x:v>1</x:v>
      </x:c>
    </x:row>
    <x:row r="879" ht="21" customHeight="1">
      <x:c r="A879" s="3" t="n">
        <x:v>15</x:v>
      </x:c>
      <x:c r="B879" s="3" t="n">
        <x:v>38</x:v>
      </x:c>
      <x:c r="C879" s="9" t="n">
        <x:v>0.47243425</x:v>
      </x:c>
      <x:c r="D879" s="3" t="n">
        <x:v>0</x:v>
      </x:c>
      <x:c r="E879" s="3" t="n">
        <x:v>1</x:v>
      </x:c>
      <x:c r="F879" s="3" t="n">
        <x:v>1</x:v>
      </x:c>
    </x:row>
    <x:row r="880" ht="21" customHeight="1">
      <x:c r="A880" s="3" t="n">
        <x:v>15</x:v>
      </x:c>
      <x:c r="B880" s="3" t="n">
        <x:v>39</x:v>
      </x:c>
      <x:c r="C880" s="9" t="n">
        <x:v>0.190733</x:v>
      </x:c>
      <x:c r="D880" s="3" t="n">
        <x:v>0</x:v>
      </x:c>
      <x:c r="E880" s="3" t="n">
        <x:v>1</x:v>
      </x:c>
      <x:c r="F880" s="3" t="n">
        <x:v>1</x:v>
      </x:c>
    </x:row>
    <x:row r="881" ht="21" customHeight="1">
      <x:c r="A881" s="3" t="n">
        <x:v>15</x:v>
      </x:c>
      <x:c r="B881" s="3" t="n">
        <x:v>40</x:v>
      </x:c>
      <x:c r="C881" s="9" t="n">
        <x:v>0.30202679</x:v>
      </x:c>
      <x:c r="D881" s="3" t="n">
        <x:v>0</x:v>
      </x:c>
      <x:c r="E881" s="3" t="n">
        <x:v>1</x:v>
      </x:c>
      <x:c r="F881" s="3" t="n">
        <x:v>1</x:v>
      </x:c>
    </x:row>
    <x:row r="882" ht="21" customHeight="1">
      <x:c r="A882" s="3" t="n">
        <x:v>15</x:v>
      </x:c>
      <x:c r="B882" s="3" t="n">
        <x:v>41</x:v>
      </x:c>
      <x:c r="C882" s="9" t="n">
        <x:v>-0.8285227</x:v>
      </x:c>
      <x:c r="D882" s="3" t="n">
        <x:v>0</x:v>
      </x:c>
      <x:c r="E882" s="3" t="n">
        <x:v>1</x:v>
      </x:c>
      <x:c r="F882" s="3" t="n">
        <x:v>1</x:v>
      </x:c>
    </x:row>
    <x:row r="883" ht="21" customHeight="1">
      <x:c r="A883" s="3" t="n">
        <x:v>15</x:v>
      </x:c>
      <x:c r="B883" s="3" t="n">
        <x:v>42</x:v>
      </x:c>
      <x:c r="C883" s="9" t="n">
        <x:v>0.09438271</x:v>
      </x:c>
      <x:c r="D883" s="3" t="n">
        <x:v>0</x:v>
      </x:c>
      <x:c r="E883" s="3" t="n">
        <x:v>1</x:v>
      </x:c>
      <x:c r="F883" s="3" t="n">
        <x:v>1</x:v>
      </x:c>
    </x:row>
    <x:row r="884" ht="21" customHeight="1">
      <x:c r="A884" s="3" t="n">
        <x:v>15</x:v>
      </x:c>
      <x:c r="B884" s="3" t="n">
        <x:v>43</x:v>
      </x:c>
      <x:c r="C884" s="9" t="n">
        <x:v>-1.27740463</x:v>
      </x:c>
      <x:c r="D884" s="3" t="n">
        <x:v>0</x:v>
      </x:c>
      <x:c r="E884" s="3" t="n">
        <x:v>1</x:v>
      </x:c>
      <x:c r="F884" s="3" t="n">
        <x:v>1</x:v>
      </x:c>
    </x:row>
    <x:row r="885" ht="21" customHeight="1">
      <x:c r="A885" s="3" t="n">
        <x:v>15</x:v>
      </x:c>
      <x:c r="B885" s="3" t="n">
        <x:v>44</x:v>
      </x:c>
      <x:c r="C885" s="9" t="n">
        <x:v>-1.76903681</x:v>
      </x:c>
      <x:c r="D885" s="3" t="n">
        <x:v>0</x:v>
      </x:c>
      <x:c r="E885" s="3" t="n">
        <x:v>1</x:v>
      </x:c>
      <x:c r="F885" s="3" t="n">
        <x:v>1</x:v>
      </x:c>
    </x:row>
    <x:row r="886" ht="21" customHeight="1">
      <x:c r="A886" s="3" t="n">
        <x:v>15</x:v>
      </x:c>
      <x:c r="B886" s="3" t="n">
        <x:v>45</x:v>
      </x:c>
      <x:c r="C886" s="9" t="n">
        <x:v>-1.26412202</x:v>
      </x:c>
      <x:c r="D886" s="3" t="n">
        <x:v>0</x:v>
      </x:c>
      <x:c r="E886" s="3" t="n">
        <x:v>1</x:v>
      </x:c>
      <x:c r="F886" s="3" t="n">
        <x:v>1</x:v>
      </x:c>
    </x:row>
    <x:row r="887" ht="21" customHeight="1">
      <x:c r="A887" s="3" t="n">
        <x:v>15</x:v>
      </x:c>
      <x:c r="B887" s="3" t="n">
        <x:v>46</x:v>
      </x:c>
      <x:c r="C887" s="9" t="n">
        <x:v>-0.52249057</x:v>
      </x:c>
      <x:c r="D887" s="3" t="n">
        <x:v>0</x:v>
      </x:c>
      <x:c r="E887" s="3" t="n">
        <x:v>1</x:v>
      </x:c>
      <x:c r="F887" s="3" t="n">
        <x:v>1</x:v>
      </x:c>
    </x:row>
    <x:row r="888" ht="21" customHeight="1">
      <x:c r="A888" s="3" t="n">
        <x:v>15</x:v>
      </x:c>
      <x:c r="B888" s="3" t="n">
        <x:v>47</x:v>
      </x:c>
      <x:c r="C888" s="9" t="n">
        <x:v>-0.68499979</x:v>
      </x:c>
      <x:c r="D888" s="3" t="n">
        <x:v>0</x:v>
      </x:c>
      <x:c r="E888" s="3" t="n">
        <x:v>1</x:v>
      </x:c>
      <x:c r="F888" s="3" t="n">
        <x:v>1</x:v>
      </x:c>
    </x:row>
    <x:row r="889" ht="21" customHeight="1">
      <x:c r="A889" s="3" t="n">
        <x:v>15</x:v>
      </x:c>
      <x:c r="B889" s="3" t="n">
        <x:v>48</x:v>
      </x:c>
      <x:c r="C889" s="9" t="n">
        <x:v>0.48041618</x:v>
      </x:c>
      <x:c r="D889" s="3" t="n">
        <x:v>0</x:v>
      </x:c>
      <x:c r="E889" s="3" t="n">
        <x:v>1</x:v>
      </x:c>
      <x:c r="F889" s="3" t="n">
        <x:v>1</x:v>
      </x:c>
    </x:row>
    <x:row r="890" ht="21" customHeight="1">
      <x:c r="A890" s="3" t="n">
        <x:v>15</x:v>
      </x:c>
      <x:c r="B890" s="3" t="n">
        <x:v>49</x:v>
      </x:c>
      <x:c r="C890" s="9" t="n">
        <x:v>0.26164692</x:v>
      </x:c>
      <x:c r="D890" s="3" t="n">
        <x:v>0</x:v>
      </x:c>
      <x:c r="E890" s="3" t="n">
        <x:v>1</x:v>
      </x:c>
      <x:c r="F890" s="3" t="n">
        <x:v>1</x:v>
      </x:c>
    </x:row>
    <x:row r="891" ht="21" customHeight="1">
      <x:c r="A891" s="3" t="n">
        <x:v>15</x:v>
      </x:c>
      <x:c r="B891" s="3" t="n">
        <x:v>50</x:v>
      </x:c>
      <x:c r="C891" s="9" t="n">
        <x:v>0.40393041</x:v>
      </x:c>
      <x:c r="D891" s="3" t="n">
        <x:v>0</x:v>
      </x:c>
      <x:c r="E891" s="3" t="n">
        <x:v>1</x:v>
      </x:c>
      <x:c r="F891" s="3" t="n">
        <x:v>1</x:v>
      </x:c>
    </x:row>
    <x:row r="892" ht="21" customHeight="1">
      <x:c r="A892" s="3" t="n">
        <x:v>15</x:v>
      </x:c>
      <x:c r="B892" s="3" t="n">
        <x:v>51</x:v>
      </x:c>
      <x:c r="C892" s="9" t="n">
        <x:v>-0.15776144</x:v>
      </x:c>
      <x:c r="D892" s="3" t="n">
        <x:v>0</x:v>
      </x:c>
      <x:c r="E892" s="3" t="n">
        <x:v>1</x:v>
      </x:c>
      <x:c r="F892" s="3" t="n">
        <x:v>1</x:v>
      </x:c>
    </x:row>
    <x:row r="893" ht="21" customHeight="1">
      <x:c r="A893" s="3" t="n">
        <x:v>15</x:v>
      </x:c>
      <x:c r="B893" s="3" t="n">
        <x:v>52</x:v>
      </x:c>
      <x:c r="C893" s="9" t="n">
        <x:v>-1.7848896</x:v>
      </x:c>
      <x:c r="D893" s="3" t="n">
        <x:v>0</x:v>
      </x:c>
      <x:c r="E893" s="3" t="n">
        <x:v>1</x:v>
      </x:c>
      <x:c r="F893" s="3" t="n">
        <x:v>1</x:v>
      </x:c>
    </x:row>
    <x:row r="894" ht="21" customHeight="1">
      <x:c r="A894" s="3" t="n">
        <x:v>15</x:v>
      </x:c>
      <x:c r="B894" s="3" t="n">
        <x:v>53</x:v>
      </x:c>
      <x:c r="C894" s="9" t="n">
        <x:v>-0.83526584</x:v>
      </x:c>
      <x:c r="D894" s="3" t="n">
        <x:v>0</x:v>
      </x:c>
      <x:c r="E894" s="3" t="n">
        <x:v>1</x:v>
      </x:c>
      <x:c r="F894" s="3" t="n">
        <x:v>1</x:v>
      </x:c>
    </x:row>
    <x:row r="895" ht="21" customHeight="1">
      <x:c r="A895" s="3" t="n">
        <x:v>15</x:v>
      </x:c>
      <x:c r="B895" s="3" t="n">
        <x:v>54</x:v>
      </x:c>
      <x:c r="C895" s="9" t="n">
        <x:v>0.33451661</x:v>
      </x:c>
      <x:c r="D895" s="3" t="n">
        <x:v>0</x:v>
      </x:c>
      <x:c r="E895" s="3" t="n">
        <x:v>1</x:v>
      </x:c>
      <x:c r="F895" s="3" t="n">
        <x:v>1</x:v>
      </x:c>
    </x:row>
    <x:row r="896" ht="21" customHeight="1">
      <x:c r="A896" s="3" t="n">
        <x:v>15</x:v>
      </x:c>
      <x:c r="B896" s="3" t="n">
        <x:v>55</x:v>
      </x:c>
      <x:c r="C896" s="9" t="n">
        <x:v>-0.71003212</x:v>
      </x:c>
      <x:c r="D896" s="3" t="n">
        <x:v>0</x:v>
      </x:c>
      <x:c r="E896" s="3" t="n">
        <x:v>1</x:v>
      </x:c>
      <x:c r="F896" s="3" t="n">
        <x:v>1</x:v>
      </x:c>
    </x:row>
    <x:row r="897" ht="21" customHeight="1">
      <x:c r="A897" s="3" t="n">
        <x:v>15</x:v>
      </x:c>
      <x:c r="B897" s="3" t="n">
        <x:v>56</x:v>
      </x:c>
      <x:c r="C897" s="9" t="n">
        <x:v>0.09245347</x:v>
      </x:c>
      <x:c r="D897" s="3" t="n">
        <x:v>0</x:v>
      </x:c>
      <x:c r="E897" s="3" t="n">
        <x:v>1</x:v>
      </x:c>
      <x:c r="F897" s="3" t="n">
        <x:v>1</x:v>
      </x:c>
    </x:row>
    <x:row r="898" ht="21" customHeight="1">
      <x:c r="A898" s="3" t="n">
        <x:v>15</x:v>
      </x:c>
      <x:c r="B898" s="3" t="n">
        <x:v>57</x:v>
      </x:c>
      <x:c r="C898" s="9" t="n">
        <x:v>-0.79573551</x:v>
      </x:c>
      <x:c r="D898" s="3" t="n">
        <x:v>0</x:v>
      </x:c>
      <x:c r="E898" s="3" t="n">
        <x:v>1</x:v>
      </x:c>
      <x:c r="F898" s="3" t="n">
        <x:v>1</x:v>
      </x:c>
    </x:row>
    <x:row r="899" ht="21" customHeight="1">
      <x:c r="A899" s="3" t="n">
        <x:v>15</x:v>
      </x:c>
      <x:c r="B899" s="3" t="n">
        <x:v>58</x:v>
      </x:c>
      <x:c r="C899" s="9" t="n">
        <x:v>-0.52307064</x:v>
      </x:c>
      <x:c r="D899" s="3" t="n">
        <x:v>0</x:v>
      </x:c>
      <x:c r="E899" s="3" t="n">
        <x:v>1</x:v>
      </x:c>
      <x:c r="F899" s="3" t="n">
        <x:v>1</x:v>
      </x:c>
    </x:row>
    <x:row r="900" ht="21" customHeight="1">
      <x:c r="A900" s="3" t="n">
        <x:v>15</x:v>
      </x:c>
      <x:c r="B900" s="3" t="n">
        <x:v>59</x:v>
      </x:c>
      <x:c r="C900" s="9" t="n">
        <x:v>-1.06257394</x:v>
      </x:c>
      <x:c r="D900" s="3" t="n">
        <x:v>0</x:v>
      </x:c>
      <x:c r="E900" s="3" t="n">
        <x:v>1</x:v>
      </x:c>
      <x:c r="F900" s="3" t="n">
        <x:v>1</x:v>
      </x:c>
    </x:row>
    <x:row r="901" ht="21" customHeight="1">
      <x:c r="A901" s="3" t="n">
        <x:v>15</x:v>
      </x:c>
      <x:c r="B901" s="3" t="n">
        <x:v>60</x:v>
      </x:c>
      <x:c r="C901" s="9" t="n">
        <x:v>0.19989102</x:v>
      </x:c>
      <x:c r="D901" s="3" t="n">
        <x:v>0</x:v>
      </x:c>
      <x:c r="E901" s="3" t="n">
        <x:v>1</x:v>
      </x:c>
      <x:c r="F901" s="3" t="n">
        <x:v>1</x:v>
      </x:c>
    </x:row>
    <x:row r="902" ht="21" customHeight="1">
      <x:c r="A902" s="3" t="n">
        <x:v>16</x:v>
      </x:c>
      <x:c r="B902" s="3" t="n">
        <x:v>1</x:v>
      </x:c>
      <x:c r="C902" s="9" t="n">
        <x:v>-1.10600703</x:v>
      </x:c>
      <x:c r="D902" s="3" t="n">
        <x:v>0</x:v>
      </x:c>
      <x:c r="E902" s="3" t="n">
        <x:v>1</x:v>
      </x:c>
      <x:c r="F902" s="3" t="n">
        <x:v>1</x:v>
      </x:c>
    </x:row>
    <x:row r="903" ht="21" customHeight="1">
      <x:c r="A903" s="3" t="n">
        <x:v>16</x:v>
      </x:c>
      <x:c r="B903" s="3" t="n">
        <x:v>2</x:v>
      </x:c>
      <x:c r="C903" s="9" t="n">
        <x:v>0.63214484</x:v>
      </x:c>
      <x:c r="D903" s="3" t="n">
        <x:v>0</x:v>
      </x:c>
      <x:c r="E903" s="3" t="n">
        <x:v>1</x:v>
      </x:c>
      <x:c r="F903" s="3" t="n">
        <x:v>1</x:v>
      </x:c>
    </x:row>
    <x:row r="904" ht="21" customHeight="1">
      <x:c r="A904" s="3" t="n">
        <x:v>16</x:v>
      </x:c>
      <x:c r="B904" s="3" t="n">
        <x:v>3</x:v>
      </x:c>
      <x:c r="C904" s="9" t="n">
        <x:v>-0.49944166</x:v>
      </x:c>
      <x:c r="D904" s="3" t="n">
        <x:v>0</x:v>
      </x:c>
      <x:c r="E904" s="3" t="n">
        <x:v>1</x:v>
      </x:c>
      <x:c r="F904" s="3" t="n">
        <x:v>1</x:v>
      </x:c>
    </x:row>
    <x:row r="905" ht="21" customHeight="1">
      <x:c r="A905" s="3" t="n">
        <x:v>16</x:v>
      </x:c>
      <x:c r="B905" s="3" t="n">
        <x:v>4</x:v>
      </x:c>
      <x:c r="C905" s="9" t="n">
        <x:v>1.65103854</x:v>
      </x:c>
      <x:c r="D905" s="3" t="n">
        <x:v>0</x:v>
      </x:c>
      <x:c r="E905" s="3" t="n">
        <x:v>1</x:v>
      </x:c>
      <x:c r="F905" s="3" t="n">
        <x:v>1</x:v>
      </x:c>
    </x:row>
    <x:row r="906" ht="21" customHeight="1">
      <x:c r="A906" s="3" t="n">
        <x:v>16</x:v>
      </x:c>
      <x:c r="B906" s="3" t="n">
        <x:v>5</x:v>
      </x:c>
      <x:c r="C906" s="9" t="n">
        <x:v>0.01142451</x:v>
      </x:c>
      <x:c r="D906" s="3" t="n">
        <x:v>0</x:v>
      </x:c>
      <x:c r="E906" s="3" t="n">
        <x:v>1</x:v>
      </x:c>
      <x:c r="F906" s="3" t="n">
        <x:v>1</x:v>
      </x:c>
    </x:row>
    <x:row r="907" ht="21" customHeight="1">
      <x:c r="A907" s="3" t="n">
        <x:v>16</x:v>
      </x:c>
      <x:c r="B907" s="3" t="n">
        <x:v>6</x:v>
      </x:c>
      <x:c r="C907" s="9" t="n">
        <x:v>-0.947713</x:v>
      </x:c>
      <x:c r="D907" s="3" t="n">
        <x:v>0</x:v>
      </x:c>
      <x:c r="E907" s="3" t="n">
        <x:v>1</x:v>
      </x:c>
      <x:c r="F907" s="3" t="n">
        <x:v>1</x:v>
      </x:c>
    </x:row>
    <x:row r="908" ht="21" customHeight="1">
      <x:c r="A908" s="3" t="n">
        <x:v>16</x:v>
      </x:c>
      <x:c r="B908" s="3" t="n">
        <x:v>7</x:v>
      </x:c>
      <x:c r="C908" s="9" t="n">
        <x:v>1.48901521</x:v>
      </x:c>
      <x:c r="D908" s="3" t="n">
        <x:v>0</x:v>
      </x:c>
      <x:c r="E908" s="3" t="n">
        <x:v>1</x:v>
      </x:c>
      <x:c r="F908" s="3" t="n">
        <x:v>1</x:v>
      </x:c>
    </x:row>
    <x:row r="909" ht="21" customHeight="1">
      <x:c r="A909" s="3" t="n">
        <x:v>16</x:v>
      </x:c>
      <x:c r="B909" s="3" t="n">
        <x:v>8</x:v>
      </x:c>
      <x:c r="C909" s="9" t="n">
        <x:v>0.52736746</x:v>
      </x:c>
      <x:c r="D909" s="3" t="n">
        <x:v>0</x:v>
      </x:c>
      <x:c r="E909" s="3" t="n">
        <x:v>1</x:v>
      </x:c>
      <x:c r="F909" s="3" t="n">
        <x:v>1</x:v>
      </x:c>
    </x:row>
    <x:row r="910" ht="21" customHeight="1">
      <x:c r="A910" s="3" t="n">
        <x:v>16</x:v>
      </x:c>
      <x:c r="B910" s="3" t="n">
        <x:v>9</x:v>
      </x:c>
      <x:c r="C910" s="9" t="n">
        <x:v>0.24418</x:v>
      </x:c>
      <x:c r="D910" s="3" t="n">
        <x:v>0</x:v>
      </x:c>
      <x:c r="E910" s="3" t="n">
        <x:v>1</x:v>
      </x:c>
      <x:c r="F910" s="3" t="n">
        <x:v>1</x:v>
      </x:c>
    </x:row>
    <x:row r="911" ht="21" customHeight="1">
      <x:c r="A911" s="3" t="n">
        <x:v>16</x:v>
      </x:c>
      <x:c r="B911" s="3" t="n">
        <x:v>10</x:v>
      </x:c>
      <x:c r="C911" s="9" t="n">
        <x:v>-0.062026</x:v>
      </x:c>
      <x:c r="D911" s="3" t="n">
        <x:v>0</x:v>
      </x:c>
      <x:c r="E911" s="3" t="n">
        <x:v>1</x:v>
      </x:c>
      <x:c r="F911" s="3" t="n">
        <x:v>1</x:v>
      </x:c>
    </x:row>
    <x:row r="912" ht="21" customHeight="1">
      <x:c r="A912" s="3" t="n">
        <x:v>16</x:v>
      </x:c>
      <x:c r="B912" s="3" t="n">
        <x:v>11</x:v>
      </x:c>
      <x:c r="C912" s="9" t="n">
        <x:v>-1.3494122</x:v>
      </x:c>
      <x:c r="D912" s="3" t="n">
        <x:v>0</x:v>
      </x:c>
      <x:c r="E912" s="3" t="n">
        <x:v>1</x:v>
      </x:c>
      <x:c r="F912" s="3" t="n">
        <x:v>1</x:v>
      </x:c>
    </x:row>
    <x:row r="913" ht="21" customHeight="1">
      <x:c r="A913" s="3" t="n">
        <x:v>16</x:v>
      </x:c>
      <x:c r="B913" s="3" t="n">
        <x:v>12</x:v>
      </x:c>
      <x:c r="C913" s="9" t="n">
        <x:v>-0.58015301</x:v>
      </x:c>
      <x:c r="D913" s="3" t="n">
        <x:v>0</x:v>
      </x:c>
      <x:c r="E913" s="3" t="n">
        <x:v>1</x:v>
      </x:c>
      <x:c r="F913" s="3" t="n">
        <x:v>1</x:v>
      </x:c>
    </x:row>
    <x:row r="914" ht="21" customHeight="1">
      <x:c r="A914" s="3" t="n">
        <x:v>16</x:v>
      </x:c>
      <x:c r="B914" s="3" t="n">
        <x:v>13</x:v>
      </x:c>
      <x:c r="C914" s="9" t="n">
        <x:v>0.56641664</x:v>
      </x:c>
      <x:c r="D914" s="3" t="n">
        <x:v>0</x:v>
      </x:c>
      <x:c r="E914" s="3" t="n">
        <x:v>1</x:v>
      </x:c>
      <x:c r="F914" s="3" t="n">
        <x:v>1</x:v>
      </x:c>
    </x:row>
    <x:row r="915" ht="21" customHeight="1">
      <x:c r="A915" s="3" t="n">
        <x:v>16</x:v>
      </x:c>
      <x:c r="B915" s="3" t="n">
        <x:v>14</x:v>
      </x:c>
      <x:c r="C915" s="9" t="n">
        <x:v>-1.36054689</x:v>
      </x:c>
      <x:c r="D915" s="3" t="n">
        <x:v>0</x:v>
      </x:c>
      <x:c r="E915" s="3" t="n">
        <x:v>1</x:v>
      </x:c>
      <x:c r="F915" s="3" t="n">
        <x:v>1</x:v>
      </x:c>
    </x:row>
    <x:row r="916" ht="21" customHeight="1">
      <x:c r="A916" s="3" t="n">
        <x:v>16</x:v>
      </x:c>
      <x:c r="B916" s="3" t="n">
        <x:v>15</x:v>
      </x:c>
      <x:c r="C916" s="9" t="n">
        <x:v>0.41252457</x:v>
      </x:c>
      <x:c r="D916" s="3" t="n">
        <x:v>0</x:v>
      </x:c>
      <x:c r="E916" s="3" t="n">
        <x:v>1</x:v>
      </x:c>
      <x:c r="F916" s="3" t="n">
        <x:v>1</x:v>
      </x:c>
    </x:row>
    <x:row r="917" ht="21" customHeight="1">
      <x:c r="A917" s="3" t="n">
        <x:v>16</x:v>
      </x:c>
      <x:c r="B917" s="3" t="n">
        <x:v>16</x:v>
      </x:c>
      <x:c r="C917" s="9" t="n">
        <x:v>0.41722824</x:v>
      </x:c>
      <x:c r="D917" s="3" t="n">
        <x:v>0</x:v>
      </x:c>
      <x:c r="E917" s="3" t="n">
        <x:v>1</x:v>
      </x:c>
      <x:c r="F917" s="3" t="n">
        <x:v>1</x:v>
      </x:c>
    </x:row>
    <x:row r="918" ht="21" customHeight="1">
      <x:c r="A918" s="3" t="n">
        <x:v>16</x:v>
      </x:c>
      <x:c r="B918" s="3" t="n">
        <x:v>17</x:v>
      </x:c>
      <x:c r="C918" s="9" t="n">
        <x:v>-1.27718819</x:v>
      </x:c>
      <x:c r="D918" s="3" t="n">
        <x:v>0</x:v>
      </x:c>
      <x:c r="E918" s="3" t="n">
        <x:v>1</x:v>
      </x:c>
      <x:c r="F918" s="3" t="n">
        <x:v>1</x:v>
      </x:c>
    </x:row>
    <x:row r="919" ht="21" customHeight="1">
      <x:c r="A919" s="3" t="n">
        <x:v>16</x:v>
      </x:c>
      <x:c r="B919" s="3" t="n">
        <x:v>18</x:v>
      </x:c>
      <x:c r="C919" s="9" t="n">
        <x:v>0.81685134</x:v>
      </x:c>
      <x:c r="D919" s="3" t="n">
        <x:v>0</x:v>
      </x:c>
      <x:c r="E919" s="3" t="n">
        <x:v>1</x:v>
      </x:c>
      <x:c r="F919" s="3" t="n">
        <x:v>1</x:v>
      </x:c>
    </x:row>
    <x:row r="920" ht="21" customHeight="1">
      <x:c r="A920" s="3" t="n">
        <x:v>16</x:v>
      </x:c>
      <x:c r="B920" s="3" t="n">
        <x:v>19</x:v>
      </x:c>
      <x:c r="C920" s="9" t="n">
        <x:v>-0.86995351</x:v>
      </x:c>
      <x:c r="D920" s="3" t="n">
        <x:v>0</x:v>
      </x:c>
      <x:c r="E920" s="3" t="n">
        <x:v>1</x:v>
      </x:c>
      <x:c r="F920" s="3" t="n">
        <x:v>1</x:v>
      </x:c>
    </x:row>
    <x:row r="921" ht="21" customHeight="1">
      <x:c r="A921" s="3" t="n">
        <x:v>16</x:v>
      </x:c>
      <x:c r="B921" s="3" t="n">
        <x:v>20</x:v>
      </x:c>
      <x:c r="C921" s="9" t="n">
        <x:v>-0.85830313</x:v>
      </x:c>
      <x:c r="D921" s="3" t="n">
        <x:v>0</x:v>
      </x:c>
      <x:c r="E921" s="3" t="n">
        <x:v>1</x:v>
      </x:c>
      <x:c r="F921" s="3" t="n">
        <x:v>1</x:v>
      </x:c>
    </x:row>
    <x:row r="922" ht="21" customHeight="1">
      <x:c r="A922" s="3" t="n">
        <x:v>16</x:v>
      </x:c>
      <x:c r="B922" s="3" t="n">
        <x:v>21</x:v>
      </x:c>
      <x:c r="C922" s="9" t="n">
        <x:v>0.07273598</x:v>
      </x:c>
      <x:c r="D922" s="3" t="n">
        <x:v>0</x:v>
      </x:c>
      <x:c r="E922" s="3" t="n">
        <x:v>1</x:v>
      </x:c>
      <x:c r="F922" s="3" t="n">
        <x:v>1</x:v>
      </x:c>
    </x:row>
    <x:row r="923" ht="21" customHeight="1">
      <x:c r="A923" s="3" t="n">
        <x:v>16</x:v>
      </x:c>
      <x:c r="B923" s="3" t="n">
        <x:v>22</x:v>
      </x:c>
      <x:c r="C923" s="9" t="n">
        <x:v>0.21693908</x:v>
      </x:c>
      <x:c r="D923" s="3" t="n">
        <x:v>0</x:v>
      </x:c>
      <x:c r="E923" s="3" t="n">
        <x:v>1</x:v>
      </x:c>
      <x:c r="F923" s="3" t="n">
        <x:v>1</x:v>
      </x:c>
    </x:row>
    <x:row r="924" ht="21" customHeight="1">
      <x:c r="A924" s="3" t="n">
        <x:v>16</x:v>
      </x:c>
      <x:c r="B924" s="3" t="n">
        <x:v>23</x:v>
      </x:c>
      <x:c r="C924" s="9" t="n">
        <x:v>0.07468985</x:v>
      </x:c>
      <x:c r="D924" s="3" t="n">
        <x:v>0</x:v>
      </x:c>
      <x:c r="E924" s="3" t="n">
        <x:v>1</x:v>
      </x:c>
      <x:c r="F924" s="3" t="n">
        <x:v>1</x:v>
      </x:c>
    </x:row>
    <x:row r="925" ht="21" customHeight="1">
      <x:c r="A925" s="3" t="n">
        <x:v>16</x:v>
      </x:c>
      <x:c r="B925" s="3" t="n">
        <x:v>24</x:v>
      </x:c>
      <x:c r="C925" s="9" t="n">
        <x:v>-0.22417468</x:v>
      </x:c>
      <x:c r="D925" s="3" t="n">
        <x:v>0</x:v>
      </x:c>
      <x:c r="E925" s="3" t="n">
        <x:v>1</x:v>
      </x:c>
      <x:c r="F925" s="3" t="n">
        <x:v>1</x:v>
      </x:c>
    </x:row>
    <x:row r="926" ht="21" customHeight="1">
      <x:c r="A926" s="3" t="n">
        <x:v>16</x:v>
      </x:c>
      <x:c r="B926" s="3" t="n">
        <x:v>25</x:v>
      </x:c>
      <x:c r="C926" s="9" t="n">
        <x:v>-0.77937081</x:v>
      </x:c>
      <x:c r="D926" s="3" t="n">
        <x:v>0</x:v>
      </x:c>
      <x:c r="E926" s="3" t="n">
        <x:v>1</x:v>
      </x:c>
      <x:c r="F926" s="3" t="n">
        <x:v>1</x:v>
      </x:c>
    </x:row>
    <x:row r="927" ht="21" customHeight="1">
      <x:c r="A927" s="3" t="n">
        <x:v>16</x:v>
      </x:c>
      <x:c r="B927" s="3" t="n">
        <x:v>26</x:v>
      </x:c>
      <x:c r="C927" s="9" t="n">
        <x:v>-1.23166892</x:v>
      </x:c>
      <x:c r="D927" s="3" t="n">
        <x:v>0</x:v>
      </x:c>
      <x:c r="E927" s="3" t="n">
        <x:v>1</x:v>
      </x:c>
      <x:c r="F927" s="3" t="n">
        <x:v>1</x:v>
      </x:c>
    </x:row>
    <x:row r="928" ht="21" customHeight="1">
      <x:c r="A928" s="3" t="n">
        <x:v>16</x:v>
      </x:c>
      <x:c r="B928" s="3" t="n">
        <x:v>27</x:v>
      </x:c>
      <x:c r="C928" s="9" t="n">
        <x:v>2.27432704</x:v>
      </x:c>
      <x:c r="D928" s="3" t="n">
        <x:v>0</x:v>
      </x:c>
      <x:c r="E928" s="3" t="n">
        <x:v>1</x:v>
      </x:c>
      <x:c r="F928" s="3" t="n">
        <x:v>1</x:v>
      </x:c>
    </x:row>
    <x:row r="929" ht="21" customHeight="1">
      <x:c r="A929" s="3" t="n">
        <x:v>16</x:v>
      </x:c>
      <x:c r="B929" s="3" t="n">
        <x:v>28</x:v>
      </x:c>
      <x:c r="C929" s="9" t="n">
        <x:v>-0.45293771</x:v>
      </x:c>
      <x:c r="D929" s="3" t="n">
        <x:v>0</x:v>
      </x:c>
      <x:c r="E929" s="3" t="n">
        <x:v>1</x:v>
      </x:c>
      <x:c r="F929" s="3" t="n">
        <x:v>1</x:v>
      </x:c>
    </x:row>
    <x:row r="930" ht="21" customHeight="1">
      <x:c r="A930" s="3" t="n">
        <x:v>16</x:v>
      </x:c>
      <x:c r="B930" s="3" t="n">
        <x:v>29</x:v>
      </x:c>
      <x:c r="C930" s="9" t="n">
        <x:v>1.85030955</x:v>
      </x:c>
      <x:c r="D930" s="3" t="n">
        <x:v>0</x:v>
      </x:c>
      <x:c r="E930" s="3" t="n">
        <x:v>1</x:v>
      </x:c>
      <x:c r="F930" s="3" t="n">
        <x:v>1</x:v>
      </x:c>
    </x:row>
    <x:row r="931" ht="21" customHeight="1">
      <x:c r="A931" s="3" t="n">
        <x:v>16</x:v>
      </x:c>
      <x:c r="B931" s="3" t="n">
        <x:v>30</x:v>
      </x:c>
      <x:c r="C931" s="9" t="n">
        <x:v>-1.42832884</x:v>
      </x:c>
      <x:c r="D931" s="3" t="n">
        <x:v>0</x:v>
      </x:c>
      <x:c r="E931" s="3" t="n">
        <x:v>1</x:v>
      </x:c>
      <x:c r="F931" s="3" t="n">
        <x:v>1</x:v>
      </x:c>
    </x:row>
    <x:row r="932" ht="21" customHeight="1">
      <x:c r="A932" s="3" t="n">
        <x:v>16</x:v>
      </x:c>
      <x:c r="B932" s="3" t="n">
        <x:v>31</x:v>
      </x:c>
      <x:c r="C932" s="9" t="n">
        <x:v>0.29197334</x:v>
      </x:c>
      <x:c r="D932" s="3" t="n">
        <x:v>0</x:v>
      </x:c>
      <x:c r="E932" s="3" t="n">
        <x:v>1</x:v>
      </x:c>
      <x:c r="F932" s="3" t="n">
        <x:v>1</x:v>
      </x:c>
    </x:row>
    <x:row r="933" ht="21" customHeight="1">
      <x:c r="A933" s="3" t="n">
        <x:v>16</x:v>
      </x:c>
      <x:c r="B933" s="3" t="n">
        <x:v>32</x:v>
      </x:c>
      <x:c r="C933" s="9" t="n">
        <x:v>-0.49855591</x:v>
      </x:c>
      <x:c r="D933" s="3" t="n">
        <x:v>0</x:v>
      </x:c>
      <x:c r="E933" s="3" t="n">
        <x:v>1</x:v>
      </x:c>
      <x:c r="F933" s="3" t="n">
        <x:v>1</x:v>
      </x:c>
    </x:row>
    <x:row r="934" ht="21" customHeight="1">
      <x:c r="A934" s="3" t="n">
        <x:v>16</x:v>
      </x:c>
      <x:c r="B934" s="3" t="n">
        <x:v>33</x:v>
      </x:c>
      <x:c r="C934" s="9" t="n">
        <x:v>0.2586647</x:v>
      </x:c>
      <x:c r="D934" s="3" t="n">
        <x:v>0</x:v>
      </x:c>
      <x:c r="E934" s="3" t="n">
        <x:v>1</x:v>
      </x:c>
      <x:c r="F934" s="3" t="n">
        <x:v>1</x:v>
      </x:c>
    </x:row>
    <x:row r="935" ht="21" customHeight="1">
      <x:c r="A935" s="3" t="n">
        <x:v>16</x:v>
      </x:c>
      <x:c r="B935" s="3" t="n">
        <x:v>34</x:v>
      </x:c>
      <x:c r="C935" s="9" t="n">
        <x:v>-1.23393687</x:v>
      </x:c>
      <x:c r="D935" s="3" t="n">
        <x:v>0</x:v>
      </x:c>
      <x:c r="E935" s="3" t="n">
        <x:v>1</x:v>
      </x:c>
      <x:c r="F935" s="3" t="n">
        <x:v>1</x:v>
      </x:c>
    </x:row>
    <x:row r="936" ht="21" customHeight="1">
      <x:c r="A936" s="3" t="n">
        <x:v>16</x:v>
      </x:c>
      <x:c r="B936" s="3" t="n">
        <x:v>35</x:v>
      </x:c>
      <x:c r="C936" s="9" t="n">
        <x:v>0.44333803</x:v>
      </x:c>
      <x:c r="D936" s="3" t="n">
        <x:v>0</x:v>
      </x:c>
      <x:c r="E936" s="3" t="n">
        <x:v>1</x:v>
      </x:c>
      <x:c r="F936" s="3" t="n">
        <x:v>1</x:v>
      </x:c>
    </x:row>
    <x:row r="937" ht="21" customHeight="1">
      <x:c r="A937" s="3" t="n">
        <x:v>16</x:v>
      </x:c>
      <x:c r="B937" s="3" t="n">
        <x:v>36</x:v>
      </x:c>
      <x:c r="C937" s="9" t="n">
        <x:v>1.6821592</x:v>
      </x:c>
      <x:c r="D937" s="3" t="n">
        <x:v>0</x:v>
      </x:c>
      <x:c r="E937" s="3" t="n">
        <x:v>1</x:v>
      </x:c>
      <x:c r="F937" s="3" t="n">
        <x:v>1</x:v>
      </x:c>
    </x:row>
    <x:row r="938" ht="21" customHeight="1">
      <x:c r="A938" s="3" t="n">
        <x:v>16</x:v>
      </x:c>
      <x:c r="B938" s="3" t="n">
        <x:v>37</x:v>
      </x:c>
      <x:c r="C938" s="9" t="n">
        <x:v>-0.80887086</x:v>
      </x:c>
      <x:c r="D938" s="3" t="n">
        <x:v>0</x:v>
      </x:c>
      <x:c r="E938" s="3" t="n">
        <x:v>1</x:v>
      </x:c>
      <x:c r="F938" s="3" t="n">
        <x:v>1</x:v>
      </x:c>
    </x:row>
    <x:row r="939" ht="21" customHeight="1">
      <x:c r="A939" s="3" t="n">
        <x:v>16</x:v>
      </x:c>
      <x:c r="B939" s="3" t="n">
        <x:v>38</x:v>
      </x:c>
      <x:c r="C939" s="9" t="n">
        <x:v>0.16671053</x:v>
      </x:c>
      <x:c r="D939" s="3" t="n">
        <x:v>0</x:v>
      </x:c>
      <x:c r="E939" s="3" t="n">
        <x:v>1</x:v>
      </x:c>
      <x:c r="F939" s="3" t="n">
        <x:v>1</x:v>
      </x:c>
    </x:row>
    <x:row r="940" ht="21" customHeight="1">
      <x:c r="A940" s="3" t="n">
        <x:v>16</x:v>
      </x:c>
      <x:c r="B940" s="3" t="n">
        <x:v>39</x:v>
      </x:c>
      <x:c r="C940" s="9" t="n">
        <x:v>-0.79842848</x:v>
      </x:c>
      <x:c r="D940" s="3" t="n">
        <x:v>0</x:v>
      </x:c>
      <x:c r="E940" s="3" t="n">
        <x:v>1</x:v>
      </x:c>
      <x:c r="F940" s="3" t="n">
        <x:v>1</x:v>
      </x:c>
    </x:row>
    <x:row r="941" ht="21" customHeight="1">
      <x:c r="A941" s="3" t="n">
        <x:v>16</x:v>
      </x:c>
      <x:c r="B941" s="3" t="n">
        <x:v>40</x:v>
      </x:c>
      <x:c r="C941" s="9" t="n">
        <x:v>-1.4787762</x:v>
      </x:c>
      <x:c r="D941" s="3" t="n">
        <x:v>0</x:v>
      </x:c>
      <x:c r="E941" s="3" t="n">
        <x:v>1</x:v>
      </x:c>
      <x:c r="F941" s="3" t="n">
        <x:v>1</x:v>
      </x:c>
    </x:row>
    <x:row r="942" ht="21" customHeight="1">
      <x:c r="A942" s="3" t="n">
        <x:v>16</x:v>
      </x:c>
      <x:c r="B942" s="3" t="n">
        <x:v>41</x:v>
      </x:c>
      <x:c r="C942" s="9" t="n">
        <x:v>-0.09571649</x:v>
      </x:c>
      <x:c r="D942" s="3" t="n">
        <x:v>0</x:v>
      </x:c>
      <x:c r="E942" s="3" t="n">
        <x:v>1</x:v>
      </x:c>
      <x:c r="F942" s="3" t="n">
        <x:v>1</x:v>
      </x:c>
    </x:row>
    <x:row r="943" ht="21" customHeight="1">
      <x:c r="A943" s="3" t="n">
        <x:v>16</x:v>
      </x:c>
      <x:c r="B943" s="3" t="n">
        <x:v>42</x:v>
      </x:c>
      <x:c r="C943" s="9" t="n">
        <x:v>-0.24635472</x:v>
      </x:c>
      <x:c r="D943" s="3" t="n">
        <x:v>0</x:v>
      </x:c>
      <x:c r="E943" s="3" t="n">
        <x:v>1</x:v>
      </x:c>
      <x:c r="F943" s="3" t="n">
        <x:v>1</x:v>
      </x:c>
    </x:row>
    <x:row r="944" ht="21" customHeight="1">
      <x:c r="A944" s="3" t="n">
        <x:v>16</x:v>
      </x:c>
      <x:c r="B944" s="3" t="n">
        <x:v>43</x:v>
      </x:c>
      <x:c r="C944" s="9" t="n">
        <x:v>1.02576644</x:v>
      </x:c>
      <x:c r="D944" s="3" t="n">
        <x:v>0</x:v>
      </x:c>
      <x:c r="E944" s="3" t="n">
        <x:v>1</x:v>
      </x:c>
      <x:c r="F944" s="3" t="n">
        <x:v>1</x:v>
      </x:c>
    </x:row>
    <x:row r="945" ht="21" customHeight="1">
      <x:c r="A945" s="3" t="n">
        <x:v>16</x:v>
      </x:c>
      <x:c r="B945" s="3" t="n">
        <x:v>44</x:v>
      </x:c>
      <x:c r="C945" s="9" t="n">
        <x:v>-0.20807025</x:v>
      </x:c>
      <x:c r="D945" s="3" t="n">
        <x:v>0</x:v>
      </x:c>
      <x:c r="E945" s="3" t="n">
        <x:v>1</x:v>
      </x:c>
      <x:c r="F945" s="3" t="n">
        <x:v>1</x:v>
      </x:c>
    </x:row>
    <x:row r="946" ht="21" customHeight="1">
      <x:c r="A946" s="3" t="n">
        <x:v>16</x:v>
      </x:c>
      <x:c r="B946" s="3" t="n">
        <x:v>45</x:v>
      </x:c>
      <x:c r="C946" s="9" t="n">
        <x:v>-1.12934562</x:v>
      </x:c>
      <x:c r="D946" s="3" t="n">
        <x:v>0</x:v>
      </x:c>
      <x:c r="E946" s="3" t="n">
        <x:v>1</x:v>
      </x:c>
      <x:c r="F946" s="3" t="n">
        <x:v>1</x:v>
      </x:c>
    </x:row>
    <x:row r="947" ht="21" customHeight="1">
      <x:c r="A947" s="3" t="n">
        <x:v>16</x:v>
      </x:c>
      <x:c r="B947" s="3" t="n">
        <x:v>46</x:v>
      </x:c>
      <x:c r="C947" s="9" t="n">
        <x:v>0.30632489</x:v>
      </x:c>
      <x:c r="D947" s="3" t="n">
        <x:v>0</x:v>
      </x:c>
      <x:c r="E947" s="3" t="n">
        <x:v>1</x:v>
      </x:c>
      <x:c r="F947" s="3" t="n">
        <x:v>1</x:v>
      </x:c>
    </x:row>
    <x:row r="948" ht="21" customHeight="1">
      <x:c r="A948" s="3" t="n">
        <x:v>16</x:v>
      </x:c>
      <x:c r="B948" s="3" t="n">
        <x:v>47</x:v>
      </x:c>
      <x:c r="C948" s="9" t="n">
        <x:v>-1.26056567</x:v>
      </x:c>
      <x:c r="D948" s="3" t="n">
        <x:v>0</x:v>
      </x:c>
      <x:c r="E948" s="3" t="n">
        <x:v>1</x:v>
      </x:c>
      <x:c r="F948" s="3" t="n">
        <x:v>1</x:v>
      </x:c>
    </x:row>
    <x:row r="949" ht="21" customHeight="1">
      <x:c r="A949" s="3" t="n">
        <x:v>16</x:v>
      </x:c>
      <x:c r="B949" s="3" t="n">
        <x:v>48</x:v>
      </x:c>
      <x:c r="C949" s="9" t="n">
        <x:v>0.37189975</x:v>
      </x:c>
      <x:c r="D949" s="3" t="n">
        <x:v>0</x:v>
      </x:c>
      <x:c r="E949" s="3" t="n">
        <x:v>1</x:v>
      </x:c>
      <x:c r="F949" s="3" t="n">
        <x:v>1</x:v>
      </x:c>
    </x:row>
    <x:row r="950" ht="21" customHeight="1">
      <x:c r="A950" s="3" t="n">
        <x:v>16</x:v>
      </x:c>
      <x:c r="B950" s="3" t="n">
        <x:v>49</x:v>
      </x:c>
      <x:c r="C950" s="9" t="n">
        <x:v>-0.19556768</x:v>
      </x:c>
      <x:c r="D950" s="3" t="n">
        <x:v>0</x:v>
      </x:c>
      <x:c r="E950" s="3" t="n">
        <x:v>1</x:v>
      </x:c>
      <x:c r="F950" s="3" t="n">
        <x:v>1</x:v>
      </x:c>
    </x:row>
    <x:row r="951" ht="21" customHeight="1">
      <x:c r="A951" s="3" t="n">
        <x:v>16</x:v>
      </x:c>
      <x:c r="B951" s="3" t="n">
        <x:v>50</x:v>
      </x:c>
      <x:c r="C951" s="9" t="n">
        <x:v>0.40533719</x:v>
      </x:c>
      <x:c r="D951" s="3" t="n">
        <x:v>0</x:v>
      </x:c>
      <x:c r="E951" s="3" t="n">
        <x:v>1</x:v>
      </x:c>
      <x:c r="F951" s="3" t="n">
        <x:v>1</x:v>
      </x:c>
    </x:row>
    <x:row r="952" ht="21" customHeight="1">
      <x:c r="A952" s="3" t="n">
        <x:v>16</x:v>
      </x:c>
      <x:c r="B952" s="3" t="n">
        <x:v>51</x:v>
      </x:c>
      <x:c r="C952" s="9" t="n">
        <x:v>-1.13293578</x:v>
      </x:c>
      <x:c r="D952" s="3" t="n">
        <x:v>0</x:v>
      </x:c>
      <x:c r="E952" s="3" t="n">
        <x:v>1</x:v>
      </x:c>
      <x:c r="F952" s="3" t="n">
        <x:v>1</x:v>
      </x:c>
    </x:row>
    <x:row r="953" ht="21" customHeight="1">
      <x:c r="A953" s="3" t="n">
        <x:v>16</x:v>
      </x:c>
      <x:c r="B953" s="3" t="n">
        <x:v>52</x:v>
      </x:c>
      <x:c r="C953" s="9" t="n">
        <x:v>-0.09617037</x:v>
      </x:c>
      <x:c r="D953" s="3" t="n">
        <x:v>0</x:v>
      </x:c>
      <x:c r="E953" s="3" t="n">
        <x:v>1</x:v>
      </x:c>
      <x:c r="F953" s="3" t="n">
        <x:v>1</x:v>
      </x:c>
    </x:row>
    <x:row r="954" ht="21" customHeight="1">
      <x:c r="A954" s="3" t="n">
        <x:v>16</x:v>
      </x:c>
      <x:c r="B954" s="3" t="n">
        <x:v>53</x:v>
      </x:c>
      <x:c r="C954" s="9" t="n">
        <x:v>-0.58619318</x:v>
      </x:c>
      <x:c r="D954" s="3" t="n">
        <x:v>0</x:v>
      </x:c>
      <x:c r="E954" s="3" t="n">
        <x:v>1</x:v>
      </x:c>
      <x:c r="F954" s="3" t="n">
        <x:v>1</x:v>
      </x:c>
    </x:row>
    <x:row r="955" ht="21" customHeight="1">
      <x:c r="A955" s="3" t="n">
        <x:v>16</x:v>
      </x:c>
      <x:c r="B955" s="3" t="n">
        <x:v>54</x:v>
      </x:c>
      <x:c r="C955" s="9" t="n">
        <x:v>-1.78703639</x:v>
      </x:c>
      <x:c r="D955" s="3" t="n">
        <x:v>0</x:v>
      </x:c>
      <x:c r="E955" s="3" t="n">
        <x:v>1</x:v>
      </x:c>
      <x:c r="F955" s="3" t="n">
        <x:v>1</x:v>
      </x:c>
    </x:row>
    <x:row r="956" ht="21" customHeight="1">
      <x:c r="A956" s="3" t="n">
        <x:v>16</x:v>
      </x:c>
      <x:c r="B956" s="3" t="n">
        <x:v>55</x:v>
      </x:c>
      <x:c r="C956" s="9" t="n">
        <x:v>0.87048079</x:v>
      </x:c>
      <x:c r="D956" s="3" t="n">
        <x:v>0</x:v>
      </x:c>
      <x:c r="E956" s="3" t="n">
        <x:v>1</x:v>
      </x:c>
      <x:c r="F956" s="3" t="n">
        <x:v>1</x:v>
      </x:c>
    </x:row>
    <x:row r="957" ht="21" customHeight="1">
      <x:c r="A957" s="3" t="n">
        <x:v>16</x:v>
      </x:c>
      <x:c r="B957" s="3" t="n">
        <x:v>56</x:v>
      </x:c>
      <x:c r="C957" s="9" t="n">
        <x:v>0.81317872</x:v>
      </x:c>
      <x:c r="D957" s="3" t="n">
        <x:v>0</x:v>
      </x:c>
      <x:c r="E957" s="3" t="n">
        <x:v>1</x:v>
      </x:c>
      <x:c r="F957" s="3" t="n">
        <x:v>1</x:v>
      </x:c>
    </x:row>
    <x:row r="958" ht="21" customHeight="1">
      <x:c r="A958" s="3" t="n">
        <x:v>16</x:v>
      </x:c>
      <x:c r="B958" s="3" t="n">
        <x:v>57</x:v>
      </x:c>
      <x:c r="C958" s="9" t="n">
        <x:v>-0.54977292</x:v>
      </x:c>
      <x:c r="D958" s="3" t="n">
        <x:v>0</x:v>
      </x:c>
      <x:c r="E958" s="3" t="n">
        <x:v>1</x:v>
      </x:c>
      <x:c r="F958" s="3" t="n">
        <x:v>1</x:v>
      </x:c>
    </x:row>
    <x:row r="959" ht="21" customHeight="1">
      <x:c r="A959" s="3" t="n">
        <x:v>16</x:v>
      </x:c>
      <x:c r="B959" s="3" t="n">
        <x:v>58</x:v>
      </x:c>
      <x:c r="C959" s="9" t="n">
        <x:v>0.38310489</x:v>
      </x:c>
      <x:c r="D959" s="3" t="n">
        <x:v>0</x:v>
      </x:c>
      <x:c r="E959" s="3" t="n">
        <x:v>1</x:v>
      </x:c>
      <x:c r="F959" s="3" t="n">
        <x:v>1</x:v>
      </x:c>
    </x:row>
    <x:row r="960" ht="21" customHeight="1">
      <x:c r="A960" s="3" t="n">
        <x:v>16</x:v>
      </x:c>
      <x:c r="B960" s="3" t="n">
        <x:v>59</x:v>
      </x:c>
      <x:c r="C960" s="9" t="n">
        <x:v>0.24329433</x:v>
      </x:c>
      <x:c r="D960" s="3" t="n">
        <x:v>0</x:v>
      </x:c>
      <x:c r="E960" s="3" t="n">
        <x:v>1</x:v>
      </x:c>
      <x:c r="F960" s="3" t="n">
        <x:v>1</x:v>
      </x:c>
    </x:row>
    <x:row r="961" ht="21" customHeight="1">
      <x:c r="A961" s="3" t="n">
        <x:v>16</x:v>
      </x:c>
      <x:c r="B961" s="3" t="n">
        <x:v>60</x:v>
      </x:c>
      <x:c r="C961" s="9" t="n">
        <x:v>-0.23670831</x:v>
      </x:c>
      <x:c r="D961" s="3" t="n">
        <x:v>0</x:v>
      </x:c>
      <x:c r="E961" s="3" t="n">
        <x:v>1</x:v>
      </x:c>
      <x:c r="F961" s="3" t="n">
        <x:v>1</x:v>
      </x:c>
    </x:row>
    <x:row r="962" ht="21" customHeight="1">
      <x:c r="A962" s="3" t="n">
        <x:v>17</x:v>
      </x:c>
      <x:c r="B962" s="3" t="n">
        <x:v>1</x:v>
      </x:c>
      <x:c r="C962" s="9" t="n">
        <x:v>0.71817346</x:v>
      </x:c>
      <x:c r="D962" s="3" t="n">
        <x:v>0</x:v>
      </x:c>
      <x:c r="E962" s="3" t="n">
        <x:v>1</x:v>
      </x:c>
      <x:c r="F962" s="3" t="n">
        <x:v>1</x:v>
      </x:c>
    </x:row>
    <x:row r="963" ht="21" customHeight="1">
      <x:c r="A963" s="3" t="n">
        <x:v>17</x:v>
      </x:c>
      <x:c r="B963" s="3" t="n">
        <x:v>2</x:v>
      </x:c>
      <x:c r="C963" s="9" t="n">
        <x:v>-0.4774282</x:v>
      </x:c>
      <x:c r="D963" s="3" t="n">
        <x:v>0</x:v>
      </x:c>
      <x:c r="E963" s="3" t="n">
        <x:v>1</x:v>
      </x:c>
      <x:c r="F963" s="3" t="n">
        <x:v>1</x:v>
      </x:c>
    </x:row>
    <x:row r="964" ht="21" customHeight="1">
      <x:c r="A964" s="3" t="n">
        <x:v>17</x:v>
      </x:c>
      <x:c r="B964" s="3" t="n">
        <x:v>3</x:v>
      </x:c>
      <x:c r="C964" s="9" t="n">
        <x:v>-0.78691699</x:v>
      </x:c>
      <x:c r="D964" s="3" t="n">
        <x:v>0</x:v>
      </x:c>
      <x:c r="E964" s="3" t="n">
        <x:v>1</x:v>
      </x:c>
      <x:c r="F964" s="3" t="n">
        <x:v>1</x:v>
      </x:c>
    </x:row>
    <x:row r="965" ht="21" customHeight="1">
      <x:c r="A965" s="3" t="n">
        <x:v>17</x:v>
      </x:c>
      <x:c r="B965" s="3" t="n">
        <x:v>4</x:v>
      </x:c>
      <x:c r="C965" s="9" t="n">
        <x:v>-2.17205061</x:v>
      </x:c>
      <x:c r="D965" s="3" t="n">
        <x:v>0</x:v>
      </x:c>
      <x:c r="E965" s="3" t="n">
        <x:v>1</x:v>
      </x:c>
      <x:c r="F965" s="3" t="n">
        <x:v>1</x:v>
      </x:c>
    </x:row>
    <x:row r="966" ht="21" customHeight="1">
      <x:c r="A966" s="3" t="n">
        <x:v>17</x:v>
      </x:c>
      <x:c r="B966" s="3" t="n">
        <x:v>5</x:v>
      </x:c>
      <x:c r="C966" s="9" t="n">
        <x:v>0.30021448</x:v>
      </x:c>
      <x:c r="D966" s="3" t="n">
        <x:v>0</x:v>
      </x:c>
      <x:c r="E966" s="3" t="n">
        <x:v>1</x:v>
      </x:c>
      <x:c r="F966" s="3" t="n">
        <x:v>1</x:v>
      </x:c>
    </x:row>
    <x:row r="967" ht="21" customHeight="1">
      <x:c r="A967" s="3" t="n">
        <x:v>17</x:v>
      </x:c>
      <x:c r="B967" s="3" t="n">
        <x:v>6</x:v>
      </x:c>
      <x:c r="C967" s="9" t="n">
        <x:v>-0.22950283</x:v>
      </x:c>
      <x:c r="D967" s="3" t="n">
        <x:v>0</x:v>
      </x:c>
      <x:c r="E967" s="3" t="n">
        <x:v>1</x:v>
      </x:c>
      <x:c r="F967" s="3" t="n">
        <x:v>1</x:v>
      </x:c>
    </x:row>
    <x:row r="968" ht="21" customHeight="1">
      <x:c r="A968" s="3" t="n">
        <x:v>17</x:v>
      </x:c>
      <x:c r="B968" s="3" t="n">
        <x:v>7</x:v>
      </x:c>
      <x:c r="C968" s="9" t="n">
        <x:v>-0.56073448</x:v>
      </x:c>
      <x:c r="D968" s="3" t="n">
        <x:v>0</x:v>
      </x:c>
      <x:c r="E968" s="3" t="n">
        <x:v>1</x:v>
      </x:c>
      <x:c r="F968" s="3" t="n">
        <x:v>1</x:v>
      </x:c>
    </x:row>
    <x:row r="969" ht="21" customHeight="1">
      <x:c r="A969" s="3" t="n">
        <x:v>17</x:v>
      </x:c>
      <x:c r="B969" s="3" t="n">
        <x:v>8</x:v>
      </x:c>
      <x:c r="C969" s="9" t="n">
        <x:v>-0.5457433</x:v>
      </x:c>
      <x:c r="D969" s="3" t="n">
        <x:v>0</x:v>
      </x:c>
      <x:c r="E969" s="3" t="n">
        <x:v>1</x:v>
      </x:c>
      <x:c r="F969" s="3" t="n">
        <x:v>1</x:v>
      </x:c>
    </x:row>
    <x:row r="970" ht="21" customHeight="1">
      <x:c r="A970" s="3" t="n">
        <x:v>17</x:v>
      </x:c>
      <x:c r="B970" s="3" t="n">
        <x:v>9</x:v>
      </x:c>
      <x:c r="C970" s="9" t="n">
        <x:v>1.2612844</x:v>
      </x:c>
      <x:c r="D970" s="3" t="n">
        <x:v>0</x:v>
      </x:c>
      <x:c r="E970" s="3" t="n">
        <x:v>1</x:v>
      </x:c>
      <x:c r="F970" s="3" t="n">
        <x:v>1</x:v>
      </x:c>
    </x:row>
    <x:row r="971" ht="21" customHeight="1">
      <x:c r="A971" s="3" t="n">
        <x:v>17</x:v>
      </x:c>
      <x:c r="B971" s="3" t="n">
        <x:v>10</x:v>
      </x:c>
      <x:c r="C971" s="9" t="n">
        <x:v>-1.35642715</x:v>
      </x:c>
      <x:c r="D971" s="3" t="n">
        <x:v>0</x:v>
      </x:c>
      <x:c r="E971" s="3" t="n">
        <x:v>1</x:v>
      </x:c>
      <x:c r="F971" s="3" t="n">
        <x:v>1</x:v>
      </x:c>
    </x:row>
    <x:row r="972" ht="21" customHeight="1">
      <x:c r="A972" s="3" t="n">
        <x:v>17</x:v>
      </x:c>
      <x:c r="B972" s="3" t="n">
        <x:v>11</x:v>
      </x:c>
      <x:c r="C972" s="9" t="n">
        <x:v>0.08965099</x:v>
      </x:c>
      <x:c r="D972" s="3" t="n">
        <x:v>0</x:v>
      </x:c>
      <x:c r="E972" s="3" t="n">
        <x:v>1</x:v>
      </x:c>
      <x:c r="F972" s="3" t="n">
        <x:v>1</x:v>
      </x:c>
    </x:row>
    <x:row r="973" ht="21" customHeight="1">
      <x:c r="A973" s="3" t="n">
        <x:v>17</x:v>
      </x:c>
      <x:c r="B973" s="3" t="n">
        <x:v>12</x:v>
      </x:c>
      <x:c r="C973" s="9" t="n">
        <x:v>-0.62782178</x:v>
      </x:c>
      <x:c r="D973" s="3" t="n">
        <x:v>0</x:v>
      </x:c>
      <x:c r="E973" s="3" t="n">
        <x:v>1</x:v>
      </x:c>
      <x:c r="F973" s="3" t="n">
        <x:v>1</x:v>
      </x:c>
    </x:row>
    <x:row r="974" ht="21" customHeight="1">
      <x:c r="A974" s="3" t="n">
        <x:v>17</x:v>
      </x:c>
      <x:c r="B974" s="3" t="n">
        <x:v>13</x:v>
      </x:c>
      <x:c r="C974" s="9" t="n">
        <x:v>1.56618744</x:v>
      </x:c>
      <x:c r="D974" s="3" t="n">
        <x:v>0</x:v>
      </x:c>
      <x:c r="E974" s="3" t="n">
        <x:v>1</x:v>
      </x:c>
      <x:c r="F974" s="3" t="n">
        <x:v>1</x:v>
      </x:c>
    </x:row>
    <x:row r="975" ht="21" customHeight="1">
      <x:c r="A975" s="3" t="n">
        <x:v>17</x:v>
      </x:c>
      <x:c r="B975" s="3" t="n">
        <x:v>14</x:v>
      </x:c>
      <x:c r="C975" s="9" t="n">
        <x:v>0.88843416</x:v>
      </x:c>
      <x:c r="D975" s="3" t="n">
        <x:v>0</x:v>
      </x:c>
      <x:c r="E975" s="3" t="n">
        <x:v>1</x:v>
      </x:c>
      <x:c r="F975" s="3" t="n">
        <x:v>1</x:v>
      </x:c>
    </x:row>
    <x:row r="976" ht="21" customHeight="1">
      <x:c r="A976" s="3" t="n">
        <x:v>17</x:v>
      </x:c>
      <x:c r="B976" s="3" t="n">
        <x:v>15</x:v>
      </x:c>
      <x:c r="C976" s="9" t="n">
        <x:v>1.28833931</x:v>
      </x:c>
      <x:c r="D976" s="3" t="n">
        <x:v>0</x:v>
      </x:c>
      <x:c r="E976" s="3" t="n">
        <x:v>1</x:v>
      </x:c>
      <x:c r="F976" s="3" t="n">
        <x:v>1</x:v>
      </x:c>
    </x:row>
    <x:row r="977" ht="21" customHeight="1">
      <x:c r="A977" s="3" t="n">
        <x:v>17</x:v>
      </x:c>
      <x:c r="B977" s="3" t="n">
        <x:v>16</x:v>
      </x:c>
      <x:c r="C977" s="9" t="n">
        <x:v>0.89686516</x:v>
      </x:c>
      <x:c r="D977" s="3" t="n">
        <x:v>0</x:v>
      </x:c>
      <x:c r="E977" s="3" t="n">
        <x:v>1</x:v>
      </x:c>
      <x:c r="F977" s="3" t="n">
        <x:v>1</x:v>
      </x:c>
    </x:row>
    <x:row r="978" ht="21" customHeight="1">
      <x:c r="A978" s="3" t="n">
        <x:v>17</x:v>
      </x:c>
      <x:c r="B978" s="3" t="n">
        <x:v>17</x:v>
      </x:c>
      <x:c r="C978" s="9" t="n">
        <x:v>-0.72859778</x:v>
      </x:c>
      <x:c r="D978" s="3" t="n">
        <x:v>0</x:v>
      </x:c>
      <x:c r="E978" s="3" t="n">
        <x:v>1</x:v>
      </x:c>
      <x:c r="F978" s="3" t="n">
        <x:v>1</x:v>
      </x:c>
    </x:row>
    <x:row r="979" ht="21" customHeight="1">
      <x:c r="A979" s="3" t="n">
        <x:v>17</x:v>
      </x:c>
      <x:c r="B979" s="3" t="n">
        <x:v>18</x:v>
      </x:c>
      <x:c r="C979" s="9" t="n">
        <x:v>1.32833284</x:v>
      </x:c>
      <x:c r="D979" s="3" t="n">
        <x:v>0</x:v>
      </x:c>
      <x:c r="E979" s="3" t="n">
        <x:v>1</x:v>
      </x:c>
      <x:c r="F979" s="3" t="n">
        <x:v>1</x:v>
      </x:c>
    </x:row>
    <x:row r="980" ht="21" customHeight="1">
      <x:c r="A980" s="3" t="n">
        <x:v>17</x:v>
      </x:c>
      <x:c r="B980" s="3" t="n">
        <x:v>19</x:v>
      </x:c>
      <x:c r="C980" s="9" t="n">
        <x:v>-0.19227847</x:v>
      </x:c>
      <x:c r="D980" s="3" t="n">
        <x:v>0</x:v>
      </x:c>
      <x:c r="E980" s="3" t="n">
        <x:v>1</x:v>
      </x:c>
      <x:c r="F980" s="3" t="n">
        <x:v>1</x:v>
      </x:c>
    </x:row>
    <x:row r="981" ht="21" customHeight="1">
      <x:c r="A981" s="3" t="n">
        <x:v>17</x:v>
      </x:c>
      <x:c r="B981" s="3" t="n">
        <x:v>20</x:v>
      </x:c>
      <x:c r="C981" s="9" t="n">
        <x:v>-0.23553126</x:v>
      </x:c>
      <x:c r="D981" s="3" t="n">
        <x:v>0</x:v>
      </x:c>
      <x:c r="E981" s="3" t="n">
        <x:v>1</x:v>
      </x:c>
      <x:c r="F981" s="3" t="n">
        <x:v>1</x:v>
      </x:c>
    </x:row>
    <x:row r="982" ht="21" customHeight="1">
      <x:c r="A982" s="3" t="n">
        <x:v>17</x:v>
      </x:c>
      <x:c r="B982" s="3" t="n">
        <x:v>21</x:v>
      </x:c>
      <x:c r="C982" s="9" t="n">
        <x:v>0.5314213</x:v>
      </x:c>
      <x:c r="D982" s="3" t="n">
        <x:v>0</x:v>
      </x:c>
      <x:c r="E982" s="3" t="n">
        <x:v>1</x:v>
      </x:c>
      <x:c r="F982" s="3" t="n">
        <x:v>1</x:v>
      </x:c>
    </x:row>
    <x:row r="983" ht="21" customHeight="1">
      <x:c r="A983" s="3" t="n">
        <x:v>17</x:v>
      </x:c>
      <x:c r="B983" s="3" t="n">
        <x:v>22</x:v>
      </x:c>
      <x:c r="C983" s="9" t="n">
        <x:v>0.88834946</x:v>
      </x:c>
      <x:c r="D983" s="3" t="n">
        <x:v>0</x:v>
      </x:c>
      <x:c r="E983" s="3" t="n">
        <x:v>1</x:v>
      </x:c>
      <x:c r="F983" s="3" t="n">
        <x:v>1</x:v>
      </x:c>
    </x:row>
    <x:row r="984" ht="21" customHeight="1">
      <x:c r="A984" s="3" t="n">
        <x:v>17</x:v>
      </x:c>
      <x:c r="B984" s="3" t="n">
        <x:v>23</x:v>
      </x:c>
      <x:c r="C984" s="9" t="n">
        <x:v>-0.24934748</x:v>
      </x:c>
      <x:c r="D984" s="3" t="n">
        <x:v>0</x:v>
      </x:c>
      <x:c r="E984" s="3" t="n">
        <x:v>1</x:v>
      </x:c>
      <x:c r="F984" s="3" t="n">
        <x:v>1</x:v>
      </x:c>
    </x:row>
    <x:row r="985" ht="21" customHeight="1">
      <x:c r="A985" s="3" t="n">
        <x:v>17</x:v>
      </x:c>
      <x:c r="B985" s="3" t="n">
        <x:v>24</x:v>
      </x:c>
      <x:c r="C985" s="9" t="n">
        <x:v>0.73342441</x:v>
      </x:c>
      <x:c r="D985" s="3" t="n">
        <x:v>0</x:v>
      </x:c>
      <x:c r="E985" s="3" t="n">
        <x:v>1</x:v>
      </x:c>
      <x:c r="F985" s="3" t="n">
        <x:v>1</x:v>
      </x:c>
    </x:row>
    <x:row r="986" ht="21" customHeight="1">
      <x:c r="A986" s="3" t="n">
        <x:v>17</x:v>
      </x:c>
      <x:c r="B986" s="3" t="n">
        <x:v>25</x:v>
      </x:c>
      <x:c r="C986" s="9" t="n">
        <x:v>-0.8689704</x:v>
      </x:c>
      <x:c r="D986" s="3" t="n">
        <x:v>0</x:v>
      </x:c>
      <x:c r="E986" s="3" t="n">
        <x:v>1</x:v>
      </x:c>
      <x:c r="F986" s="3" t="n">
        <x:v>1</x:v>
      </x:c>
    </x:row>
    <x:row r="987" ht="21" customHeight="1">
      <x:c r="A987" s="3" t="n">
        <x:v>17</x:v>
      </x:c>
      <x:c r="B987" s="3" t="n">
        <x:v>26</x:v>
      </x:c>
      <x:c r="C987" s="9" t="n">
        <x:v>-0.25517476</x:v>
      </x:c>
      <x:c r="D987" s="3" t="n">
        <x:v>0</x:v>
      </x:c>
      <x:c r="E987" s="3" t="n">
        <x:v>1</x:v>
      </x:c>
      <x:c r="F987" s="3" t="n">
        <x:v>1</x:v>
      </x:c>
    </x:row>
    <x:row r="988" ht="21" customHeight="1">
      <x:c r="A988" s="3" t="n">
        <x:v>17</x:v>
      </x:c>
      <x:c r="B988" s="3" t="n">
        <x:v>27</x:v>
      </x:c>
      <x:c r="C988" s="9" t="n">
        <x:v>0.94697842</x:v>
      </x:c>
      <x:c r="D988" s="3" t="n">
        <x:v>0</x:v>
      </x:c>
      <x:c r="E988" s="3" t="n">
        <x:v>1</x:v>
      </x:c>
      <x:c r="F988" s="3" t="n">
        <x:v>1</x:v>
      </x:c>
    </x:row>
    <x:row r="989" ht="21" customHeight="1">
      <x:c r="A989" s="3" t="n">
        <x:v>17</x:v>
      </x:c>
      <x:c r="B989" s="3" t="n">
        <x:v>28</x:v>
      </x:c>
      <x:c r="C989" s="9" t="n">
        <x:v>-1.34263825</x:v>
      </x:c>
      <x:c r="D989" s="3" t="n">
        <x:v>0</x:v>
      </x:c>
      <x:c r="E989" s="3" t="n">
        <x:v>1</x:v>
      </x:c>
      <x:c r="F989" s="3" t="n">
        <x:v>1</x:v>
      </x:c>
    </x:row>
    <x:row r="990" ht="21" customHeight="1">
      <x:c r="A990" s="3" t="n">
        <x:v>17</x:v>
      </x:c>
      <x:c r="B990" s="3" t="n">
        <x:v>29</x:v>
      </x:c>
      <x:c r="C990" s="9" t="n">
        <x:v>1.26432804</x:v>
      </x:c>
      <x:c r="D990" s="3" t="n">
        <x:v>0</x:v>
      </x:c>
      <x:c r="E990" s="3" t="n">
        <x:v>1</x:v>
      </x:c>
      <x:c r="F990" s="3" t="n">
        <x:v>1</x:v>
      </x:c>
    </x:row>
    <x:row r="991" ht="21" customHeight="1">
      <x:c r="A991" s="3" t="n">
        <x:v>17</x:v>
      </x:c>
      <x:c r="B991" s="3" t="n">
        <x:v>30</x:v>
      </x:c>
      <x:c r="C991" s="9" t="n">
        <x:v>0.38977633</x:v>
      </x:c>
      <x:c r="D991" s="3" t="n">
        <x:v>0</x:v>
      </x:c>
      <x:c r="E991" s="3" t="n">
        <x:v>1</x:v>
      </x:c>
      <x:c r="F991" s="3" t="n">
        <x:v>1</x:v>
      </x:c>
    </x:row>
    <x:row r="992" ht="21" customHeight="1">
      <x:c r="A992" s="3" t="n">
        <x:v>17</x:v>
      </x:c>
      <x:c r="B992" s="3" t="n">
        <x:v>31</x:v>
      </x:c>
      <x:c r="C992" s="9" t="n">
        <x:v>0.64606326</x:v>
      </x:c>
      <x:c r="D992" s="3" t="n">
        <x:v>0</x:v>
      </x:c>
      <x:c r="E992" s="3" t="n">
        <x:v>1</x:v>
      </x:c>
      <x:c r="F992" s="3" t="n">
        <x:v>1</x:v>
      </x:c>
    </x:row>
    <x:row r="993" ht="21" customHeight="1">
      <x:c r="A993" s="3" t="n">
        <x:v>17</x:v>
      </x:c>
      <x:c r="B993" s="3" t="n">
        <x:v>32</x:v>
      </x:c>
      <x:c r="C993" s="9" t="n">
        <x:v>0.45804672</x:v>
      </x:c>
      <x:c r="D993" s="3" t="n">
        <x:v>0</x:v>
      </x:c>
      <x:c r="E993" s="3" t="n">
        <x:v>1</x:v>
      </x:c>
      <x:c r="F993" s="3" t="n">
        <x:v>1</x:v>
      </x:c>
    </x:row>
    <x:row r="994" ht="21" customHeight="1">
      <x:c r="A994" s="3" t="n">
        <x:v>17</x:v>
      </x:c>
      <x:c r="B994" s="3" t="n">
        <x:v>33</x:v>
      </x:c>
      <x:c r="C994" s="9" t="n">
        <x:v>0.97424425</x:v>
      </x:c>
      <x:c r="D994" s="3" t="n">
        <x:v>0</x:v>
      </x:c>
      <x:c r="E994" s="3" t="n">
        <x:v>1</x:v>
      </x:c>
      <x:c r="F994" s="3" t="n">
        <x:v>1</x:v>
      </x:c>
    </x:row>
    <x:row r="995" ht="21" customHeight="1">
      <x:c r="A995" s="3" t="n">
        <x:v>17</x:v>
      </x:c>
      <x:c r="B995" s="3" t="n">
        <x:v>34</x:v>
      </x:c>
      <x:c r="C995" s="9" t="n">
        <x:v>-0.96830956</x:v>
      </x:c>
      <x:c r="D995" s="3" t="n">
        <x:v>0</x:v>
      </x:c>
      <x:c r="E995" s="3" t="n">
        <x:v>1</x:v>
      </x:c>
      <x:c r="F995" s="3" t="n">
        <x:v>1</x:v>
      </x:c>
    </x:row>
    <x:row r="996" ht="21" customHeight="1">
      <x:c r="A996" s="3" t="n">
        <x:v>17</x:v>
      </x:c>
      <x:c r="B996" s="3" t="n">
        <x:v>35</x:v>
      </x:c>
      <x:c r="C996" s="9" t="n">
        <x:v>-2.02338664</x:v>
      </x:c>
      <x:c r="D996" s="3" t="n">
        <x:v>0</x:v>
      </x:c>
      <x:c r="E996" s="3" t="n">
        <x:v>1</x:v>
      </x:c>
      <x:c r="F996" s="3" t="n">
        <x:v>1</x:v>
      </x:c>
    </x:row>
    <x:row r="997" ht="21" customHeight="1">
      <x:c r="A997" s="3" t="n">
        <x:v>17</x:v>
      </x:c>
      <x:c r="B997" s="3" t="n">
        <x:v>36</x:v>
      </x:c>
      <x:c r="C997" s="9" t="n">
        <x:v>-0.63104144</x:v>
      </x:c>
      <x:c r="D997" s="3" t="n">
        <x:v>0</x:v>
      </x:c>
      <x:c r="E997" s="3" t="n">
        <x:v>1</x:v>
      </x:c>
      <x:c r="F997" s="3" t="n">
        <x:v>1</x:v>
      </x:c>
    </x:row>
    <x:row r="998" ht="21" customHeight="1">
      <x:c r="A998" s="3" t="n">
        <x:v>17</x:v>
      </x:c>
      <x:c r="B998" s="3" t="n">
        <x:v>37</x:v>
      </x:c>
      <x:c r="C998" s="9" t="n">
        <x:v>0.80032415</x:v>
      </x:c>
      <x:c r="D998" s="3" t="n">
        <x:v>0</x:v>
      </x:c>
      <x:c r="E998" s="3" t="n">
        <x:v>1</x:v>
      </x:c>
      <x:c r="F998" s="3" t="n">
        <x:v>1</x:v>
      </x:c>
    </x:row>
    <x:row r="999" ht="21" customHeight="1">
      <x:c r="A999" s="3" t="n">
        <x:v>17</x:v>
      </x:c>
      <x:c r="B999" s="3" t="n">
        <x:v>38</x:v>
      </x:c>
      <x:c r="C999" s="9" t="n">
        <x:v>-0.12653345</x:v>
      </x:c>
      <x:c r="D999" s="3" t="n">
        <x:v>0</x:v>
      </x:c>
      <x:c r="E999" s="3" t="n">
        <x:v>1</x:v>
      </x:c>
      <x:c r="F999" s="3" t="n">
        <x:v>1</x:v>
      </x:c>
    </x:row>
    <x:row r="1000" ht="21" customHeight="1">
      <x:c r="A1000" s="3" t="n">
        <x:v>17</x:v>
      </x:c>
      <x:c r="B1000" s="3" t="n">
        <x:v>39</x:v>
      </x:c>
      <x:c r="C1000" s="9" t="n">
        <x:v>2.01183397</x:v>
      </x:c>
      <x:c r="D1000" s="3" t="n">
        <x:v>0</x:v>
      </x:c>
      <x:c r="E1000" s="3" t="n">
        <x:v>1</x:v>
      </x:c>
      <x:c r="F1000" s="3" t="n">
        <x:v>1</x:v>
      </x:c>
    </x:row>
    <x:row r="1001" ht="21" customHeight="1">
      <x:c r="A1001" s="3" t="n">
        <x:v>17</x:v>
      </x:c>
      <x:c r="B1001" s="3" t="n">
        <x:v>40</x:v>
      </x:c>
      <x:c r="C1001" s="9" t="n">
        <x:v>-0.46255285</x:v>
      </x:c>
      <x:c r="D1001" s="3" t="n">
        <x:v>0</x:v>
      </x:c>
      <x:c r="E1001" s="3" t="n">
        <x:v>1</x:v>
      </x:c>
      <x:c r="F1001" s="3" t="n">
        <x:v>1</x:v>
      </x:c>
    </x:row>
    <x:row r="1002" ht="21" customHeight="1">
      <x:c r="A1002" s="3" t="n">
        <x:v>17</x:v>
      </x:c>
      <x:c r="B1002" s="3" t="n">
        <x:v>41</x:v>
      </x:c>
      <x:c r="C1002" s="9" t="n">
        <x:v>0.9678315</x:v>
      </x:c>
      <x:c r="D1002" s="3" t="n">
        <x:v>0</x:v>
      </x:c>
      <x:c r="E1002" s="3" t="n">
        <x:v>1</x:v>
      </x:c>
      <x:c r="F1002" s="3" t="n">
        <x:v>1</x:v>
      </x:c>
    </x:row>
    <x:row r="1003" ht="21" customHeight="1">
      <x:c r="A1003" s="3" t="n">
        <x:v>17</x:v>
      </x:c>
      <x:c r="B1003" s="3" t="n">
        <x:v>42</x:v>
      </x:c>
      <x:c r="C1003" s="9" t="n">
        <x:v>1.12132287</x:v>
      </x:c>
      <x:c r="D1003" s="3" t="n">
        <x:v>0</x:v>
      </x:c>
      <x:c r="E1003" s="3" t="n">
        <x:v>1</x:v>
      </x:c>
      <x:c r="F1003" s="3" t="n">
        <x:v>1</x:v>
      </x:c>
    </x:row>
    <x:row r="1004" ht="21" customHeight="1">
      <x:c r="A1004" s="3" t="n">
        <x:v>17</x:v>
      </x:c>
      <x:c r="B1004" s="3" t="n">
        <x:v>43</x:v>
      </x:c>
      <x:c r="C1004" s="9" t="n">
        <x:v>0.92911445</x:v>
      </x:c>
      <x:c r="D1004" s="3" t="n">
        <x:v>0</x:v>
      </x:c>
      <x:c r="E1004" s="3" t="n">
        <x:v>1</x:v>
      </x:c>
      <x:c r="F1004" s="3" t="n">
        <x:v>1</x:v>
      </x:c>
    </x:row>
    <x:row r="1005" ht="21" customHeight="1">
      <x:c r="A1005" s="3" t="n">
        <x:v>17</x:v>
      </x:c>
      <x:c r="B1005" s="3" t="n">
        <x:v>44</x:v>
      </x:c>
      <x:c r="C1005" s="9" t="n">
        <x:v>1.9502928</x:v>
      </x:c>
      <x:c r="D1005" s="3" t="n">
        <x:v>0</x:v>
      </x:c>
      <x:c r="E1005" s="3" t="n">
        <x:v>1</x:v>
      </x:c>
      <x:c r="F1005" s="3" t="n">
        <x:v>1</x:v>
      </x:c>
    </x:row>
    <x:row r="1006" ht="21" customHeight="1">
      <x:c r="A1006" s="3" t="n">
        <x:v>17</x:v>
      </x:c>
      <x:c r="B1006" s="3" t="n">
        <x:v>45</x:v>
      </x:c>
      <x:c r="C1006" s="9" t="n">
        <x:v>0.9743549</x:v>
      </x:c>
      <x:c r="D1006" s="3" t="n">
        <x:v>0</x:v>
      </x:c>
      <x:c r="E1006" s="3" t="n">
        <x:v>1</x:v>
      </x:c>
      <x:c r="F1006" s="3" t="n">
        <x:v>1</x:v>
      </x:c>
    </x:row>
    <x:row r="1007" ht="21" customHeight="1">
      <x:c r="A1007" s="3" t="n">
        <x:v>17</x:v>
      </x:c>
      <x:c r="B1007" s="3" t="n">
        <x:v>46</x:v>
      </x:c>
      <x:c r="C1007" s="9" t="n">
        <x:v>-0.82302474</x:v>
      </x:c>
      <x:c r="D1007" s="3" t="n">
        <x:v>0</x:v>
      </x:c>
      <x:c r="E1007" s="3" t="n">
        <x:v>1</x:v>
      </x:c>
      <x:c r="F1007" s="3" t="n">
        <x:v>1</x:v>
      </x:c>
    </x:row>
    <x:row r="1008" ht="21" customHeight="1">
      <x:c r="A1008" s="3" t="n">
        <x:v>17</x:v>
      </x:c>
      <x:c r="B1008" s="3" t="n">
        <x:v>47</x:v>
      </x:c>
      <x:c r="C1008" s="9" t="n">
        <x:v>0.0453654</x:v>
      </x:c>
      <x:c r="D1008" s="3" t="n">
        <x:v>0</x:v>
      </x:c>
      <x:c r="E1008" s="3" t="n">
        <x:v>1</x:v>
      </x:c>
      <x:c r="F1008" s="3" t="n">
        <x:v>1</x:v>
      </x:c>
    </x:row>
    <x:row r="1009" ht="21" customHeight="1">
      <x:c r="A1009" s="3" t="n">
        <x:v>17</x:v>
      </x:c>
      <x:c r="B1009" s="3" t="n">
        <x:v>48</x:v>
      </x:c>
      <x:c r="C1009" s="9" t="n">
        <x:v>-0.08464145</x:v>
      </x:c>
      <x:c r="D1009" s="3" t="n">
        <x:v>0</x:v>
      </x:c>
      <x:c r="E1009" s="3" t="n">
        <x:v>1</x:v>
      </x:c>
      <x:c r="F1009" s="3" t="n">
        <x:v>1</x:v>
      </x:c>
    </x:row>
    <x:row r="1010" ht="21" customHeight="1">
      <x:c r="A1010" s="3" t="n">
        <x:v>17</x:v>
      </x:c>
      <x:c r="B1010" s="3" t="n">
        <x:v>49</x:v>
      </x:c>
      <x:c r="C1010" s="9" t="n">
        <x:v>-0.62952269</x:v>
      </x:c>
      <x:c r="D1010" s="3" t="n">
        <x:v>0</x:v>
      </x:c>
      <x:c r="E1010" s="3" t="n">
        <x:v>1</x:v>
      </x:c>
      <x:c r="F1010" s="3" t="n">
        <x:v>1</x:v>
      </x:c>
    </x:row>
    <x:row r="1011" ht="21" customHeight="1">
      <x:c r="A1011" s="3" t="n">
        <x:v>17</x:v>
      </x:c>
      <x:c r="B1011" s="3" t="n">
        <x:v>50</x:v>
      </x:c>
      <x:c r="C1011" s="9" t="n">
        <x:v>-0.26770442</x:v>
      </x:c>
      <x:c r="D1011" s="3" t="n">
        <x:v>0</x:v>
      </x:c>
      <x:c r="E1011" s="3" t="n">
        <x:v>1</x:v>
      </x:c>
      <x:c r="F1011" s="3" t="n">
        <x:v>1</x:v>
      </x:c>
    </x:row>
    <x:row r="1012" ht="21" customHeight="1">
      <x:c r="A1012" s="3" t="n">
        <x:v>17</x:v>
      </x:c>
      <x:c r="B1012" s="3" t="n">
        <x:v>51</x:v>
      </x:c>
      <x:c r="C1012" s="9" t="n">
        <x:v>1.11057414</x:v>
      </x:c>
      <x:c r="D1012" s="3" t="n">
        <x:v>0</x:v>
      </x:c>
      <x:c r="E1012" s="3" t="n">
        <x:v>1</x:v>
      </x:c>
      <x:c r="F1012" s="3" t="n">
        <x:v>1</x:v>
      </x:c>
    </x:row>
    <x:row r="1013" ht="21" customHeight="1">
      <x:c r="A1013" s="3" t="n">
        <x:v>17</x:v>
      </x:c>
      <x:c r="B1013" s="3" t="n">
        <x:v>52</x:v>
      </x:c>
      <x:c r="C1013" s="9" t="n">
        <x:v>-0.44652084</x:v>
      </x:c>
      <x:c r="D1013" s="3" t="n">
        <x:v>0</x:v>
      </x:c>
      <x:c r="E1013" s="3" t="n">
        <x:v>1</x:v>
      </x:c>
      <x:c r="F1013" s="3" t="n">
        <x:v>1</x:v>
      </x:c>
    </x:row>
    <x:row r="1014" ht="21" customHeight="1">
      <x:c r="A1014" s="3" t="n">
        <x:v>17</x:v>
      </x:c>
      <x:c r="B1014" s="3" t="n">
        <x:v>53</x:v>
      </x:c>
      <x:c r="C1014" s="9" t="n">
        <x:v>0.37963471</x:v>
      </x:c>
      <x:c r="D1014" s="3" t="n">
        <x:v>0</x:v>
      </x:c>
      <x:c r="E1014" s="3" t="n">
        <x:v>1</x:v>
      </x:c>
      <x:c r="F1014" s="3" t="n">
        <x:v>1</x:v>
      </x:c>
    </x:row>
    <x:row r="1015" ht="21" customHeight="1">
      <x:c r="A1015" s="3" t="n">
        <x:v>17</x:v>
      </x:c>
      <x:c r="B1015" s="3" t="n">
        <x:v>54</x:v>
      </x:c>
      <x:c r="C1015" s="9" t="n">
        <x:v>0.40687137</x:v>
      </x:c>
      <x:c r="D1015" s="3" t="n">
        <x:v>0</x:v>
      </x:c>
      <x:c r="E1015" s="3" t="n">
        <x:v>1</x:v>
      </x:c>
      <x:c r="F1015" s="3" t="n">
        <x:v>1</x:v>
      </x:c>
    </x:row>
    <x:row r="1016" ht="21" customHeight="1">
      <x:c r="A1016" s="3" t="n">
        <x:v>17</x:v>
      </x:c>
      <x:c r="B1016" s="3" t="n">
        <x:v>55</x:v>
      </x:c>
      <x:c r="C1016" s="9" t="n">
        <x:v>0.68275428</x:v>
      </x:c>
      <x:c r="D1016" s="3" t="n">
        <x:v>0</x:v>
      </x:c>
      <x:c r="E1016" s="3" t="n">
        <x:v>1</x:v>
      </x:c>
      <x:c r="F1016" s="3" t="n">
        <x:v>1</x:v>
      </x:c>
    </x:row>
    <x:row r="1017" ht="21" customHeight="1">
      <x:c r="A1017" s="3" t="n">
        <x:v>17</x:v>
      </x:c>
      <x:c r="B1017" s="3" t="n">
        <x:v>56</x:v>
      </x:c>
      <x:c r="C1017" s="9" t="n">
        <x:v>-0.83061006</x:v>
      </x:c>
      <x:c r="D1017" s="3" t="n">
        <x:v>0</x:v>
      </x:c>
      <x:c r="E1017" s="3" t="n">
        <x:v>1</x:v>
      </x:c>
      <x:c r="F1017" s="3" t="n">
        <x:v>1</x:v>
      </x:c>
    </x:row>
    <x:row r="1018" ht="21" customHeight="1">
      <x:c r="A1018" s="3" t="n">
        <x:v>17</x:v>
      </x:c>
      <x:c r="B1018" s="3" t="n">
        <x:v>57</x:v>
      </x:c>
      <x:c r="C1018" s="9" t="n">
        <x:v>0.50520881</x:v>
      </x:c>
      <x:c r="D1018" s="3" t="n">
        <x:v>0</x:v>
      </x:c>
      <x:c r="E1018" s="3" t="n">
        <x:v>1</x:v>
      </x:c>
      <x:c r="F1018" s="3" t="n">
        <x:v>1</x:v>
      </x:c>
    </x:row>
    <x:row r="1019" ht="21" customHeight="1">
      <x:c r="A1019" s="3" t="n">
        <x:v>17</x:v>
      </x:c>
      <x:c r="B1019" s="3" t="n">
        <x:v>58</x:v>
      </x:c>
      <x:c r="C1019" s="9" t="n">
        <x:v>0.85841937</x:v>
      </x:c>
      <x:c r="D1019" s="3" t="n">
        <x:v>0</x:v>
      </x:c>
      <x:c r="E1019" s="3" t="n">
        <x:v>1</x:v>
      </x:c>
      <x:c r="F1019" s="3" t="n">
        <x:v>1</x:v>
      </x:c>
    </x:row>
    <x:row r="1020" ht="21" customHeight="1">
      <x:c r="A1020" s="3" t="n">
        <x:v>17</x:v>
      </x:c>
      <x:c r="B1020" s="3" t="n">
        <x:v>59</x:v>
      </x:c>
      <x:c r="C1020" s="9" t="n">
        <x:v>0.47206469</x:v>
      </x:c>
      <x:c r="D1020" s="3" t="n">
        <x:v>0</x:v>
      </x:c>
      <x:c r="E1020" s="3" t="n">
        <x:v>1</x:v>
      </x:c>
      <x:c r="F1020" s="3" t="n">
        <x:v>1</x:v>
      </x:c>
    </x:row>
    <x:row r="1021" ht="21" customHeight="1">
      <x:c r="A1021" s="3" t="n">
        <x:v>17</x:v>
      </x:c>
      <x:c r="B1021" s="3" t="n">
        <x:v>60</x:v>
      </x:c>
      <x:c r="C1021" s="9" t="n">
        <x:v>0.38637894</x:v>
      </x:c>
      <x:c r="D1021" s="3" t="n">
        <x:v>0</x:v>
      </x:c>
      <x:c r="E1021" s="3" t="n">
        <x:v>1</x:v>
      </x:c>
      <x:c r="F1021" s="3" t="n">
        <x:v>1</x:v>
      </x:c>
    </x:row>
    <x:row r="1022" ht="21" customHeight="1">
      <x:c r="A1022" s="3" t="n">
        <x:v>18</x:v>
      </x:c>
      <x:c r="B1022" s="3" t="n">
        <x:v>1</x:v>
      </x:c>
      <x:c r="C1022" s="9" t="n">
        <x:v>0.57897812</x:v>
      </x:c>
      <x:c r="D1022" s="3" t="n">
        <x:v>0</x:v>
      </x:c>
      <x:c r="E1022" s="3" t="n">
        <x:v>1</x:v>
      </x:c>
      <x:c r="F1022" s="3" t="n">
        <x:v>1</x:v>
      </x:c>
    </x:row>
    <x:row r="1023" ht="21" customHeight="1">
      <x:c r="A1023" s="3" t="n">
        <x:v>18</x:v>
      </x:c>
      <x:c r="B1023" s="3" t="n">
        <x:v>2</x:v>
      </x:c>
      <x:c r="C1023" s="9" t="n">
        <x:v>-1.29848684</x:v>
      </x:c>
      <x:c r="D1023" s="3" t="n">
        <x:v>0</x:v>
      </x:c>
      <x:c r="E1023" s="3" t="n">
        <x:v>1</x:v>
      </x:c>
      <x:c r="F1023" s="3" t="n">
        <x:v>1</x:v>
      </x:c>
    </x:row>
    <x:row r="1024" ht="21" customHeight="1">
      <x:c r="A1024" s="3" t="n">
        <x:v>18</x:v>
      </x:c>
      <x:c r="B1024" s="3" t="n">
        <x:v>3</x:v>
      </x:c>
      <x:c r="C1024" s="9" t="n">
        <x:v>0.71598002</x:v>
      </x:c>
      <x:c r="D1024" s="3" t="n">
        <x:v>0</x:v>
      </x:c>
      <x:c r="E1024" s="3" t="n">
        <x:v>1</x:v>
      </x:c>
      <x:c r="F1024" s="3" t="n">
        <x:v>1</x:v>
      </x:c>
    </x:row>
    <x:row r="1025" ht="21" customHeight="1">
      <x:c r="A1025" s="3" t="n">
        <x:v>18</x:v>
      </x:c>
      <x:c r="B1025" s="3" t="n">
        <x:v>4</x:v>
      </x:c>
      <x:c r="C1025" s="9" t="n">
        <x:v>1.36101244</x:v>
      </x:c>
      <x:c r="D1025" s="3" t="n">
        <x:v>0</x:v>
      </x:c>
      <x:c r="E1025" s="3" t="n">
        <x:v>1</x:v>
      </x:c>
      <x:c r="F1025" s="3" t="n">
        <x:v>1</x:v>
      </x:c>
    </x:row>
    <x:row r="1026" ht="21" customHeight="1">
      <x:c r="A1026" s="3" t="n">
        <x:v>18</x:v>
      </x:c>
      <x:c r="B1026" s="3" t="n">
        <x:v>5</x:v>
      </x:c>
      <x:c r="C1026" s="9" t="n">
        <x:v>-0.01139366</x:v>
      </x:c>
      <x:c r="D1026" s="3" t="n">
        <x:v>0</x:v>
      </x:c>
      <x:c r="E1026" s="3" t="n">
        <x:v>1</x:v>
      </x:c>
      <x:c r="F1026" s="3" t="n">
        <x:v>1</x:v>
      </x:c>
    </x:row>
    <x:row r="1027" ht="21" customHeight="1">
      <x:c r="A1027" s="3" t="n">
        <x:v>18</x:v>
      </x:c>
      <x:c r="B1027" s="3" t="n">
        <x:v>6</x:v>
      </x:c>
      <x:c r="C1027" s="9" t="n">
        <x:v>-1.60529661</x:v>
      </x:c>
      <x:c r="D1027" s="3" t="n">
        <x:v>0</x:v>
      </x:c>
      <x:c r="E1027" s="3" t="n">
        <x:v>1</x:v>
      </x:c>
      <x:c r="F1027" s="3" t="n">
        <x:v>1</x:v>
      </x:c>
    </x:row>
    <x:row r="1028" ht="21" customHeight="1">
      <x:c r="A1028" s="3" t="n">
        <x:v>18</x:v>
      </x:c>
      <x:c r="B1028" s="3" t="n">
        <x:v>7</x:v>
      </x:c>
      <x:c r="C1028" s="9" t="n">
        <x:v>-0.71567027</x:v>
      </x:c>
      <x:c r="D1028" s="3" t="n">
        <x:v>0</x:v>
      </x:c>
      <x:c r="E1028" s="3" t="n">
        <x:v>1</x:v>
      </x:c>
      <x:c r="F1028" s="3" t="n">
        <x:v>1</x:v>
      </x:c>
    </x:row>
    <x:row r="1029" ht="21" customHeight="1">
      <x:c r="A1029" s="3" t="n">
        <x:v>18</x:v>
      </x:c>
      <x:c r="B1029" s="3" t="n">
        <x:v>8</x:v>
      </x:c>
      <x:c r="C1029" s="9" t="n">
        <x:v>1.12278649</x:v>
      </x:c>
      <x:c r="D1029" s="3" t="n">
        <x:v>0</x:v>
      </x:c>
      <x:c r="E1029" s="3" t="n">
        <x:v>1</x:v>
      </x:c>
      <x:c r="F1029" s="3" t="n">
        <x:v>1</x:v>
      </x:c>
    </x:row>
    <x:row r="1030" ht="21" customHeight="1">
      <x:c r="A1030" s="3" t="n">
        <x:v>18</x:v>
      </x:c>
      <x:c r="B1030" s="3" t="n">
        <x:v>9</x:v>
      </x:c>
      <x:c r="C1030" s="9" t="n">
        <x:v>0.38488374</x:v>
      </x:c>
      <x:c r="D1030" s="3" t="n">
        <x:v>0</x:v>
      </x:c>
      <x:c r="E1030" s="3" t="n">
        <x:v>1</x:v>
      </x:c>
      <x:c r="F1030" s="3" t="n">
        <x:v>1</x:v>
      </x:c>
    </x:row>
    <x:row r="1031" ht="21" customHeight="1">
      <x:c r="A1031" s="3" t="n">
        <x:v>18</x:v>
      </x:c>
      <x:c r="B1031" s="3" t="n">
        <x:v>10</x:v>
      </x:c>
      <x:c r="C1031" s="9" t="n">
        <x:v>0.74791513</x:v>
      </x:c>
      <x:c r="D1031" s="3" t="n">
        <x:v>0</x:v>
      </x:c>
      <x:c r="E1031" s="3" t="n">
        <x:v>1</x:v>
      </x:c>
      <x:c r="F1031" s="3" t="n">
        <x:v>1</x:v>
      </x:c>
    </x:row>
    <x:row r="1032" ht="21" customHeight="1">
      <x:c r="A1032" s="3" t="n">
        <x:v>18</x:v>
      </x:c>
      <x:c r="B1032" s="3" t="n">
        <x:v>11</x:v>
      </x:c>
      <x:c r="C1032" s="9" t="n">
        <x:v>-0.55248497</x:v>
      </x:c>
      <x:c r="D1032" s="3" t="n">
        <x:v>0</x:v>
      </x:c>
      <x:c r="E1032" s="3" t="n">
        <x:v>1</x:v>
      </x:c>
      <x:c r="F1032" s="3" t="n">
        <x:v>1</x:v>
      </x:c>
    </x:row>
    <x:row r="1033" ht="21" customHeight="1">
      <x:c r="A1033" s="3" t="n">
        <x:v>18</x:v>
      </x:c>
      <x:c r="B1033" s="3" t="n">
        <x:v>12</x:v>
      </x:c>
      <x:c r="C1033" s="9" t="n">
        <x:v>-0.22597323</x:v>
      </x:c>
      <x:c r="D1033" s="3" t="n">
        <x:v>0</x:v>
      </x:c>
      <x:c r="E1033" s="3" t="n">
        <x:v>1</x:v>
      </x:c>
      <x:c r="F1033" s="3" t="n">
        <x:v>1</x:v>
      </x:c>
    </x:row>
    <x:row r="1034" ht="21" customHeight="1">
      <x:c r="A1034" s="3" t="n">
        <x:v>18</x:v>
      </x:c>
      <x:c r="B1034" s="3" t="n">
        <x:v>13</x:v>
      </x:c>
      <x:c r="C1034" s="9" t="n">
        <x:v>2.06401235</x:v>
      </x:c>
      <x:c r="D1034" s="3" t="n">
        <x:v>0</x:v>
      </x:c>
      <x:c r="E1034" s="3" t="n">
        <x:v>1</x:v>
      </x:c>
      <x:c r="F1034" s="3" t="n">
        <x:v>1</x:v>
      </x:c>
    </x:row>
    <x:row r="1035" ht="21" customHeight="1">
      <x:c r="A1035" s="3" t="n">
        <x:v>18</x:v>
      </x:c>
      <x:c r="B1035" s="3" t="n">
        <x:v>14</x:v>
      </x:c>
      <x:c r="C1035" s="9" t="n">
        <x:v>-0.2065291</x:v>
      </x:c>
      <x:c r="D1035" s="3" t="n">
        <x:v>0</x:v>
      </x:c>
      <x:c r="E1035" s="3" t="n">
        <x:v>1</x:v>
      </x:c>
      <x:c r="F1035" s="3" t="n">
        <x:v>1</x:v>
      </x:c>
    </x:row>
    <x:row r="1036" ht="21" customHeight="1">
      <x:c r="A1036" s="3" t="n">
        <x:v>18</x:v>
      </x:c>
      <x:c r="B1036" s="3" t="n">
        <x:v>15</x:v>
      </x:c>
      <x:c r="C1036" s="9" t="n">
        <x:v>-0.99230866</x:v>
      </x:c>
      <x:c r="D1036" s="3" t="n">
        <x:v>0</x:v>
      </x:c>
      <x:c r="E1036" s="3" t="n">
        <x:v>1</x:v>
      </x:c>
      <x:c r="F1036" s="3" t="n">
        <x:v>1</x:v>
      </x:c>
    </x:row>
    <x:row r="1037" ht="21" customHeight="1">
      <x:c r="A1037" s="3" t="n">
        <x:v>18</x:v>
      </x:c>
      <x:c r="B1037" s="3" t="n">
        <x:v>16</x:v>
      </x:c>
      <x:c r="C1037" s="9" t="n">
        <x:v>-0.65215884</x:v>
      </x:c>
      <x:c r="D1037" s="3" t="n">
        <x:v>0</x:v>
      </x:c>
      <x:c r="E1037" s="3" t="n">
        <x:v>1</x:v>
      </x:c>
      <x:c r="F1037" s="3" t="n">
        <x:v>1</x:v>
      </x:c>
    </x:row>
    <x:row r="1038" ht="21" customHeight="1">
      <x:c r="A1038" s="3" t="n">
        <x:v>18</x:v>
      </x:c>
      <x:c r="B1038" s="3" t="n">
        <x:v>17</x:v>
      </x:c>
      <x:c r="C1038" s="9" t="n">
        <x:v>0.03452125</x:v>
      </x:c>
      <x:c r="D1038" s="3" t="n">
        <x:v>0</x:v>
      </x:c>
      <x:c r="E1038" s="3" t="n">
        <x:v>1</x:v>
      </x:c>
      <x:c r="F1038" s="3" t="n">
        <x:v>1</x:v>
      </x:c>
    </x:row>
    <x:row r="1039" ht="21" customHeight="1">
      <x:c r="A1039" s="3" t="n">
        <x:v>18</x:v>
      </x:c>
      <x:c r="B1039" s="3" t="n">
        <x:v>18</x:v>
      </x:c>
      <x:c r="C1039" s="9" t="n">
        <x:v>-2.08793875</x:v>
      </x:c>
      <x:c r="D1039" s="3" t="n">
        <x:v>0</x:v>
      </x:c>
      <x:c r="E1039" s="3" t="n">
        <x:v>1</x:v>
      </x:c>
      <x:c r="F1039" s="3" t="n">
        <x:v>1</x:v>
      </x:c>
    </x:row>
    <x:row r="1040" ht="21" customHeight="1">
      <x:c r="A1040" s="3" t="n">
        <x:v>18</x:v>
      </x:c>
      <x:c r="B1040" s="3" t="n">
        <x:v>19</x:v>
      </x:c>
      <x:c r="C1040" s="9" t="n">
        <x:v>0.55187401</x:v>
      </x:c>
      <x:c r="D1040" s="3" t="n">
        <x:v>0</x:v>
      </x:c>
      <x:c r="E1040" s="3" t="n">
        <x:v>1</x:v>
      </x:c>
      <x:c r="F1040" s="3" t="n">
        <x:v>1</x:v>
      </x:c>
    </x:row>
    <x:row r="1041" ht="21" customHeight="1">
      <x:c r="A1041" s="3" t="n">
        <x:v>18</x:v>
      </x:c>
      <x:c r="B1041" s="3" t="n">
        <x:v>20</x:v>
      </x:c>
      <x:c r="C1041" s="9" t="n">
        <x:v>-0.86120704</x:v>
      </x:c>
      <x:c r="D1041" s="3" t="n">
        <x:v>0</x:v>
      </x:c>
      <x:c r="E1041" s="3" t="n">
        <x:v>1</x:v>
      </x:c>
      <x:c r="F1041" s="3" t="n">
        <x:v>1</x:v>
      </x:c>
    </x:row>
    <x:row r="1042" ht="21" customHeight="1">
      <x:c r="A1042" s="3" t="n">
        <x:v>18</x:v>
      </x:c>
      <x:c r="B1042" s="3" t="n">
        <x:v>21</x:v>
      </x:c>
      <x:c r="C1042" s="9" t="n">
        <x:v>-0.13175855</x:v>
      </x:c>
      <x:c r="D1042" s="3" t="n">
        <x:v>0</x:v>
      </x:c>
      <x:c r="E1042" s="3" t="n">
        <x:v>1</x:v>
      </x:c>
      <x:c r="F1042" s="3" t="n">
        <x:v>1</x:v>
      </x:c>
    </x:row>
    <x:row r="1043" ht="21" customHeight="1">
      <x:c r="A1043" s="3" t="n">
        <x:v>18</x:v>
      </x:c>
      <x:c r="B1043" s="3" t="n">
        <x:v>22</x:v>
      </x:c>
      <x:c r="C1043" s="9" t="n">
        <x:v>0.69263907</x:v>
      </x:c>
      <x:c r="D1043" s="3" t="n">
        <x:v>0</x:v>
      </x:c>
      <x:c r="E1043" s="3" t="n">
        <x:v>1</x:v>
      </x:c>
      <x:c r="F1043" s="3" t="n">
        <x:v>1</x:v>
      </x:c>
    </x:row>
    <x:row r="1044" ht="21" customHeight="1">
      <x:c r="A1044" s="3" t="n">
        <x:v>18</x:v>
      </x:c>
      <x:c r="B1044" s="3" t="n">
        <x:v>23</x:v>
      </x:c>
      <x:c r="C1044" s="9" t="n">
        <x:v>0.97353059</x:v>
      </x:c>
      <x:c r="D1044" s="3" t="n">
        <x:v>0</x:v>
      </x:c>
      <x:c r="E1044" s="3" t="n">
        <x:v>1</x:v>
      </x:c>
      <x:c r="F1044" s="3" t="n">
        <x:v>1</x:v>
      </x:c>
    </x:row>
    <x:row r="1045" ht="21" customHeight="1">
      <x:c r="A1045" s="3" t="n">
        <x:v>18</x:v>
      </x:c>
      <x:c r="B1045" s="3" t="n">
        <x:v>24</x:v>
      </x:c>
      <x:c r="C1045" s="9" t="n">
        <x:v>-0.39520077</x:v>
      </x:c>
      <x:c r="D1045" s="3" t="n">
        <x:v>0</x:v>
      </x:c>
      <x:c r="E1045" s="3" t="n">
        <x:v>1</x:v>
      </x:c>
      <x:c r="F1045" s="3" t="n">
        <x:v>1</x:v>
      </x:c>
    </x:row>
    <x:row r="1046" ht="21" customHeight="1">
      <x:c r="A1046" s="3" t="n">
        <x:v>18</x:v>
      </x:c>
      <x:c r="B1046" s="3" t="n">
        <x:v>25</x:v>
      </x:c>
      <x:c r="C1046" s="9" t="n">
        <x:v>0.06895194</x:v>
      </x:c>
      <x:c r="D1046" s="3" t="n">
        <x:v>0</x:v>
      </x:c>
      <x:c r="E1046" s="3" t="n">
        <x:v>1</x:v>
      </x:c>
      <x:c r="F1046" s="3" t="n">
        <x:v>1</x:v>
      </x:c>
    </x:row>
    <x:row r="1047" ht="21" customHeight="1">
      <x:c r="A1047" s="3" t="n">
        <x:v>18</x:v>
      </x:c>
      <x:c r="B1047" s="3" t="n">
        <x:v>26</x:v>
      </x:c>
      <x:c r="C1047" s="9" t="n">
        <x:v>0.12976421</x:v>
      </x:c>
      <x:c r="D1047" s="3" t="n">
        <x:v>0</x:v>
      </x:c>
      <x:c r="E1047" s="3" t="n">
        <x:v>1</x:v>
      </x:c>
      <x:c r="F1047" s="3" t="n">
        <x:v>1</x:v>
      </x:c>
    </x:row>
    <x:row r="1048" ht="21" customHeight="1">
      <x:c r="A1048" s="3" t="n">
        <x:v>18</x:v>
      </x:c>
      <x:c r="B1048" s="3" t="n">
        <x:v>27</x:v>
      </x:c>
      <x:c r="C1048" s="9" t="n">
        <x:v>-0.37374124</x:v>
      </x:c>
      <x:c r="D1048" s="3" t="n">
        <x:v>0</x:v>
      </x:c>
      <x:c r="E1048" s="3" t="n">
        <x:v>1</x:v>
      </x:c>
      <x:c r="F1048" s="3" t="n">
        <x:v>1</x:v>
      </x:c>
    </x:row>
    <x:row r="1049" ht="21" customHeight="1">
      <x:c r="A1049" s="3" t="n">
        <x:v>18</x:v>
      </x:c>
      <x:c r="B1049" s="3" t="n">
        <x:v>28</x:v>
      </x:c>
      <x:c r="C1049" s="9" t="n">
        <x:v>0.02677222</x:v>
      </x:c>
      <x:c r="D1049" s="3" t="n">
        <x:v>0</x:v>
      </x:c>
      <x:c r="E1049" s="3" t="n">
        <x:v>1</x:v>
      </x:c>
      <x:c r="F1049" s="3" t="n">
        <x:v>1</x:v>
      </x:c>
    </x:row>
    <x:row r="1050" ht="21" customHeight="1">
      <x:c r="A1050" s="3" t="n">
        <x:v>18</x:v>
      </x:c>
      <x:c r="B1050" s="3" t="n">
        <x:v>29</x:v>
      </x:c>
      <x:c r="C1050" s="9" t="n">
        <x:v>-0.53144566</x:v>
      </x:c>
      <x:c r="D1050" s="3" t="n">
        <x:v>0</x:v>
      </x:c>
      <x:c r="E1050" s="3" t="n">
        <x:v>1</x:v>
      </x:c>
      <x:c r="F1050" s="3" t="n">
        <x:v>1</x:v>
      </x:c>
    </x:row>
    <x:row r="1051" ht="21" customHeight="1">
      <x:c r="A1051" s="3" t="n">
        <x:v>18</x:v>
      </x:c>
      <x:c r="B1051" s="3" t="n">
        <x:v>30</x:v>
      </x:c>
      <x:c r="C1051" s="9" t="n">
        <x:v>-1.12914963</x:v>
      </x:c>
      <x:c r="D1051" s="3" t="n">
        <x:v>0</x:v>
      </x:c>
      <x:c r="E1051" s="3" t="n">
        <x:v>1</x:v>
      </x:c>
      <x:c r="F1051" s="3" t="n">
        <x:v>1</x:v>
      </x:c>
    </x:row>
    <x:row r="1052" ht="21" customHeight="1">
      <x:c r="A1052" s="3" t="n">
        <x:v>18</x:v>
      </x:c>
      <x:c r="B1052" s="3" t="n">
        <x:v>31</x:v>
      </x:c>
      <x:c r="C1052" s="9" t="n">
        <x:v>-0.27641083</x:v>
      </x:c>
      <x:c r="D1052" s="3" t="n">
        <x:v>0</x:v>
      </x:c>
      <x:c r="E1052" s="3" t="n">
        <x:v>1</x:v>
      </x:c>
      <x:c r="F1052" s="3" t="n">
        <x:v>1</x:v>
      </x:c>
    </x:row>
    <x:row r="1053" ht="21" customHeight="1">
      <x:c r="A1053" s="3" t="n">
        <x:v>18</x:v>
      </x:c>
      <x:c r="B1053" s="3" t="n">
        <x:v>32</x:v>
      </x:c>
      <x:c r="C1053" s="9" t="n">
        <x:v>-3.07864925</x:v>
      </x:c>
      <x:c r="D1053" s="3" t="n">
        <x:v>0</x:v>
      </x:c>
      <x:c r="E1053" s="3" t="n">
        <x:v>1</x:v>
      </x:c>
      <x:c r="F1053" s="3" t="n">
        <x:v>1</x:v>
      </x:c>
    </x:row>
    <x:row r="1054" ht="21" customHeight="1">
      <x:c r="A1054" s="3" t="n">
        <x:v>18</x:v>
      </x:c>
      <x:c r="B1054" s="3" t="n">
        <x:v>33</x:v>
      </x:c>
      <x:c r="C1054" s="9" t="n">
        <x:v>0.49301569</x:v>
      </x:c>
      <x:c r="D1054" s="3" t="n">
        <x:v>0</x:v>
      </x:c>
      <x:c r="E1054" s="3" t="n">
        <x:v>1</x:v>
      </x:c>
      <x:c r="F1054" s="3" t="n">
        <x:v>1</x:v>
      </x:c>
    </x:row>
    <x:row r="1055" ht="21" customHeight="1">
      <x:c r="A1055" s="3" t="n">
        <x:v>18</x:v>
      </x:c>
      <x:c r="B1055" s="3" t="n">
        <x:v>34</x:v>
      </x:c>
      <x:c r="C1055" s="9" t="n">
        <x:v>0.78054062</x:v>
      </x:c>
      <x:c r="D1055" s="3" t="n">
        <x:v>0</x:v>
      </x:c>
      <x:c r="E1055" s="3" t="n">
        <x:v>1</x:v>
      </x:c>
      <x:c r="F1055" s="3" t="n">
        <x:v>1</x:v>
      </x:c>
    </x:row>
    <x:row r="1056" ht="21" customHeight="1">
      <x:c r="A1056" s="3" t="n">
        <x:v>18</x:v>
      </x:c>
      <x:c r="B1056" s="3" t="n">
        <x:v>35</x:v>
      </x:c>
      <x:c r="C1056" s="9" t="n">
        <x:v>-0.27529875</x:v>
      </x:c>
      <x:c r="D1056" s="3" t="n">
        <x:v>0</x:v>
      </x:c>
      <x:c r="E1056" s="3" t="n">
        <x:v>1</x:v>
      </x:c>
      <x:c r="F1056" s="3" t="n">
        <x:v>1</x:v>
      </x:c>
    </x:row>
    <x:row r="1057" ht="21" customHeight="1">
      <x:c r="A1057" s="3" t="n">
        <x:v>18</x:v>
      </x:c>
      <x:c r="B1057" s="3" t="n">
        <x:v>36</x:v>
      </x:c>
      <x:c r="C1057" s="9" t="n">
        <x:v>-1.68029978</x:v>
      </x:c>
      <x:c r="D1057" s="3" t="n">
        <x:v>0</x:v>
      </x:c>
      <x:c r="E1057" s="3" t="n">
        <x:v>1</x:v>
      </x:c>
      <x:c r="F1057" s="3" t="n">
        <x:v>1</x:v>
      </x:c>
    </x:row>
    <x:row r="1058" ht="21" customHeight="1">
      <x:c r="A1058" s="3" t="n">
        <x:v>18</x:v>
      </x:c>
      <x:c r="B1058" s="3" t="n">
        <x:v>37</x:v>
      </x:c>
      <x:c r="C1058" s="9" t="n">
        <x:v>1.29903972</x:v>
      </x:c>
      <x:c r="D1058" s="3" t="n">
        <x:v>0</x:v>
      </x:c>
      <x:c r="E1058" s="3" t="n">
        <x:v>1</x:v>
      </x:c>
      <x:c r="F1058" s="3" t="n">
        <x:v>1</x:v>
      </x:c>
    </x:row>
    <x:row r="1059" ht="21" customHeight="1">
      <x:c r="A1059" s="3" t="n">
        <x:v>18</x:v>
      </x:c>
      <x:c r="B1059" s="3" t="n">
        <x:v>38</x:v>
      </x:c>
      <x:c r="C1059" s="9" t="n">
        <x:v>1.18258107</x:v>
      </x:c>
      <x:c r="D1059" s="3" t="n">
        <x:v>0</x:v>
      </x:c>
      <x:c r="E1059" s="3" t="n">
        <x:v>1</x:v>
      </x:c>
      <x:c r="F1059" s="3" t="n">
        <x:v>1</x:v>
      </x:c>
    </x:row>
    <x:row r="1060" ht="21" customHeight="1">
      <x:c r="A1060" s="3" t="n">
        <x:v>18</x:v>
      </x:c>
      <x:c r="B1060" s="3" t="n">
        <x:v>39</x:v>
      </x:c>
      <x:c r="C1060" s="9" t="n">
        <x:v>0.31973213</x:v>
      </x:c>
      <x:c r="D1060" s="3" t="n">
        <x:v>0</x:v>
      </x:c>
      <x:c r="E1060" s="3" t="n">
        <x:v>1</x:v>
      </x:c>
      <x:c r="F1060" s="3" t="n">
        <x:v>1</x:v>
      </x:c>
    </x:row>
    <x:row r="1061" ht="21" customHeight="1">
      <x:c r="A1061" s="3" t="n">
        <x:v>18</x:v>
      </x:c>
      <x:c r="B1061" s="3" t="n">
        <x:v>40</x:v>
      </x:c>
      <x:c r="C1061" s="9" t="n">
        <x:v>0.55342399</x:v>
      </x:c>
      <x:c r="D1061" s="3" t="n">
        <x:v>0</x:v>
      </x:c>
      <x:c r="E1061" s="3" t="n">
        <x:v>1</x:v>
      </x:c>
      <x:c r="F1061" s="3" t="n">
        <x:v>1</x:v>
      </x:c>
    </x:row>
    <x:row r="1062" ht="21" customHeight="1">
      <x:c r="A1062" s="3" t="n">
        <x:v>18</x:v>
      </x:c>
      <x:c r="B1062" s="3" t="n">
        <x:v>41</x:v>
      </x:c>
      <x:c r="C1062" s="9" t="n">
        <x:v>0.51485856</x:v>
      </x:c>
      <x:c r="D1062" s="3" t="n">
        <x:v>0</x:v>
      </x:c>
      <x:c r="E1062" s="3" t="n">
        <x:v>1</x:v>
      </x:c>
      <x:c r="F1062" s="3" t="n">
        <x:v>1</x:v>
      </x:c>
    </x:row>
    <x:row r="1063" ht="21" customHeight="1">
      <x:c r="A1063" s="3" t="n">
        <x:v>18</x:v>
      </x:c>
      <x:c r="B1063" s="3" t="n">
        <x:v>42</x:v>
      </x:c>
      <x:c r="C1063" s="9" t="n">
        <x:v>-0.83872089</x:v>
      </x:c>
      <x:c r="D1063" s="3" t="n">
        <x:v>0</x:v>
      </x:c>
      <x:c r="E1063" s="3" t="n">
        <x:v>1</x:v>
      </x:c>
      <x:c r="F1063" s="3" t="n">
        <x:v>1</x:v>
      </x:c>
    </x:row>
    <x:row r="1064" ht="21" customHeight="1">
      <x:c r="A1064" s="3" t="n">
        <x:v>18</x:v>
      </x:c>
      <x:c r="B1064" s="3" t="n">
        <x:v>43</x:v>
      </x:c>
      <x:c r="C1064" s="9" t="n">
        <x:v>1.2076774</x:v>
      </x:c>
      <x:c r="D1064" s="3" t="n">
        <x:v>0</x:v>
      </x:c>
      <x:c r="E1064" s="3" t="n">
        <x:v>1</x:v>
      </x:c>
      <x:c r="F1064" s="3" t="n">
        <x:v>1</x:v>
      </x:c>
    </x:row>
    <x:row r="1065" ht="21" customHeight="1">
      <x:c r="A1065" s="3" t="n">
        <x:v>18</x:v>
      </x:c>
      <x:c r="B1065" s="3" t="n">
        <x:v>44</x:v>
      </x:c>
      <x:c r="C1065" s="9" t="n">
        <x:v>0.61254677</x:v>
      </x:c>
      <x:c r="D1065" s="3" t="n">
        <x:v>0</x:v>
      </x:c>
      <x:c r="E1065" s="3" t="n">
        <x:v>1</x:v>
      </x:c>
      <x:c r="F1065" s="3" t="n">
        <x:v>1</x:v>
      </x:c>
    </x:row>
    <x:row r="1066" ht="21" customHeight="1">
      <x:c r="A1066" s="3" t="n">
        <x:v>18</x:v>
      </x:c>
      <x:c r="B1066" s="3" t="n">
        <x:v>45</x:v>
      </x:c>
      <x:c r="C1066" s="9" t="n">
        <x:v>-0.20845648</x:v>
      </x:c>
      <x:c r="D1066" s="3" t="n">
        <x:v>0</x:v>
      </x:c>
      <x:c r="E1066" s="3" t="n">
        <x:v>1</x:v>
      </x:c>
      <x:c r="F1066" s="3" t="n">
        <x:v>1</x:v>
      </x:c>
    </x:row>
    <x:row r="1067" ht="21" customHeight="1">
      <x:c r="A1067" s="3" t="n">
        <x:v>18</x:v>
      </x:c>
      <x:c r="B1067" s="3" t="n">
        <x:v>46</x:v>
      </x:c>
      <x:c r="C1067" s="9" t="n">
        <x:v>-1.36545501</x:v>
      </x:c>
      <x:c r="D1067" s="3" t="n">
        <x:v>0</x:v>
      </x:c>
      <x:c r="E1067" s="3" t="n">
        <x:v>1</x:v>
      </x:c>
      <x:c r="F1067" s="3" t="n">
        <x:v>1</x:v>
      </x:c>
    </x:row>
    <x:row r="1068" ht="21" customHeight="1">
      <x:c r="A1068" s="3" t="n">
        <x:v>18</x:v>
      </x:c>
      <x:c r="B1068" s="3" t="n">
        <x:v>47</x:v>
      </x:c>
      <x:c r="C1068" s="9" t="n">
        <x:v>-0.02894978</x:v>
      </x:c>
      <x:c r="D1068" s="3" t="n">
        <x:v>0</x:v>
      </x:c>
      <x:c r="E1068" s="3" t="n">
        <x:v>1</x:v>
      </x:c>
      <x:c r="F1068" s="3" t="n">
        <x:v>1</x:v>
      </x:c>
    </x:row>
    <x:row r="1069" ht="21" customHeight="1">
      <x:c r="A1069" s="3" t="n">
        <x:v>18</x:v>
      </x:c>
      <x:c r="B1069" s="3" t="n">
        <x:v>48</x:v>
      </x:c>
      <x:c r="C1069" s="9" t="n">
        <x:v>0.81737363</x:v>
      </x:c>
      <x:c r="D1069" s="3" t="n">
        <x:v>0</x:v>
      </x:c>
      <x:c r="E1069" s="3" t="n">
        <x:v>1</x:v>
      </x:c>
      <x:c r="F1069" s="3" t="n">
        <x:v>1</x:v>
      </x:c>
    </x:row>
    <x:row r="1070" ht="21" customHeight="1">
      <x:c r="A1070" s="3" t="n">
        <x:v>18</x:v>
      </x:c>
      <x:c r="B1070" s="3" t="n">
        <x:v>49</x:v>
      </x:c>
      <x:c r="C1070" s="9" t="n">
        <x:v>-0.70090254</x:v>
      </x:c>
      <x:c r="D1070" s="3" t="n">
        <x:v>0</x:v>
      </x:c>
      <x:c r="E1070" s="3" t="n">
        <x:v>1</x:v>
      </x:c>
      <x:c r="F1070" s="3" t="n">
        <x:v>1</x:v>
      </x:c>
    </x:row>
    <x:row r="1071" ht="21" customHeight="1">
      <x:c r="A1071" s="3" t="n">
        <x:v>18</x:v>
      </x:c>
      <x:c r="B1071" s="3" t="n">
        <x:v>50</x:v>
      </x:c>
      <x:c r="C1071" s="9" t="n">
        <x:v>-0.95132645</x:v>
      </x:c>
      <x:c r="D1071" s="3" t="n">
        <x:v>0</x:v>
      </x:c>
      <x:c r="E1071" s="3" t="n">
        <x:v>1</x:v>
      </x:c>
      <x:c r="F1071" s="3" t="n">
        <x:v>1</x:v>
      </x:c>
    </x:row>
    <x:row r="1072" ht="21" customHeight="1">
      <x:c r="A1072" s="3" t="n">
        <x:v>18</x:v>
      </x:c>
      <x:c r="B1072" s="3" t="n">
        <x:v>51</x:v>
      </x:c>
      <x:c r="C1072" s="9" t="n">
        <x:v>-0.05693562</x:v>
      </x:c>
      <x:c r="D1072" s="3" t="n">
        <x:v>0</x:v>
      </x:c>
      <x:c r="E1072" s="3" t="n">
        <x:v>1</x:v>
      </x:c>
      <x:c r="F1072" s="3" t="n">
        <x:v>1</x:v>
      </x:c>
    </x:row>
    <x:row r="1073" ht="21" customHeight="1">
      <x:c r="A1073" s="3" t="n">
        <x:v>18</x:v>
      </x:c>
      <x:c r="B1073" s="3" t="n">
        <x:v>52</x:v>
      </x:c>
      <x:c r="C1073" s="9" t="n">
        <x:v>-0.02673461</x:v>
      </x:c>
      <x:c r="D1073" s="3" t="n">
        <x:v>0</x:v>
      </x:c>
      <x:c r="E1073" s="3" t="n">
        <x:v>1</x:v>
      </x:c>
      <x:c r="F1073" s="3" t="n">
        <x:v>1</x:v>
      </x:c>
    </x:row>
    <x:row r="1074" ht="21" customHeight="1">
      <x:c r="A1074" s="3" t="n">
        <x:v>18</x:v>
      </x:c>
      <x:c r="B1074" s="3" t="n">
        <x:v>53</x:v>
      </x:c>
      <x:c r="C1074" s="9" t="n">
        <x:v>-1.21018082</x:v>
      </x:c>
      <x:c r="D1074" s="3" t="n">
        <x:v>0</x:v>
      </x:c>
      <x:c r="E1074" s="3" t="n">
        <x:v>1</x:v>
      </x:c>
      <x:c r="F1074" s="3" t="n">
        <x:v>1</x:v>
      </x:c>
    </x:row>
    <x:row r="1075" ht="21" customHeight="1">
      <x:c r="A1075" s="3" t="n">
        <x:v>18</x:v>
      </x:c>
      <x:c r="B1075" s="3" t="n">
        <x:v>54</x:v>
      </x:c>
      <x:c r="C1075" s="9" t="n">
        <x:v>-1.28492869</x:v>
      </x:c>
      <x:c r="D1075" s="3" t="n">
        <x:v>0</x:v>
      </x:c>
      <x:c r="E1075" s="3" t="n">
        <x:v>1</x:v>
      </x:c>
      <x:c r="F1075" s="3" t="n">
        <x:v>1</x:v>
      </x:c>
    </x:row>
    <x:row r="1076" ht="21" customHeight="1">
      <x:c r="A1076" s="3" t="n">
        <x:v>18</x:v>
      </x:c>
      <x:c r="B1076" s="3" t="n">
        <x:v>55</x:v>
      </x:c>
      <x:c r="C1076" s="9" t="n">
        <x:v>0.15402267</x:v>
      </x:c>
      <x:c r="D1076" s="3" t="n">
        <x:v>0</x:v>
      </x:c>
      <x:c r="E1076" s="3" t="n">
        <x:v>1</x:v>
      </x:c>
      <x:c r="F1076" s="3" t="n">
        <x:v>1</x:v>
      </x:c>
    </x:row>
    <x:row r="1077" ht="21" customHeight="1">
      <x:c r="A1077" s="3" t="n">
        <x:v>18</x:v>
      </x:c>
      <x:c r="B1077" s="3" t="n">
        <x:v>56</x:v>
      </x:c>
      <x:c r="C1077" s="9" t="n">
        <x:v>-1.81558069</x:v>
      </x:c>
      <x:c r="D1077" s="3" t="n">
        <x:v>0</x:v>
      </x:c>
      <x:c r="E1077" s="3" t="n">
        <x:v>1</x:v>
      </x:c>
      <x:c r="F1077" s="3" t="n">
        <x:v>1</x:v>
      </x:c>
    </x:row>
    <x:row r="1078" ht="21" customHeight="1">
      <x:c r="A1078" s="3" t="n">
        <x:v>18</x:v>
      </x:c>
      <x:c r="B1078" s="3" t="n">
        <x:v>57</x:v>
      </x:c>
      <x:c r="C1078" s="9" t="n">
        <x:v>2.20063766</x:v>
      </x:c>
      <x:c r="D1078" s="3" t="n">
        <x:v>0</x:v>
      </x:c>
      <x:c r="E1078" s="3" t="n">
        <x:v>1</x:v>
      </x:c>
      <x:c r="F1078" s="3" t="n">
        <x:v>1</x:v>
      </x:c>
    </x:row>
    <x:row r="1079" ht="21" customHeight="1">
      <x:c r="A1079" s="3" t="n">
        <x:v>18</x:v>
      </x:c>
      <x:c r="B1079" s="3" t="n">
        <x:v>58</x:v>
      </x:c>
      <x:c r="C1079" s="9" t="n">
        <x:v>1.33126516</x:v>
      </x:c>
      <x:c r="D1079" s="3" t="n">
        <x:v>0</x:v>
      </x:c>
      <x:c r="E1079" s="3" t="n">
        <x:v>1</x:v>
      </x:c>
      <x:c r="F1079" s="3" t="n">
        <x:v>1</x:v>
      </x:c>
    </x:row>
    <x:row r="1080" ht="21" customHeight="1">
      <x:c r="A1080" s="3" t="n">
        <x:v>18</x:v>
      </x:c>
      <x:c r="B1080" s="3" t="n">
        <x:v>59</x:v>
      </x:c>
      <x:c r="C1080" s="9" t="n">
        <x:v>0.689335</x:v>
      </x:c>
      <x:c r="D1080" s="3" t="n">
        <x:v>0</x:v>
      </x:c>
      <x:c r="E1080" s="3" t="n">
        <x:v>1</x:v>
      </x:c>
      <x:c r="F1080" s="3" t="n">
        <x:v>1</x:v>
      </x:c>
    </x:row>
    <x:row r="1081" ht="21" customHeight="1">
      <x:c r="A1081" s="3" t="n">
        <x:v>18</x:v>
      </x:c>
      <x:c r="B1081" s="3" t="n">
        <x:v>60</x:v>
      </x:c>
      <x:c r="C1081" s="9" t="n">
        <x:v>-0.64528629</x:v>
      </x:c>
      <x:c r="D1081" s="3" t="n">
        <x:v>0</x:v>
      </x:c>
      <x:c r="E1081" s="3" t="n">
        <x:v>1</x:v>
      </x:c>
      <x:c r="F1081" s="3" t="n">
        <x:v>1</x:v>
      </x:c>
    </x:row>
    <x:row r="1082" ht="21" customHeight="1">
      <x:c r="A1082" s="3" t="n">
        <x:v>19</x:v>
      </x:c>
      <x:c r="B1082" s="3" t="n">
        <x:v>1</x:v>
      </x:c>
      <x:c r="C1082" s="9" t="n">
        <x:v>-1.75858129</x:v>
      </x:c>
      <x:c r="D1082" s="3" t="n">
        <x:v>0</x:v>
      </x:c>
      <x:c r="E1082" s="3" t="n">
        <x:v>1</x:v>
      </x:c>
      <x:c r="F1082" s="3" t="n">
        <x:v>1</x:v>
      </x:c>
    </x:row>
    <x:row r="1083" ht="21" customHeight="1">
      <x:c r="A1083" s="3" t="n">
        <x:v>19</x:v>
      </x:c>
      <x:c r="B1083" s="3" t="n">
        <x:v>2</x:v>
      </x:c>
      <x:c r="C1083" s="9" t="n">
        <x:v>1.7110443</x:v>
      </x:c>
      <x:c r="D1083" s="3" t="n">
        <x:v>0</x:v>
      </x:c>
      <x:c r="E1083" s="3" t="n">
        <x:v>1</x:v>
      </x:c>
      <x:c r="F1083" s="3" t="n">
        <x:v>1</x:v>
      </x:c>
    </x:row>
    <x:row r="1084" ht="21" customHeight="1">
      <x:c r="A1084" s="3" t="n">
        <x:v>19</x:v>
      </x:c>
      <x:c r="B1084" s="3" t="n">
        <x:v>3</x:v>
      </x:c>
      <x:c r="C1084" s="9" t="n">
        <x:v>2.41160504</x:v>
      </x:c>
      <x:c r="D1084" s="3" t="n">
        <x:v>0</x:v>
      </x:c>
      <x:c r="E1084" s="3" t="n">
        <x:v>1</x:v>
      </x:c>
      <x:c r="F1084" s="3" t="n">
        <x:v>1</x:v>
      </x:c>
    </x:row>
    <x:row r="1085" ht="21" customHeight="1">
      <x:c r="A1085" s="3" t="n">
        <x:v>19</x:v>
      </x:c>
      <x:c r="B1085" s="3" t="n">
        <x:v>4</x:v>
      </x:c>
      <x:c r="C1085" s="9" t="n">
        <x:v>-0.95648815</x:v>
      </x:c>
      <x:c r="D1085" s="3" t="n">
        <x:v>0</x:v>
      </x:c>
      <x:c r="E1085" s="3" t="n">
        <x:v>1</x:v>
      </x:c>
      <x:c r="F1085" s="3" t="n">
        <x:v>1</x:v>
      </x:c>
    </x:row>
    <x:row r="1086" ht="21" customHeight="1">
      <x:c r="A1086" s="3" t="n">
        <x:v>19</x:v>
      </x:c>
      <x:c r="B1086" s="3" t="n">
        <x:v>5</x:v>
      </x:c>
      <x:c r="C1086" s="9" t="n">
        <x:v>-0.01028917</x:v>
      </x:c>
      <x:c r="D1086" s="3" t="n">
        <x:v>0</x:v>
      </x:c>
      <x:c r="E1086" s="3" t="n">
        <x:v>1</x:v>
      </x:c>
      <x:c r="F1086" s="3" t="n">
        <x:v>1</x:v>
      </x:c>
    </x:row>
    <x:row r="1087" ht="21" customHeight="1">
      <x:c r="A1087" s="3" t="n">
        <x:v>19</x:v>
      </x:c>
      <x:c r="B1087" s="3" t="n">
        <x:v>6</x:v>
      </x:c>
      <x:c r="C1087" s="9" t="n">
        <x:v>-1.85698452</x:v>
      </x:c>
      <x:c r="D1087" s="3" t="n">
        <x:v>0</x:v>
      </x:c>
      <x:c r="E1087" s="3" t="n">
        <x:v>1</x:v>
      </x:c>
      <x:c r="F1087" s="3" t="n">
        <x:v>1</x:v>
      </x:c>
    </x:row>
    <x:row r="1088" ht="21" customHeight="1">
      <x:c r="A1088" s="3" t="n">
        <x:v>19</x:v>
      </x:c>
      <x:c r="B1088" s="3" t="n">
        <x:v>7</x:v>
      </x:c>
      <x:c r="C1088" s="9" t="n">
        <x:v>-0.65580528</x:v>
      </x:c>
      <x:c r="D1088" s="3" t="n">
        <x:v>0</x:v>
      </x:c>
      <x:c r="E1088" s="3" t="n">
        <x:v>1</x:v>
      </x:c>
      <x:c r="F1088" s="3" t="n">
        <x:v>1</x:v>
      </x:c>
    </x:row>
    <x:row r="1089" ht="21" customHeight="1">
      <x:c r="A1089" s="3" t="n">
        <x:v>19</x:v>
      </x:c>
      <x:c r="B1089" s="3" t="n">
        <x:v>8</x:v>
      </x:c>
      <x:c r="C1089" s="9" t="n">
        <x:v>0.10300087</x:v>
      </x:c>
      <x:c r="D1089" s="3" t="n">
        <x:v>0</x:v>
      </x:c>
      <x:c r="E1089" s="3" t="n">
        <x:v>1</x:v>
      </x:c>
      <x:c r="F1089" s="3" t="n">
        <x:v>1</x:v>
      </x:c>
    </x:row>
    <x:row r="1090" ht="21" customHeight="1">
      <x:c r="A1090" s="3" t="n">
        <x:v>19</x:v>
      </x:c>
      <x:c r="B1090" s="3" t="n">
        <x:v>9</x:v>
      </x:c>
      <x:c r="C1090" s="9" t="n">
        <x:v>0.8519926</x:v>
      </x:c>
      <x:c r="D1090" s="3" t="n">
        <x:v>0</x:v>
      </x:c>
      <x:c r="E1090" s="3" t="n">
        <x:v>1</x:v>
      </x:c>
      <x:c r="F1090" s="3" t="n">
        <x:v>1</x:v>
      </x:c>
    </x:row>
    <x:row r="1091" ht="21" customHeight="1">
      <x:c r="A1091" s="3" t="n">
        <x:v>19</x:v>
      </x:c>
      <x:c r="B1091" s="3" t="n">
        <x:v>10</x:v>
      </x:c>
      <x:c r="C1091" s="9" t="n">
        <x:v>0.98804251</x:v>
      </x:c>
      <x:c r="D1091" s="3" t="n">
        <x:v>0</x:v>
      </x:c>
      <x:c r="E1091" s="3" t="n">
        <x:v>1</x:v>
      </x:c>
      <x:c r="F1091" s="3" t="n">
        <x:v>1</x:v>
      </x:c>
    </x:row>
    <x:row r="1092" ht="21" customHeight="1">
      <x:c r="A1092" s="3" t="n">
        <x:v>19</x:v>
      </x:c>
      <x:c r="B1092" s="3" t="n">
        <x:v>11</x:v>
      </x:c>
      <x:c r="C1092" s="9" t="n">
        <x:v>0.24667415</x:v>
      </x:c>
      <x:c r="D1092" s="3" t="n">
        <x:v>0</x:v>
      </x:c>
      <x:c r="E1092" s="3" t="n">
        <x:v>1</x:v>
      </x:c>
      <x:c r="F1092" s="3" t="n">
        <x:v>1</x:v>
      </x:c>
    </x:row>
    <x:row r="1093" ht="21" customHeight="1">
      <x:c r="A1093" s="3" t="n">
        <x:v>19</x:v>
      </x:c>
      <x:c r="B1093" s="3" t="n">
        <x:v>12</x:v>
      </x:c>
      <x:c r="C1093" s="9" t="n">
        <x:v>0.42352778</x:v>
      </x:c>
      <x:c r="D1093" s="3" t="n">
        <x:v>0</x:v>
      </x:c>
      <x:c r="E1093" s="3" t="n">
        <x:v>1</x:v>
      </x:c>
      <x:c r="F1093" s="3" t="n">
        <x:v>1</x:v>
      </x:c>
    </x:row>
    <x:row r="1094" ht="21" customHeight="1">
      <x:c r="A1094" s="3" t="n">
        <x:v>19</x:v>
      </x:c>
      <x:c r="B1094" s="3" t="n">
        <x:v>13</x:v>
      </x:c>
      <x:c r="C1094" s="9" t="n">
        <x:v>2.68688775</x:v>
      </x:c>
      <x:c r="D1094" s="3" t="n">
        <x:v>0</x:v>
      </x:c>
      <x:c r="E1094" s="3" t="n">
        <x:v>1</x:v>
      </x:c>
      <x:c r="F1094" s="3" t="n">
        <x:v>1</x:v>
      </x:c>
    </x:row>
    <x:row r="1095" ht="21" customHeight="1">
      <x:c r="A1095" s="3" t="n">
        <x:v>19</x:v>
      </x:c>
      <x:c r="B1095" s="3" t="n">
        <x:v>14</x:v>
      </x:c>
      <x:c r="C1095" s="9" t="n">
        <x:v>-0.21560753</x:v>
      </x:c>
      <x:c r="D1095" s="3" t="n">
        <x:v>0</x:v>
      </x:c>
      <x:c r="E1095" s="3" t="n">
        <x:v>1</x:v>
      </x:c>
      <x:c r="F1095" s="3" t="n">
        <x:v>1</x:v>
      </x:c>
    </x:row>
    <x:row r="1096" ht="21" customHeight="1">
      <x:c r="A1096" s="3" t="n">
        <x:v>19</x:v>
      </x:c>
      <x:c r="B1096" s="3" t="n">
        <x:v>15</x:v>
      </x:c>
      <x:c r="C1096" s="9" t="n">
        <x:v>0.04786028</x:v>
      </x:c>
      <x:c r="D1096" s="3" t="n">
        <x:v>0</x:v>
      </x:c>
      <x:c r="E1096" s="3" t="n">
        <x:v>1</x:v>
      </x:c>
      <x:c r="F1096" s="3" t="n">
        <x:v>1</x:v>
      </x:c>
    </x:row>
    <x:row r="1097" ht="21" customHeight="1">
      <x:c r="A1097" s="3" t="n">
        <x:v>19</x:v>
      </x:c>
      <x:c r="B1097" s="3" t="n">
        <x:v>16</x:v>
      </x:c>
      <x:c r="C1097" s="9" t="n">
        <x:v>0.51476014</x:v>
      </x:c>
      <x:c r="D1097" s="3" t="n">
        <x:v>0</x:v>
      </x:c>
      <x:c r="E1097" s="3" t="n">
        <x:v>1</x:v>
      </x:c>
      <x:c r="F1097" s="3" t="n">
        <x:v>1</x:v>
      </x:c>
    </x:row>
    <x:row r="1098" ht="21" customHeight="1">
      <x:c r="A1098" s="3" t="n">
        <x:v>19</x:v>
      </x:c>
      <x:c r="B1098" s="3" t="n">
        <x:v>17</x:v>
      </x:c>
      <x:c r="C1098" s="9" t="n">
        <x:v>0.74972305</x:v>
      </x:c>
      <x:c r="D1098" s="3" t="n">
        <x:v>0</x:v>
      </x:c>
      <x:c r="E1098" s="3" t="n">
        <x:v>1</x:v>
      </x:c>
      <x:c r="F1098" s="3" t="n">
        <x:v>1</x:v>
      </x:c>
    </x:row>
    <x:row r="1099" ht="21" customHeight="1">
      <x:c r="A1099" s="3" t="n">
        <x:v>19</x:v>
      </x:c>
      <x:c r="B1099" s="3" t="n">
        <x:v>18</x:v>
      </x:c>
      <x:c r="C1099" s="9" t="n">
        <x:v>0.61701875</x:v>
      </x:c>
      <x:c r="D1099" s="3" t="n">
        <x:v>0</x:v>
      </x:c>
      <x:c r="E1099" s="3" t="n">
        <x:v>1</x:v>
      </x:c>
      <x:c r="F1099" s="3" t="n">
        <x:v>1</x:v>
      </x:c>
    </x:row>
    <x:row r="1100" ht="21" customHeight="1">
      <x:c r="A1100" s="3" t="n">
        <x:v>19</x:v>
      </x:c>
      <x:c r="B1100" s="3" t="n">
        <x:v>19</x:v>
      </x:c>
      <x:c r="C1100" s="9" t="n">
        <x:v>-0.18808279</x:v>
      </x:c>
      <x:c r="D1100" s="3" t="n">
        <x:v>0</x:v>
      </x:c>
      <x:c r="E1100" s="3" t="n">
        <x:v>1</x:v>
      </x:c>
      <x:c r="F1100" s="3" t="n">
        <x:v>1</x:v>
      </x:c>
    </x:row>
    <x:row r="1101" ht="21" customHeight="1">
      <x:c r="A1101" s="3" t="n">
        <x:v>19</x:v>
      </x:c>
      <x:c r="B1101" s="3" t="n">
        <x:v>20</x:v>
      </x:c>
      <x:c r="C1101" s="9" t="n">
        <x:v>-0.0193844</x:v>
      </x:c>
      <x:c r="D1101" s="3" t="n">
        <x:v>0</x:v>
      </x:c>
      <x:c r="E1101" s="3" t="n">
        <x:v>1</x:v>
      </x:c>
      <x:c r="F1101" s="3" t="n">
        <x:v>1</x:v>
      </x:c>
    </x:row>
    <x:row r="1102" ht="21" customHeight="1">
      <x:c r="A1102" s="3" t="n">
        <x:v>19</x:v>
      </x:c>
      <x:c r="B1102" s="3" t="n">
        <x:v>21</x:v>
      </x:c>
      <x:c r="C1102" s="9" t="n">
        <x:v>-0.31482829</x:v>
      </x:c>
      <x:c r="D1102" s="3" t="n">
        <x:v>0</x:v>
      </x:c>
      <x:c r="E1102" s="3" t="n">
        <x:v>1</x:v>
      </x:c>
      <x:c r="F1102" s="3" t="n">
        <x:v>1</x:v>
      </x:c>
    </x:row>
    <x:row r="1103" ht="21" customHeight="1">
      <x:c r="A1103" s="3" t="n">
        <x:v>19</x:v>
      </x:c>
      <x:c r="B1103" s="3" t="n">
        <x:v>22</x:v>
      </x:c>
      <x:c r="C1103" s="9" t="n">
        <x:v>-0.64637411</x:v>
      </x:c>
      <x:c r="D1103" s="3" t="n">
        <x:v>0</x:v>
      </x:c>
      <x:c r="E1103" s="3" t="n">
        <x:v>1</x:v>
      </x:c>
      <x:c r="F1103" s="3" t="n">
        <x:v>1</x:v>
      </x:c>
    </x:row>
    <x:row r="1104" ht="21" customHeight="1">
      <x:c r="A1104" s="3" t="n">
        <x:v>19</x:v>
      </x:c>
      <x:c r="B1104" s="3" t="n">
        <x:v>23</x:v>
      </x:c>
      <x:c r="C1104" s="9" t="n">
        <x:v>-1.40973078</x:v>
      </x:c>
      <x:c r="D1104" s="3" t="n">
        <x:v>0</x:v>
      </x:c>
      <x:c r="E1104" s="3" t="n">
        <x:v>1</x:v>
      </x:c>
      <x:c r="F1104" s="3" t="n">
        <x:v>1</x:v>
      </x:c>
    </x:row>
    <x:row r="1105" ht="21" customHeight="1">
      <x:c r="A1105" s="3" t="n">
        <x:v>19</x:v>
      </x:c>
      <x:c r="B1105" s="3" t="n">
        <x:v>24</x:v>
      </x:c>
      <x:c r="C1105" s="9" t="n">
        <x:v>1.0487494</x:v>
      </x:c>
      <x:c r="D1105" s="3" t="n">
        <x:v>0</x:v>
      </x:c>
      <x:c r="E1105" s="3" t="n">
        <x:v>1</x:v>
      </x:c>
      <x:c r="F1105" s="3" t="n">
        <x:v>1</x:v>
      </x:c>
    </x:row>
    <x:row r="1106" ht="21" customHeight="1">
      <x:c r="A1106" s="3" t="n">
        <x:v>19</x:v>
      </x:c>
      <x:c r="B1106" s="3" t="n">
        <x:v>25</x:v>
      </x:c>
      <x:c r="C1106" s="9" t="n">
        <x:v>-0.78816821</x:v>
      </x:c>
      <x:c r="D1106" s="3" t="n">
        <x:v>0</x:v>
      </x:c>
      <x:c r="E1106" s="3" t="n">
        <x:v>1</x:v>
      </x:c>
      <x:c r="F1106" s="3" t="n">
        <x:v>1</x:v>
      </x:c>
    </x:row>
    <x:row r="1107" ht="21" customHeight="1">
      <x:c r="A1107" s="3" t="n">
        <x:v>19</x:v>
      </x:c>
      <x:c r="B1107" s="3" t="n">
        <x:v>26</x:v>
      </x:c>
      <x:c r="C1107" s="9" t="n">
        <x:v>-2.28123974</x:v>
      </x:c>
      <x:c r="D1107" s="3" t="n">
        <x:v>0</x:v>
      </x:c>
      <x:c r="E1107" s="3" t="n">
        <x:v>1</x:v>
      </x:c>
      <x:c r="F1107" s="3" t="n">
        <x:v>1</x:v>
      </x:c>
    </x:row>
    <x:row r="1108" ht="21" customHeight="1">
      <x:c r="A1108" s="3" t="n">
        <x:v>19</x:v>
      </x:c>
      <x:c r="B1108" s="3" t="n">
        <x:v>27</x:v>
      </x:c>
      <x:c r="C1108" s="9" t="n">
        <x:v>0.62117712</x:v>
      </x:c>
      <x:c r="D1108" s="3" t="n">
        <x:v>0</x:v>
      </x:c>
      <x:c r="E1108" s="3" t="n">
        <x:v>1</x:v>
      </x:c>
      <x:c r="F1108" s="3" t="n">
        <x:v>1</x:v>
      </x:c>
    </x:row>
    <x:row r="1109" ht="21" customHeight="1">
      <x:c r="A1109" s="3" t="n">
        <x:v>19</x:v>
      </x:c>
      <x:c r="B1109" s="3" t="n">
        <x:v>28</x:v>
      </x:c>
      <x:c r="C1109" s="9" t="n">
        <x:v>-0.93462606</x:v>
      </x:c>
      <x:c r="D1109" s="3" t="n">
        <x:v>0</x:v>
      </x:c>
      <x:c r="E1109" s="3" t="n">
        <x:v>1</x:v>
      </x:c>
      <x:c r="F1109" s="3" t="n">
        <x:v>1</x:v>
      </x:c>
    </x:row>
    <x:row r="1110" ht="21" customHeight="1">
      <x:c r="A1110" s="3" t="n">
        <x:v>19</x:v>
      </x:c>
      <x:c r="B1110" s="3" t="n">
        <x:v>29</x:v>
      </x:c>
      <x:c r="C1110" s="9" t="n">
        <x:v>1.21521628</x:v>
      </x:c>
      <x:c r="D1110" s="3" t="n">
        <x:v>0</x:v>
      </x:c>
      <x:c r="E1110" s="3" t="n">
        <x:v>1</x:v>
      </x:c>
      <x:c r="F1110" s="3" t="n">
        <x:v>1</x:v>
      </x:c>
    </x:row>
    <x:row r="1111" ht="21" customHeight="1">
      <x:c r="A1111" s="3" t="n">
        <x:v>19</x:v>
      </x:c>
      <x:c r="B1111" s="3" t="n">
        <x:v>30</x:v>
      </x:c>
      <x:c r="C1111" s="9" t="n">
        <x:v>-0.96640737</x:v>
      </x:c>
      <x:c r="D1111" s="3" t="n">
        <x:v>0</x:v>
      </x:c>
      <x:c r="E1111" s="3" t="n">
        <x:v>1</x:v>
      </x:c>
      <x:c r="F1111" s="3" t="n">
        <x:v>1</x:v>
      </x:c>
    </x:row>
    <x:row r="1112" ht="21" customHeight="1">
      <x:c r="A1112" s="3" t="n">
        <x:v>19</x:v>
      </x:c>
      <x:c r="B1112" s="3" t="n">
        <x:v>31</x:v>
      </x:c>
      <x:c r="C1112" s="9" t="n">
        <x:v>1.28076934</x:v>
      </x:c>
      <x:c r="D1112" s="3" t="n">
        <x:v>0</x:v>
      </x:c>
      <x:c r="E1112" s="3" t="n">
        <x:v>1</x:v>
      </x:c>
      <x:c r="F1112" s="3" t="n">
        <x:v>1</x:v>
      </x:c>
    </x:row>
    <x:row r="1113" ht="21" customHeight="1">
      <x:c r="A1113" s="3" t="n">
        <x:v>19</x:v>
      </x:c>
      <x:c r="B1113" s="3" t="n">
        <x:v>32</x:v>
      </x:c>
      <x:c r="C1113" s="9" t="n">
        <x:v>-1.13327044</x:v>
      </x:c>
      <x:c r="D1113" s="3" t="n">
        <x:v>0</x:v>
      </x:c>
      <x:c r="E1113" s="3" t="n">
        <x:v>1</x:v>
      </x:c>
      <x:c r="F1113" s="3" t="n">
        <x:v>1</x:v>
      </x:c>
    </x:row>
    <x:row r="1114" ht="21" customHeight="1">
      <x:c r="A1114" s="3" t="n">
        <x:v>19</x:v>
      </x:c>
      <x:c r="B1114" s="3" t="n">
        <x:v>33</x:v>
      </x:c>
      <x:c r="C1114" s="9" t="n">
        <x:v>-0.59608113</x:v>
      </x:c>
      <x:c r="D1114" s="3" t="n">
        <x:v>0</x:v>
      </x:c>
      <x:c r="E1114" s="3" t="n">
        <x:v>1</x:v>
      </x:c>
      <x:c r="F1114" s="3" t="n">
        <x:v>1</x:v>
      </x:c>
    </x:row>
    <x:row r="1115" ht="21" customHeight="1">
      <x:c r="A1115" s="3" t="n">
        <x:v>19</x:v>
      </x:c>
      <x:c r="B1115" s="3" t="n">
        <x:v>34</x:v>
      </x:c>
      <x:c r="C1115" s="9" t="n">
        <x:v>-1.13882337</x:v>
      </x:c>
      <x:c r="D1115" s="3" t="n">
        <x:v>0</x:v>
      </x:c>
      <x:c r="E1115" s="3" t="n">
        <x:v>1</x:v>
      </x:c>
      <x:c r="F1115" s="3" t="n">
        <x:v>1</x:v>
      </x:c>
    </x:row>
    <x:row r="1116" ht="21" customHeight="1">
      <x:c r="A1116" s="3" t="n">
        <x:v>19</x:v>
      </x:c>
      <x:c r="B1116" s="3" t="n">
        <x:v>35</x:v>
      </x:c>
      <x:c r="C1116" s="9" t="n">
        <x:v>-1.25891361</x:v>
      </x:c>
      <x:c r="D1116" s="3" t="n">
        <x:v>0</x:v>
      </x:c>
      <x:c r="E1116" s="3" t="n">
        <x:v>1</x:v>
      </x:c>
      <x:c r="F1116" s="3" t="n">
        <x:v>1</x:v>
      </x:c>
    </x:row>
    <x:row r="1117" ht="21" customHeight="1">
      <x:c r="A1117" s="3" t="n">
        <x:v>19</x:v>
      </x:c>
      <x:c r="B1117" s="3" t="n">
        <x:v>36</x:v>
      </x:c>
      <x:c r="C1117" s="9" t="n">
        <x:v>0.06182142</x:v>
      </x:c>
      <x:c r="D1117" s="3" t="n">
        <x:v>0</x:v>
      </x:c>
      <x:c r="E1117" s="3" t="n">
        <x:v>1</x:v>
      </x:c>
      <x:c r="F1117" s="3" t="n">
        <x:v>1</x:v>
      </x:c>
    </x:row>
    <x:row r="1118" ht="21" customHeight="1">
      <x:c r="A1118" s="3" t="n">
        <x:v>19</x:v>
      </x:c>
      <x:c r="B1118" s="3" t="n">
        <x:v>37</x:v>
      </x:c>
      <x:c r="C1118" s="9" t="n">
        <x:v>-1.60386266</x:v>
      </x:c>
      <x:c r="D1118" s="3" t="n">
        <x:v>0</x:v>
      </x:c>
      <x:c r="E1118" s="3" t="n">
        <x:v>1</x:v>
      </x:c>
      <x:c r="F1118" s="3" t="n">
        <x:v>1</x:v>
      </x:c>
    </x:row>
    <x:row r="1119" ht="21" customHeight="1">
      <x:c r="A1119" s="3" t="n">
        <x:v>19</x:v>
      </x:c>
      <x:c r="B1119" s="3" t="n">
        <x:v>38</x:v>
      </x:c>
      <x:c r="C1119" s="9" t="n">
        <x:v>0.13109549</x:v>
      </x:c>
      <x:c r="D1119" s="3" t="n">
        <x:v>0</x:v>
      </x:c>
      <x:c r="E1119" s="3" t="n">
        <x:v>1</x:v>
      </x:c>
      <x:c r="F1119" s="3" t="n">
        <x:v>1</x:v>
      </x:c>
    </x:row>
    <x:row r="1120" ht="21" customHeight="1">
      <x:c r="A1120" s="3" t="n">
        <x:v>19</x:v>
      </x:c>
      <x:c r="B1120" s="3" t="n">
        <x:v>39</x:v>
      </x:c>
      <x:c r="C1120" s="9" t="n">
        <x:v>-0.05346061</x:v>
      </x:c>
      <x:c r="D1120" s="3" t="n">
        <x:v>0</x:v>
      </x:c>
      <x:c r="E1120" s="3" t="n">
        <x:v>1</x:v>
      </x:c>
      <x:c r="F1120" s="3" t="n">
        <x:v>1</x:v>
      </x:c>
    </x:row>
    <x:row r="1121" ht="21" customHeight="1">
      <x:c r="A1121" s="3" t="n">
        <x:v>19</x:v>
      </x:c>
      <x:c r="B1121" s="3" t="n">
        <x:v>40</x:v>
      </x:c>
      <x:c r="C1121" s="9" t="n">
        <x:v>-1.97193255</x:v>
      </x:c>
      <x:c r="D1121" s="3" t="n">
        <x:v>0</x:v>
      </x:c>
      <x:c r="E1121" s="3" t="n">
        <x:v>1</x:v>
      </x:c>
      <x:c r="F1121" s="3" t="n">
        <x:v>1</x:v>
      </x:c>
    </x:row>
    <x:row r="1122" ht="21" customHeight="1">
      <x:c r="A1122" s="3" t="n">
        <x:v>19</x:v>
      </x:c>
      <x:c r="B1122" s="3" t="n">
        <x:v>41</x:v>
      </x:c>
      <x:c r="C1122" s="9" t="n">
        <x:v>-1.26543375</x:v>
      </x:c>
      <x:c r="D1122" s="3" t="n">
        <x:v>0</x:v>
      </x:c>
      <x:c r="E1122" s="3" t="n">
        <x:v>1</x:v>
      </x:c>
      <x:c r="F1122" s="3" t="n">
        <x:v>1</x:v>
      </x:c>
    </x:row>
    <x:row r="1123" ht="21" customHeight="1">
      <x:c r="A1123" s="3" t="n">
        <x:v>19</x:v>
      </x:c>
      <x:c r="B1123" s="3" t="n">
        <x:v>42</x:v>
      </x:c>
      <x:c r="C1123" s="9" t="n">
        <x:v>1.92180063</x:v>
      </x:c>
      <x:c r="D1123" s="3" t="n">
        <x:v>0</x:v>
      </x:c>
      <x:c r="E1123" s="3" t="n">
        <x:v>1</x:v>
      </x:c>
      <x:c r="F1123" s="3" t="n">
        <x:v>1</x:v>
      </x:c>
    </x:row>
    <x:row r="1124" ht="21" customHeight="1">
      <x:c r="A1124" s="3" t="n">
        <x:v>19</x:v>
      </x:c>
      <x:c r="B1124" s="3" t="n">
        <x:v>43</x:v>
      </x:c>
      <x:c r="C1124" s="9" t="n">
        <x:v>0.96261327</x:v>
      </x:c>
      <x:c r="D1124" s="3" t="n">
        <x:v>0</x:v>
      </x:c>
      <x:c r="E1124" s="3" t="n">
        <x:v>1</x:v>
      </x:c>
      <x:c r="F1124" s="3" t="n">
        <x:v>1</x:v>
      </x:c>
    </x:row>
    <x:row r="1125" ht="21" customHeight="1">
      <x:c r="A1125" s="3" t="n">
        <x:v>19</x:v>
      </x:c>
      <x:c r="B1125" s="3" t="n">
        <x:v>44</x:v>
      </x:c>
      <x:c r="C1125" s="9" t="n">
        <x:v>-0.27662369</x:v>
      </x:c>
      <x:c r="D1125" s="3" t="n">
        <x:v>0</x:v>
      </x:c>
      <x:c r="E1125" s="3" t="n">
        <x:v>1</x:v>
      </x:c>
      <x:c r="F1125" s="3" t="n">
        <x:v>1</x:v>
      </x:c>
    </x:row>
    <x:row r="1126" ht="21" customHeight="1">
      <x:c r="A1126" s="3" t="n">
        <x:v>19</x:v>
      </x:c>
      <x:c r="B1126" s="3" t="n">
        <x:v>45</x:v>
      </x:c>
      <x:c r="C1126" s="9" t="n">
        <x:v>2.30230032</x:v>
      </x:c>
      <x:c r="D1126" s="3" t="n">
        <x:v>0</x:v>
      </x:c>
      <x:c r="E1126" s="3" t="n">
        <x:v>1</x:v>
      </x:c>
      <x:c r="F1126" s="3" t="n">
        <x:v>1</x:v>
      </x:c>
    </x:row>
    <x:row r="1127" ht="21" customHeight="1">
      <x:c r="A1127" s="3" t="n">
        <x:v>19</x:v>
      </x:c>
      <x:c r="B1127" s="3" t="n">
        <x:v>46</x:v>
      </x:c>
      <x:c r="C1127" s="9" t="n">
        <x:v>0.27413957</x:v>
      </x:c>
      <x:c r="D1127" s="3" t="n">
        <x:v>0</x:v>
      </x:c>
      <x:c r="E1127" s="3" t="n">
        <x:v>1</x:v>
      </x:c>
      <x:c r="F1127" s="3" t="n">
        <x:v>1</x:v>
      </x:c>
    </x:row>
    <x:row r="1128" ht="21" customHeight="1">
      <x:c r="A1128" s="3" t="n">
        <x:v>19</x:v>
      </x:c>
      <x:c r="B1128" s="3" t="n">
        <x:v>47</x:v>
      </x:c>
      <x:c r="C1128" s="9" t="n">
        <x:v>0.48285115</x:v>
      </x:c>
      <x:c r="D1128" s="3" t="n">
        <x:v>0</x:v>
      </x:c>
      <x:c r="E1128" s="3" t="n">
        <x:v>1</x:v>
      </x:c>
      <x:c r="F1128" s="3" t="n">
        <x:v>1</x:v>
      </x:c>
    </x:row>
    <x:row r="1129" ht="21" customHeight="1">
      <x:c r="A1129" s="3" t="n">
        <x:v>19</x:v>
      </x:c>
      <x:c r="B1129" s="3" t="n">
        <x:v>48</x:v>
      </x:c>
      <x:c r="C1129" s="9" t="n">
        <x:v>-1.5322232</x:v>
      </x:c>
      <x:c r="D1129" s="3" t="n">
        <x:v>0</x:v>
      </x:c>
      <x:c r="E1129" s="3" t="n">
        <x:v>1</x:v>
      </x:c>
      <x:c r="F1129" s="3" t="n">
        <x:v>1</x:v>
      </x:c>
    </x:row>
    <x:row r="1130" ht="21" customHeight="1">
      <x:c r="A1130" s="3" t="n">
        <x:v>19</x:v>
      </x:c>
      <x:c r="B1130" s="3" t="n">
        <x:v>49</x:v>
      </x:c>
      <x:c r="C1130" s="9" t="n">
        <x:v>0.56182649</x:v>
      </x:c>
      <x:c r="D1130" s="3" t="n">
        <x:v>0</x:v>
      </x:c>
      <x:c r="E1130" s="3" t="n">
        <x:v>1</x:v>
      </x:c>
      <x:c r="F1130" s="3" t="n">
        <x:v>1</x:v>
      </x:c>
    </x:row>
    <x:row r="1131" ht="21" customHeight="1">
      <x:c r="A1131" s="3" t="n">
        <x:v>19</x:v>
      </x:c>
      <x:c r="B1131" s="3" t="n">
        <x:v>50</x:v>
      </x:c>
      <x:c r="C1131" s="9" t="n">
        <x:v>1.20585286</x:v>
      </x:c>
      <x:c r="D1131" s="3" t="n">
        <x:v>0</x:v>
      </x:c>
      <x:c r="E1131" s="3" t="n">
        <x:v>1</x:v>
      </x:c>
      <x:c r="F1131" s="3" t="n">
        <x:v>1</x:v>
      </x:c>
    </x:row>
    <x:row r="1132" ht="21" customHeight="1">
      <x:c r="A1132" s="3" t="n">
        <x:v>19</x:v>
      </x:c>
      <x:c r="B1132" s="3" t="n">
        <x:v>51</x:v>
      </x:c>
      <x:c r="C1132" s="9" t="n">
        <x:v>-0.89252143</x:v>
      </x:c>
      <x:c r="D1132" s="3" t="n">
        <x:v>0</x:v>
      </x:c>
      <x:c r="E1132" s="3" t="n">
        <x:v>1</x:v>
      </x:c>
      <x:c r="F1132" s="3" t="n">
        <x:v>1</x:v>
      </x:c>
    </x:row>
    <x:row r="1133" ht="21" customHeight="1">
      <x:c r="A1133" s="3" t="n">
        <x:v>19</x:v>
      </x:c>
      <x:c r="B1133" s="3" t="n">
        <x:v>52</x:v>
      </x:c>
      <x:c r="C1133" s="9" t="n">
        <x:v>-0.51124027</x:v>
      </x:c>
      <x:c r="D1133" s="3" t="n">
        <x:v>0</x:v>
      </x:c>
      <x:c r="E1133" s="3" t="n">
        <x:v>1</x:v>
      </x:c>
      <x:c r="F1133" s="3" t="n">
        <x:v>1</x:v>
      </x:c>
    </x:row>
    <x:row r="1134" ht="21" customHeight="1">
      <x:c r="A1134" s="3" t="n">
        <x:v>19</x:v>
      </x:c>
      <x:c r="B1134" s="3" t="n">
        <x:v>53</x:v>
      </x:c>
      <x:c r="C1134" s="9" t="n">
        <x:v>1.66126462</x:v>
      </x:c>
      <x:c r="D1134" s="3" t="n">
        <x:v>0</x:v>
      </x:c>
      <x:c r="E1134" s="3" t="n">
        <x:v>1</x:v>
      </x:c>
      <x:c r="F1134" s="3" t="n">
        <x:v>1</x:v>
      </x:c>
    </x:row>
    <x:row r="1135" ht="21" customHeight="1">
      <x:c r="A1135" s="3" t="n">
        <x:v>19</x:v>
      </x:c>
      <x:c r="B1135" s="3" t="n">
        <x:v>54</x:v>
      </x:c>
      <x:c r="C1135" s="9" t="n">
        <x:v>-1.09074696</x:v>
      </x:c>
      <x:c r="D1135" s="3" t="n">
        <x:v>0</x:v>
      </x:c>
      <x:c r="E1135" s="3" t="n">
        <x:v>1</x:v>
      </x:c>
      <x:c r="F1135" s="3" t="n">
        <x:v>1</x:v>
      </x:c>
    </x:row>
    <x:row r="1136" ht="21" customHeight="1">
      <x:c r="A1136" s="3" t="n">
        <x:v>19</x:v>
      </x:c>
      <x:c r="B1136" s="3" t="n">
        <x:v>55</x:v>
      </x:c>
      <x:c r="C1136" s="9" t="n">
        <x:v>-1.26503356</x:v>
      </x:c>
      <x:c r="D1136" s="3" t="n">
        <x:v>0</x:v>
      </x:c>
      <x:c r="E1136" s="3" t="n">
        <x:v>1</x:v>
      </x:c>
      <x:c r="F1136" s="3" t="n">
        <x:v>1</x:v>
      </x:c>
    </x:row>
    <x:row r="1137" ht="21" customHeight="1">
      <x:c r="A1137" s="3" t="n">
        <x:v>19</x:v>
      </x:c>
      <x:c r="B1137" s="3" t="n">
        <x:v>56</x:v>
      </x:c>
      <x:c r="C1137" s="9" t="n">
        <x:v>0.34130653</x:v>
      </x:c>
      <x:c r="D1137" s="3" t="n">
        <x:v>0</x:v>
      </x:c>
      <x:c r="E1137" s="3" t="n">
        <x:v>1</x:v>
      </x:c>
      <x:c r="F1137" s="3" t="n">
        <x:v>1</x:v>
      </x:c>
    </x:row>
    <x:row r="1138" ht="21" customHeight="1">
      <x:c r="A1138" s="3" t="n">
        <x:v>19</x:v>
      </x:c>
      <x:c r="B1138" s="3" t="n">
        <x:v>57</x:v>
      </x:c>
      <x:c r="C1138" s="9" t="n">
        <x:v>-1.18172674</x:v>
      </x:c>
      <x:c r="D1138" s="3" t="n">
        <x:v>0</x:v>
      </x:c>
      <x:c r="E1138" s="3" t="n">
        <x:v>1</x:v>
      </x:c>
      <x:c r="F1138" s="3" t="n">
        <x:v>1</x:v>
      </x:c>
    </x:row>
    <x:row r="1139" ht="21" customHeight="1">
      <x:c r="A1139" s="3" t="n">
        <x:v>19</x:v>
      </x:c>
      <x:c r="B1139" s="3" t="n">
        <x:v>58</x:v>
      </x:c>
      <x:c r="C1139" s="9" t="n">
        <x:v>-0.12667438</x:v>
      </x:c>
      <x:c r="D1139" s="3" t="n">
        <x:v>0</x:v>
      </x:c>
      <x:c r="E1139" s="3" t="n">
        <x:v>1</x:v>
      </x:c>
      <x:c r="F1139" s="3" t="n">
        <x:v>1</x:v>
      </x:c>
    </x:row>
    <x:row r="1140" ht="21" customHeight="1">
      <x:c r="A1140" s="3" t="n">
        <x:v>19</x:v>
      </x:c>
      <x:c r="B1140" s="3" t="n">
        <x:v>59</x:v>
      </x:c>
      <x:c r="C1140" s="9" t="n">
        <x:v>-0.10691757</x:v>
      </x:c>
      <x:c r="D1140" s="3" t="n">
        <x:v>0</x:v>
      </x:c>
      <x:c r="E1140" s="3" t="n">
        <x:v>1</x:v>
      </x:c>
      <x:c r="F1140" s="3" t="n">
        <x:v>1</x:v>
      </x:c>
    </x:row>
    <x:row r="1141" ht="21" customHeight="1">
      <x:c r="A1141" s="3" t="n">
        <x:v>19</x:v>
      </x:c>
      <x:c r="B1141" s="3" t="n">
        <x:v>60</x:v>
      </x:c>
      <x:c r="C1141" s="9" t="n">
        <x:v>0.44293613</x:v>
      </x:c>
      <x:c r="D1141" s="3" t="n">
        <x:v>0</x:v>
      </x:c>
      <x:c r="E1141" s="3" t="n">
        <x:v>1</x:v>
      </x:c>
      <x:c r="F1141" s="3" t="n">
        <x:v>1</x:v>
      </x:c>
    </x:row>
    <x:row r="1142" ht="21" customHeight="1">
      <x:c r="A1142" s="3" t="n">
        <x:v>20</x:v>
      </x:c>
      <x:c r="B1142" s="3" t="n">
        <x:v>1</x:v>
      </x:c>
      <x:c r="C1142" s="9" t="n">
        <x:v>-0.81029811</x:v>
      </x:c>
      <x:c r="D1142" s="3" t="n">
        <x:v>0</x:v>
      </x:c>
      <x:c r="E1142" s="3" t="n">
        <x:v>1</x:v>
      </x:c>
      <x:c r="F1142" s="3" t="n">
        <x:v>1</x:v>
      </x:c>
    </x:row>
    <x:row r="1143" ht="21" customHeight="1">
      <x:c r="A1143" s="3" t="n">
        <x:v>20</x:v>
      </x:c>
      <x:c r="B1143" s="3" t="n">
        <x:v>2</x:v>
      </x:c>
      <x:c r="C1143" s="9" t="n">
        <x:v>0.3085605</x:v>
      </x:c>
      <x:c r="D1143" s="3" t="n">
        <x:v>0</x:v>
      </x:c>
      <x:c r="E1143" s="3" t="n">
        <x:v>1</x:v>
      </x:c>
      <x:c r="F1143" s="3" t="n">
        <x:v>1</x:v>
      </x:c>
    </x:row>
    <x:row r="1144" ht="21" customHeight="1">
      <x:c r="A1144" s="3" t="n">
        <x:v>20</x:v>
      </x:c>
      <x:c r="B1144" s="3" t="n">
        <x:v>3</x:v>
      </x:c>
      <x:c r="C1144" s="9" t="n">
        <x:v>-0.53912596</x:v>
      </x:c>
      <x:c r="D1144" s="3" t="n">
        <x:v>0</x:v>
      </x:c>
      <x:c r="E1144" s="3" t="n">
        <x:v>1</x:v>
      </x:c>
      <x:c r="F1144" s="3" t="n">
        <x:v>1</x:v>
      </x:c>
    </x:row>
    <x:row r="1145" ht="21" customHeight="1">
      <x:c r="A1145" s="3" t="n">
        <x:v>20</x:v>
      </x:c>
      <x:c r="B1145" s="3" t="n">
        <x:v>4</x:v>
      </x:c>
      <x:c r="C1145" s="9" t="n">
        <x:v>-0.23592994</x:v>
      </x:c>
      <x:c r="D1145" s="3" t="n">
        <x:v>0</x:v>
      </x:c>
      <x:c r="E1145" s="3" t="n">
        <x:v>1</x:v>
      </x:c>
      <x:c r="F1145" s="3" t="n">
        <x:v>1</x:v>
      </x:c>
    </x:row>
    <x:row r="1146" ht="21" customHeight="1">
      <x:c r="A1146" s="3" t="n">
        <x:v>20</x:v>
      </x:c>
      <x:c r="B1146" s="3" t="n">
        <x:v>5</x:v>
      </x:c>
      <x:c r="C1146" s="9" t="n">
        <x:v>-1.64412276</x:v>
      </x:c>
      <x:c r="D1146" s="3" t="n">
        <x:v>0</x:v>
      </x:c>
      <x:c r="E1146" s="3" t="n">
        <x:v>1</x:v>
      </x:c>
      <x:c r="F1146" s="3" t="n">
        <x:v>1</x:v>
      </x:c>
    </x:row>
    <x:row r="1147" ht="21" customHeight="1">
      <x:c r="A1147" s="3" t="n">
        <x:v>20</x:v>
      </x:c>
      <x:c r="B1147" s="3" t="n">
        <x:v>6</x:v>
      </x:c>
      <x:c r="C1147" s="9" t="n">
        <x:v>-1.02900267</x:v>
      </x:c>
      <x:c r="D1147" s="3" t="n">
        <x:v>0</x:v>
      </x:c>
      <x:c r="E1147" s="3" t="n">
        <x:v>1</x:v>
      </x:c>
      <x:c r="F1147" s="3" t="n">
        <x:v>1</x:v>
      </x:c>
    </x:row>
    <x:row r="1148" ht="21" customHeight="1">
      <x:c r="A1148" s="3" t="n">
        <x:v>20</x:v>
      </x:c>
      <x:c r="B1148" s="3" t="n">
        <x:v>7</x:v>
      </x:c>
      <x:c r="C1148" s="9" t="n">
        <x:v>-1.18949684</x:v>
      </x:c>
      <x:c r="D1148" s="3" t="n">
        <x:v>0</x:v>
      </x:c>
      <x:c r="E1148" s="3" t="n">
        <x:v>1</x:v>
      </x:c>
      <x:c r="F1148" s="3" t="n">
        <x:v>1</x:v>
      </x:c>
    </x:row>
    <x:row r="1149" ht="21" customHeight="1">
      <x:c r="A1149" s="3" t="n">
        <x:v>20</x:v>
      </x:c>
      <x:c r="B1149" s="3" t="n">
        <x:v>8</x:v>
      </x:c>
      <x:c r="C1149" s="9" t="n">
        <x:v>-0.1061939</x:v>
      </x:c>
      <x:c r="D1149" s="3" t="n">
        <x:v>0</x:v>
      </x:c>
      <x:c r="E1149" s="3" t="n">
        <x:v>1</x:v>
      </x:c>
      <x:c r="F1149" s="3" t="n">
        <x:v>1</x:v>
      </x:c>
    </x:row>
    <x:row r="1150" ht="21" customHeight="1">
      <x:c r="A1150" s="3" t="n">
        <x:v>20</x:v>
      </x:c>
      <x:c r="B1150" s="3" t="n">
        <x:v>9</x:v>
      </x:c>
      <x:c r="C1150" s="9" t="n">
        <x:v>0.90605606</x:v>
      </x:c>
      <x:c r="D1150" s="3" t="n">
        <x:v>0</x:v>
      </x:c>
      <x:c r="E1150" s="3" t="n">
        <x:v>1</x:v>
      </x:c>
      <x:c r="F1150" s="3" t="n">
        <x:v>1</x:v>
      </x:c>
    </x:row>
    <x:row r="1151" ht="21" customHeight="1">
      <x:c r="A1151" s="3" t="n">
        <x:v>20</x:v>
      </x:c>
      <x:c r="B1151" s="3" t="n">
        <x:v>10</x:v>
      </x:c>
      <x:c r="C1151" s="9" t="n">
        <x:v>0.75686306</x:v>
      </x:c>
      <x:c r="D1151" s="3" t="n">
        <x:v>0</x:v>
      </x:c>
      <x:c r="E1151" s="3" t="n">
        <x:v>1</x:v>
      </x:c>
      <x:c r="F1151" s="3" t="n">
        <x:v>1</x:v>
      </x:c>
    </x:row>
    <x:row r="1152" ht="21" customHeight="1">
      <x:c r="A1152" s="3" t="n">
        <x:v>20</x:v>
      </x:c>
      <x:c r="B1152" s="3" t="n">
        <x:v>11</x:v>
      </x:c>
      <x:c r="C1152" s="9" t="n">
        <x:v>-0.94369835</x:v>
      </x:c>
      <x:c r="D1152" s="3" t="n">
        <x:v>0</x:v>
      </x:c>
      <x:c r="E1152" s="3" t="n">
        <x:v>1</x:v>
      </x:c>
      <x:c r="F1152" s="3" t="n">
        <x:v>1</x:v>
      </x:c>
    </x:row>
    <x:row r="1153" ht="21" customHeight="1">
      <x:c r="A1153" s="3" t="n">
        <x:v>20</x:v>
      </x:c>
      <x:c r="B1153" s="3" t="n">
        <x:v>12</x:v>
      </x:c>
      <x:c r="C1153" s="9" t="n">
        <x:v>0.65943512</x:v>
      </x:c>
      <x:c r="D1153" s="3" t="n">
        <x:v>0</x:v>
      </x:c>
      <x:c r="E1153" s="3" t="n">
        <x:v>1</x:v>
      </x:c>
      <x:c r="F1153" s="3" t="n">
        <x:v>1</x:v>
      </x:c>
    </x:row>
    <x:row r="1154" ht="21" customHeight="1">
      <x:c r="A1154" s="3" t="n">
        <x:v>20</x:v>
      </x:c>
      <x:c r="B1154" s="3" t="n">
        <x:v>13</x:v>
      </x:c>
      <x:c r="C1154" s="9" t="n">
        <x:v>1.4635366</x:v>
      </x:c>
      <x:c r="D1154" s="3" t="n">
        <x:v>0</x:v>
      </x:c>
      <x:c r="E1154" s="3" t="n">
        <x:v>1</x:v>
      </x:c>
      <x:c r="F1154" s="3" t="n">
        <x:v>1</x:v>
      </x:c>
    </x:row>
    <x:row r="1155" ht="21" customHeight="1">
      <x:c r="A1155" s="3" t="n">
        <x:v>20</x:v>
      </x:c>
      <x:c r="B1155" s="3" t="n">
        <x:v>14</x:v>
      </x:c>
      <x:c r="C1155" s="9" t="n">
        <x:v>-0.2344729</x:v>
      </x:c>
      <x:c r="D1155" s="3" t="n">
        <x:v>0</x:v>
      </x:c>
      <x:c r="E1155" s="3" t="n">
        <x:v>1</x:v>
      </x:c>
      <x:c r="F1155" s="3" t="n">
        <x:v>1</x:v>
      </x:c>
    </x:row>
    <x:row r="1156" ht="21" customHeight="1">
      <x:c r="A1156" s="3" t="n">
        <x:v>20</x:v>
      </x:c>
      <x:c r="B1156" s="3" t="n">
        <x:v>15</x:v>
      </x:c>
      <x:c r="C1156" s="9" t="n">
        <x:v>-0.22929243</x:v>
      </x:c>
      <x:c r="D1156" s="3" t="n">
        <x:v>0</x:v>
      </x:c>
      <x:c r="E1156" s="3" t="n">
        <x:v>1</x:v>
      </x:c>
      <x:c r="F1156" s="3" t="n">
        <x:v>1</x:v>
      </x:c>
    </x:row>
    <x:row r="1157" ht="21" customHeight="1">
      <x:c r="A1157" s="3" t="n">
        <x:v>20</x:v>
      </x:c>
      <x:c r="B1157" s="3" t="n">
        <x:v>16</x:v>
      </x:c>
      <x:c r="C1157" s="9" t="n">
        <x:v>1.15825776</x:v>
      </x:c>
      <x:c r="D1157" s="3" t="n">
        <x:v>0</x:v>
      </x:c>
      <x:c r="E1157" s="3" t="n">
        <x:v>1</x:v>
      </x:c>
      <x:c r="F1157" s="3" t="n">
        <x:v>1</x:v>
      </x:c>
    </x:row>
    <x:row r="1158" ht="21" customHeight="1">
      <x:c r="A1158" s="3" t="n">
        <x:v>20</x:v>
      </x:c>
      <x:c r="B1158" s="3" t="n">
        <x:v>17</x:v>
      </x:c>
      <x:c r="C1158" s="9" t="n">
        <x:v>0.38718505</x:v>
      </x:c>
      <x:c r="D1158" s="3" t="n">
        <x:v>0</x:v>
      </x:c>
      <x:c r="E1158" s="3" t="n">
        <x:v>1</x:v>
      </x:c>
      <x:c r="F1158" s="3" t="n">
        <x:v>1</x:v>
      </x:c>
    </x:row>
    <x:row r="1159" ht="21" customHeight="1">
      <x:c r="A1159" s="3" t="n">
        <x:v>20</x:v>
      </x:c>
      <x:c r="B1159" s="3" t="n">
        <x:v>18</x:v>
      </x:c>
      <x:c r="C1159" s="9" t="n">
        <x:v>0.28591907</x:v>
      </x:c>
      <x:c r="D1159" s="3" t="n">
        <x:v>0</x:v>
      </x:c>
      <x:c r="E1159" s="3" t="n">
        <x:v>1</x:v>
      </x:c>
      <x:c r="F1159" s="3" t="n">
        <x:v>1</x:v>
      </x:c>
    </x:row>
    <x:row r="1160" ht="21" customHeight="1">
      <x:c r="A1160" s="3" t="n">
        <x:v>20</x:v>
      </x:c>
      <x:c r="B1160" s="3" t="n">
        <x:v>19</x:v>
      </x:c>
      <x:c r="C1160" s="9" t="n">
        <x:v>0.67016027</x:v>
      </x:c>
      <x:c r="D1160" s="3" t="n">
        <x:v>0</x:v>
      </x:c>
      <x:c r="E1160" s="3" t="n">
        <x:v>1</x:v>
      </x:c>
      <x:c r="F1160" s="3" t="n">
        <x:v>1</x:v>
      </x:c>
    </x:row>
    <x:row r="1161" ht="21" customHeight="1">
      <x:c r="A1161" s="3" t="n">
        <x:v>20</x:v>
      </x:c>
      <x:c r="B1161" s="3" t="n">
        <x:v>20</x:v>
      </x:c>
      <x:c r="C1161" s="9" t="n">
        <x:v>0.8478085</x:v>
      </x:c>
      <x:c r="D1161" s="3" t="n">
        <x:v>0</x:v>
      </x:c>
      <x:c r="E1161" s="3" t="n">
        <x:v>1</x:v>
      </x:c>
      <x:c r="F1161" s="3" t="n">
        <x:v>1</x:v>
      </x:c>
    </x:row>
    <x:row r="1162" ht="21" customHeight="1">
      <x:c r="A1162" s="3" t="n">
        <x:v>20</x:v>
      </x:c>
      <x:c r="B1162" s="3" t="n">
        <x:v>21</x:v>
      </x:c>
      <x:c r="C1162" s="9" t="n">
        <x:v>-0.29937825</x:v>
      </x:c>
      <x:c r="D1162" s="3" t="n">
        <x:v>0</x:v>
      </x:c>
      <x:c r="E1162" s="3" t="n">
        <x:v>1</x:v>
      </x:c>
      <x:c r="F1162" s="3" t="n">
        <x:v>1</x:v>
      </x:c>
    </x:row>
    <x:row r="1163" ht="21" customHeight="1">
      <x:c r="A1163" s="3" t="n">
        <x:v>20</x:v>
      </x:c>
      <x:c r="B1163" s="3" t="n">
        <x:v>22</x:v>
      </x:c>
      <x:c r="C1163" s="9" t="n">
        <x:v>-0.14249338</x:v>
      </x:c>
      <x:c r="D1163" s="3" t="n">
        <x:v>0</x:v>
      </x:c>
      <x:c r="E1163" s="3" t="n">
        <x:v>1</x:v>
      </x:c>
      <x:c r="F1163" s="3" t="n">
        <x:v>1</x:v>
      </x:c>
    </x:row>
    <x:row r="1164" ht="21" customHeight="1">
      <x:c r="A1164" s="3" t="n">
        <x:v>20</x:v>
      </x:c>
      <x:c r="B1164" s="3" t="n">
        <x:v>23</x:v>
      </x:c>
      <x:c r="C1164" s="9" t="n">
        <x:v>-0.48712037</x:v>
      </x:c>
      <x:c r="D1164" s="3" t="n">
        <x:v>0</x:v>
      </x:c>
      <x:c r="E1164" s="3" t="n">
        <x:v>1</x:v>
      </x:c>
      <x:c r="F1164" s="3" t="n">
        <x:v>1</x:v>
      </x:c>
    </x:row>
    <x:row r="1165" ht="21" customHeight="1">
      <x:c r="A1165" s="3" t="n">
        <x:v>20</x:v>
      </x:c>
      <x:c r="B1165" s="3" t="n">
        <x:v>24</x:v>
      </x:c>
      <x:c r="C1165" s="9" t="n">
        <x:v>0.7359538</x:v>
      </x:c>
      <x:c r="D1165" s="3" t="n">
        <x:v>0</x:v>
      </x:c>
      <x:c r="E1165" s="3" t="n">
        <x:v>1</x:v>
      </x:c>
      <x:c r="F1165" s="3" t="n">
        <x:v>1</x:v>
      </x:c>
    </x:row>
    <x:row r="1166" ht="21" customHeight="1">
      <x:c r="A1166" s="3" t="n">
        <x:v>20</x:v>
      </x:c>
      <x:c r="B1166" s="3" t="n">
        <x:v>25</x:v>
      </x:c>
      <x:c r="C1166" s="9" t="n">
        <x:v>-1.62798318</x:v>
      </x:c>
      <x:c r="D1166" s="3" t="n">
        <x:v>0</x:v>
      </x:c>
      <x:c r="E1166" s="3" t="n">
        <x:v>1</x:v>
      </x:c>
      <x:c r="F1166" s="3" t="n">
        <x:v>1</x:v>
      </x:c>
    </x:row>
    <x:row r="1167" ht="21" customHeight="1">
      <x:c r="A1167" s="3" t="n">
        <x:v>20</x:v>
      </x:c>
      <x:c r="B1167" s="3" t="n">
        <x:v>26</x:v>
      </x:c>
      <x:c r="C1167" s="9" t="n">
        <x:v>0.99947272</x:v>
      </x:c>
      <x:c r="D1167" s="3" t="n">
        <x:v>0</x:v>
      </x:c>
      <x:c r="E1167" s="3" t="n">
        <x:v>1</x:v>
      </x:c>
      <x:c r="F1167" s="3" t="n">
        <x:v>1</x:v>
      </x:c>
    </x:row>
    <x:row r="1168" ht="21" customHeight="1">
      <x:c r="A1168" s="3" t="n">
        <x:v>20</x:v>
      </x:c>
      <x:c r="B1168" s="3" t="n">
        <x:v>27</x:v>
      </x:c>
      <x:c r="C1168" s="9" t="n">
        <x:v>0.09571506</x:v>
      </x:c>
      <x:c r="D1168" s="3" t="n">
        <x:v>0</x:v>
      </x:c>
      <x:c r="E1168" s="3" t="n">
        <x:v>1</x:v>
      </x:c>
      <x:c r="F1168" s="3" t="n">
        <x:v>1</x:v>
      </x:c>
    </x:row>
    <x:row r="1169" ht="21" customHeight="1">
      <x:c r="A1169" s="3" t="n">
        <x:v>20</x:v>
      </x:c>
      <x:c r="B1169" s="3" t="n">
        <x:v>28</x:v>
      </x:c>
      <x:c r="C1169" s="9" t="n">
        <x:v>-1.09439009</x:v>
      </x:c>
      <x:c r="D1169" s="3" t="n">
        <x:v>0</x:v>
      </x:c>
      <x:c r="E1169" s="3" t="n">
        <x:v>1</x:v>
      </x:c>
      <x:c r="F1169" s="3" t="n">
        <x:v>1</x:v>
      </x:c>
    </x:row>
    <x:row r="1170" ht="21" customHeight="1">
      <x:c r="A1170" s="3" t="n">
        <x:v>20</x:v>
      </x:c>
      <x:c r="B1170" s="3" t="n">
        <x:v>29</x:v>
      </x:c>
      <x:c r="C1170" s="9" t="n">
        <x:v>-2.86098386</x:v>
      </x:c>
      <x:c r="D1170" s="3" t="n">
        <x:v>0</x:v>
      </x:c>
      <x:c r="E1170" s="3" t="n">
        <x:v>1</x:v>
      </x:c>
      <x:c r="F1170" s="3" t="n">
        <x:v>1</x:v>
      </x:c>
    </x:row>
    <x:row r="1171" ht="21" customHeight="1">
      <x:c r="A1171" s="3" t="n">
        <x:v>20</x:v>
      </x:c>
      <x:c r="B1171" s="3" t="n">
        <x:v>30</x:v>
      </x:c>
      <x:c r="C1171" s="9" t="n">
        <x:v>0.01532483</x:v>
      </x:c>
      <x:c r="D1171" s="3" t="n">
        <x:v>0</x:v>
      </x:c>
      <x:c r="E1171" s="3" t="n">
        <x:v>1</x:v>
      </x:c>
      <x:c r="F1171" s="3" t="n">
        <x:v>1</x:v>
      </x:c>
    </x:row>
    <x:row r="1172" ht="21" customHeight="1">
      <x:c r="A1172" s="3" t="n">
        <x:v>20</x:v>
      </x:c>
      <x:c r="B1172" s="3" t="n">
        <x:v>31</x:v>
      </x:c>
      <x:c r="C1172" s="9" t="n">
        <x:v>-1.3601725</x:v>
      </x:c>
      <x:c r="D1172" s="3" t="n">
        <x:v>0</x:v>
      </x:c>
      <x:c r="E1172" s="3" t="n">
        <x:v>1</x:v>
      </x:c>
      <x:c r="F1172" s="3" t="n">
        <x:v>1</x:v>
      </x:c>
    </x:row>
    <x:row r="1173" ht="21" customHeight="1">
      <x:c r="A1173" s="3" t="n">
        <x:v>20</x:v>
      </x:c>
      <x:c r="B1173" s="3" t="n">
        <x:v>32</x:v>
      </x:c>
      <x:c r="C1173" s="9" t="n">
        <x:v>-0.15725342</x:v>
      </x:c>
      <x:c r="D1173" s="3" t="n">
        <x:v>0</x:v>
      </x:c>
      <x:c r="E1173" s="3" t="n">
        <x:v>1</x:v>
      </x:c>
      <x:c r="F1173" s="3" t="n">
        <x:v>1</x:v>
      </x:c>
    </x:row>
    <x:row r="1174" ht="21" customHeight="1">
      <x:c r="A1174" s="3" t="n">
        <x:v>20</x:v>
      </x:c>
      <x:c r="B1174" s="3" t="n">
        <x:v>33</x:v>
      </x:c>
      <x:c r="C1174" s="9" t="n">
        <x:v>-2.42114637</x:v>
      </x:c>
      <x:c r="D1174" s="3" t="n">
        <x:v>0</x:v>
      </x:c>
      <x:c r="E1174" s="3" t="n">
        <x:v>1</x:v>
      </x:c>
      <x:c r="F1174" s="3" t="n">
        <x:v>1</x:v>
      </x:c>
    </x:row>
    <x:row r="1175" ht="21" customHeight="1">
      <x:c r="A1175" s="3" t="n">
        <x:v>20</x:v>
      </x:c>
      <x:c r="B1175" s="3" t="n">
        <x:v>34</x:v>
      </x:c>
      <x:c r="C1175" s="9" t="n">
        <x:v>-0.97542208</x:v>
      </x:c>
      <x:c r="D1175" s="3" t="n">
        <x:v>0</x:v>
      </x:c>
      <x:c r="E1175" s="3" t="n">
        <x:v>1</x:v>
      </x:c>
      <x:c r="F1175" s="3" t="n">
        <x:v>1</x:v>
      </x:c>
    </x:row>
    <x:row r="1176" ht="21" customHeight="1">
      <x:c r="A1176" s="3" t="n">
        <x:v>20</x:v>
      </x:c>
      <x:c r="B1176" s="3" t="n">
        <x:v>35</x:v>
      </x:c>
      <x:c r="C1176" s="9" t="n">
        <x:v>0.61699042</x:v>
      </x:c>
      <x:c r="D1176" s="3" t="n">
        <x:v>0</x:v>
      </x:c>
      <x:c r="E1176" s="3" t="n">
        <x:v>1</x:v>
      </x:c>
      <x:c r="F1176" s="3" t="n">
        <x:v>1</x:v>
      </x:c>
    </x:row>
    <x:row r="1177" ht="21" customHeight="1">
      <x:c r="A1177" s="3" t="n">
        <x:v>20</x:v>
      </x:c>
      <x:c r="B1177" s="3" t="n">
        <x:v>36</x:v>
      </x:c>
      <x:c r="C1177" s="9" t="n">
        <x:v>-1.45872568</x:v>
      </x:c>
      <x:c r="D1177" s="3" t="n">
        <x:v>0</x:v>
      </x:c>
      <x:c r="E1177" s="3" t="n">
        <x:v>1</x:v>
      </x:c>
      <x:c r="F1177" s="3" t="n">
        <x:v>1</x:v>
      </x:c>
    </x:row>
    <x:row r="1178" ht="21" customHeight="1">
      <x:c r="A1178" s="3" t="n">
        <x:v>20</x:v>
      </x:c>
      <x:c r="B1178" s="3" t="n">
        <x:v>37</x:v>
      </x:c>
      <x:c r="C1178" s="9" t="n">
        <x:v>-0.31415414</x:v>
      </x:c>
      <x:c r="D1178" s="3" t="n">
        <x:v>0</x:v>
      </x:c>
      <x:c r="E1178" s="3" t="n">
        <x:v>1</x:v>
      </x:c>
      <x:c r="F1178" s="3" t="n">
        <x:v>1</x:v>
      </x:c>
    </x:row>
    <x:row r="1179" ht="21" customHeight="1">
      <x:c r="A1179" s="3" t="n">
        <x:v>20</x:v>
      </x:c>
      <x:c r="B1179" s="3" t="n">
        <x:v>38</x:v>
      </x:c>
      <x:c r="C1179" s="9" t="n">
        <x:v>1.07030271</x:v>
      </x:c>
      <x:c r="D1179" s="3" t="n">
        <x:v>0</x:v>
      </x:c>
      <x:c r="E1179" s="3" t="n">
        <x:v>1</x:v>
      </x:c>
      <x:c r="F1179" s="3" t="n">
        <x:v>1</x:v>
      </x:c>
    </x:row>
    <x:row r="1180" ht="21" customHeight="1">
      <x:c r="A1180" s="3" t="n">
        <x:v>20</x:v>
      </x:c>
      <x:c r="B1180" s="3" t="n">
        <x:v>39</x:v>
      </x:c>
      <x:c r="C1180" s="9" t="n">
        <x:v>-0.43387276</x:v>
      </x:c>
      <x:c r="D1180" s="3" t="n">
        <x:v>0</x:v>
      </x:c>
      <x:c r="E1180" s="3" t="n">
        <x:v>1</x:v>
      </x:c>
      <x:c r="F1180" s="3" t="n">
        <x:v>1</x:v>
      </x:c>
    </x:row>
    <x:row r="1181" ht="21" customHeight="1">
      <x:c r="A1181" s="3" t="n">
        <x:v>20</x:v>
      </x:c>
      <x:c r="B1181" s="3" t="n">
        <x:v>40</x:v>
      </x:c>
      <x:c r="C1181" s="9" t="n">
        <x:v>-0.13676135</x:v>
      </x:c>
      <x:c r="D1181" s="3" t="n">
        <x:v>0</x:v>
      </x:c>
      <x:c r="E1181" s="3" t="n">
        <x:v>1</x:v>
      </x:c>
      <x:c r="F1181" s="3" t="n">
        <x:v>1</x:v>
      </x:c>
    </x:row>
    <x:row r="1182" ht="21" customHeight="1">
      <x:c r="A1182" s="3" t="n">
        <x:v>20</x:v>
      </x:c>
      <x:c r="B1182" s="3" t="n">
        <x:v>41</x:v>
      </x:c>
      <x:c r="C1182" s="9" t="n">
        <x:v>-0.02015134</x:v>
      </x:c>
      <x:c r="D1182" s="3" t="n">
        <x:v>0</x:v>
      </x:c>
      <x:c r="E1182" s="3" t="n">
        <x:v>1</x:v>
      </x:c>
      <x:c r="F1182" s="3" t="n">
        <x:v>1</x:v>
      </x:c>
    </x:row>
    <x:row r="1183" ht="21" customHeight="1">
      <x:c r="A1183" s="3" t="n">
        <x:v>20</x:v>
      </x:c>
      <x:c r="B1183" s="3" t="n">
        <x:v>42</x:v>
      </x:c>
      <x:c r="C1183" s="9" t="n">
        <x:v>0.61658824</x:v>
      </x:c>
      <x:c r="D1183" s="3" t="n">
        <x:v>0</x:v>
      </x:c>
      <x:c r="E1183" s="3" t="n">
        <x:v>1</x:v>
      </x:c>
      <x:c r="F1183" s="3" t="n">
        <x:v>1</x:v>
      </x:c>
    </x:row>
    <x:row r="1184" ht="21" customHeight="1">
      <x:c r="A1184" s="3" t="n">
        <x:v>20</x:v>
      </x:c>
      <x:c r="B1184" s="3" t="n">
        <x:v>43</x:v>
      </x:c>
      <x:c r="C1184" s="9" t="n">
        <x:v>0.88542716</x:v>
      </x:c>
      <x:c r="D1184" s="3" t="n">
        <x:v>0</x:v>
      </x:c>
      <x:c r="E1184" s="3" t="n">
        <x:v>1</x:v>
      </x:c>
      <x:c r="F1184" s="3" t="n">
        <x:v>1</x:v>
      </x:c>
    </x:row>
    <x:row r="1185" ht="21" customHeight="1">
      <x:c r="A1185" s="3" t="n">
        <x:v>20</x:v>
      </x:c>
      <x:c r="B1185" s="3" t="n">
        <x:v>44</x:v>
      </x:c>
      <x:c r="C1185" s="9" t="n">
        <x:v>-0.76233845</x:v>
      </x:c>
      <x:c r="D1185" s="3" t="n">
        <x:v>0</x:v>
      </x:c>
      <x:c r="E1185" s="3" t="n">
        <x:v>1</x:v>
      </x:c>
      <x:c r="F1185" s="3" t="n">
        <x:v>1</x:v>
      </x:c>
    </x:row>
    <x:row r="1186" ht="21" customHeight="1">
      <x:c r="A1186" s="3" t="n">
        <x:v>20</x:v>
      </x:c>
      <x:c r="B1186" s="3" t="n">
        <x:v>45</x:v>
      </x:c>
      <x:c r="C1186" s="9" t="n">
        <x:v>-0.77710654</x:v>
      </x:c>
      <x:c r="D1186" s="3" t="n">
        <x:v>0</x:v>
      </x:c>
      <x:c r="E1186" s="3" t="n">
        <x:v>1</x:v>
      </x:c>
      <x:c r="F1186" s="3" t="n">
        <x:v>1</x:v>
      </x:c>
    </x:row>
    <x:row r="1187" ht="21" customHeight="1">
      <x:c r="A1187" s="3" t="n">
        <x:v>20</x:v>
      </x:c>
      <x:c r="B1187" s="3" t="n">
        <x:v>46</x:v>
      </x:c>
      <x:c r="C1187" s="9" t="n">
        <x:v>0.0962886</x:v>
      </x:c>
      <x:c r="D1187" s="3" t="n">
        <x:v>0</x:v>
      </x:c>
      <x:c r="E1187" s="3" t="n">
        <x:v>1</x:v>
      </x:c>
      <x:c r="F1187" s="3" t="n">
        <x:v>1</x:v>
      </x:c>
    </x:row>
    <x:row r="1188" ht="21" customHeight="1">
      <x:c r="A1188" s="3" t="n">
        <x:v>20</x:v>
      </x:c>
      <x:c r="B1188" s="3" t="n">
        <x:v>47</x:v>
      </x:c>
      <x:c r="C1188" s="9" t="n">
        <x:v>1.17917966</x:v>
      </x:c>
      <x:c r="D1188" s="3" t="n">
        <x:v>0</x:v>
      </x:c>
      <x:c r="E1188" s="3" t="n">
        <x:v>1</x:v>
      </x:c>
      <x:c r="F1188" s="3" t="n">
        <x:v>1</x:v>
      </x:c>
    </x:row>
    <x:row r="1189" ht="21" customHeight="1">
      <x:c r="A1189" s="3" t="n">
        <x:v>20</x:v>
      </x:c>
      <x:c r="B1189" s="3" t="n">
        <x:v>48</x:v>
      </x:c>
      <x:c r="C1189" s="9" t="n">
        <x:v>-0.33849693</x:v>
      </x:c>
      <x:c r="D1189" s="3" t="n">
        <x:v>0</x:v>
      </x:c>
      <x:c r="E1189" s="3" t="n">
        <x:v>1</x:v>
      </x:c>
      <x:c r="F1189" s="3" t="n">
        <x:v>1</x:v>
      </x:c>
    </x:row>
    <x:row r="1190" ht="21" customHeight="1">
      <x:c r="A1190" s="3" t="n">
        <x:v>20</x:v>
      </x:c>
      <x:c r="B1190" s="3" t="n">
        <x:v>49</x:v>
      </x:c>
      <x:c r="C1190" s="9" t="n">
        <x:v>-0.0301038</x:v>
      </x:c>
      <x:c r="D1190" s="3" t="n">
        <x:v>0</x:v>
      </x:c>
      <x:c r="E1190" s="3" t="n">
        <x:v>1</x:v>
      </x:c>
      <x:c r="F1190" s="3" t="n">
        <x:v>1</x:v>
      </x:c>
    </x:row>
    <x:row r="1191" ht="21" customHeight="1">
      <x:c r="A1191" s="3" t="n">
        <x:v>20</x:v>
      </x:c>
      <x:c r="B1191" s="3" t="n">
        <x:v>50</x:v>
      </x:c>
      <x:c r="C1191" s="9" t="n">
        <x:v>-1.64824705</x:v>
      </x:c>
      <x:c r="D1191" s="3" t="n">
        <x:v>0</x:v>
      </x:c>
      <x:c r="E1191" s="3" t="n">
        <x:v>1</x:v>
      </x:c>
      <x:c r="F1191" s="3" t="n">
        <x:v>1</x:v>
      </x:c>
    </x:row>
    <x:row r="1192" ht="21" customHeight="1">
      <x:c r="A1192" s="3" t="n">
        <x:v>20</x:v>
      </x:c>
      <x:c r="B1192" s="3" t="n">
        <x:v>51</x:v>
      </x:c>
      <x:c r="C1192" s="9" t="n">
        <x:v>-0.54627609</x:v>
      </x:c>
      <x:c r="D1192" s="3" t="n">
        <x:v>0</x:v>
      </x:c>
      <x:c r="E1192" s="3" t="n">
        <x:v>1</x:v>
      </x:c>
      <x:c r="F1192" s="3" t="n">
        <x:v>1</x:v>
      </x:c>
    </x:row>
    <x:row r="1193" ht="21" customHeight="1">
      <x:c r="A1193" s="3" t="n">
        <x:v>20</x:v>
      </x:c>
      <x:c r="B1193" s="3" t="n">
        <x:v>52</x:v>
      </x:c>
      <x:c r="C1193" s="9" t="n">
        <x:v>0.76427509</x:v>
      </x:c>
      <x:c r="D1193" s="3" t="n">
        <x:v>0</x:v>
      </x:c>
      <x:c r="E1193" s="3" t="n">
        <x:v>1</x:v>
      </x:c>
      <x:c r="F1193" s="3" t="n">
        <x:v>1</x:v>
      </x:c>
    </x:row>
    <x:row r="1194" ht="21" customHeight="1">
      <x:c r="A1194" s="3" t="n">
        <x:v>20</x:v>
      </x:c>
      <x:c r="B1194" s="3" t="n">
        <x:v>53</x:v>
      </x:c>
      <x:c r="C1194" s="9" t="n">
        <x:v>-1.31750127</x:v>
      </x:c>
      <x:c r="D1194" s="3" t="n">
        <x:v>0</x:v>
      </x:c>
      <x:c r="E1194" s="3" t="n">
        <x:v>1</x:v>
      </x:c>
      <x:c r="F1194" s="3" t="n">
        <x:v>1</x:v>
      </x:c>
    </x:row>
    <x:row r="1195" ht="21" customHeight="1">
      <x:c r="A1195" s="3" t="n">
        <x:v>20</x:v>
      </x:c>
      <x:c r="B1195" s="3" t="n">
        <x:v>54</x:v>
      </x:c>
      <x:c r="C1195" s="9" t="n">
        <x:v>0.04502576</x:v>
      </x:c>
      <x:c r="D1195" s="3" t="n">
        <x:v>0</x:v>
      </x:c>
      <x:c r="E1195" s="3" t="n">
        <x:v>1</x:v>
      </x:c>
      <x:c r="F1195" s="3" t="n">
        <x:v>1</x:v>
      </x:c>
    </x:row>
    <x:row r="1196" ht="21" customHeight="1">
      <x:c r="A1196" s="3" t="n">
        <x:v>20</x:v>
      </x:c>
      <x:c r="B1196" s="3" t="n">
        <x:v>55</x:v>
      </x:c>
      <x:c r="C1196" s="9" t="n">
        <x:v>-2.53089607</x:v>
      </x:c>
      <x:c r="D1196" s="3" t="n">
        <x:v>0</x:v>
      </x:c>
      <x:c r="E1196" s="3" t="n">
        <x:v>1</x:v>
      </x:c>
      <x:c r="F1196" s="3" t="n">
        <x:v>1</x:v>
      </x:c>
    </x:row>
    <x:row r="1197" ht="21" customHeight="1">
      <x:c r="A1197" s="3" t="n">
        <x:v>20</x:v>
      </x:c>
      <x:c r="B1197" s="3" t="n">
        <x:v>56</x:v>
      </x:c>
      <x:c r="C1197" s="9" t="n">
        <x:v>-0.43986631</x:v>
      </x:c>
      <x:c r="D1197" s="3" t="n">
        <x:v>0</x:v>
      </x:c>
      <x:c r="E1197" s="3" t="n">
        <x:v>1</x:v>
      </x:c>
      <x:c r="F1197" s="3" t="n">
        <x:v>1</x:v>
      </x:c>
    </x:row>
    <x:row r="1198" ht="21" customHeight="1">
      <x:c r="A1198" s="3" t="n">
        <x:v>20</x:v>
      </x:c>
      <x:c r="B1198" s="3" t="n">
        <x:v>57</x:v>
      </x:c>
      <x:c r="C1198" s="9" t="n">
        <x:v>0.97698158</x:v>
      </x:c>
      <x:c r="D1198" s="3" t="n">
        <x:v>0</x:v>
      </x:c>
      <x:c r="E1198" s="3" t="n">
        <x:v>1</x:v>
      </x:c>
      <x:c r="F1198" s="3" t="n">
        <x:v>1</x:v>
      </x:c>
    </x:row>
    <x:row r="1199" ht="21" customHeight="1">
      <x:c r="A1199" s="3" t="n">
        <x:v>20</x:v>
      </x:c>
      <x:c r="B1199" s="3" t="n">
        <x:v>58</x:v>
      </x:c>
      <x:c r="C1199" s="9" t="n">
        <x:v>-1.60459241</x:v>
      </x:c>
      <x:c r="D1199" s="3" t="n">
        <x:v>0</x:v>
      </x:c>
      <x:c r="E1199" s="3" t="n">
        <x:v>1</x:v>
      </x:c>
      <x:c r="F1199" s="3" t="n">
        <x:v>1</x:v>
      </x:c>
    </x:row>
    <x:row r="1200" ht="21" customHeight="1">
      <x:c r="A1200" s="3" t="n">
        <x:v>20</x:v>
      </x:c>
      <x:c r="B1200" s="3" t="n">
        <x:v>59</x:v>
      </x:c>
      <x:c r="C1200" s="9" t="n">
        <x:v>0.54745083</x:v>
      </x:c>
      <x:c r="D1200" s="3" t="n">
        <x:v>0</x:v>
      </x:c>
      <x:c r="E1200" s="3" t="n">
        <x:v>1</x:v>
      </x:c>
      <x:c r="F1200" s="3" t="n">
        <x:v>1</x:v>
      </x:c>
    </x:row>
    <x:row r="1201" ht="21" customHeight="1">
      <x:c r="A1201" s="3" t="n">
        <x:v>20</x:v>
      </x:c>
      <x:c r="B1201" s="3" t="n">
        <x:v>60</x:v>
      </x:c>
      <x:c r="C1201" s="9" t="n">
        <x:v>-1.66214627</x:v>
      </x:c>
      <x:c r="D1201" s="3" t="n">
        <x:v>0</x:v>
      </x:c>
      <x:c r="E1201" s="3" t="n">
        <x:v>1</x:v>
      </x:c>
      <x:c r="F1201" s="3" t="n">
        <x:v>1</x:v>
      </x:c>
    </x:row>
    <x:row r="1202" ht="21" customHeight="1">
      <x:c r="A1202" s="3" t="n">
        <x:v>21</x:v>
      </x:c>
      <x:c r="B1202" s="3" t="n">
        <x:v>1</x:v>
      </x:c>
      <x:c r="C1202" s="9" t="n">
        <x:v>-0.41124255</x:v>
      </x:c>
      <x:c r="D1202" s="3" t="n">
        <x:v>0</x:v>
      </x:c>
      <x:c r="E1202" s="3" t="n">
        <x:v>0</x:v>
      </x:c>
      <x:c r="F1202" s="3" t="n">
        <x:v>1</x:v>
      </x:c>
    </x:row>
    <x:row r="1203" ht="21" customHeight="1">
      <x:c r="A1203" s="3" t="n">
        <x:v>21</x:v>
      </x:c>
      <x:c r="B1203" s="3" t="n">
        <x:v>2</x:v>
      </x:c>
      <x:c r="C1203" s="9" t="n">
        <x:v>-0.34241894</x:v>
      </x:c>
      <x:c r="D1203" s="3" t="n">
        <x:v>0</x:v>
      </x:c>
      <x:c r="E1203" s="3" t="n">
        <x:v>0</x:v>
      </x:c>
      <x:c r="F1203" s="3" t="n">
        <x:v>1</x:v>
      </x:c>
    </x:row>
    <x:row r="1204" ht="21" customHeight="1">
      <x:c r="A1204" s="3" t="n">
        <x:v>21</x:v>
      </x:c>
      <x:c r="B1204" s="3" t="n">
        <x:v>3</x:v>
      </x:c>
      <x:c r="C1204" s="9" t="n">
        <x:v>-1.46991394</x:v>
      </x:c>
      <x:c r="D1204" s="3" t="n">
        <x:v>0</x:v>
      </x:c>
      <x:c r="E1204" s="3" t="n">
        <x:v>0</x:v>
      </x:c>
      <x:c r="F1204" s="3" t="n">
        <x:v>1</x:v>
      </x:c>
    </x:row>
    <x:row r="1205" ht="21" customHeight="1">
      <x:c r="A1205" s="3" t="n">
        <x:v>21</x:v>
      </x:c>
      <x:c r="B1205" s="3" t="n">
        <x:v>4</x:v>
      </x:c>
      <x:c r="C1205" s="9" t="n">
        <x:v>-0.5074637</x:v>
      </x:c>
      <x:c r="D1205" s="3" t="n">
        <x:v>0</x:v>
      </x:c>
      <x:c r="E1205" s="3" t="n">
        <x:v>0</x:v>
      </x:c>
      <x:c r="F1205" s="3" t="n">
        <x:v>1</x:v>
      </x:c>
    </x:row>
    <x:row r="1206" ht="21" customHeight="1">
      <x:c r="A1206" s="3" t="n">
        <x:v>21</x:v>
      </x:c>
      <x:c r="B1206" s="3" t="n">
        <x:v>5</x:v>
      </x:c>
      <x:c r="C1206" s="9" t="n">
        <x:v>-1.08742704</x:v>
      </x:c>
      <x:c r="D1206" s="3" t="n">
        <x:v>0</x:v>
      </x:c>
      <x:c r="E1206" s="3" t="n">
        <x:v>0</x:v>
      </x:c>
      <x:c r="F1206" s="3" t="n">
        <x:v>1</x:v>
      </x:c>
    </x:row>
    <x:row r="1207" ht="21" customHeight="1">
      <x:c r="A1207" s="3" t="n">
        <x:v>21</x:v>
      </x:c>
      <x:c r="B1207" s="3" t="n">
        <x:v>6</x:v>
      </x:c>
      <x:c r="C1207" s="9" t="n">
        <x:v>0.13587481</x:v>
      </x:c>
      <x:c r="D1207" s="3" t="n">
        <x:v>0</x:v>
      </x:c>
      <x:c r="E1207" s="3" t="n">
        <x:v>0</x:v>
      </x:c>
      <x:c r="F1207" s="3" t="n">
        <x:v>1</x:v>
      </x:c>
    </x:row>
    <x:row r="1208" ht="21" customHeight="1">
      <x:c r="A1208" s="3" t="n">
        <x:v>21</x:v>
      </x:c>
      <x:c r="B1208" s="3" t="n">
        <x:v>7</x:v>
      </x:c>
      <x:c r="C1208" s="9" t="n">
        <x:v>0.97211709</x:v>
      </x:c>
      <x:c r="D1208" s="3" t="n">
        <x:v>0</x:v>
      </x:c>
      <x:c r="E1208" s="3" t="n">
        <x:v>0</x:v>
      </x:c>
      <x:c r="F1208" s="3" t="n">
        <x:v>1</x:v>
      </x:c>
    </x:row>
    <x:row r="1209" ht="21" customHeight="1">
      <x:c r="A1209" s="3" t="n">
        <x:v>21</x:v>
      </x:c>
      <x:c r="B1209" s="3" t="n">
        <x:v>8</x:v>
      </x:c>
      <x:c r="C1209" s="9" t="n">
        <x:v>-0.49522504</x:v>
      </x:c>
      <x:c r="D1209" s="3" t="n">
        <x:v>0</x:v>
      </x:c>
      <x:c r="E1209" s="3" t="n">
        <x:v>0</x:v>
      </x:c>
      <x:c r="F1209" s="3" t="n">
        <x:v>1</x:v>
      </x:c>
    </x:row>
    <x:row r="1210" ht="21" customHeight="1">
      <x:c r="A1210" s="3" t="n">
        <x:v>21</x:v>
      </x:c>
      <x:c r="B1210" s="3" t="n">
        <x:v>9</x:v>
      </x:c>
      <x:c r="C1210" s="9" t="n">
        <x:v>0.88295406</x:v>
      </x:c>
      <x:c r="D1210" s="3" t="n">
        <x:v>0</x:v>
      </x:c>
      <x:c r="E1210" s="3" t="n">
        <x:v>0</x:v>
      </x:c>
      <x:c r="F1210" s="3" t="n">
        <x:v>1</x:v>
      </x:c>
    </x:row>
    <x:row r="1211" ht="21" customHeight="1">
      <x:c r="A1211" s="3" t="n">
        <x:v>21</x:v>
      </x:c>
      <x:c r="B1211" s="3" t="n">
        <x:v>10</x:v>
      </x:c>
      <x:c r="C1211" s="9" t="n">
        <x:v>-1.0390311</x:v>
      </x:c>
      <x:c r="D1211" s="3" t="n">
        <x:v>0</x:v>
      </x:c>
      <x:c r="E1211" s="3" t="n">
        <x:v>0</x:v>
      </x:c>
      <x:c r="F1211" s="3" t="n">
        <x:v>1</x:v>
      </x:c>
    </x:row>
    <x:row r="1212" ht="21" customHeight="1">
      <x:c r="A1212" s="3" t="n">
        <x:v>21</x:v>
      </x:c>
      <x:c r="B1212" s="3" t="n">
        <x:v>11</x:v>
      </x:c>
      <x:c r="C1212" s="9" t="n">
        <x:v>-0.70412304</x:v>
      </x:c>
      <x:c r="D1212" s="3" t="n">
        <x:v>0</x:v>
      </x:c>
      <x:c r="E1212" s="3" t="n">
        <x:v>0</x:v>
      </x:c>
      <x:c r="F1212" s="3" t="n">
        <x:v>1</x:v>
      </x:c>
    </x:row>
    <x:row r="1213" ht="21" customHeight="1">
      <x:c r="A1213" s="3" t="n">
        <x:v>21</x:v>
      </x:c>
      <x:c r="B1213" s="3" t="n">
        <x:v>12</x:v>
      </x:c>
      <x:c r="C1213" s="9" t="n">
        <x:v>0.35993763</x:v>
      </x:c>
      <x:c r="D1213" s="3" t="n">
        <x:v>0</x:v>
      </x:c>
      <x:c r="E1213" s="3" t="n">
        <x:v>0</x:v>
      </x:c>
      <x:c r="F1213" s="3" t="n">
        <x:v>1</x:v>
      </x:c>
    </x:row>
    <x:row r="1214" ht="21" customHeight="1">
      <x:c r="A1214" s="3" t="n">
        <x:v>21</x:v>
      </x:c>
      <x:c r="B1214" s="3" t="n">
        <x:v>13</x:v>
      </x:c>
      <x:c r="C1214" s="9" t="n">
        <x:v>-0.13905929</x:v>
      </x:c>
      <x:c r="D1214" s="3" t="n">
        <x:v>0</x:v>
      </x:c>
      <x:c r="E1214" s="3" t="n">
        <x:v>0</x:v>
      </x:c>
      <x:c r="F1214" s="3" t="n">
        <x:v>1</x:v>
      </x:c>
    </x:row>
    <x:row r="1215" ht="21" customHeight="1">
      <x:c r="A1215" s="3" t="n">
        <x:v>21</x:v>
      </x:c>
      <x:c r="B1215" s="3" t="n">
        <x:v>14</x:v>
      </x:c>
      <x:c r="C1215" s="9" t="n">
        <x:v>0.32249077</x:v>
      </x:c>
      <x:c r="D1215" s="3" t="n">
        <x:v>0</x:v>
      </x:c>
      <x:c r="E1215" s="3" t="n">
        <x:v>0</x:v>
      </x:c>
      <x:c r="F1215" s="3" t="n">
        <x:v>1</x:v>
      </x:c>
    </x:row>
    <x:row r="1216" ht="21" customHeight="1">
      <x:c r="A1216" s="3" t="n">
        <x:v>21</x:v>
      </x:c>
      <x:c r="B1216" s="3" t="n">
        <x:v>15</x:v>
      </x:c>
      <x:c r="C1216" s="9" t="n">
        <x:v>0.7353185</x:v>
      </x:c>
      <x:c r="D1216" s="3" t="n">
        <x:v>0</x:v>
      </x:c>
      <x:c r="E1216" s="3" t="n">
        <x:v>0</x:v>
      </x:c>
      <x:c r="F1216" s="3" t="n">
        <x:v>1</x:v>
      </x:c>
    </x:row>
    <x:row r="1217" ht="21" customHeight="1">
      <x:c r="A1217" s="3" t="n">
        <x:v>21</x:v>
      </x:c>
      <x:c r="B1217" s="3" t="n">
        <x:v>16</x:v>
      </x:c>
      <x:c r="C1217" s="9" t="n">
        <x:v>-0.68020466</x:v>
      </x:c>
      <x:c r="D1217" s="3" t="n">
        <x:v>0</x:v>
      </x:c>
      <x:c r="E1217" s="3" t="n">
        <x:v>0</x:v>
      </x:c>
      <x:c r="F1217" s="3" t="n">
        <x:v>1</x:v>
      </x:c>
    </x:row>
    <x:row r="1218" ht="21" customHeight="1">
      <x:c r="A1218" s="3" t="n">
        <x:v>21</x:v>
      </x:c>
      <x:c r="B1218" s="3" t="n">
        <x:v>17</x:v>
      </x:c>
      <x:c r="C1218" s="9" t="n">
        <x:v>0.8846807</x:v>
      </x:c>
      <x:c r="D1218" s="3" t="n">
        <x:v>0</x:v>
      </x:c>
      <x:c r="E1218" s="3" t="n">
        <x:v>0</x:v>
      </x:c>
      <x:c r="F1218" s="3" t="n">
        <x:v>1</x:v>
      </x:c>
    </x:row>
    <x:row r="1219" ht="21" customHeight="1">
      <x:c r="A1219" s="3" t="n">
        <x:v>21</x:v>
      </x:c>
      <x:c r="B1219" s="3" t="n">
        <x:v>18</x:v>
      </x:c>
      <x:c r="C1219" s="9" t="n">
        <x:v>-0.71125388</x:v>
      </x:c>
      <x:c r="D1219" s="3" t="n">
        <x:v>0</x:v>
      </x:c>
      <x:c r="E1219" s="3" t="n">
        <x:v>0</x:v>
      </x:c>
      <x:c r="F1219" s="3" t="n">
        <x:v>1</x:v>
      </x:c>
    </x:row>
    <x:row r="1220" ht="21" customHeight="1">
      <x:c r="A1220" s="3" t="n">
        <x:v>21</x:v>
      </x:c>
      <x:c r="B1220" s="3" t="n">
        <x:v>19</x:v>
      </x:c>
      <x:c r="C1220" s="9" t="n">
        <x:v>-1.56694413</x:v>
      </x:c>
      <x:c r="D1220" s="3" t="n">
        <x:v>0</x:v>
      </x:c>
      <x:c r="E1220" s="3" t="n">
        <x:v>0</x:v>
      </x:c>
      <x:c r="F1220" s="3" t="n">
        <x:v>1</x:v>
      </x:c>
    </x:row>
    <x:row r="1221" ht="21" customHeight="1">
      <x:c r="A1221" s="3" t="n">
        <x:v>21</x:v>
      </x:c>
      <x:c r="B1221" s="3" t="n">
        <x:v>20</x:v>
      </x:c>
      <x:c r="C1221" s="9" t="n">
        <x:v>-0.47960087</x:v>
      </x:c>
      <x:c r="D1221" s="3" t="n">
        <x:v>0</x:v>
      </x:c>
      <x:c r="E1221" s="3" t="n">
        <x:v>0</x:v>
      </x:c>
      <x:c r="F1221" s="3" t="n">
        <x:v>1</x:v>
      </x:c>
    </x:row>
    <x:row r="1222" ht="21" customHeight="1">
      <x:c r="A1222" s="3" t="n">
        <x:v>21</x:v>
      </x:c>
      <x:c r="B1222" s="3" t="n">
        <x:v>21</x:v>
      </x:c>
      <x:c r="C1222" s="9" t="n">
        <x:v>-0.83530739</x:v>
      </x:c>
      <x:c r="D1222" s="3" t="n">
        <x:v>0</x:v>
      </x:c>
      <x:c r="E1222" s="3" t="n">
        <x:v>0</x:v>
      </x:c>
      <x:c r="F1222" s="3" t="n">
        <x:v>1</x:v>
      </x:c>
    </x:row>
    <x:row r="1223" ht="21" customHeight="1">
      <x:c r="A1223" s="3" t="n">
        <x:v>21</x:v>
      </x:c>
      <x:c r="B1223" s="3" t="n">
        <x:v>22</x:v>
      </x:c>
      <x:c r="C1223" s="9" t="n">
        <x:v>-0.32164378</x:v>
      </x:c>
      <x:c r="D1223" s="3" t="n">
        <x:v>0</x:v>
      </x:c>
      <x:c r="E1223" s="3" t="n">
        <x:v>0</x:v>
      </x:c>
      <x:c r="F1223" s="3" t="n">
        <x:v>1</x:v>
      </x:c>
    </x:row>
    <x:row r="1224" ht="21" customHeight="1">
      <x:c r="A1224" s="3" t="n">
        <x:v>21</x:v>
      </x:c>
      <x:c r="B1224" s="3" t="n">
        <x:v>23</x:v>
      </x:c>
      <x:c r="C1224" s="9" t="n">
        <x:v>0.06157117</x:v>
      </x:c>
      <x:c r="D1224" s="3" t="n">
        <x:v>0</x:v>
      </x:c>
      <x:c r="E1224" s="3" t="n">
        <x:v>0</x:v>
      </x:c>
      <x:c r="F1224" s="3" t="n">
        <x:v>1</x:v>
      </x:c>
    </x:row>
    <x:row r="1225" ht="21" customHeight="1">
      <x:c r="A1225" s="3" t="n">
        <x:v>21</x:v>
      </x:c>
      <x:c r="B1225" s="3" t="n">
        <x:v>24</x:v>
      </x:c>
      <x:c r="C1225" s="9" t="n">
        <x:v>-1.42578726</x:v>
      </x:c>
      <x:c r="D1225" s="3" t="n">
        <x:v>0</x:v>
      </x:c>
      <x:c r="E1225" s="3" t="n">
        <x:v>0</x:v>
      </x:c>
      <x:c r="F1225" s="3" t="n">
        <x:v>1</x:v>
      </x:c>
    </x:row>
    <x:row r="1226" ht="21" customHeight="1">
      <x:c r="A1226" s="3" t="n">
        <x:v>21</x:v>
      </x:c>
      <x:c r="B1226" s="3" t="n">
        <x:v>25</x:v>
      </x:c>
      <x:c r="C1226" s="9" t="n">
        <x:v>-0.02458219</x:v>
      </x:c>
      <x:c r="D1226" s="3" t="n">
        <x:v>0</x:v>
      </x:c>
      <x:c r="E1226" s="3" t="n">
        <x:v>0</x:v>
      </x:c>
      <x:c r="F1226" s="3" t="n">
        <x:v>1</x:v>
      </x:c>
    </x:row>
    <x:row r="1227" ht="21" customHeight="1">
      <x:c r="A1227" s="3" t="n">
        <x:v>21</x:v>
      </x:c>
      <x:c r="B1227" s="3" t="n">
        <x:v>26</x:v>
      </x:c>
      <x:c r="C1227" s="9" t="n">
        <x:v>-2.19551192</x:v>
      </x:c>
      <x:c r="D1227" s="3" t="n">
        <x:v>0</x:v>
      </x:c>
      <x:c r="E1227" s="3" t="n">
        <x:v>0</x:v>
      </x:c>
      <x:c r="F1227" s="3" t="n">
        <x:v>1</x:v>
      </x:c>
    </x:row>
    <x:row r="1228" ht="21" customHeight="1">
      <x:c r="A1228" s="3" t="n">
        <x:v>21</x:v>
      </x:c>
      <x:c r="B1228" s="3" t="n">
        <x:v>27</x:v>
      </x:c>
      <x:c r="C1228" s="9" t="n">
        <x:v>0.60926689</x:v>
      </x:c>
      <x:c r="D1228" s="3" t="n">
        <x:v>0</x:v>
      </x:c>
      <x:c r="E1228" s="3" t="n">
        <x:v>0</x:v>
      </x:c>
      <x:c r="F1228" s="3" t="n">
        <x:v>1</x:v>
      </x:c>
    </x:row>
    <x:row r="1229" ht="21" customHeight="1">
      <x:c r="A1229" s="3" t="n">
        <x:v>21</x:v>
      </x:c>
      <x:c r="B1229" s="3" t="n">
        <x:v>28</x:v>
      </x:c>
      <x:c r="C1229" s="9" t="n">
        <x:v>-0.25901464</x:v>
      </x:c>
      <x:c r="D1229" s="3" t="n">
        <x:v>0</x:v>
      </x:c>
      <x:c r="E1229" s="3" t="n">
        <x:v>0</x:v>
      </x:c>
      <x:c r="F1229" s="3" t="n">
        <x:v>1</x:v>
      </x:c>
    </x:row>
    <x:row r="1230" ht="21" customHeight="1">
      <x:c r="A1230" s="3" t="n">
        <x:v>21</x:v>
      </x:c>
      <x:c r="B1230" s="3" t="n">
        <x:v>29</x:v>
      </x:c>
      <x:c r="C1230" s="9" t="n">
        <x:v>0.32546764</x:v>
      </x:c>
      <x:c r="D1230" s="3" t="n">
        <x:v>0</x:v>
      </x:c>
      <x:c r="E1230" s="3" t="n">
        <x:v>0</x:v>
      </x:c>
      <x:c r="F1230" s="3" t="n">
        <x:v>1</x:v>
      </x:c>
    </x:row>
    <x:row r="1231" ht="21" customHeight="1">
      <x:c r="A1231" s="3" t="n">
        <x:v>21</x:v>
      </x:c>
      <x:c r="B1231" s="3" t="n">
        <x:v>30</x:v>
      </x:c>
      <x:c r="C1231" s="9" t="n">
        <x:v>-2.0857697</x:v>
      </x:c>
      <x:c r="D1231" s="3" t="n">
        <x:v>0</x:v>
      </x:c>
      <x:c r="E1231" s="3" t="n">
        <x:v>0</x:v>
      </x:c>
      <x:c r="F1231" s="3" t="n">
        <x:v>1</x:v>
      </x:c>
    </x:row>
    <x:row r="1232" ht="21" customHeight="1">
      <x:c r="A1232" s="3" t="n">
        <x:v>21</x:v>
      </x:c>
      <x:c r="B1232" s="3" t="n">
        <x:v>31</x:v>
      </x:c>
      <x:c r="C1232" s="9" t="n">
        <x:v>0.95160816</x:v>
      </x:c>
      <x:c r="D1232" s="3" t="n">
        <x:v>0</x:v>
      </x:c>
      <x:c r="E1232" s="3" t="n">
        <x:v>0</x:v>
      </x:c>
      <x:c r="F1232" s="3" t="n">
        <x:v>1</x:v>
      </x:c>
    </x:row>
    <x:row r="1233" ht="21" customHeight="1">
      <x:c r="A1233" s="3" t="n">
        <x:v>21</x:v>
      </x:c>
      <x:c r="B1233" s="3" t="n">
        <x:v>32</x:v>
      </x:c>
      <x:c r="C1233" s="9" t="n">
        <x:v>-0.47635698</x:v>
      </x:c>
      <x:c r="D1233" s="3" t="n">
        <x:v>0</x:v>
      </x:c>
      <x:c r="E1233" s="3" t="n">
        <x:v>0</x:v>
      </x:c>
      <x:c r="F1233" s="3" t="n">
        <x:v>1</x:v>
      </x:c>
    </x:row>
    <x:row r="1234" ht="21" customHeight="1">
      <x:c r="A1234" s="3" t="n">
        <x:v>21</x:v>
      </x:c>
      <x:c r="B1234" s="3" t="n">
        <x:v>33</x:v>
      </x:c>
      <x:c r="C1234" s="9" t="n">
        <x:v>-1.11238407</x:v>
      </x:c>
      <x:c r="D1234" s="3" t="n">
        <x:v>0</x:v>
      </x:c>
      <x:c r="E1234" s="3" t="n">
        <x:v>0</x:v>
      </x:c>
      <x:c r="F1234" s="3" t="n">
        <x:v>1</x:v>
      </x:c>
    </x:row>
    <x:row r="1235" ht="21" customHeight="1">
      <x:c r="A1235" s="3" t="n">
        <x:v>21</x:v>
      </x:c>
      <x:c r="B1235" s="3" t="n">
        <x:v>34</x:v>
      </x:c>
      <x:c r="C1235" s="9" t="n">
        <x:v>-0.29283201</x:v>
      </x:c>
      <x:c r="D1235" s="3" t="n">
        <x:v>0</x:v>
      </x:c>
      <x:c r="E1235" s="3" t="n">
        <x:v>0</x:v>
      </x:c>
      <x:c r="F1235" s="3" t="n">
        <x:v>1</x:v>
      </x:c>
    </x:row>
    <x:row r="1236" ht="21" customHeight="1">
      <x:c r="A1236" s="3" t="n">
        <x:v>21</x:v>
      </x:c>
      <x:c r="B1236" s="3" t="n">
        <x:v>35</x:v>
      </x:c>
      <x:c r="C1236" s="9" t="n">
        <x:v>0.9321279</x:v>
      </x:c>
      <x:c r="D1236" s="3" t="n">
        <x:v>0</x:v>
      </x:c>
      <x:c r="E1236" s="3" t="n">
        <x:v>0</x:v>
      </x:c>
      <x:c r="F1236" s="3" t="n">
        <x:v>1</x:v>
      </x:c>
    </x:row>
    <x:row r="1237" ht="21" customHeight="1">
      <x:c r="A1237" s="3" t="n">
        <x:v>21</x:v>
      </x:c>
      <x:c r="B1237" s="3" t="n">
        <x:v>36</x:v>
      </x:c>
      <x:c r="C1237" s="9" t="n">
        <x:v>-0.81523697</x:v>
      </x:c>
      <x:c r="D1237" s="3" t="n">
        <x:v>0</x:v>
      </x:c>
      <x:c r="E1237" s="3" t="n">
        <x:v>0</x:v>
      </x:c>
      <x:c r="F1237" s="3" t="n">
        <x:v>1</x:v>
      </x:c>
    </x:row>
    <x:row r="1238" ht="21" customHeight="1">
      <x:c r="A1238" s="3" t="n">
        <x:v>21</x:v>
      </x:c>
      <x:c r="B1238" s="3" t="n">
        <x:v>37</x:v>
      </x:c>
      <x:c r="C1238" s="9" t="n">
        <x:v>-0.32288765</x:v>
      </x:c>
      <x:c r="D1238" s="3" t="n">
        <x:v>0</x:v>
      </x:c>
      <x:c r="E1238" s="3" t="n">
        <x:v>0</x:v>
      </x:c>
      <x:c r="F1238" s="3" t="n">
        <x:v>1</x:v>
      </x:c>
    </x:row>
    <x:row r="1239" ht="21" customHeight="1">
      <x:c r="A1239" s="3" t="n">
        <x:v>21</x:v>
      </x:c>
      <x:c r="B1239" s="3" t="n">
        <x:v>38</x:v>
      </x:c>
      <x:c r="C1239" s="9" t="n">
        <x:v>0.14134607</x:v>
      </x:c>
      <x:c r="D1239" s="3" t="n">
        <x:v>0</x:v>
      </x:c>
      <x:c r="E1239" s="3" t="n">
        <x:v>0</x:v>
      </x:c>
      <x:c r="F1239" s="3" t="n">
        <x:v>1</x:v>
      </x:c>
    </x:row>
    <x:row r="1240" ht="21" customHeight="1">
      <x:c r="A1240" s="3" t="n">
        <x:v>21</x:v>
      </x:c>
      <x:c r="B1240" s="3" t="n">
        <x:v>39</x:v>
      </x:c>
      <x:c r="C1240" s="9" t="n">
        <x:v>-0.05283155</x:v>
      </x:c>
      <x:c r="D1240" s="3" t="n">
        <x:v>0</x:v>
      </x:c>
      <x:c r="E1240" s="3" t="n">
        <x:v>0</x:v>
      </x:c>
      <x:c r="F1240" s="3" t="n">
        <x:v>1</x:v>
      </x:c>
    </x:row>
    <x:row r="1241" ht="21" customHeight="1">
      <x:c r="A1241" s="3" t="n">
        <x:v>21</x:v>
      </x:c>
      <x:c r="B1241" s="3" t="n">
        <x:v>40</x:v>
      </x:c>
      <x:c r="C1241" s="9" t="n">
        <x:v>1.2379906</x:v>
      </x:c>
      <x:c r="D1241" s="3" t="n">
        <x:v>0</x:v>
      </x:c>
      <x:c r="E1241" s="3" t="n">
        <x:v>0</x:v>
      </x:c>
      <x:c r="F1241" s="3" t="n">
        <x:v>1</x:v>
      </x:c>
    </x:row>
    <x:row r="1242" ht="21" customHeight="1">
      <x:c r="A1242" s="3" t="n">
        <x:v>21</x:v>
      </x:c>
      <x:c r="B1242" s="3" t="n">
        <x:v>41</x:v>
      </x:c>
      <x:c r="C1242" s="9" t="n">
        <x:v>1.0652494</x:v>
      </x:c>
      <x:c r="D1242" s="3" t="n">
        <x:v>0</x:v>
      </x:c>
      <x:c r="E1242" s="3" t="n">
        <x:v>0</x:v>
      </x:c>
      <x:c r="F1242" s="3" t="n">
        <x:v>1</x:v>
      </x:c>
    </x:row>
    <x:row r="1243" ht="21" customHeight="1">
      <x:c r="A1243" s="3" t="n">
        <x:v>21</x:v>
      </x:c>
      <x:c r="B1243" s="3" t="n">
        <x:v>42</x:v>
      </x:c>
      <x:c r="C1243" s="9" t="n">
        <x:v>1.27189856</x:v>
      </x:c>
      <x:c r="D1243" s="3" t="n">
        <x:v>0</x:v>
      </x:c>
      <x:c r="E1243" s="3" t="n">
        <x:v>0</x:v>
      </x:c>
      <x:c r="F1243" s="3" t="n">
        <x:v>1</x:v>
      </x:c>
    </x:row>
    <x:row r="1244" ht="21" customHeight="1">
      <x:c r="A1244" s="3" t="n">
        <x:v>21</x:v>
      </x:c>
      <x:c r="B1244" s="3" t="n">
        <x:v>43</x:v>
      </x:c>
      <x:c r="C1244" s="9" t="n">
        <x:v>-0.84502939</x:v>
      </x:c>
      <x:c r="D1244" s="3" t="n">
        <x:v>0</x:v>
      </x:c>
      <x:c r="E1244" s="3" t="n">
        <x:v>0</x:v>
      </x:c>
      <x:c r="F1244" s="3" t="n">
        <x:v>1</x:v>
      </x:c>
    </x:row>
    <x:row r="1245" ht="21" customHeight="1">
      <x:c r="A1245" s="3" t="n">
        <x:v>21</x:v>
      </x:c>
      <x:c r="B1245" s="3" t="n">
        <x:v>44</x:v>
      </x:c>
      <x:c r="C1245" s="9" t="n">
        <x:v>2.11778529</x:v>
      </x:c>
      <x:c r="D1245" s="3" t="n">
        <x:v>0</x:v>
      </x:c>
      <x:c r="E1245" s="3" t="n">
        <x:v>0</x:v>
      </x:c>
      <x:c r="F1245" s="3" t="n">
        <x:v>1</x:v>
      </x:c>
    </x:row>
    <x:row r="1246" ht="21" customHeight="1">
      <x:c r="A1246" s="3" t="n">
        <x:v>21</x:v>
      </x:c>
      <x:c r="B1246" s="3" t="n">
        <x:v>45</x:v>
      </x:c>
      <x:c r="C1246" s="9" t="n">
        <x:v>1.6999891</x:v>
      </x:c>
      <x:c r="D1246" s="3" t="n">
        <x:v>0</x:v>
      </x:c>
      <x:c r="E1246" s="3" t="n">
        <x:v>0</x:v>
      </x:c>
      <x:c r="F1246" s="3" t="n">
        <x:v>1</x:v>
      </x:c>
    </x:row>
    <x:row r="1247" ht="21" customHeight="1">
      <x:c r="A1247" s="3" t="n">
        <x:v>21</x:v>
      </x:c>
      <x:c r="B1247" s="3" t="n">
        <x:v>46</x:v>
      </x:c>
      <x:c r="C1247" s="9" t="n">
        <x:v>-0.1975829</x:v>
      </x:c>
      <x:c r="D1247" s="3" t="n">
        <x:v>0</x:v>
      </x:c>
      <x:c r="E1247" s="3" t="n">
        <x:v>0</x:v>
      </x:c>
      <x:c r="F1247" s="3" t="n">
        <x:v>1</x:v>
      </x:c>
    </x:row>
    <x:row r="1248" ht="21" customHeight="1">
      <x:c r="A1248" s="3" t="n">
        <x:v>21</x:v>
      </x:c>
      <x:c r="B1248" s="3" t="n">
        <x:v>47</x:v>
      </x:c>
      <x:c r="C1248" s="9" t="n">
        <x:v>-0.05382011</x:v>
      </x:c>
      <x:c r="D1248" s="3" t="n">
        <x:v>0</x:v>
      </x:c>
      <x:c r="E1248" s="3" t="n">
        <x:v>0</x:v>
      </x:c>
      <x:c r="F1248" s="3" t="n">
        <x:v>1</x:v>
      </x:c>
    </x:row>
    <x:row r="1249" ht="21" customHeight="1">
      <x:c r="A1249" s="3" t="n">
        <x:v>21</x:v>
      </x:c>
      <x:c r="B1249" s="3" t="n">
        <x:v>48</x:v>
      </x:c>
      <x:c r="C1249" s="9" t="n">
        <x:v>0.79409796</x:v>
      </x:c>
      <x:c r="D1249" s="3" t="n">
        <x:v>0</x:v>
      </x:c>
      <x:c r="E1249" s="3" t="n">
        <x:v>0</x:v>
      </x:c>
      <x:c r="F1249" s="3" t="n">
        <x:v>1</x:v>
      </x:c>
    </x:row>
    <x:row r="1250" ht="21" customHeight="1">
      <x:c r="A1250" s="3" t="n">
        <x:v>21</x:v>
      </x:c>
      <x:c r="B1250" s="3" t="n">
        <x:v>49</x:v>
      </x:c>
      <x:c r="C1250" s="9" t="n">
        <x:v>-1.14936135</x:v>
      </x:c>
      <x:c r="D1250" s="3" t="n">
        <x:v>0</x:v>
      </x:c>
      <x:c r="E1250" s="3" t="n">
        <x:v>0</x:v>
      </x:c>
      <x:c r="F1250" s="3" t="n">
        <x:v>1</x:v>
      </x:c>
    </x:row>
    <x:row r="1251" ht="21" customHeight="1">
      <x:c r="A1251" s="3" t="n">
        <x:v>21</x:v>
      </x:c>
      <x:c r="B1251" s="3" t="n">
        <x:v>50</x:v>
      </x:c>
      <x:c r="C1251" s="9" t="n">
        <x:v>-0.31138871</x:v>
      </x:c>
      <x:c r="D1251" s="3" t="n">
        <x:v>0</x:v>
      </x:c>
      <x:c r="E1251" s="3" t="n">
        <x:v>0</x:v>
      </x:c>
      <x:c r="F1251" s="3" t="n">
        <x:v>1</x:v>
      </x:c>
    </x:row>
    <x:row r="1252" ht="21" customHeight="1">
      <x:c r="A1252" s="3" t="n">
        <x:v>21</x:v>
      </x:c>
      <x:c r="B1252" s="3" t="n">
        <x:v>51</x:v>
      </x:c>
      <x:c r="C1252" s="9" t="n">
        <x:v>-0.51449014</x:v>
      </x:c>
      <x:c r="D1252" s="3" t="n">
        <x:v>0</x:v>
      </x:c>
      <x:c r="E1252" s="3" t="n">
        <x:v>0</x:v>
      </x:c>
      <x:c r="F1252" s="3" t="n">
        <x:v>1</x:v>
      </x:c>
    </x:row>
    <x:row r="1253" ht="21" customHeight="1">
      <x:c r="A1253" s="3" t="n">
        <x:v>21</x:v>
      </x:c>
      <x:c r="B1253" s="3" t="n">
        <x:v>52</x:v>
      </x:c>
      <x:c r="C1253" s="9" t="n">
        <x:v>1.19698186</x:v>
      </x:c>
      <x:c r="D1253" s="3" t="n">
        <x:v>0</x:v>
      </x:c>
      <x:c r="E1253" s="3" t="n">
        <x:v>0</x:v>
      </x:c>
      <x:c r="F1253" s="3" t="n">
        <x:v>1</x:v>
      </x:c>
    </x:row>
    <x:row r="1254" ht="21" customHeight="1">
      <x:c r="A1254" s="3" t="n">
        <x:v>21</x:v>
      </x:c>
      <x:c r="B1254" s="3" t="n">
        <x:v>53</x:v>
      </x:c>
      <x:c r="C1254" s="9" t="n">
        <x:v>-0.14308288</x:v>
      </x:c>
      <x:c r="D1254" s="3" t="n">
        <x:v>0</x:v>
      </x:c>
      <x:c r="E1254" s="3" t="n">
        <x:v>0</x:v>
      </x:c>
      <x:c r="F1254" s="3" t="n">
        <x:v>1</x:v>
      </x:c>
    </x:row>
    <x:row r="1255" ht="21" customHeight="1">
      <x:c r="A1255" s="3" t="n">
        <x:v>21</x:v>
      </x:c>
      <x:c r="B1255" s="3" t="n">
        <x:v>54</x:v>
      </x:c>
      <x:c r="C1255" s="9" t="n">
        <x:v>0.14358482</x:v>
      </x:c>
      <x:c r="D1255" s="3" t="n">
        <x:v>0</x:v>
      </x:c>
      <x:c r="E1255" s="3" t="n">
        <x:v>0</x:v>
      </x:c>
      <x:c r="F1255" s="3" t="n">
        <x:v>1</x:v>
      </x:c>
    </x:row>
    <x:row r="1256" ht="21" customHeight="1">
      <x:c r="A1256" s="3" t="n">
        <x:v>21</x:v>
      </x:c>
      <x:c r="B1256" s="3" t="n">
        <x:v>55</x:v>
      </x:c>
      <x:c r="C1256" s="9" t="n">
        <x:v>1.07723879</x:v>
      </x:c>
      <x:c r="D1256" s="3" t="n">
        <x:v>0</x:v>
      </x:c>
      <x:c r="E1256" s="3" t="n">
        <x:v>0</x:v>
      </x:c>
      <x:c r="F1256" s="3" t="n">
        <x:v>1</x:v>
      </x:c>
    </x:row>
    <x:row r="1257" ht="21" customHeight="1">
      <x:c r="A1257" s="3" t="n">
        <x:v>21</x:v>
      </x:c>
      <x:c r="B1257" s="3" t="n">
        <x:v>56</x:v>
      </x:c>
      <x:c r="C1257" s="9" t="n">
        <x:v>-1.89117243</x:v>
      </x:c>
      <x:c r="D1257" s="3" t="n">
        <x:v>0</x:v>
      </x:c>
      <x:c r="E1257" s="3" t="n">
        <x:v>0</x:v>
      </x:c>
      <x:c r="F1257" s="3" t="n">
        <x:v>1</x:v>
      </x:c>
    </x:row>
    <x:row r="1258" ht="21" customHeight="1">
      <x:c r="A1258" s="3" t="n">
        <x:v>21</x:v>
      </x:c>
      <x:c r="B1258" s="3" t="n">
        <x:v>57</x:v>
      </x:c>
      <x:c r="C1258" s="9" t="n">
        <x:v>0.53480212</x:v>
      </x:c>
      <x:c r="D1258" s="3" t="n">
        <x:v>0</x:v>
      </x:c>
      <x:c r="E1258" s="3" t="n">
        <x:v>0</x:v>
      </x:c>
      <x:c r="F1258" s="3" t="n">
        <x:v>1</x:v>
      </x:c>
    </x:row>
    <x:row r="1259" ht="21" customHeight="1">
      <x:c r="A1259" s="3" t="n">
        <x:v>21</x:v>
      </x:c>
      <x:c r="B1259" s="3" t="n">
        <x:v>58</x:v>
      </x:c>
      <x:c r="C1259" s="9" t="n">
        <x:v>0.19021786</x:v>
      </x:c>
      <x:c r="D1259" s="3" t="n">
        <x:v>0</x:v>
      </x:c>
      <x:c r="E1259" s="3" t="n">
        <x:v>0</x:v>
      </x:c>
      <x:c r="F1259" s="3" t="n">
        <x:v>1</x:v>
      </x:c>
    </x:row>
    <x:row r="1260" ht="21" customHeight="1">
      <x:c r="A1260" s="3" t="n">
        <x:v>21</x:v>
      </x:c>
      <x:c r="B1260" s="3" t="n">
        <x:v>59</x:v>
      </x:c>
      <x:c r="C1260" s="9" t="n">
        <x:v>1.3397695</x:v>
      </x:c>
      <x:c r="D1260" s="3" t="n">
        <x:v>0</x:v>
      </x:c>
      <x:c r="E1260" s="3" t="n">
        <x:v>0</x:v>
      </x:c>
      <x:c r="F1260" s="3" t="n">
        <x:v>1</x:v>
      </x:c>
    </x:row>
    <x:row r="1261" ht="21" customHeight="1">
      <x:c r="A1261" s="3" t="n">
        <x:v>21</x:v>
      </x:c>
      <x:c r="B1261" s="3" t="n">
        <x:v>60</x:v>
      </x:c>
      <x:c r="C1261" s="9" t="n">
        <x:v>0.41712921</x:v>
      </x:c>
      <x:c r="D1261" s="3" t="n">
        <x:v>0</x:v>
      </x:c>
      <x:c r="E1261" s="3" t="n">
        <x:v>0</x:v>
      </x:c>
      <x:c r="F1261" s="3" t="n">
        <x:v>1</x:v>
      </x:c>
    </x:row>
    <x:row r="1262" ht="21" customHeight="1">
      <x:c r="A1262" s="3" t="n">
        <x:v>22</x:v>
      </x:c>
      <x:c r="B1262" s="3" t="n">
        <x:v>1</x:v>
      </x:c>
      <x:c r="C1262" s="9" t="n">
        <x:v>0.59942354</x:v>
      </x:c>
      <x:c r="D1262" s="3" t="n">
        <x:v>0</x:v>
      </x:c>
      <x:c r="E1262" s="3" t="n">
        <x:v>0</x:v>
      </x:c>
      <x:c r="F1262" s="3" t="n">
        <x:v>1</x:v>
      </x:c>
    </x:row>
    <x:row r="1263" ht="21" customHeight="1">
      <x:c r="A1263" s="3" t="n">
        <x:v>22</x:v>
      </x:c>
      <x:c r="B1263" s="3" t="n">
        <x:v>2</x:v>
      </x:c>
      <x:c r="C1263" s="9" t="n">
        <x:v>0.29714346</x:v>
      </x:c>
      <x:c r="D1263" s="3" t="n">
        <x:v>0</x:v>
      </x:c>
      <x:c r="E1263" s="3" t="n">
        <x:v>0</x:v>
      </x:c>
      <x:c r="F1263" s="3" t="n">
        <x:v>1</x:v>
      </x:c>
    </x:row>
    <x:row r="1264" ht="21" customHeight="1">
      <x:c r="A1264" s="3" t="n">
        <x:v>22</x:v>
      </x:c>
      <x:c r="B1264" s="3" t="n">
        <x:v>3</x:v>
      </x:c>
      <x:c r="C1264" s="9" t="n">
        <x:v>0.18541929</x:v>
      </x:c>
      <x:c r="D1264" s="3" t="n">
        <x:v>0</x:v>
      </x:c>
      <x:c r="E1264" s="3" t="n">
        <x:v>0</x:v>
      </x:c>
      <x:c r="F1264" s="3" t="n">
        <x:v>1</x:v>
      </x:c>
    </x:row>
    <x:row r="1265" ht="21" customHeight="1">
      <x:c r="A1265" s="3" t="n">
        <x:v>22</x:v>
      </x:c>
      <x:c r="B1265" s="3" t="n">
        <x:v>4</x:v>
      </x:c>
      <x:c r="C1265" s="9" t="n">
        <x:v>0.17903846</x:v>
      </x:c>
      <x:c r="D1265" s="3" t="n">
        <x:v>0</x:v>
      </x:c>
      <x:c r="E1265" s="3" t="n">
        <x:v>0</x:v>
      </x:c>
      <x:c r="F1265" s="3" t="n">
        <x:v>1</x:v>
      </x:c>
    </x:row>
    <x:row r="1266" ht="21" customHeight="1">
      <x:c r="A1266" s="3" t="n">
        <x:v>22</x:v>
      </x:c>
      <x:c r="B1266" s="3" t="n">
        <x:v>5</x:v>
      </x:c>
      <x:c r="C1266" s="9" t="n">
        <x:v>-0.83554997</x:v>
      </x:c>
      <x:c r="D1266" s="3" t="n">
        <x:v>0</x:v>
      </x:c>
      <x:c r="E1266" s="3" t="n">
        <x:v>0</x:v>
      </x:c>
      <x:c r="F1266" s="3" t="n">
        <x:v>1</x:v>
      </x:c>
    </x:row>
    <x:row r="1267" ht="21" customHeight="1">
      <x:c r="A1267" s="3" t="n">
        <x:v>22</x:v>
      </x:c>
      <x:c r="B1267" s="3" t="n">
        <x:v>6</x:v>
      </x:c>
      <x:c r="C1267" s="9" t="n">
        <x:v>-0.02264012</x:v>
      </x:c>
      <x:c r="D1267" s="3" t="n">
        <x:v>0</x:v>
      </x:c>
      <x:c r="E1267" s="3" t="n">
        <x:v>0</x:v>
      </x:c>
      <x:c r="F1267" s="3" t="n">
        <x:v>1</x:v>
      </x:c>
    </x:row>
    <x:row r="1268" ht="21" customHeight="1">
      <x:c r="A1268" s="3" t="n">
        <x:v>22</x:v>
      </x:c>
      <x:c r="B1268" s="3" t="n">
        <x:v>7</x:v>
      </x:c>
      <x:c r="C1268" s="9" t="n">
        <x:v>-0.02770132</x:v>
      </x:c>
      <x:c r="D1268" s="3" t="n">
        <x:v>0</x:v>
      </x:c>
      <x:c r="E1268" s="3" t="n">
        <x:v>0</x:v>
      </x:c>
      <x:c r="F1268" s="3" t="n">
        <x:v>1</x:v>
      </x:c>
    </x:row>
    <x:row r="1269" ht="21" customHeight="1">
      <x:c r="A1269" s="3" t="n">
        <x:v>22</x:v>
      </x:c>
      <x:c r="B1269" s="3" t="n">
        <x:v>8</x:v>
      </x:c>
      <x:c r="C1269" s="9" t="n">
        <x:v>1.60217596</x:v>
      </x:c>
      <x:c r="D1269" s="3" t="n">
        <x:v>0</x:v>
      </x:c>
      <x:c r="E1269" s="3" t="n">
        <x:v>0</x:v>
      </x:c>
      <x:c r="F1269" s="3" t="n">
        <x:v>1</x:v>
      </x:c>
    </x:row>
    <x:row r="1270" ht="21" customHeight="1">
      <x:c r="A1270" s="3" t="n">
        <x:v>22</x:v>
      </x:c>
      <x:c r="B1270" s="3" t="n">
        <x:v>9</x:v>
      </x:c>
      <x:c r="C1270" s="9" t="n">
        <x:v>-1.92755215</x:v>
      </x:c>
      <x:c r="D1270" s="3" t="n">
        <x:v>0</x:v>
      </x:c>
      <x:c r="E1270" s="3" t="n">
        <x:v>0</x:v>
      </x:c>
      <x:c r="F1270" s="3" t="n">
        <x:v>1</x:v>
      </x:c>
    </x:row>
    <x:row r="1271" ht="21" customHeight="1">
      <x:c r="A1271" s="3" t="n">
        <x:v>22</x:v>
      </x:c>
      <x:c r="B1271" s="3" t="n">
        <x:v>10</x:v>
      </x:c>
      <x:c r="C1271" s="9" t="n">
        <x:v>1.47044246</x:v>
      </x:c>
      <x:c r="D1271" s="3" t="n">
        <x:v>0</x:v>
      </x:c>
      <x:c r="E1271" s="3" t="n">
        <x:v>0</x:v>
      </x:c>
      <x:c r="F1271" s="3" t="n">
        <x:v>1</x:v>
      </x:c>
    </x:row>
    <x:row r="1272" ht="21" customHeight="1">
      <x:c r="A1272" s="3" t="n">
        <x:v>22</x:v>
      </x:c>
      <x:c r="B1272" s="3" t="n">
        <x:v>11</x:v>
      </x:c>
      <x:c r="C1272" s="9" t="n">
        <x:v>2.00026602</x:v>
      </x:c>
      <x:c r="D1272" s="3" t="n">
        <x:v>0</x:v>
      </x:c>
      <x:c r="E1272" s="3" t="n">
        <x:v>0</x:v>
      </x:c>
      <x:c r="F1272" s="3" t="n">
        <x:v>1</x:v>
      </x:c>
    </x:row>
    <x:row r="1273" ht="21" customHeight="1">
      <x:c r="A1273" s="3" t="n">
        <x:v>22</x:v>
      </x:c>
      <x:c r="B1273" s="3" t="n">
        <x:v>12</x:v>
      </x:c>
      <x:c r="C1273" s="9" t="n">
        <x:v>1.35433997</x:v>
      </x:c>
      <x:c r="D1273" s="3" t="n">
        <x:v>0</x:v>
      </x:c>
      <x:c r="E1273" s="3" t="n">
        <x:v>0</x:v>
      </x:c>
      <x:c r="F1273" s="3" t="n">
        <x:v>1</x:v>
      </x:c>
    </x:row>
    <x:row r="1274" ht="21" customHeight="1">
      <x:c r="A1274" s="3" t="n">
        <x:v>22</x:v>
      </x:c>
      <x:c r="B1274" s="3" t="n">
        <x:v>13</x:v>
      </x:c>
      <x:c r="C1274" s="9" t="n">
        <x:v>1.17838914</x:v>
      </x:c>
      <x:c r="D1274" s="3" t="n">
        <x:v>0</x:v>
      </x:c>
      <x:c r="E1274" s="3" t="n">
        <x:v>0</x:v>
      </x:c>
      <x:c r="F1274" s="3" t="n">
        <x:v>1</x:v>
      </x:c>
    </x:row>
    <x:row r="1275" ht="21" customHeight="1">
      <x:c r="A1275" s="3" t="n">
        <x:v>22</x:v>
      </x:c>
      <x:c r="B1275" s="3" t="n">
        <x:v>14</x:v>
      </x:c>
      <x:c r="C1275" s="9" t="n">
        <x:v>-0.38274956</x:v>
      </x:c>
      <x:c r="D1275" s="3" t="n">
        <x:v>0</x:v>
      </x:c>
      <x:c r="E1275" s="3" t="n">
        <x:v>0</x:v>
      </x:c>
      <x:c r="F1275" s="3" t="n">
        <x:v>1</x:v>
      </x:c>
    </x:row>
    <x:row r="1276" ht="21" customHeight="1">
      <x:c r="A1276" s="3" t="n">
        <x:v>22</x:v>
      </x:c>
      <x:c r="B1276" s="3" t="n">
        <x:v>15</x:v>
      </x:c>
      <x:c r="C1276" s="9" t="n">
        <x:v>0.50126404</x:v>
      </x:c>
      <x:c r="D1276" s="3" t="n">
        <x:v>0</x:v>
      </x:c>
      <x:c r="E1276" s="3" t="n">
        <x:v>0</x:v>
      </x:c>
      <x:c r="F1276" s="3" t="n">
        <x:v>1</x:v>
      </x:c>
    </x:row>
    <x:row r="1277" ht="21" customHeight="1">
      <x:c r="A1277" s="3" t="n">
        <x:v>22</x:v>
      </x:c>
      <x:c r="B1277" s="3" t="n">
        <x:v>16</x:v>
      </x:c>
      <x:c r="C1277" s="9" t="n">
        <x:v>-0.22327045</x:v>
      </x:c>
      <x:c r="D1277" s="3" t="n">
        <x:v>0</x:v>
      </x:c>
      <x:c r="E1277" s="3" t="n">
        <x:v>0</x:v>
      </x:c>
      <x:c r="F1277" s="3" t="n">
        <x:v>1</x:v>
      </x:c>
    </x:row>
    <x:row r="1278" ht="21" customHeight="1">
      <x:c r="A1278" s="3" t="n">
        <x:v>22</x:v>
      </x:c>
      <x:c r="B1278" s="3" t="n">
        <x:v>17</x:v>
      </x:c>
      <x:c r="C1278" s="9" t="n">
        <x:v>0.04374759</x:v>
      </x:c>
      <x:c r="D1278" s="3" t="n">
        <x:v>0</x:v>
      </x:c>
      <x:c r="E1278" s="3" t="n">
        <x:v>0</x:v>
      </x:c>
      <x:c r="F1278" s="3" t="n">
        <x:v>1</x:v>
      </x:c>
    </x:row>
    <x:row r="1279" ht="21" customHeight="1">
      <x:c r="A1279" s="3" t="n">
        <x:v>22</x:v>
      </x:c>
      <x:c r="B1279" s="3" t="n">
        <x:v>18</x:v>
      </x:c>
      <x:c r="C1279" s="9" t="n">
        <x:v>-0.62637477</x:v>
      </x:c>
      <x:c r="D1279" s="3" t="n">
        <x:v>0</x:v>
      </x:c>
      <x:c r="E1279" s="3" t="n">
        <x:v>0</x:v>
      </x:c>
      <x:c r="F1279" s="3" t="n">
        <x:v>1</x:v>
      </x:c>
    </x:row>
    <x:row r="1280" ht="21" customHeight="1">
      <x:c r="A1280" s="3" t="n">
        <x:v>22</x:v>
      </x:c>
      <x:c r="B1280" s="3" t="n">
        <x:v>19</x:v>
      </x:c>
      <x:c r="C1280" s="9" t="n">
        <x:v>0.44766077</x:v>
      </x:c>
      <x:c r="D1280" s="3" t="n">
        <x:v>0</x:v>
      </x:c>
      <x:c r="E1280" s="3" t="n">
        <x:v>0</x:v>
      </x:c>
      <x:c r="F1280" s="3" t="n">
        <x:v>1</x:v>
      </x:c>
    </x:row>
    <x:row r="1281" ht="21" customHeight="1">
      <x:c r="A1281" s="3" t="n">
        <x:v>22</x:v>
      </x:c>
      <x:c r="B1281" s="3" t="n">
        <x:v>20</x:v>
      </x:c>
      <x:c r="C1281" s="9" t="n">
        <x:v>-1.22669028</x:v>
      </x:c>
      <x:c r="D1281" s="3" t="n">
        <x:v>0</x:v>
      </x:c>
      <x:c r="E1281" s="3" t="n">
        <x:v>0</x:v>
      </x:c>
      <x:c r="F1281" s="3" t="n">
        <x:v>1</x:v>
      </x:c>
    </x:row>
    <x:row r="1282" ht="21" customHeight="1">
      <x:c r="A1282" s="3" t="n">
        <x:v>22</x:v>
      </x:c>
      <x:c r="B1282" s="3" t="n">
        <x:v>21</x:v>
      </x:c>
      <x:c r="C1282" s="9" t="n">
        <x:v>0.09302641</x:v>
      </x:c>
      <x:c r="D1282" s="3" t="n">
        <x:v>0</x:v>
      </x:c>
      <x:c r="E1282" s="3" t="n">
        <x:v>0</x:v>
      </x:c>
      <x:c r="F1282" s="3" t="n">
        <x:v>1</x:v>
      </x:c>
    </x:row>
    <x:row r="1283" ht="21" customHeight="1">
      <x:c r="A1283" s="3" t="n">
        <x:v>22</x:v>
      </x:c>
      <x:c r="B1283" s="3" t="n">
        <x:v>22</x:v>
      </x:c>
      <x:c r="C1283" s="9" t="n">
        <x:v>-0.71148101</x:v>
      </x:c>
      <x:c r="D1283" s="3" t="n">
        <x:v>0</x:v>
      </x:c>
      <x:c r="E1283" s="3" t="n">
        <x:v>0</x:v>
      </x:c>
      <x:c r="F1283" s="3" t="n">
        <x:v>1</x:v>
      </x:c>
    </x:row>
    <x:row r="1284" ht="21" customHeight="1">
      <x:c r="A1284" s="3" t="n">
        <x:v>22</x:v>
      </x:c>
      <x:c r="B1284" s="3" t="n">
        <x:v>23</x:v>
      </x:c>
      <x:c r="C1284" s="9" t="n">
        <x:v>0.50471024</x:v>
      </x:c>
      <x:c r="D1284" s="3" t="n">
        <x:v>0</x:v>
      </x:c>
      <x:c r="E1284" s="3" t="n">
        <x:v>0</x:v>
      </x:c>
      <x:c r="F1284" s="3" t="n">
        <x:v>1</x:v>
      </x:c>
    </x:row>
    <x:row r="1285" ht="21" customHeight="1">
      <x:c r="A1285" s="3" t="n">
        <x:v>22</x:v>
      </x:c>
      <x:c r="B1285" s="3" t="n">
        <x:v>24</x:v>
      </x:c>
      <x:c r="C1285" s="9" t="n">
        <x:v>-0.78011165</x:v>
      </x:c>
      <x:c r="D1285" s="3" t="n">
        <x:v>0</x:v>
      </x:c>
      <x:c r="E1285" s="3" t="n">
        <x:v>0</x:v>
      </x:c>
      <x:c r="F1285" s="3" t="n">
        <x:v>1</x:v>
      </x:c>
    </x:row>
    <x:row r="1286" ht="21" customHeight="1">
      <x:c r="A1286" s="3" t="n">
        <x:v>22</x:v>
      </x:c>
      <x:c r="B1286" s="3" t="n">
        <x:v>25</x:v>
      </x:c>
      <x:c r="C1286" s="9" t="n">
        <x:v>-1.19280081</x:v>
      </x:c>
      <x:c r="D1286" s="3" t="n">
        <x:v>0</x:v>
      </x:c>
      <x:c r="E1286" s="3" t="n">
        <x:v>0</x:v>
      </x:c>
      <x:c r="F1286" s="3" t="n">
        <x:v>1</x:v>
      </x:c>
    </x:row>
    <x:row r="1287" ht="21" customHeight="1">
      <x:c r="A1287" s="3" t="n">
        <x:v>22</x:v>
      </x:c>
      <x:c r="B1287" s="3" t="n">
        <x:v>26</x:v>
      </x:c>
      <x:c r="C1287" s="9" t="n">
        <x:v>-0.25240891</x:v>
      </x:c>
      <x:c r="D1287" s="3" t="n">
        <x:v>0</x:v>
      </x:c>
      <x:c r="E1287" s="3" t="n">
        <x:v>0</x:v>
      </x:c>
      <x:c r="F1287" s="3" t="n">
        <x:v>1</x:v>
      </x:c>
    </x:row>
    <x:row r="1288" ht="21" customHeight="1">
      <x:c r="A1288" s="3" t="n">
        <x:v>22</x:v>
      </x:c>
      <x:c r="B1288" s="3" t="n">
        <x:v>27</x:v>
      </x:c>
      <x:c r="C1288" s="9" t="n">
        <x:v>-1.9360744</x:v>
      </x:c>
      <x:c r="D1288" s="3" t="n">
        <x:v>0</x:v>
      </x:c>
      <x:c r="E1288" s="3" t="n">
        <x:v>0</x:v>
      </x:c>
      <x:c r="F1288" s="3" t="n">
        <x:v>1</x:v>
      </x:c>
    </x:row>
    <x:row r="1289" ht="21" customHeight="1">
      <x:c r="A1289" s="3" t="n">
        <x:v>22</x:v>
      </x:c>
      <x:c r="B1289" s="3" t="n">
        <x:v>28</x:v>
      </x:c>
      <x:c r="C1289" s="9" t="n">
        <x:v>0.2438802</x:v>
      </x:c>
      <x:c r="D1289" s="3" t="n">
        <x:v>0</x:v>
      </x:c>
      <x:c r="E1289" s="3" t="n">
        <x:v>0</x:v>
      </x:c>
      <x:c r="F1289" s="3" t="n">
        <x:v>1</x:v>
      </x:c>
    </x:row>
    <x:row r="1290" ht="21" customHeight="1">
      <x:c r="A1290" s="3" t="n">
        <x:v>22</x:v>
      </x:c>
      <x:c r="B1290" s="3" t="n">
        <x:v>29</x:v>
      </x:c>
      <x:c r="C1290" s="9" t="n">
        <x:v>0.12863742</x:v>
      </x:c>
      <x:c r="D1290" s="3" t="n">
        <x:v>0</x:v>
      </x:c>
      <x:c r="E1290" s="3" t="n">
        <x:v>0</x:v>
      </x:c>
      <x:c r="F1290" s="3" t="n">
        <x:v>1</x:v>
      </x:c>
    </x:row>
    <x:row r="1291" ht="21" customHeight="1">
      <x:c r="A1291" s="3" t="n">
        <x:v>22</x:v>
      </x:c>
      <x:c r="B1291" s="3" t="n">
        <x:v>30</x:v>
      </x:c>
      <x:c r="C1291" s="9" t="n">
        <x:v>-0.41695045</x:v>
      </x:c>
      <x:c r="D1291" s="3" t="n">
        <x:v>0</x:v>
      </x:c>
      <x:c r="E1291" s="3" t="n">
        <x:v>0</x:v>
      </x:c>
      <x:c r="F1291" s="3" t="n">
        <x:v>1</x:v>
      </x:c>
    </x:row>
    <x:row r="1292" ht="21" customHeight="1">
      <x:c r="A1292" s="3" t="n">
        <x:v>22</x:v>
      </x:c>
      <x:c r="B1292" s="3" t="n">
        <x:v>31</x:v>
      </x:c>
      <x:c r="C1292" s="9" t="n">
        <x:v>0.67354677</x:v>
      </x:c>
      <x:c r="D1292" s="3" t="n">
        <x:v>0</x:v>
      </x:c>
      <x:c r="E1292" s="3" t="n">
        <x:v>0</x:v>
      </x:c>
      <x:c r="F1292" s="3" t="n">
        <x:v>1</x:v>
      </x:c>
    </x:row>
    <x:row r="1293" ht="21" customHeight="1">
      <x:c r="A1293" s="3" t="n">
        <x:v>22</x:v>
      </x:c>
      <x:c r="B1293" s="3" t="n">
        <x:v>32</x:v>
      </x:c>
      <x:c r="C1293" s="9" t="n">
        <x:v>1.39255692</x:v>
      </x:c>
      <x:c r="D1293" s="3" t="n">
        <x:v>0</x:v>
      </x:c>
      <x:c r="E1293" s="3" t="n">
        <x:v>0</x:v>
      </x:c>
      <x:c r="F1293" s="3" t="n">
        <x:v>1</x:v>
      </x:c>
    </x:row>
    <x:row r="1294" ht="21" customHeight="1">
      <x:c r="A1294" s="3" t="n">
        <x:v>22</x:v>
      </x:c>
      <x:c r="B1294" s="3" t="n">
        <x:v>33</x:v>
      </x:c>
      <x:c r="C1294" s="9" t="n">
        <x:v>-0.83970407</x:v>
      </x:c>
      <x:c r="D1294" s="3" t="n">
        <x:v>0</x:v>
      </x:c>
      <x:c r="E1294" s="3" t="n">
        <x:v>0</x:v>
      </x:c>
      <x:c r="F1294" s="3" t="n">
        <x:v>1</x:v>
      </x:c>
    </x:row>
    <x:row r="1295" ht="21" customHeight="1">
      <x:c r="A1295" s="3" t="n">
        <x:v>22</x:v>
      </x:c>
      <x:c r="B1295" s="3" t="n">
        <x:v>34</x:v>
      </x:c>
      <x:c r="C1295" s="9" t="n">
        <x:v>1.29641855</x:v>
      </x:c>
      <x:c r="D1295" s="3" t="n">
        <x:v>0</x:v>
      </x:c>
      <x:c r="E1295" s="3" t="n">
        <x:v>0</x:v>
      </x:c>
      <x:c r="F1295" s="3" t="n">
        <x:v>1</x:v>
      </x:c>
    </x:row>
    <x:row r="1296" ht="21" customHeight="1">
      <x:c r="A1296" s="3" t="n">
        <x:v>22</x:v>
      </x:c>
      <x:c r="B1296" s="3" t="n">
        <x:v>35</x:v>
      </x:c>
      <x:c r="C1296" s="9" t="n">
        <x:v>-2.10321176</x:v>
      </x:c>
      <x:c r="D1296" s="3" t="n">
        <x:v>0</x:v>
      </x:c>
      <x:c r="E1296" s="3" t="n">
        <x:v>0</x:v>
      </x:c>
      <x:c r="F1296" s="3" t="n">
        <x:v>1</x:v>
      </x:c>
    </x:row>
    <x:row r="1297" ht="21" customHeight="1">
      <x:c r="A1297" s="3" t="n">
        <x:v>22</x:v>
      </x:c>
      <x:c r="B1297" s="3" t="n">
        <x:v>36</x:v>
      </x:c>
      <x:c r="C1297" s="9" t="n">
        <x:v>-0.08120067</x:v>
      </x:c>
      <x:c r="D1297" s="3" t="n">
        <x:v>0</x:v>
      </x:c>
      <x:c r="E1297" s="3" t="n">
        <x:v>0</x:v>
      </x:c>
      <x:c r="F1297" s="3" t="n">
        <x:v>1</x:v>
      </x:c>
    </x:row>
    <x:row r="1298" ht="21" customHeight="1">
      <x:c r="A1298" s="3" t="n">
        <x:v>22</x:v>
      </x:c>
      <x:c r="B1298" s="3" t="n">
        <x:v>37</x:v>
      </x:c>
      <x:c r="C1298" s="9" t="n">
        <x:v>0.59303838</x:v>
      </x:c>
      <x:c r="D1298" s="3" t="n">
        <x:v>0</x:v>
      </x:c>
      <x:c r="E1298" s="3" t="n">
        <x:v>0</x:v>
      </x:c>
      <x:c r="F1298" s="3" t="n">
        <x:v>1</x:v>
      </x:c>
    </x:row>
    <x:row r="1299" ht="21" customHeight="1">
      <x:c r="A1299" s="3" t="n">
        <x:v>22</x:v>
      </x:c>
      <x:c r="B1299" s="3" t="n">
        <x:v>38</x:v>
      </x:c>
      <x:c r="C1299" s="9" t="n">
        <x:v>-0.59980072</x:v>
      </x:c>
      <x:c r="D1299" s="3" t="n">
        <x:v>0</x:v>
      </x:c>
      <x:c r="E1299" s="3" t="n">
        <x:v>0</x:v>
      </x:c>
      <x:c r="F1299" s="3" t="n">
        <x:v>1</x:v>
      </x:c>
    </x:row>
    <x:row r="1300" ht="21" customHeight="1">
      <x:c r="A1300" s="3" t="n">
        <x:v>22</x:v>
      </x:c>
      <x:c r="B1300" s="3" t="n">
        <x:v>39</x:v>
      </x:c>
      <x:c r="C1300" s="9" t="n">
        <x:v>-1.74017096</x:v>
      </x:c>
      <x:c r="D1300" s="3" t="n">
        <x:v>0</x:v>
      </x:c>
      <x:c r="E1300" s="3" t="n">
        <x:v>0</x:v>
      </x:c>
      <x:c r="F1300" s="3" t="n">
        <x:v>1</x:v>
      </x:c>
    </x:row>
    <x:row r="1301" ht="21" customHeight="1">
      <x:c r="A1301" s="3" t="n">
        <x:v>22</x:v>
      </x:c>
      <x:c r="B1301" s="3" t="n">
        <x:v>40</x:v>
      </x:c>
      <x:c r="C1301" s="9" t="n">
        <x:v>-0.54570241</x:v>
      </x:c>
      <x:c r="D1301" s="3" t="n">
        <x:v>0</x:v>
      </x:c>
      <x:c r="E1301" s="3" t="n">
        <x:v>0</x:v>
      </x:c>
      <x:c r="F1301" s="3" t="n">
        <x:v>1</x:v>
      </x:c>
    </x:row>
    <x:row r="1302" ht="21" customHeight="1">
      <x:c r="A1302" s="3" t="n">
        <x:v>22</x:v>
      </x:c>
      <x:c r="B1302" s="3" t="n">
        <x:v>41</x:v>
      </x:c>
      <x:c r="C1302" s="9" t="n">
        <x:v>1.464273</x:v>
      </x:c>
      <x:c r="D1302" s="3" t="n">
        <x:v>0</x:v>
      </x:c>
      <x:c r="E1302" s="3" t="n">
        <x:v>0</x:v>
      </x:c>
      <x:c r="F1302" s="3" t="n">
        <x:v>1</x:v>
      </x:c>
    </x:row>
    <x:row r="1303" ht="21" customHeight="1">
      <x:c r="A1303" s="3" t="n">
        <x:v>22</x:v>
      </x:c>
      <x:c r="B1303" s="3" t="n">
        <x:v>42</x:v>
      </x:c>
      <x:c r="C1303" s="9" t="n">
        <x:v>0.24092665</x:v>
      </x:c>
      <x:c r="D1303" s="3" t="n">
        <x:v>0</x:v>
      </x:c>
      <x:c r="E1303" s="3" t="n">
        <x:v>0</x:v>
      </x:c>
      <x:c r="F1303" s="3" t="n">
        <x:v>1</x:v>
      </x:c>
    </x:row>
    <x:row r="1304" ht="21" customHeight="1">
      <x:c r="A1304" s="3" t="n">
        <x:v>22</x:v>
      </x:c>
      <x:c r="B1304" s="3" t="n">
        <x:v>43</x:v>
      </x:c>
      <x:c r="C1304" s="9" t="n">
        <x:v>1.95959483</x:v>
      </x:c>
      <x:c r="D1304" s="3" t="n">
        <x:v>0</x:v>
      </x:c>
      <x:c r="E1304" s="3" t="n">
        <x:v>0</x:v>
      </x:c>
      <x:c r="F1304" s="3" t="n">
        <x:v>1</x:v>
      </x:c>
    </x:row>
    <x:row r="1305" ht="21" customHeight="1">
      <x:c r="A1305" s="3" t="n">
        <x:v>22</x:v>
      </x:c>
      <x:c r="B1305" s="3" t="n">
        <x:v>44</x:v>
      </x:c>
      <x:c r="C1305" s="9" t="n">
        <x:v>-2.10995251</x:v>
      </x:c>
      <x:c r="D1305" s="3" t="n">
        <x:v>0</x:v>
      </x:c>
      <x:c r="E1305" s="3" t="n">
        <x:v>0</x:v>
      </x:c>
      <x:c r="F1305" s="3" t="n">
        <x:v>1</x:v>
      </x:c>
    </x:row>
    <x:row r="1306" ht="21" customHeight="1">
      <x:c r="A1306" s="3" t="n">
        <x:v>22</x:v>
      </x:c>
      <x:c r="B1306" s="3" t="n">
        <x:v>45</x:v>
      </x:c>
      <x:c r="C1306" s="9" t="n">
        <x:v>1.35651914</x:v>
      </x:c>
      <x:c r="D1306" s="3" t="n">
        <x:v>0</x:v>
      </x:c>
      <x:c r="E1306" s="3" t="n">
        <x:v>0</x:v>
      </x:c>
      <x:c r="F1306" s="3" t="n">
        <x:v>1</x:v>
      </x:c>
    </x:row>
    <x:row r="1307" ht="21" customHeight="1">
      <x:c r="A1307" s="3" t="n">
        <x:v>22</x:v>
      </x:c>
      <x:c r="B1307" s="3" t="n">
        <x:v>46</x:v>
      </x:c>
      <x:c r="C1307" s="9" t="n">
        <x:v>0.25012193</x:v>
      </x:c>
      <x:c r="D1307" s="3" t="n">
        <x:v>0</x:v>
      </x:c>
      <x:c r="E1307" s="3" t="n">
        <x:v>0</x:v>
      </x:c>
      <x:c r="F1307" s="3" t="n">
        <x:v>1</x:v>
      </x:c>
    </x:row>
    <x:row r="1308" ht="21" customHeight="1">
      <x:c r="A1308" s="3" t="n">
        <x:v>22</x:v>
      </x:c>
      <x:c r="B1308" s="3" t="n">
        <x:v>47</x:v>
      </x:c>
      <x:c r="C1308" s="9" t="n">
        <x:v>-0.72224013</x:v>
      </x:c>
      <x:c r="D1308" s="3" t="n">
        <x:v>0</x:v>
      </x:c>
      <x:c r="E1308" s="3" t="n">
        <x:v>0</x:v>
      </x:c>
      <x:c r="F1308" s="3" t="n">
        <x:v>1</x:v>
      </x:c>
    </x:row>
    <x:row r="1309" ht="21" customHeight="1">
      <x:c r="A1309" s="3" t="n">
        <x:v>22</x:v>
      </x:c>
      <x:c r="B1309" s="3" t="n">
        <x:v>48</x:v>
      </x:c>
      <x:c r="C1309" s="9" t="n">
        <x:v>-1.77485396</x:v>
      </x:c>
      <x:c r="D1309" s="3" t="n">
        <x:v>0</x:v>
      </x:c>
      <x:c r="E1309" s="3" t="n">
        <x:v>0</x:v>
      </x:c>
      <x:c r="F1309" s="3" t="n">
        <x:v>1</x:v>
      </x:c>
    </x:row>
    <x:row r="1310" ht="21" customHeight="1">
      <x:c r="A1310" s="3" t="n">
        <x:v>22</x:v>
      </x:c>
      <x:c r="B1310" s="3" t="n">
        <x:v>49</x:v>
      </x:c>
      <x:c r="C1310" s="9" t="n">
        <x:v>0.69275724</x:v>
      </x:c>
      <x:c r="D1310" s="3" t="n">
        <x:v>0</x:v>
      </x:c>
      <x:c r="E1310" s="3" t="n">
        <x:v>0</x:v>
      </x:c>
      <x:c r="F1310" s="3" t="n">
        <x:v>1</x:v>
      </x:c>
    </x:row>
    <x:row r="1311" ht="21" customHeight="1">
      <x:c r="A1311" s="3" t="n">
        <x:v>22</x:v>
      </x:c>
      <x:c r="B1311" s="3" t="n">
        <x:v>50</x:v>
      </x:c>
      <x:c r="C1311" s="9" t="n">
        <x:v>1.07668439</x:v>
      </x:c>
      <x:c r="D1311" s="3" t="n">
        <x:v>0</x:v>
      </x:c>
      <x:c r="E1311" s="3" t="n">
        <x:v>0</x:v>
      </x:c>
      <x:c r="F1311" s="3" t="n">
        <x:v>1</x:v>
      </x:c>
    </x:row>
    <x:row r="1312" ht="21" customHeight="1">
      <x:c r="A1312" s="3" t="n">
        <x:v>22</x:v>
      </x:c>
      <x:c r="B1312" s="3" t="n">
        <x:v>51</x:v>
      </x:c>
      <x:c r="C1312" s="9" t="n">
        <x:v>-1.32787695</x:v>
      </x:c>
      <x:c r="D1312" s="3" t="n">
        <x:v>0</x:v>
      </x:c>
      <x:c r="E1312" s="3" t="n">
        <x:v>0</x:v>
      </x:c>
      <x:c r="F1312" s="3" t="n">
        <x:v>1</x:v>
      </x:c>
    </x:row>
    <x:row r="1313" ht="21" customHeight="1">
      <x:c r="A1313" s="3" t="n">
        <x:v>22</x:v>
      </x:c>
      <x:c r="B1313" s="3" t="n">
        <x:v>52</x:v>
      </x:c>
      <x:c r="C1313" s="9" t="n">
        <x:v>1.08267048</x:v>
      </x:c>
      <x:c r="D1313" s="3" t="n">
        <x:v>0</x:v>
      </x:c>
      <x:c r="E1313" s="3" t="n">
        <x:v>0</x:v>
      </x:c>
      <x:c r="F1313" s="3" t="n">
        <x:v>1</x:v>
      </x:c>
    </x:row>
    <x:row r="1314" ht="21" customHeight="1">
      <x:c r="A1314" s="3" t="n">
        <x:v>22</x:v>
      </x:c>
      <x:c r="B1314" s="3" t="n">
        <x:v>53</x:v>
      </x:c>
      <x:c r="C1314" s="9" t="n">
        <x:v>1.74484024</x:v>
      </x:c>
      <x:c r="D1314" s="3" t="n">
        <x:v>0</x:v>
      </x:c>
      <x:c r="E1314" s="3" t="n">
        <x:v>0</x:v>
      </x:c>
      <x:c r="F1314" s="3" t="n">
        <x:v>1</x:v>
      </x:c>
    </x:row>
    <x:row r="1315" ht="21" customHeight="1">
      <x:c r="A1315" s="3" t="n">
        <x:v>22</x:v>
      </x:c>
      <x:c r="B1315" s="3" t="n">
        <x:v>54</x:v>
      </x:c>
      <x:c r="C1315" s="9" t="n">
        <x:v>-0.06130038</x:v>
      </x:c>
      <x:c r="D1315" s="3" t="n">
        <x:v>0</x:v>
      </x:c>
      <x:c r="E1315" s="3" t="n">
        <x:v>0</x:v>
      </x:c>
      <x:c r="F1315" s="3" t="n">
        <x:v>1</x:v>
      </x:c>
    </x:row>
    <x:row r="1316" ht="21" customHeight="1">
      <x:c r="A1316" s="3" t="n">
        <x:v>22</x:v>
      </x:c>
      <x:c r="B1316" s="3" t="n">
        <x:v>55</x:v>
      </x:c>
      <x:c r="C1316" s="9" t="n">
        <x:v>1.25819722</x:v>
      </x:c>
      <x:c r="D1316" s="3" t="n">
        <x:v>0</x:v>
      </x:c>
      <x:c r="E1316" s="3" t="n">
        <x:v>0</x:v>
      </x:c>
      <x:c r="F1316" s="3" t="n">
        <x:v>1</x:v>
      </x:c>
    </x:row>
    <x:row r="1317" ht="21" customHeight="1">
      <x:c r="A1317" s="3" t="n">
        <x:v>22</x:v>
      </x:c>
      <x:c r="B1317" s="3" t="n">
        <x:v>56</x:v>
      </x:c>
      <x:c r="C1317" s="9" t="n">
        <x:v>-1.78437899</x:v>
      </x:c>
      <x:c r="D1317" s="3" t="n">
        <x:v>0</x:v>
      </x:c>
      <x:c r="E1317" s="3" t="n">
        <x:v>0</x:v>
      </x:c>
      <x:c r="F1317" s="3" t="n">
        <x:v>1</x:v>
      </x:c>
    </x:row>
    <x:row r="1318" ht="21" customHeight="1">
      <x:c r="A1318" s="3" t="n">
        <x:v>22</x:v>
      </x:c>
      <x:c r="B1318" s="3" t="n">
        <x:v>57</x:v>
      </x:c>
      <x:c r="C1318" s="9" t="n">
        <x:v>0.12754446</x:v>
      </x:c>
      <x:c r="D1318" s="3" t="n">
        <x:v>0</x:v>
      </x:c>
      <x:c r="E1318" s="3" t="n">
        <x:v>0</x:v>
      </x:c>
      <x:c r="F1318" s="3" t="n">
        <x:v>1</x:v>
      </x:c>
    </x:row>
    <x:row r="1319" ht="21" customHeight="1">
      <x:c r="A1319" s="3" t="n">
        <x:v>22</x:v>
      </x:c>
      <x:c r="B1319" s="3" t="n">
        <x:v>58</x:v>
      </x:c>
      <x:c r="C1319" s="9" t="n">
        <x:v>0.58188315</x:v>
      </x:c>
      <x:c r="D1319" s="3" t="n">
        <x:v>0</x:v>
      </x:c>
      <x:c r="E1319" s="3" t="n">
        <x:v>0</x:v>
      </x:c>
      <x:c r="F1319" s="3" t="n">
        <x:v>1</x:v>
      </x:c>
    </x:row>
    <x:row r="1320" ht="21" customHeight="1">
      <x:c r="A1320" s="3" t="n">
        <x:v>22</x:v>
      </x:c>
      <x:c r="B1320" s="3" t="n">
        <x:v>59</x:v>
      </x:c>
      <x:c r="C1320" s="9" t="n">
        <x:v>0.21219684</x:v>
      </x:c>
      <x:c r="D1320" s="3" t="n">
        <x:v>0</x:v>
      </x:c>
      <x:c r="E1320" s="3" t="n">
        <x:v>0</x:v>
      </x:c>
      <x:c r="F1320" s="3" t="n">
        <x:v>1</x:v>
      </x:c>
    </x:row>
    <x:row r="1321" ht="21" customHeight="1">
      <x:c r="A1321" s="3" t="n">
        <x:v>22</x:v>
      </x:c>
      <x:c r="B1321" s="3" t="n">
        <x:v>60</x:v>
      </x:c>
      <x:c r="C1321" s="9" t="n">
        <x:v>0.23397896</x:v>
      </x:c>
      <x:c r="D1321" s="3" t="n">
        <x:v>0</x:v>
      </x:c>
      <x:c r="E1321" s="3" t="n">
        <x:v>0</x:v>
      </x:c>
      <x:c r="F1321" s="3" t="n">
        <x:v>1</x:v>
      </x:c>
    </x:row>
    <x:row r="1322" ht="21" customHeight="1">
      <x:c r="A1322" s="3" t="n">
        <x:v>23</x:v>
      </x:c>
      <x:c r="B1322" s="3" t="n">
        <x:v>1</x:v>
      </x:c>
      <x:c r="C1322" s="9" t="n">
        <x:v>-0.04050982</x:v>
      </x:c>
      <x:c r="D1322" s="3" t="n">
        <x:v>0</x:v>
      </x:c>
      <x:c r="E1322" s="3" t="n">
        <x:v>0</x:v>
      </x:c>
      <x:c r="F1322" s="3" t="n">
        <x:v>1</x:v>
      </x:c>
    </x:row>
    <x:row r="1323" ht="21" customHeight="1">
      <x:c r="A1323" s="3" t="n">
        <x:v>23</x:v>
      </x:c>
      <x:c r="B1323" s="3" t="n">
        <x:v>2</x:v>
      </x:c>
      <x:c r="C1323" s="9" t="n">
        <x:v>-0.07815454</x:v>
      </x:c>
      <x:c r="D1323" s="3" t="n">
        <x:v>0</x:v>
      </x:c>
      <x:c r="E1323" s="3" t="n">
        <x:v>0</x:v>
      </x:c>
      <x:c r="F1323" s="3" t="n">
        <x:v>1</x:v>
      </x:c>
    </x:row>
    <x:row r="1324" ht="21" customHeight="1">
      <x:c r="A1324" s="3" t="n">
        <x:v>23</x:v>
      </x:c>
      <x:c r="B1324" s="3" t="n">
        <x:v>3</x:v>
      </x:c>
      <x:c r="C1324" s="9" t="n">
        <x:v>-0.11830426</x:v>
      </x:c>
      <x:c r="D1324" s="3" t="n">
        <x:v>0</x:v>
      </x:c>
      <x:c r="E1324" s="3" t="n">
        <x:v>0</x:v>
      </x:c>
      <x:c r="F1324" s="3" t="n">
        <x:v>1</x:v>
      </x:c>
    </x:row>
    <x:row r="1325" ht="21" customHeight="1">
      <x:c r="A1325" s="3" t="n">
        <x:v>23</x:v>
      </x:c>
      <x:c r="B1325" s="3" t="n">
        <x:v>4</x:v>
      </x:c>
      <x:c r="C1325" s="9" t="n">
        <x:v>-0.04414334</x:v>
      </x:c>
      <x:c r="D1325" s="3" t="n">
        <x:v>0</x:v>
      </x:c>
      <x:c r="E1325" s="3" t="n">
        <x:v>0</x:v>
      </x:c>
      <x:c r="F1325" s="3" t="n">
        <x:v>1</x:v>
      </x:c>
    </x:row>
    <x:row r="1326" ht="21" customHeight="1">
      <x:c r="A1326" s="3" t="n">
        <x:v>23</x:v>
      </x:c>
      <x:c r="B1326" s="3" t="n">
        <x:v>5</x:v>
      </x:c>
      <x:c r="C1326" s="9" t="n">
        <x:v>-0.23650626</x:v>
      </x:c>
      <x:c r="D1326" s="3" t="n">
        <x:v>0</x:v>
      </x:c>
      <x:c r="E1326" s="3" t="n">
        <x:v>0</x:v>
      </x:c>
      <x:c r="F1326" s="3" t="n">
        <x:v>1</x:v>
      </x:c>
    </x:row>
    <x:row r="1327" ht="21" customHeight="1">
      <x:c r="A1327" s="3" t="n">
        <x:v>23</x:v>
      </x:c>
      <x:c r="B1327" s="3" t="n">
        <x:v>6</x:v>
      </x:c>
      <x:c r="C1327" s="9" t="n">
        <x:v>0.91137909</x:v>
      </x:c>
      <x:c r="D1327" s="3" t="n">
        <x:v>0</x:v>
      </x:c>
      <x:c r="E1327" s="3" t="n">
        <x:v>0</x:v>
      </x:c>
      <x:c r="F1327" s="3" t="n">
        <x:v>1</x:v>
      </x:c>
    </x:row>
    <x:row r="1328" ht="21" customHeight="1">
      <x:c r="A1328" s="3" t="n">
        <x:v>23</x:v>
      </x:c>
      <x:c r="B1328" s="3" t="n">
        <x:v>7</x:v>
      </x:c>
      <x:c r="C1328" s="9" t="n">
        <x:v>-0.68199384</x:v>
      </x:c>
      <x:c r="D1328" s="3" t="n">
        <x:v>0</x:v>
      </x:c>
      <x:c r="E1328" s="3" t="n">
        <x:v>0</x:v>
      </x:c>
      <x:c r="F1328" s="3" t="n">
        <x:v>1</x:v>
      </x:c>
    </x:row>
    <x:row r="1329" ht="21" customHeight="1">
      <x:c r="A1329" s="3" t="n">
        <x:v>23</x:v>
      </x:c>
      <x:c r="B1329" s="3" t="n">
        <x:v>8</x:v>
      </x:c>
      <x:c r="C1329" s="9" t="n">
        <x:v>-1.82141317</x:v>
      </x:c>
      <x:c r="D1329" s="3" t="n">
        <x:v>0</x:v>
      </x:c>
      <x:c r="E1329" s="3" t="n">
        <x:v>0</x:v>
      </x:c>
      <x:c r="F1329" s="3" t="n">
        <x:v>1</x:v>
      </x:c>
    </x:row>
    <x:row r="1330" ht="21" customHeight="1">
      <x:c r="A1330" s="3" t="n">
        <x:v>23</x:v>
      </x:c>
      <x:c r="B1330" s="3" t="n">
        <x:v>9</x:v>
      </x:c>
      <x:c r="C1330" s="9" t="n">
        <x:v>0.33974105</x:v>
      </x:c>
      <x:c r="D1330" s="3" t="n">
        <x:v>0</x:v>
      </x:c>
      <x:c r="E1330" s="3" t="n">
        <x:v>0</x:v>
      </x:c>
      <x:c r="F1330" s="3" t="n">
        <x:v>1</x:v>
      </x:c>
    </x:row>
    <x:row r="1331" ht="21" customHeight="1">
      <x:c r="A1331" s="3" t="n">
        <x:v>23</x:v>
      </x:c>
      <x:c r="B1331" s="3" t="n">
        <x:v>10</x:v>
      </x:c>
      <x:c r="C1331" s="9" t="n">
        <x:v>0.62602786</x:v>
      </x:c>
      <x:c r="D1331" s="3" t="n">
        <x:v>0</x:v>
      </x:c>
      <x:c r="E1331" s="3" t="n">
        <x:v>0</x:v>
      </x:c>
      <x:c r="F1331" s="3" t="n">
        <x:v>1</x:v>
      </x:c>
    </x:row>
    <x:row r="1332" ht="21" customHeight="1">
      <x:c r="A1332" s="3" t="n">
        <x:v>23</x:v>
      </x:c>
      <x:c r="B1332" s="3" t="n">
        <x:v>11</x:v>
      </x:c>
      <x:c r="C1332" s="9" t="n">
        <x:v>-2.06515994</x:v>
      </x:c>
      <x:c r="D1332" s="3" t="n">
        <x:v>0</x:v>
      </x:c>
      <x:c r="E1332" s="3" t="n">
        <x:v>0</x:v>
      </x:c>
      <x:c r="F1332" s="3" t="n">
        <x:v>1</x:v>
      </x:c>
    </x:row>
    <x:row r="1333" ht="21" customHeight="1">
      <x:c r="A1333" s="3" t="n">
        <x:v>23</x:v>
      </x:c>
      <x:c r="B1333" s="3" t="n">
        <x:v>12</x:v>
      </x:c>
      <x:c r="C1333" s="9" t="n">
        <x:v>1.4075055</x:v>
      </x:c>
      <x:c r="D1333" s="3" t="n">
        <x:v>0</x:v>
      </x:c>
      <x:c r="E1333" s="3" t="n">
        <x:v>0</x:v>
      </x:c>
      <x:c r="F1333" s="3" t="n">
        <x:v>1</x:v>
      </x:c>
    </x:row>
    <x:row r="1334" ht="21" customHeight="1">
      <x:c r="A1334" s="3" t="n">
        <x:v>23</x:v>
      </x:c>
      <x:c r="B1334" s="3" t="n">
        <x:v>13</x:v>
      </x:c>
      <x:c r="C1334" s="9" t="n">
        <x:v>-0.89927952</x:v>
      </x:c>
      <x:c r="D1334" s="3" t="n">
        <x:v>0</x:v>
      </x:c>
      <x:c r="E1334" s="3" t="n">
        <x:v>0</x:v>
      </x:c>
      <x:c r="F1334" s="3" t="n">
        <x:v>1</x:v>
      </x:c>
    </x:row>
    <x:row r="1335" ht="21" customHeight="1">
      <x:c r="A1335" s="3" t="n">
        <x:v>23</x:v>
      </x:c>
      <x:c r="B1335" s="3" t="n">
        <x:v>14</x:v>
      </x:c>
      <x:c r="C1335" s="9" t="n">
        <x:v>-1.72200029</x:v>
      </x:c>
      <x:c r="D1335" s="3" t="n">
        <x:v>0</x:v>
      </x:c>
      <x:c r="E1335" s="3" t="n">
        <x:v>0</x:v>
      </x:c>
      <x:c r="F1335" s="3" t="n">
        <x:v>1</x:v>
      </x:c>
    </x:row>
    <x:row r="1336" ht="21" customHeight="1">
      <x:c r="A1336" s="3" t="n">
        <x:v>23</x:v>
      </x:c>
      <x:c r="B1336" s="3" t="n">
        <x:v>15</x:v>
      </x:c>
      <x:c r="C1336" s="9" t="n">
        <x:v>-1.75996022</x:v>
      </x:c>
      <x:c r="D1336" s="3" t="n">
        <x:v>0</x:v>
      </x:c>
      <x:c r="E1336" s="3" t="n">
        <x:v>0</x:v>
      </x:c>
      <x:c r="F1336" s="3" t="n">
        <x:v>1</x:v>
      </x:c>
    </x:row>
    <x:row r="1337" ht="21" customHeight="1">
      <x:c r="A1337" s="3" t="n">
        <x:v>23</x:v>
      </x:c>
      <x:c r="B1337" s="3" t="n">
        <x:v>16</x:v>
      </x:c>
      <x:c r="C1337" s="9" t="n">
        <x:v>0.11910794</x:v>
      </x:c>
      <x:c r="D1337" s="3" t="n">
        <x:v>0</x:v>
      </x:c>
      <x:c r="E1337" s="3" t="n">
        <x:v>0</x:v>
      </x:c>
      <x:c r="F1337" s="3" t="n">
        <x:v>1</x:v>
      </x:c>
    </x:row>
    <x:row r="1338" ht="21" customHeight="1">
      <x:c r="A1338" s="3" t="n">
        <x:v>23</x:v>
      </x:c>
      <x:c r="B1338" s="3" t="n">
        <x:v>17</x:v>
      </x:c>
      <x:c r="C1338" s="9" t="n">
        <x:v>0.23688601</x:v>
      </x:c>
      <x:c r="D1338" s="3" t="n">
        <x:v>0</x:v>
      </x:c>
      <x:c r="E1338" s="3" t="n">
        <x:v>0</x:v>
      </x:c>
      <x:c r="F1338" s="3" t="n">
        <x:v>1</x:v>
      </x:c>
    </x:row>
    <x:row r="1339" ht="21" customHeight="1">
      <x:c r="A1339" s="3" t="n">
        <x:v>23</x:v>
      </x:c>
      <x:c r="B1339" s="3" t="n">
        <x:v>18</x:v>
      </x:c>
      <x:c r="C1339" s="9" t="n">
        <x:v>-0.10592142</x:v>
      </x:c>
      <x:c r="D1339" s="3" t="n">
        <x:v>0</x:v>
      </x:c>
      <x:c r="E1339" s="3" t="n">
        <x:v>0</x:v>
      </x:c>
      <x:c r="F1339" s="3" t="n">
        <x:v>1</x:v>
      </x:c>
    </x:row>
    <x:row r="1340" ht="21" customHeight="1">
      <x:c r="A1340" s="3" t="n">
        <x:v>23</x:v>
      </x:c>
      <x:c r="B1340" s="3" t="n">
        <x:v>19</x:v>
      </x:c>
      <x:c r="C1340" s="9" t="n">
        <x:v>-1.0282718</x:v>
      </x:c>
      <x:c r="D1340" s="3" t="n">
        <x:v>0</x:v>
      </x:c>
      <x:c r="E1340" s="3" t="n">
        <x:v>0</x:v>
      </x:c>
      <x:c r="F1340" s="3" t="n">
        <x:v>1</x:v>
      </x:c>
    </x:row>
    <x:row r="1341" ht="21" customHeight="1">
      <x:c r="A1341" s="3" t="n">
        <x:v>23</x:v>
      </x:c>
      <x:c r="B1341" s="3" t="n">
        <x:v>20</x:v>
      </x:c>
      <x:c r="C1341" s="9" t="n">
        <x:v>-0.48347797</x:v>
      </x:c>
      <x:c r="D1341" s="3" t="n">
        <x:v>0</x:v>
      </x:c>
      <x:c r="E1341" s="3" t="n">
        <x:v>0</x:v>
      </x:c>
      <x:c r="F1341" s="3" t="n">
        <x:v>1</x:v>
      </x:c>
    </x:row>
    <x:row r="1342" ht="21" customHeight="1">
      <x:c r="A1342" s="3" t="n">
        <x:v>23</x:v>
      </x:c>
      <x:c r="B1342" s="3" t="n">
        <x:v>21</x:v>
      </x:c>
      <x:c r="C1342" s="9" t="n">
        <x:v>-1.15008493</x:v>
      </x:c>
      <x:c r="D1342" s="3" t="n">
        <x:v>0</x:v>
      </x:c>
      <x:c r="E1342" s="3" t="n">
        <x:v>0</x:v>
      </x:c>
      <x:c r="F1342" s="3" t="n">
        <x:v>1</x:v>
      </x:c>
    </x:row>
    <x:row r="1343" ht="21" customHeight="1">
      <x:c r="A1343" s="3" t="n">
        <x:v>23</x:v>
      </x:c>
      <x:c r="B1343" s="3" t="n">
        <x:v>22</x:v>
      </x:c>
      <x:c r="C1343" s="9" t="n">
        <x:v>0.39147706</x:v>
      </x:c>
      <x:c r="D1343" s="3" t="n">
        <x:v>0</x:v>
      </x:c>
      <x:c r="E1343" s="3" t="n">
        <x:v>0</x:v>
      </x:c>
      <x:c r="F1343" s="3" t="n">
        <x:v>1</x:v>
      </x:c>
    </x:row>
    <x:row r="1344" ht="21" customHeight="1">
      <x:c r="A1344" s="3" t="n">
        <x:v>23</x:v>
      </x:c>
      <x:c r="B1344" s="3" t="n">
        <x:v>23</x:v>
      </x:c>
      <x:c r="C1344" s="9" t="n">
        <x:v>-1.69934123</x:v>
      </x:c>
      <x:c r="D1344" s="3" t="n">
        <x:v>0</x:v>
      </x:c>
      <x:c r="E1344" s="3" t="n">
        <x:v>0</x:v>
      </x:c>
      <x:c r="F1344" s="3" t="n">
        <x:v>1</x:v>
      </x:c>
    </x:row>
    <x:row r="1345" ht="21" customHeight="1">
      <x:c r="A1345" s="3" t="n">
        <x:v>23</x:v>
      </x:c>
      <x:c r="B1345" s="3" t="n">
        <x:v>24</x:v>
      </x:c>
      <x:c r="C1345" s="9" t="n">
        <x:v>-0.8735261</x:v>
      </x:c>
      <x:c r="D1345" s="3" t="n">
        <x:v>0</x:v>
      </x:c>
      <x:c r="E1345" s="3" t="n">
        <x:v>0</x:v>
      </x:c>
      <x:c r="F1345" s="3" t="n">
        <x:v>1</x:v>
      </x:c>
    </x:row>
    <x:row r="1346" ht="21" customHeight="1">
      <x:c r="A1346" s="3" t="n">
        <x:v>23</x:v>
      </x:c>
      <x:c r="B1346" s="3" t="n">
        <x:v>25</x:v>
      </x:c>
      <x:c r="C1346" s="9" t="n">
        <x:v>0.91564141</x:v>
      </x:c>
      <x:c r="D1346" s="3" t="n">
        <x:v>0</x:v>
      </x:c>
      <x:c r="E1346" s="3" t="n">
        <x:v>0</x:v>
      </x:c>
      <x:c r="F1346" s="3" t="n">
        <x:v>1</x:v>
      </x:c>
    </x:row>
    <x:row r="1347" ht="21" customHeight="1">
      <x:c r="A1347" s="3" t="n">
        <x:v>23</x:v>
      </x:c>
      <x:c r="B1347" s="3" t="n">
        <x:v>26</x:v>
      </x:c>
      <x:c r="C1347" s="9" t="n">
        <x:v>0.36649971</x:v>
      </x:c>
      <x:c r="D1347" s="3" t="n">
        <x:v>0</x:v>
      </x:c>
      <x:c r="E1347" s="3" t="n">
        <x:v>0</x:v>
      </x:c>
      <x:c r="F1347" s="3" t="n">
        <x:v>1</x:v>
      </x:c>
    </x:row>
    <x:row r="1348" ht="21" customHeight="1">
      <x:c r="A1348" s="3" t="n">
        <x:v>23</x:v>
      </x:c>
      <x:c r="B1348" s="3" t="n">
        <x:v>27</x:v>
      </x:c>
      <x:c r="C1348" s="9" t="n">
        <x:v>0.02149137</x:v>
      </x:c>
      <x:c r="D1348" s="3" t="n">
        <x:v>0</x:v>
      </x:c>
      <x:c r="E1348" s="3" t="n">
        <x:v>0</x:v>
      </x:c>
      <x:c r="F1348" s="3" t="n">
        <x:v>1</x:v>
      </x:c>
    </x:row>
    <x:row r="1349" ht="21" customHeight="1">
      <x:c r="A1349" s="3" t="n">
        <x:v>23</x:v>
      </x:c>
      <x:c r="B1349" s="3" t="n">
        <x:v>28</x:v>
      </x:c>
      <x:c r="C1349" s="9" t="n">
        <x:v>0.14869571</x:v>
      </x:c>
      <x:c r="D1349" s="3" t="n">
        <x:v>0</x:v>
      </x:c>
      <x:c r="E1349" s="3" t="n">
        <x:v>0</x:v>
      </x:c>
      <x:c r="F1349" s="3" t="n">
        <x:v>1</x:v>
      </x:c>
    </x:row>
    <x:row r="1350" ht="21" customHeight="1">
      <x:c r="A1350" s="3" t="n">
        <x:v>23</x:v>
      </x:c>
      <x:c r="B1350" s="3" t="n">
        <x:v>29</x:v>
      </x:c>
      <x:c r="C1350" s="9" t="n">
        <x:v>-0.38085885</x:v>
      </x:c>
      <x:c r="D1350" s="3" t="n">
        <x:v>0</x:v>
      </x:c>
      <x:c r="E1350" s="3" t="n">
        <x:v>0</x:v>
      </x:c>
      <x:c r="F1350" s="3" t="n">
        <x:v>1</x:v>
      </x:c>
    </x:row>
    <x:row r="1351" ht="21" customHeight="1">
      <x:c r="A1351" s="3" t="n">
        <x:v>23</x:v>
      </x:c>
      <x:c r="B1351" s="3" t="n">
        <x:v>30</x:v>
      </x:c>
      <x:c r="C1351" s="9" t="n">
        <x:v>1.45284182</x:v>
      </x:c>
      <x:c r="D1351" s="3" t="n">
        <x:v>0</x:v>
      </x:c>
      <x:c r="E1351" s="3" t="n">
        <x:v>0</x:v>
      </x:c>
      <x:c r="F1351" s="3" t="n">
        <x:v>1</x:v>
      </x:c>
    </x:row>
    <x:row r="1352" ht="21" customHeight="1">
      <x:c r="A1352" s="3" t="n">
        <x:v>23</x:v>
      </x:c>
      <x:c r="B1352" s="3" t="n">
        <x:v>31</x:v>
      </x:c>
      <x:c r="C1352" s="9" t="n">
        <x:v>-1.23680053</x:v>
      </x:c>
      <x:c r="D1352" s="3" t="n">
        <x:v>0</x:v>
      </x:c>
      <x:c r="E1352" s="3" t="n">
        <x:v>0</x:v>
      </x:c>
      <x:c r="F1352" s="3" t="n">
        <x:v>1</x:v>
      </x:c>
    </x:row>
    <x:row r="1353" ht="21" customHeight="1">
      <x:c r="A1353" s="3" t="n">
        <x:v>23</x:v>
      </x:c>
      <x:c r="B1353" s="3" t="n">
        <x:v>32</x:v>
      </x:c>
      <x:c r="C1353" s="9" t="n">
        <x:v>0.53383568</x:v>
      </x:c>
      <x:c r="D1353" s="3" t="n">
        <x:v>0</x:v>
      </x:c>
      <x:c r="E1353" s="3" t="n">
        <x:v>0</x:v>
      </x:c>
      <x:c r="F1353" s="3" t="n">
        <x:v>1</x:v>
      </x:c>
    </x:row>
    <x:row r="1354" ht="21" customHeight="1">
      <x:c r="A1354" s="3" t="n">
        <x:v>23</x:v>
      </x:c>
      <x:c r="B1354" s="3" t="n">
        <x:v>33</x:v>
      </x:c>
      <x:c r="C1354" s="9" t="n">
        <x:v>2.33877405</x:v>
      </x:c>
      <x:c r="D1354" s="3" t="n">
        <x:v>0</x:v>
      </x:c>
      <x:c r="E1354" s="3" t="n">
        <x:v>0</x:v>
      </x:c>
      <x:c r="F1354" s="3" t="n">
        <x:v>1</x:v>
      </x:c>
    </x:row>
    <x:row r="1355" ht="21" customHeight="1">
      <x:c r="A1355" s="3" t="n">
        <x:v>23</x:v>
      </x:c>
      <x:c r="B1355" s="3" t="n">
        <x:v>34</x:v>
      </x:c>
      <x:c r="C1355" s="9" t="n">
        <x:v>1.73422364</x:v>
      </x:c>
      <x:c r="D1355" s="3" t="n">
        <x:v>0</x:v>
      </x:c>
      <x:c r="E1355" s="3" t="n">
        <x:v>0</x:v>
      </x:c>
      <x:c r="F1355" s="3" t="n">
        <x:v>1</x:v>
      </x:c>
    </x:row>
    <x:row r="1356" ht="21" customHeight="1">
      <x:c r="A1356" s="3" t="n">
        <x:v>23</x:v>
      </x:c>
      <x:c r="B1356" s="3" t="n">
        <x:v>35</x:v>
      </x:c>
      <x:c r="C1356" s="9" t="n">
        <x:v>1.18165093</x:v>
      </x:c>
      <x:c r="D1356" s="3" t="n">
        <x:v>0</x:v>
      </x:c>
      <x:c r="E1356" s="3" t="n">
        <x:v>0</x:v>
      </x:c>
      <x:c r="F1356" s="3" t="n">
        <x:v>1</x:v>
      </x:c>
    </x:row>
    <x:row r="1357" ht="21" customHeight="1">
      <x:c r="A1357" s="3" t="n">
        <x:v>23</x:v>
      </x:c>
      <x:c r="B1357" s="3" t="n">
        <x:v>36</x:v>
      </x:c>
      <x:c r="C1357" s="9" t="n">
        <x:v>0.34533702</x:v>
      </x:c>
      <x:c r="D1357" s="3" t="n">
        <x:v>0</x:v>
      </x:c>
      <x:c r="E1357" s="3" t="n">
        <x:v>0</x:v>
      </x:c>
      <x:c r="F1357" s="3" t="n">
        <x:v>1</x:v>
      </x:c>
    </x:row>
    <x:row r="1358" ht="21" customHeight="1">
      <x:c r="A1358" s="3" t="n">
        <x:v>23</x:v>
      </x:c>
      <x:c r="B1358" s="3" t="n">
        <x:v>37</x:v>
      </x:c>
      <x:c r="C1358" s="9" t="n">
        <x:v>0.30933671</x:v>
      </x:c>
      <x:c r="D1358" s="3" t="n">
        <x:v>0</x:v>
      </x:c>
      <x:c r="E1358" s="3" t="n">
        <x:v>0</x:v>
      </x:c>
      <x:c r="F1358" s="3" t="n">
        <x:v>1</x:v>
      </x:c>
    </x:row>
    <x:row r="1359" ht="21" customHeight="1">
      <x:c r="A1359" s="3" t="n">
        <x:v>23</x:v>
      </x:c>
      <x:c r="B1359" s="3" t="n">
        <x:v>38</x:v>
      </x:c>
      <x:c r="C1359" s="9" t="n">
        <x:v>-0.37430823</x:v>
      </x:c>
      <x:c r="D1359" s="3" t="n">
        <x:v>0</x:v>
      </x:c>
      <x:c r="E1359" s="3" t="n">
        <x:v>0</x:v>
      </x:c>
      <x:c r="F1359" s="3" t="n">
        <x:v>1</x:v>
      </x:c>
    </x:row>
    <x:row r="1360" ht="21" customHeight="1">
      <x:c r="A1360" s="3" t="n">
        <x:v>23</x:v>
      </x:c>
      <x:c r="B1360" s="3" t="n">
        <x:v>39</x:v>
      </x:c>
      <x:c r="C1360" s="9" t="n">
        <x:v>1.11090224</x:v>
      </x:c>
      <x:c r="D1360" s="3" t="n">
        <x:v>0</x:v>
      </x:c>
      <x:c r="E1360" s="3" t="n">
        <x:v>0</x:v>
      </x:c>
      <x:c r="F1360" s="3" t="n">
        <x:v>1</x:v>
      </x:c>
    </x:row>
    <x:row r="1361" ht="21" customHeight="1">
      <x:c r="A1361" s="3" t="n">
        <x:v>23</x:v>
      </x:c>
      <x:c r="B1361" s="3" t="n">
        <x:v>40</x:v>
      </x:c>
      <x:c r="C1361" s="9" t="n">
        <x:v>0.67725329</x:v>
      </x:c>
      <x:c r="D1361" s="3" t="n">
        <x:v>0</x:v>
      </x:c>
      <x:c r="E1361" s="3" t="n">
        <x:v>0</x:v>
      </x:c>
      <x:c r="F1361" s="3" t="n">
        <x:v>1</x:v>
      </x:c>
    </x:row>
    <x:row r="1362" ht="21" customHeight="1">
      <x:c r="A1362" s="3" t="n">
        <x:v>23</x:v>
      </x:c>
      <x:c r="B1362" s="3" t="n">
        <x:v>41</x:v>
      </x:c>
      <x:c r="C1362" s="9" t="n">
        <x:v>0.65707727</x:v>
      </x:c>
      <x:c r="D1362" s="3" t="n">
        <x:v>0</x:v>
      </x:c>
      <x:c r="E1362" s="3" t="n">
        <x:v>0</x:v>
      </x:c>
      <x:c r="F1362" s="3" t="n">
        <x:v>1</x:v>
      </x:c>
    </x:row>
    <x:row r="1363" ht="21" customHeight="1">
      <x:c r="A1363" s="3" t="n">
        <x:v>23</x:v>
      </x:c>
      <x:c r="B1363" s="3" t="n">
        <x:v>42</x:v>
      </x:c>
      <x:c r="C1363" s="9" t="n">
        <x:v>-0.77031227</x:v>
      </x:c>
      <x:c r="D1363" s="3" t="n">
        <x:v>0</x:v>
      </x:c>
      <x:c r="E1363" s="3" t="n">
        <x:v>0</x:v>
      </x:c>
      <x:c r="F1363" s="3" t="n">
        <x:v>1</x:v>
      </x:c>
    </x:row>
    <x:row r="1364" ht="21" customHeight="1">
      <x:c r="A1364" s="3" t="n">
        <x:v>23</x:v>
      </x:c>
      <x:c r="B1364" s="3" t="n">
        <x:v>43</x:v>
      </x:c>
      <x:c r="C1364" s="9" t="n">
        <x:v>0.30888143</x:v>
      </x:c>
      <x:c r="D1364" s="3" t="n">
        <x:v>0</x:v>
      </x:c>
      <x:c r="E1364" s="3" t="n">
        <x:v>0</x:v>
      </x:c>
      <x:c r="F1364" s="3" t="n">
        <x:v>1</x:v>
      </x:c>
    </x:row>
    <x:row r="1365" ht="21" customHeight="1">
      <x:c r="A1365" s="3" t="n">
        <x:v>23</x:v>
      </x:c>
      <x:c r="B1365" s="3" t="n">
        <x:v>44</x:v>
      </x:c>
      <x:c r="C1365" s="9" t="n">
        <x:v>0.07786135</x:v>
      </x:c>
      <x:c r="D1365" s="3" t="n">
        <x:v>0</x:v>
      </x:c>
      <x:c r="E1365" s="3" t="n">
        <x:v>0</x:v>
      </x:c>
      <x:c r="F1365" s="3" t="n">
        <x:v>1</x:v>
      </x:c>
    </x:row>
    <x:row r="1366" ht="21" customHeight="1">
      <x:c r="A1366" s="3" t="n">
        <x:v>23</x:v>
      </x:c>
      <x:c r="B1366" s="3" t="n">
        <x:v>45</x:v>
      </x:c>
      <x:c r="C1366" s="9" t="n">
        <x:v>-0.05287561</x:v>
      </x:c>
      <x:c r="D1366" s="3" t="n">
        <x:v>0</x:v>
      </x:c>
      <x:c r="E1366" s="3" t="n">
        <x:v>0</x:v>
      </x:c>
      <x:c r="F1366" s="3" t="n">
        <x:v>1</x:v>
      </x:c>
    </x:row>
    <x:row r="1367" ht="21" customHeight="1">
      <x:c r="A1367" s="3" t="n">
        <x:v>23</x:v>
      </x:c>
      <x:c r="B1367" s="3" t="n">
        <x:v>46</x:v>
      </x:c>
      <x:c r="C1367" s="9" t="n">
        <x:v>0.04597944</x:v>
      </x:c>
      <x:c r="D1367" s="3" t="n">
        <x:v>0</x:v>
      </x:c>
      <x:c r="E1367" s="3" t="n">
        <x:v>0</x:v>
      </x:c>
      <x:c r="F1367" s="3" t="n">
        <x:v>1</x:v>
      </x:c>
    </x:row>
    <x:row r="1368" ht="21" customHeight="1">
      <x:c r="A1368" s="3" t="n">
        <x:v>23</x:v>
      </x:c>
      <x:c r="B1368" s="3" t="n">
        <x:v>47</x:v>
      </x:c>
      <x:c r="C1368" s="9" t="n">
        <x:v>0.54734648</x:v>
      </x:c>
      <x:c r="D1368" s="3" t="n">
        <x:v>0</x:v>
      </x:c>
      <x:c r="E1368" s="3" t="n">
        <x:v>0</x:v>
      </x:c>
      <x:c r="F1368" s="3" t="n">
        <x:v>1</x:v>
      </x:c>
    </x:row>
    <x:row r="1369" ht="21" customHeight="1">
      <x:c r="A1369" s="3" t="n">
        <x:v>23</x:v>
      </x:c>
      <x:c r="B1369" s="3" t="n">
        <x:v>48</x:v>
      </x:c>
      <x:c r="C1369" s="9" t="n">
        <x:v>0.50227165</x:v>
      </x:c>
      <x:c r="D1369" s="3" t="n">
        <x:v>0</x:v>
      </x:c>
      <x:c r="E1369" s="3" t="n">
        <x:v>0</x:v>
      </x:c>
      <x:c r="F1369" s="3" t="n">
        <x:v>1</x:v>
      </x:c>
    </x:row>
    <x:row r="1370" ht="21" customHeight="1">
      <x:c r="A1370" s="3" t="n">
        <x:v>23</x:v>
      </x:c>
      <x:c r="B1370" s="3" t="n">
        <x:v>49</x:v>
      </x:c>
      <x:c r="C1370" s="9" t="n">
        <x:v>-1.08777589</x:v>
      </x:c>
      <x:c r="D1370" s="3" t="n">
        <x:v>0</x:v>
      </x:c>
      <x:c r="E1370" s="3" t="n">
        <x:v>0</x:v>
      </x:c>
      <x:c r="F1370" s="3" t="n">
        <x:v>1</x:v>
      </x:c>
    </x:row>
    <x:row r="1371" ht="21" customHeight="1">
      <x:c r="A1371" s="3" t="n">
        <x:v>23</x:v>
      </x:c>
      <x:c r="B1371" s="3" t="n">
        <x:v>50</x:v>
      </x:c>
      <x:c r="C1371" s="9" t="n">
        <x:v>0.24411943</x:v>
      </x:c>
      <x:c r="D1371" s="3" t="n">
        <x:v>0</x:v>
      </x:c>
      <x:c r="E1371" s="3" t="n">
        <x:v>0</x:v>
      </x:c>
      <x:c r="F1371" s="3" t="n">
        <x:v>1</x:v>
      </x:c>
    </x:row>
    <x:row r="1372" ht="21" customHeight="1">
      <x:c r="A1372" s="3" t="n">
        <x:v>23</x:v>
      </x:c>
      <x:c r="B1372" s="3" t="n">
        <x:v>51</x:v>
      </x:c>
      <x:c r="C1372" s="9" t="n">
        <x:v>-0.71033279</x:v>
      </x:c>
      <x:c r="D1372" s="3" t="n">
        <x:v>0</x:v>
      </x:c>
      <x:c r="E1372" s="3" t="n">
        <x:v>0</x:v>
      </x:c>
      <x:c r="F1372" s="3" t="n">
        <x:v>1</x:v>
      </x:c>
    </x:row>
    <x:row r="1373" ht="21" customHeight="1">
      <x:c r="A1373" s="3" t="n">
        <x:v>23</x:v>
      </x:c>
      <x:c r="B1373" s="3" t="n">
        <x:v>52</x:v>
      </x:c>
      <x:c r="C1373" s="9" t="n">
        <x:v>-2.79471644</x:v>
      </x:c>
      <x:c r="D1373" s="3" t="n">
        <x:v>0</x:v>
      </x:c>
      <x:c r="E1373" s="3" t="n">
        <x:v>0</x:v>
      </x:c>
      <x:c r="F1373" s="3" t="n">
        <x:v>1</x:v>
      </x:c>
    </x:row>
    <x:row r="1374" ht="21" customHeight="1">
      <x:c r="A1374" s="3" t="n">
        <x:v>23</x:v>
      </x:c>
      <x:c r="B1374" s="3" t="n">
        <x:v>53</x:v>
      </x:c>
      <x:c r="C1374" s="9" t="n">
        <x:v>-0.50573463</x:v>
      </x:c>
      <x:c r="D1374" s="3" t="n">
        <x:v>0</x:v>
      </x:c>
      <x:c r="E1374" s="3" t="n">
        <x:v>0</x:v>
      </x:c>
      <x:c r="F1374" s="3" t="n">
        <x:v>1</x:v>
      </x:c>
    </x:row>
    <x:row r="1375" ht="21" customHeight="1">
      <x:c r="A1375" s="3" t="n">
        <x:v>23</x:v>
      </x:c>
      <x:c r="B1375" s="3" t="n">
        <x:v>54</x:v>
      </x:c>
      <x:c r="C1375" s="9" t="n">
        <x:v>0.31178924</x:v>
      </x:c>
      <x:c r="D1375" s="3" t="n">
        <x:v>0</x:v>
      </x:c>
      <x:c r="E1375" s="3" t="n">
        <x:v>0</x:v>
      </x:c>
      <x:c r="F1375" s="3" t="n">
        <x:v>1</x:v>
      </x:c>
    </x:row>
    <x:row r="1376" ht="21" customHeight="1">
      <x:c r="A1376" s="3" t="n">
        <x:v>23</x:v>
      </x:c>
      <x:c r="B1376" s="3" t="n">
        <x:v>55</x:v>
      </x:c>
      <x:c r="C1376" s="9" t="n">
        <x:v>0.66889395</x:v>
      </x:c>
      <x:c r="D1376" s="3" t="n">
        <x:v>0</x:v>
      </x:c>
      <x:c r="E1376" s="3" t="n">
        <x:v>0</x:v>
      </x:c>
      <x:c r="F1376" s="3" t="n">
        <x:v>1</x:v>
      </x:c>
    </x:row>
    <x:row r="1377" ht="21" customHeight="1">
      <x:c r="A1377" s="3" t="n">
        <x:v>23</x:v>
      </x:c>
      <x:c r="B1377" s="3" t="n">
        <x:v>56</x:v>
      </x:c>
      <x:c r="C1377" s="9" t="n">
        <x:v>-1.01084062</x:v>
      </x:c>
      <x:c r="D1377" s="3" t="n">
        <x:v>0</x:v>
      </x:c>
      <x:c r="E1377" s="3" t="n">
        <x:v>0</x:v>
      </x:c>
      <x:c r="F1377" s="3" t="n">
        <x:v>1</x:v>
      </x:c>
    </x:row>
    <x:row r="1378" ht="21" customHeight="1">
      <x:c r="A1378" s="3" t="n">
        <x:v>23</x:v>
      </x:c>
      <x:c r="B1378" s="3" t="n">
        <x:v>57</x:v>
      </x:c>
      <x:c r="C1378" s="9" t="n">
        <x:v>-1.39625803</x:v>
      </x:c>
      <x:c r="D1378" s="3" t="n">
        <x:v>0</x:v>
      </x:c>
      <x:c r="E1378" s="3" t="n">
        <x:v>0</x:v>
      </x:c>
      <x:c r="F1378" s="3" t="n">
        <x:v>1</x:v>
      </x:c>
    </x:row>
    <x:row r="1379" ht="21" customHeight="1">
      <x:c r="A1379" s="3" t="n">
        <x:v>23</x:v>
      </x:c>
      <x:c r="B1379" s="3" t="n">
        <x:v>58</x:v>
      </x:c>
      <x:c r="C1379" s="9" t="n">
        <x:v>-0.30378263</x:v>
      </x:c>
      <x:c r="D1379" s="3" t="n">
        <x:v>0</x:v>
      </x:c>
      <x:c r="E1379" s="3" t="n">
        <x:v>0</x:v>
      </x:c>
      <x:c r="F1379" s="3" t="n">
        <x:v>1</x:v>
      </x:c>
    </x:row>
    <x:row r="1380" ht="21" customHeight="1">
      <x:c r="A1380" s="3" t="n">
        <x:v>23</x:v>
      </x:c>
      <x:c r="B1380" s="3" t="n">
        <x:v>59</x:v>
      </x:c>
      <x:c r="C1380" s="9" t="n">
        <x:v>1.21517664</x:v>
      </x:c>
      <x:c r="D1380" s="3" t="n">
        <x:v>0</x:v>
      </x:c>
      <x:c r="E1380" s="3" t="n">
        <x:v>0</x:v>
      </x:c>
      <x:c r="F1380" s="3" t="n">
        <x:v>1</x:v>
      </x:c>
    </x:row>
    <x:row r="1381" ht="21" customHeight="1">
      <x:c r="A1381" s="3" t="n">
        <x:v>23</x:v>
      </x:c>
      <x:c r="B1381" s="3" t="n">
        <x:v>60</x:v>
      </x:c>
      <x:c r="C1381" s="9" t="n">
        <x:v>0.06349704</x:v>
      </x:c>
      <x:c r="D1381" s="3" t="n">
        <x:v>0</x:v>
      </x:c>
      <x:c r="E1381" s="3" t="n">
        <x:v>0</x:v>
      </x:c>
      <x:c r="F1381" s="3" t="n">
        <x:v>1</x:v>
      </x:c>
    </x:row>
    <x:row r="1382" ht="21" customHeight="1">
      <x:c r="A1382" s="3" t="n">
        <x:v>24</x:v>
      </x:c>
      <x:c r="B1382" s="3" t="n">
        <x:v>1</x:v>
      </x:c>
      <x:c r="C1382" s="9" t="n">
        <x:v>0.31769777</x:v>
      </x:c>
      <x:c r="D1382" s="3" t="n">
        <x:v>0</x:v>
      </x:c>
      <x:c r="E1382" s="3" t="n">
        <x:v>0</x:v>
      </x:c>
      <x:c r="F1382" s="3" t="n">
        <x:v>1</x:v>
      </x:c>
    </x:row>
    <x:row r="1383" ht="21" customHeight="1">
      <x:c r="A1383" s="3" t="n">
        <x:v>24</x:v>
      </x:c>
      <x:c r="B1383" s="3" t="n">
        <x:v>2</x:v>
      </x:c>
      <x:c r="C1383" s="9" t="n">
        <x:v>0.06061982</x:v>
      </x:c>
      <x:c r="D1383" s="3" t="n">
        <x:v>0</x:v>
      </x:c>
      <x:c r="E1383" s="3" t="n">
        <x:v>0</x:v>
      </x:c>
      <x:c r="F1383" s="3" t="n">
        <x:v>1</x:v>
      </x:c>
    </x:row>
    <x:row r="1384" ht="21" customHeight="1">
      <x:c r="A1384" s="3" t="n">
        <x:v>24</x:v>
      </x:c>
      <x:c r="B1384" s="3" t="n">
        <x:v>3</x:v>
      </x:c>
      <x:c r="C1384" s="9" t="n">
        <x:v>0.35430419</x:v>
      </x:c>
      <x:c r="D1384" s="3" t="n">
        <x:v>0</x:v>
      </x:c>
      <x:c r="E1384" s="3" t="n">
        <x:v>0</x:v>
      </x:c>
      <x:c r="F1384" s="3" t="n">
        <x:v>1</x:v>
      </x:c>
    </x:row>
    <x:row r="1385" ht="21" customHeight="1">
      <x:c r="A1385" s="3" t="n">
        <x:v>24</x:v>
      </x:c>
      <x:c r="B1385" s="3" t="n">
        <x:v>4</x:v>
      </x:c>
      <x:c r="C1385" s="9" t="n">
        <x:v>-1.46406927</x:v>
      </x:c>
      <x:c r="D1385" s="3" t="n">
        <x:v>0</x:v>
      </x:c>
      <x:c r="E1385" s="3" t="n">
        <x:v>0</x:v>
      </x:c>
      <x:c r="F1385" s="3" t="n">
        <x:v>1</x:v>
      </x:c>
    </x:row>
    <x:row r="1386" ht="21" customHeight="1">
      <x:c r="A1386" s="3" t="n">
        <x:v>24</x:v>
      </x:c>
      <x:c r="B1386" s="3" t="n">
        <x:v>5</x:v>
      </x:c>
      <x:c r="C1386" s="9" t="n">
        <x:v>0.73739106</x:v>
      </x:c>
      <x:c r="D1386" s="3" t="n">
        <x:v>0</x:v>
      </x:c>
      <x:c r="E1386" s="3" t="n">
        <x:v>0</x:v>
      </x:c>
      <x:c r="F1386" s="3" t="n">
        <x:v>1</x:v>
      </x:c>
    </x:row>
    <x:row r="1387" ht="21" customHeight="1">
      <x:c r="A1387" s="3" t="n">
        <x:v>24</x:v>
      </x:c>
      <x:c r="B1387" s="3" t="n">
        <x:v>6</x:v>
      </x:c>
      <x:c r="C1387" s="9" t="n">
        <x:v>0.959601</x:v>
      </x:c>
      <x:c r="D1387" s="3" t="n">
        <x:v>0</x:v>
      </x:c>
      <x:c r="E1387" s="3" t="n">
        <x:v>0</x:v>
      </x:c>
      <x:c r="F1387" s="3" t="n">
        <x:v>1</x:v>
      </x:c>
    </x:row>
    <x:row r="1388" ht="21" customHeight="1">
      <x:c r="A1388" s="3" t="n">
        <x:v>24</x:v>
      </x:c>
      <x:c r="B1388" s="3" t="n">
        <x:v>7</x:v>
      </x:c>
      <x:c r="C1388" s="9" t="n">
        <x:v>-1.19416746</x:v>
      </x:c>
      <x:c r="D1388" s="3" t="n">
        <x:v>0</x:v>
      </x:c>
      <x:c r="E1388" s="3" t="n">
        <x:v>0</x:v>
      </x:c>
      <x:c r="F1388" s="3" t="n">
        <x:v>1</x:v>
      </x:c>
    </x:row>
    <x:row r="1389" ht="21" customHeight="1">
      <x:c r="A1389" s="3" t="n">
        <x:v>24</x:v>
      </x:c>
      <x:c r="B1389" s="3" t="n">
        <x:v>8</x:v>
      </x:c>
      <x:c r="C1389" s="9" t="n">
        <x:v>0.31062969</x:v>
      </x:c>
      <x:c r="D1389" s="3" t="n">
        <x:v>0</x:v>
      </x:c>
      <x:c r="E1389" s="3" t="n">
        <x:v>0</x:v>
      </x:c>
      <x:c r="F1389" s="3" t="n">
        <x:v>1</x:v>
      </x:c>
    </x:row>
    <x:row r="1390" ht="21" customHeight="1">
      <x:c r="A1390" s="3" t="n">
        <x:v>24</x:v>
      </x:c>
      <x:c r="B1390" s="3" t="n">
        <x:v>9</x:v>
      </x:c>
      <x:c r="C1390" s="9" t="n">
        <x:v>-1.16738882</x:v>
      </x:c>
      <x:c r="D1390" s="3" t="n">
        <x:v>0</x:v>
      </x:c>
      <x:c r="E1390" s="3" t="n">
        <x:v>0</x:v>
      </x:c>
      <x:c r="F1390" s="3" t="n">
        <x:v>1</x:v>
      </x:c>
    </x:row>
    <x:row r="1391" ht="21" customHeight="1">
      <x:c r="A1391" s="3" t="n">
        <x:v>24</x:v>
      </x:c>
      <x:c r="B1391" s="3" t="n">
        <x:v>10</x:v>
      </x:c>
      <x:c r="C1391" s="9" t="n">
        <x:v>-0.38641753</x:v>
      </x:c>
      <x:c r="D1391" s="3" t="n">
        <x:v>0</x:v>
      </x:c>
      <x:c r="E1391" s="3" t="n">
        <x:v>0</x:v>
      </x:c>
      <x:c r="F1391" s="3" t="n">
        <x:v>1</x:v>
      </x:c>
    </x:row>
    <x:row r="1392" ht="21" customHeight="1">
      <x:c r="A1392" s="3" t="n">
        <x:v>24</x:v>
      </x:c>
      <x:c r="B1392" s="3" t="n">
        <x:v>11</x:v>
      </x:c>
      <x:c r="C1392" s="9" t="n">
        <x:v>0.31783077</x:v>
      </x:c>
      <x:c r="D1392" s="3" t="n">
        <x:v>0</x:v>
      </x:c>
      <x:c r="E1392" s="3" t="n">
        <x:v>0</x:v>
      </x:c>
      <x:c r="F1392" s="3" t="n">
        <x:v>1</x:v>
      </x:c>
    </x:row>
    <x:row r="1393" ht="21" customHeight="1">
      <x:c r="A1393" s="3" t="n">
        <x:v>24</x:v>
      </x:c>
      <x:c r="B1393" s="3" t="n">
        <x:v>12</x:v>
      </x:c>
      <x:c r="C1393" s="9" t="n">
        <x:v>-0.798575</x:v>
      </x:c>
      <x:c r="D1393" s="3" t="n">
        <x:v>0</x:v>
      </x:c>
      <x:c r="E1393" s="3" t="n">
        <x:v>0</x:v>
      </x:c>
      <x:c r="F1393" s="3" t="n">
        <x:v>1</x:v>
      </x:c>
    </x:row>
    <x:row r="1394" ht="21" customHeight="1">
      <x:c r="A1394" s="3" t="n">
        <x:v>24</x:v>
      </x:c>
      <x:c r="B1394" s="3" t="n">
        <x:v>13</x:v>
      </x:c>
      <x:c r="C1394" s="9" t="n">
        <x:v>0.29550783</x:v>
      </x:c>
      <x:c r="D1394" s="3" t="n">
        <x:v>0</x:v>
      </x:c>
      <x:c r="E1394" s="3" t="n">
        <x:v>0</x:v>
      </x:c>
      <x:c r="F1394" s="3" t="n">
        <x:v>1</x:v>
      </x:c>
    </x:row>
    <x:row r="1395" ht="21" customHeight="1">
      <x:c r="A1395" s="3" t="n">
        <x:v>24</x:v>
      </x:c>
      <x:c r="B1395" s="3" t="n">
        <x:v>14</x:v>
      </x:c>
      <x:c r="C1395" s="9" t="n">
        <x:v>0.12301034</x:v>
      </x:c>
      <x:c r="D1395" s="3" t="n">
        <x:v>0</x:v>
      </x:c>
      <x:c r="E1395" s="3" t="n">
        <x:v>0</x:v>
      </x:c>
      <x:c r="F1395" s="3" t="n">
        <x:v>1</x:v>
      </x:c>
    </x:row>
    <x:row r="1396" ht="21" customHeight="1">
      <x:c r="A1396" s="3" t="n">
        <x:v>24</x:v>
      </x:c>
      <x:c r="B1396" s="3" t="n">
        <x:v>15</x:v>
      </x:c>
      <x:c r="C1396" s="9" t="n">
        <x:v>-1.08186506</x:v>
      </x:c>
      <x:c r="D1396" s="3" t="n">
        <x:v>0</x:v>
      </x:c>
      <x:c r="E1396" s="3" t="n">
        <x:v>0</x:v>
      </x:c>
      <x:c r="F1396" s="3" t="n">
        <x:v>1</x:v>
      </x:c>
    </x:row>
    <x:row r="1397" ht="21" customHeight="1">
      <x:c r="A1397" s="3" t="n">
        <x:v>24</x:v>
      </x:c>
      <x:c r="B1397" s="3" t="n">
        <x:v>16</x:v>
      </x:c>
      <x:c r="C1397" s="9" t="n">
        <x:v>-2.14479501</x:v>
      </x:c>
      <x:c r="D1397" s="3" t="n">
        <x:v>0</x:v>
      </x:c>
      <x:c r="E1397" s="3" t="n">
        <x:v>0</x:v>
      </x:c>
      <x:c r="F1397" s="3" t="n">
        <x:v>1</x:v>
      </x:c>
    </x:row>
    <x:row r="1398" ht="21" customHeight="1">
      <x:c r="A1398" s="3" t="n">
        <x:v>24</x:v>
      </x:c>
      <x:c r="B1398" s="3" t="n">
        <x:v>17</x:v>
      </x:c>
      <x:c r="C1398" s="9" t="n">
        <x:v>-0.05213652</x:v>
      </x:c>
      <x:c r="D1398" s="3" t="n">
        <x:v>0</x:v>
      </x:c>
      <x:c r="E1398" s="3" t="n">
        <x:v>0</x:v>
      </x:c>
      <x:c r="F1398" s="3" t="n">
        <x:v>1</x:v>
      </x:c>
    </x:row>
    <x:row r="1399" ht="21" customHeight="1">
      <x:c r="A1399" s="3" t="n">
        <x:v>24</x:v>
      </x:c>
      <x:c r="B1399" s="3" t="n">
        <x:v>18</x:v>
      </x:c>
      <x:c r="C1399" s="9" t="n">
        <x:v>-0.7546131</x:v>
      </x:c>
      <x:c r="D1399" s="3" t="n">
        <x:v>0</x:v>
      </x:c>
      <x:c r="E1399" s="3" t="n">
        <x:v>0</x:v>
      </x:c>
      <x:c r="F1399" s="3" t="n">
        <x:v>1</x:v>
      </x:c>
    </x:row>
    <x:row r="1400" ht="21" customHeight="1">
      <x:c r="A1400" s="3" t="n">
        <x:v>24</x:v>
      </x:c>
      <x:c r="B1400" s="3" t="n">
        <x:v>19</x:v>
      </x:c>
      <x:c r="C1400" s="9" t="n">
        <x:v>1.1854507</x:v>
      </x:c>
      <x:c r="D1400" s="3" t="n">
        <x:v>0</x:v>
      </x:c>
      <x:c r="E1400" s="3" t="n">
        <x:v>0</x:v>
      </x:c>
      <x:c r="F1400" s="3" t="n">
        <x:v>1</x:v>
      </x:c>
    </x:row>
    <x:row r="1401" ht="21" customHeight="1">
      <x:c r="A1401" s="3" t="n">
        <x:v>24</x:v>
      </x:c>
      <x:c r="B1401" s="3" t="n">
        <x:v>20</x:v>
      </x:c>
      <x:c r="C1401" s="9" t="n">
        <x:v>-1.23621765</x:v>
      </x:c>
      <x:c r="D1401" s="3" t="n">
        <x:v>0</x:v>
      </x:c>
      <x:c r="E1401" s="3" t="n">
        <x:v>0</x:v>
      </x:c>
      <x:c r="F1401" s="3" t="n">
        <x:v>1</x:v>
      </x:c>
    </x:row>
    <x:row r="1402" ht="21" customHeight="1">
      <x:c r="A1402" s="3" t="n">
        <x:v>24</x:v>
      </x:c>
      <x:c r="B1402" s="3" t="n">
        <x:v>21</x:v>
      </x:c>
      <x:c r="C1402" s="9" t="n">
        <x:v>-2.16160454</x:v>
      </x:c>
      <x:c r="D1402" s="3" t="n">
        <x:v>0</x:v>
      </x:c>
      <x:c r="E1402" s="3" t="n">
        <x:v>0</x:v>
      </x:c>
      <x:c r="F1402" s="3" t="n">
        <x:v>1</x:v>
      </x:c>
    </x:row>
    <x:row r="1403" ht="21" customHeight="1">
      <x:c r="A1403" s="3" t="n">
        <x:v>24</x:v>
      </x:c>
      <x:c r="B1403" s="3" t="n">
        <x:v>22</x:v>
      </x:c>
      <x:c r="C1403" s="9" t="n">
        <x:v>-0.53458347</x:v>
      </x:c>
      <x:c r="D1403" s="3" t="n">
        <x:v>0</x:v>
      </x:c>
      <x:c r="E1403" s="3" t="n">
        <x:v>0</x:v>
      </x:c>
      <x:c r="F1403" s="3" t="n">
        <x:v>1</x:v>
      </x:c>
    </x:row>
    <x:row r="1404" ht="21" customHeight="1">
      <x:c r="A1404" s="3" t="n">
        <x:v>24</x:v>
      </x:c>
      <x:c r="B1404" s="3" t="n">
        <x:v>23</x:v>
      </x:c>
      <x:c r="C1404" s="9" t="n">
        <x:v>-1.06415622</x:v>
      </x:c>
      <x:c r="D1404" s="3" t="n">
        <x:v>0</x:v>
      </x:c>
      <x:c r="E1404" s="3" t="n">
        <x:v>0</x:v>
      </x:c>
      <x:c r="F1404" s="3" t="n">
        <x:v>1</x:v>
      </x:c>
    </x:row>
    <x:row r="1405" ht="21" customHeight="1">
      <x:c r="A1405" s="3" t="n">
        <x:v>24</x:v>
      </x:c>
      <x:c r="B1405" s="3" t="n">
        <x:v>24</x:v>
      </x:c>
      <x:c r="C1405" s="9" t="n">
        <x:v>1.46781431</x:v>
      </x:c>
      <x:c r="D1405" s="3" t="n">
        <x:v>0</x:v>
      </x:c>
      <x:c r="E1405" s="3" t="n">
        <x:v>0</x:v>
      </x:c>
      <x:c r="F1405" s="3" t="n">
        <x:v>1</x:v>
      </x:c>
    </x:row>
    <x:row r="1406" ht="21" customHeight="1">
      <x:c r="A1406" s="3" t="n">
        <x:v>24</x:v>
      </x:c>
      <x:c r="B1406" s="3" t="n">
        <x:v>25</x:v>
      </x:c>
      <x:c r="C1406" s="9" t="n">
        <x:v>0.54019536</x:v>
      </x:c>
      <x:c r="D1406" s="3" t="n">
        <x:v>0</x:v>
      </x:c>
      <x:c r="E1406" s="3" t="n">
        <x:v>0</x:v>
      </x:c>
      <x:c r="F1406" s="3" t="n">
        <x:v>1</x:v>
      </x:c>
    </x:row>
    <x:row r="1407" ht="21" customHeight="1">
      <x:c r="A1407" s="3" t="n">
        <x:v>24</x:v>
      </x:c>
      <x:c r="B1407" s="3" t="n">
        <x:v>26</x:v>
      </x:c>
      <x:c r="C1407" s="9" t="n">
        <x:v>-0.78484049</x:v>
      </x:c>
      <x:c r="D1407" s="3" t="n">
        <x:v>0</x:v>
      </x:c>
      <x:c r="E1407" s="3" t="n">
        <x:v>0</x:v>
      </x:c>
      <x:c r="F1407" s="3" t="n">
        <x:v>1</x:v>
      </x:c>
    </x:row>
    <x:row r="1408" ht="21" customHeight="1">
      <x:c r="A1408" s="3" t="n">
        <x:v>24</x:v>
      </x:c>
      <x:c r="B1408" s="3" t="n">
        <x:v>27</x:v>
      </x:c>
      <x:c r="C1408" s="9" t="n">
        <x:v>0.60579631</x:v>
      </x:c>
      <x:c r="D1408" s="3" t="n">
        <x:v>0</x:v>
      </x:c>
      <x:c r="E1408" s="3" t="n">
        <x:v>0</x:v>
      </x:c>
      <x:c r="F1408" s="3" t="n">
        <x:v>1</x:v>
      </x:c>
    </x:row>
    <x:row r="1409" ht="21" customHeight="1">
      <x:c r="A1409" s="3" t="n">
        <x:v>24</x:v>
      </x:c>
      <x:c r="B1409" s="3" t="n">
        <x:v>28</x:v>
      </x:c>
      <x:c r="C1409" s="9" t="n">
        <x:v>-0.72078386</x:v>
      </x:c>
      <x:c r="D1409" s="3" t="n">
        <x:v>0</x:v>
      </x:c>
      <x:c r="E1409" s="3" t="n">
        <x:v>0</x:v>
      </x:c>
      <x:c r="F1409" s="3" t="n">
        <x:v>1</x:v>
      </x:c>
    </x:row>
    <x:row r="1410" ht="21" customHeight="1">
      <x:c r="A1410" s="3" t="n">
        <x:v>24</x:v>
      </x:c>
      <x:c r="B1410" s="3" t="n">
        <x:v>29</x:v>
      </x:c>
      <x:c r="C1410" s="9" t="n">
        <x:v>-1.05995686</x:v>
      </x:c>
      <x:c r="D1410" s="3" t="n">
        <x:v>0</x:v>
      </x:c>
      <x:c r="E1410" s="3" t="n">
        <x:v>0</x:v>
      </x:c>
      <x:c r="F1410" s="3" t="n">
        <x:v>1</x:v>
      </x:c>
    </x:row>
    <x:row r="1411" ht="21" customHeight="1">
      <x:c r="A1411" s="3" t="n">
        <x:v>24</x:v>
      </x:c>
      <x:c r="B1411" s="3" t="n">
        <x:v>30</x:v>
      </x:c>
      <x:c r="C1411" s="9" t="n">
        <x:v>-0.59775714</x:v>
      </x:c>
      <x:c r="D1411" s="3" t="n">
        <x:v>0</x:v>
      </x:c>
      <x:c r="E1411" s="3" t="n">
        <x:v>0</x:v>
      </x:c>
      <x:c r="F1411" s="3" t="n">
        <x:v>1</x:v>
      </x:c>
    </x:row>
    <x:row r="1412" ht="21" customHeight="1">
      <x:c r="A1412" s="3" t="n">
        <x:v>24</x:v>
      </x:c>
      <x:c r="B1412" s="3" t="n">
        <x:v>31</x:v>
      </x:c>
      <x:c r="C1412" s="9" t="n">
        <x:v>-0.88389857</x:v>
      </x:c>
      <x:c r="D1412" s="3" t="n">
        <x:v>0</x:v>
      </x:c>
      <x:c r="E1412" s="3" t="n">
        <x:v>0</x:v>
      </x:c>
      <x:c r="F1412" s="3" t="n">
        <x:v>1</x:v>
      </x:c>
    </x:row>
    <x:row r="1413" ht="21" customHeight="1">
      <x:c r="A1413" s="3" t="n">
        <x:v>24</x:v>
      </x:c>
      <x:c r="B1413" s="3" t="n">
        <x:v>32</x:v>
      </x:c>
      <x:c r="C1413" s="9" t="n">
        <x:v>-0.41605594</x:v>
      </x:c>
      <x:c r="D1413" s="3" t="n">
        <x:v>0</x:v>
      </x:c>
      <x:c r="E1413" s="3" t="n">
        <x:v>0</x:v>
      </x:c>
      <x:c r="F1413" s="3" t="n">
        <x:v>1</x:v>
      </x:c>
    </x:row>
    <x:row r="1414" ht="21" customHeight="1">
      <x:c r="A1414" s="3" t="n">
        <x:v>24</x:v>
      </x:c>
      <x:c r="B1414" s="3" t="n">
        <x:v>33</x:v>
      </x:c>
      <x:c r="C1414" s="9" t="n">
        <x:v>0.86567019</x:v>
      </x:c>
      <x:c r="D1414" s="3" t="n">
        <x:v>0</x:v>
      </x:c>
      <x:c r="E1414" s="3" t="n">
        <x:v>0</x:v>
      </x:c>
      <x:c r="F1414" s="3" t="n">
        <x:v>1</x:v>
      </x:c>
    </x:row>
    <x:row r="1415" ht="21" customHeight="1">
      <x:c r="A1415" s="3" t="n">
        <x:v>24</x:v>
      </x:c>
      <x:c r="B1415" s="3" t="n">
        <x:v>34</x:v>
      </x:c>
      <x:c r="C1415" s="9" t="n">
        <x:v>-1.1589621</x:v>
      </x:c>
      <x:c r="D1415" s="3" t="n">
        <x:v>0</x:v>
      </x:c>
      <x:c r="E1415" s="3" t="n">
        <x:v>0</x:v>
      </x:c>
      <x:c r="F1415" s="3" t="n">
        <x:v>1</x:v>
      </x:c>
    </x:row>
    <x:row r="1416" ht="21" customHeight="1">
      <x:c r="A1416" s="3" t="n">
        <x:v>24</x:v>
      </x:c>
      <x:c r="B1416" s="3" t="n">
        <x:v>35</x:v>
      </x:c>
      <x:c r="C1416" s="9" t="n">
        <x:v>-0.02957216</x:v>
      </x:c>
      <x:c r="D1416" s="3" t="n">
        <x:v>0</x:v>
      </x:c>
      <x:c r="E1416" s="3" t="n">
        <x:v>0</x:v>
      </x:c>
      <x:c r="F1416" s="3" t="n">
        <x:v>1</x:v>
      </x:c>
    </x:row>
    <x:row r="1417" ht="21" customHeight="1">
      <x:c r="A1417" s="3" t="n">
        <x:v>24</x:v>
      </x:c>
      <x:c r="B1417" s="3" t="n">
        <x:v>36</x:v>
      </x:c>
      <x:c r="C1417" s="9" t="n">
        <x:v>0.27715648</x:v>
      </x:c>
      <x:c r="D1417" s="3" t="n">
        <x:v>0</x:v>
      </x:c>
      <x:c r="E1417" s="3" t="n">
        <x:v>0</x:v>
      </x:c>
      <x:c r="F1417" s="3" t="n">
        <x:v>1</x:v>
      </x:c>
    </x:row>
    <x:row r="1418" ht="21" customHeight="1">
      <x:c r="A1418" s="3" t="n">
        <x:v>24</x:v>
      </x:c>
      <x:c r="B1418" s="3" t="n">
        <x:v>37</x:v>
      </x:c>
      <x:c r="C1418" s="9" t="n">
        <x:v>-0.14103644</x:v>
      </x:c>
      <x:c r="D1418" s="3" t="n">
        <x:v>0</x:v>
      </x:c>
      <x:c r="E1418" s="3" t="n">
        <x:v>0</x:v>
      </x:c>
      <x:c r="F1418" s="3" t="n">
        <x:v>1</x:v>
      </x:c>
    </x:row>
    <x:row r="1419" ht="21" customHeight="1">
      <x:c r="A1419" s="3" t="n">
        <x:v>24</x:v>
      </x:c>
      <x:c r="B1419" s="3" t="n">
        <x:v>38</x:v>
      </x:c>
      <x:c r="C1419" s="9" t="n">
        <x:v>2.65372196</x:v>
      </x:c>
      <x:c r="D1419" s="3" t="n">
        <x:v>0</x:v>
      </x:c>
      <x:c r="E1419" s="3" t="n">
        <x:v>0</x:v>
      </x:c>
      <x:c r="F1419" s="3" t="n">
        <x:v>1</x:v>
      </x:c>
    </x:row>
    <x:row r="1420" ht="21" customHeight="1">
      <x:c r="A1420" s="3" t="n">
        <x:v>24</x:v>
      </x:c>
      <x:c r="B1420" s="3" t="n">
        <x:v>39</x:v>
      </x:c>
      <x:c r="C1420" s="9" t="n">
        <x:v>-0.62609346</x:v>
      </x:c>
      <x:c r="D1420" s="3" t="n">
        <x:v>0</x:v>
      </x:c>
      <x:c r="E1420" s="3" t="n">
        <x:v>0</x:v>
      </x:c>
      <x:c r="F1420" s="3" t="n">
        <x:v>1</x:v>
      </x:c>
    </x:row>
    <x:row r="1421" ht="21" customHeight="1">
      <x:c r="A1421" s="3" t="n">
        <x:v>24</x:v>
      </x:c>
      <x:c r="B1421" s="3" t="n">
        <x:v>40</x:v>
      </x:c>
      <x:c r="C1421" s="9" t="n">
        <x:v>-0.6617695</x:v>
      </x:c>
      <x:c r="D1421" s="3" t="n">
        <x:v>0</x:v>
      </x:c>
      <x:c r="E1421" s="3" t="n">
        <x:v>0</x:v>
      </x:c>
      <x:c r="F1421" s="3" t="n">
        <x:v>1</x:v>
      </x:c>
    </x:row>
    <x:row r="1422" ht="21" customHeight="1">
      <x:c r="A1422" s="3" t="n">
        <x:v>24</x:v>
      </x:c>
      <x:c r="B1422" s="3" t="n">
        <x:v>41</x:v>
      </x:c>
      <x:c r="C1422" s="9" t="n">
        <x:v>0.6722925</x:v>
      </x:c>
      <x:c r="D1422" s="3" t="n">
        <x:v>0</x:v>
      </x:c>
      <x:c r="E1422" s="3" t="n">
        <x:v>0</x:v>
      </x:c>
      <x:c r="F1422" s="3" t="n">
        <x:v>1</x:v>
      </x:c>
    </x:row>
    <x:row r="1423" ht="21" customHeight="1">
      <x:c r="A1423" s="3" t="n">
        <x:v>24</x:v>
      </x:c>
      <x:c r="B1423" s="3" t="n">
        <x:v>42</x:v>
      </x:c>
      <x:c r="C1423" s="9" t="n">
        <x:v>-0.16562762</x:v>
      </x:c>
      <x:c r="D1423" s="3" t="n">
        <x:v>0</x:v>
      </x:c>
      <x:c r="E1423" s="3" t="n">
        <x:v>0</x:v>
      </x:c>
      <x:c r="F1423" s="3" t="n">
        <x:v>1</x:v>
      </x:c>
    </x:row>
    <x:row r="1424" ht="21" customHeight="1">
      <x:c r="A1424" s="3" t="n">
        <x:v>24</x:v>
      </x:c>
      <x:c r="B1424" s="3" t="n">
        <x:v>43</x:v>
      </x:c>
      <x:c r="C1424" s="9" t="n">
        <x:v>0.09367724</x:v>
      </x:c>
      <x:c r="D1424" s="3" t="n">
        <x:v>0</x:v>
      </x:c>
      <x:c r="E1424" s="3" t="n">
        <x:v>0</x:v>
      </x:c>
      <x:c r="F1424" s="3" t="n">
        <x:v>1</x:v>
      </x:c>
    </x:row>
    <x:row r="1425" ht="21" customHeight="1">
      <x:c r="A1425" s="3" t="n">
        <x:v>24</x:v>
      </x:c>
      <x:c r="B1425" s="3" t="n">
        <x:v>44</x:v>
      </x:c>
      <x:c r="C1425" s="9" t="n">
        <x:v>-1.61158693</x:v>
      </x:c>
      <x:c r="D1425" s="3" t="n">
        <x:v>0</x:v>
      </x:c>
      <x:c r="E1425" s="3" t="n">
        <x:v>0</x:v>
      </x:c>
      <x:c r="F1425" s="3" t="n">
        <x:v>1</x:v>
      </x:c>
    </x:row>
    <x:row r="1426" ht="21" customHeight="1">
      <x:c r="A1426" s="3" t="n">
        <x:v>24</x:v>
      </x:c>
      <x:c r="B1426" s="3" t="n">
        <x:v>45</x:v>
      </x:c>
      <x:c r="C1426" s="9" t="n">
        <x:v>-0.26976872</x:v>
      </x:c>
      <x:c r="D1426" s="3" t="n">
        <x:v>0</x:v>
      </x:c>
      <x:c r="E1426" s="3" t="n">
        <x:v>0</x:v>
      </x:c>
      <x:c r="F1426" s="3" t="n">
        <x:v>1</x:v>
      </x:c>
    </x:row>
    <x:row r="1427" ht="21" customHeight="1">
      <x:c r="A1427" s="3" t="n">
        <x:v>24</x:v>
      </x:c>
      <x:c r="B1427" s="3" t="n">
        <x:v>46</x:v>
      </x:c>
      <x:c r="C1427" s="9" t="n">
        <x:v>1.03066443</x:v>
      </x:c>
      <x:c r="D1427" s="3" t="n">
        <x:v>0</x:v>
      </x:c>
      <x:c r="E1427" s="3" t="n">
        <x:v>0</x:v>
      </x:c>
      <x:c r="F1427" s="3" t="n">
        <x:v>1</x:v>
      </x:c>
    </x:row>
    <x:row r="1428" ht="21" customHeight="1">
      <x:c r="A1428" s="3" t="n">
        <x:v>24</x:v>
      </x:c>
      <x:c r="B1428" s="3" t="n">
        <x:v>47</x:v>
      </x:c>
      <x:c r="C1428" s="9" t="n">
        <x:v>0.49959007</x:v>
      </x:c>
      <x:c r="D1428" s="3" t="n">
        <x:v>0</x:v>
      </x:c>
      <x:c r="E1428" s="3" t="n">
        <x:v>0</x:v>
      </x:c>
      <x:c r="F1428" s="3" t="n">
        <x:v>1</x:v>
      </x:c>
    </x:row>
    <x:row r="1429" ht="21" customHeight="1">
      <x:c r="A1429" s="3" t="n">
        <x:v>24</x:v>
      </x:c>
      <x:c r="B1429" s="3" t="n">
        <x:v>48</x:v>
      </x:c>
      <x:c r="C1429" s="9" t="n">
        <x:v>0.91998972</x:v>
      </x:c>
      <x:c r="D1429" s="3" t="n">
        <x:v>0</x:v>
      </x:c>
      <x:c r="E1429" s="3" t="n">
        <x:v>0</x:v>
      </x:c>
      <x:c r="F1429" s="3" t="n">
        <x:v>1</x:v>
      </x:c>
    </x:row>
    <x:row r="1430" ht="21" customHeight="1">
      <x:c r="A1430" s="3" t="n">
        <x:v>24</x:v>
      </x:c>
      <x:c r="B1430" s="3" t="n">
        <x:v>49</x:v>
      </x:c>
      <x:c r="C1430" s="9" t="n">
        <x:v>0.70129397</x:v>
      </x:c>
      <x:c r="D1430" s="3" t="n">
        <x:v>0</x:v>
      </x:c>
      <x:c r="E1430" s="3" t="n">
        <x:v>0</x:v>
      </x:c>
      <x:c r="F1430" s="3" t="n">
        <x:v>1</x:v>
      </x:c>
    </x:row>
    <x:row r="1431" ht="21" customHeight="1">
      <x:c r="A1431" s="3" t="n">
        <x:v>24</x:v>
      </x:c>
      <x:c r="B1431" s="3" t="n">
        <x:v>50</x:v>
      </x:c>
      <x:c r="C1431" s="9" t="n">
        <x:v>-0.03302825</x:v>
      </x:c>
      <x:c r="D1431" s="3" t="n">
        <x:v>0</x:v>
      </x:c>
      <x:c r="E1431" s="3" t="n">
        <x:v>0</x:v>
      </x:c>
      <x:c r="F1431" s="3" t="n">
        <x:v>1</x:v>
      </x:c>
    </x:row>
    <x:row r="1432" ht="21" customHeight="1">
      <x:c r="A1432" s="3" t="n">
        <x:v>24</x:v>
      </x:c>
      <x:c r="B1432" s="3" t="n">
        <x:v>51</x:v>
      </x:c>
      <x:c r="C1432" s="9" t="n">
        <x:v>0.06342991</x:v>
      </x:c>
      <x:c r="D1432" s="3" t="n">
        <x:v>0</x:v>
      </x:c>
      <x:c r="E1432" s="3" t="n">
        <x:v>0</x:v>
      </x:c>
      <x:c r="F1432" s="3" t="n">
        <x:v>1</x:v>
      </x:c>
    </x:row>
    <x:row r="1433" ht="21" customHeight="1">
      <x:c r="A1433" s="3" t="n">
        <x:v>24</x:v>
      </x:c>
      <x:c r="B1433" s="3" t="n">
        <x:v>52</x:v>
      </x:c>
      <x:c r="C1433" s="9" t="n">
        <x:v>-1.1557128</x:v>
      </x:c>
      <x:c r="D1433" s="3" t="n">
        <x:v>0</x:v>
      </x:c>
      <x:c r="E1433" s="3" t="n">
        <x:v>0</x:v>
      </x:c>
      <x:c r="F1433" s="3" t="n">
        <x:v>1</x:v>
      </x:c>
    </x:row>
    <x:row r="1434" ht="21" customHeight="1">
      <x:c r="A1434" s="3" t="n">
        <x:v>24</x:v>
      </x:c>
      <x:c r="B1434" s="3" t="n">
        <x:v>53</x:v>
      </x:c>
      <x:c r="C1434" s="9" t="n">
        <x:v>-1.5172862</x:v>
      </x:c>
      <x:c r="D1434" s="3" t="n">
        <x:v>0</x:v>
      </x:c>
      <x:c r="E1434" s="3" t="n">
        <x:v>0</x:v>
      </x:c>
      <x:c r="F1434" s="3" t="n">
        <x:v>1</x:v>
      </x:c>
    </x:row>
    <x:row r="1435" ht="21" customHeight="1">
      <x:c r="A1435" s="3" t="n">
        <x:v>24</x:v>
      </x:c>
      <x:c r="B1435" s="3" t="n">
        <x:v>54</x:v>
      </x:c>
      <x:c r="C1435" s="9" t="n">
        <x:v>0.03416606</x:v>
      </x:c>
      <x:c r="D1435" s="3" t="n">
        <x:v>0</x:v>
      </x:c>
      <x:c r="E1435" s="3" t="n">
        <x:v>0</x:v>
      </x:c>
      <x:c r="F1435" s="3" t="n">
        <x:v>1</x:v>
      </x:c>
    </x:row>
    <x:row r="1436" ht="21" customHeight="1">
      <x:c r="A1436" s="3" t="n">
        <x:v>24</x:v>
      </x:c>
      <x:c r="B1436" s="3" t="n">
        <x:v>55</x:v>
      </x:c>
      <x:c r="C1436" s="9" t="n">
        <x:v>1.91112524</x:v>
      </x:c>
      <x:c r="D1436" s="3" t="n">
        <x:v>0</x:v>
      </x:c>
      <x:c r="E1436" s="3" t="n">
        <x:v>0</x:v>
      </x:c>
      <x:c r="F1436" s="3" t="n">
        <x:v>1</x:v>
      </x:c>
    </x:row>
    <x:row r="1437" ht="21" customHeight="1">
      <x:c r="A1437" s="3" t="n">
        <x:v>24</x:v>
      </x:c>
      <x:c r="B1437" s="3" t="n">
        <x:v>56</x:v>
      </x:c>
      <x:c r="C1437" s="9" t="n">
        <x:v>0.11896128</x:v>
      </x:c>
      <x:c r="D1437" s="3" t="n">
        <x:v>0</x:v>
      </x:c>
      <x:c r="E1437" s="3" t="n">
        <x:v>0</x:v>
      </x:c>
      <x:c r="F1437" s="3" t="n">
        <x:v>1</x:v>
      </x:c>
    </x:row>
    <x:row r="1438" ht="21" customHeight="1">
      <x:c r="A1438" s="3" t="n">
        <x:v>24</x:v>
      </x:c>
      <x:c r="B1438" s="3" t="n">
        <x:v>57</x:v>
      </x:c>
      <x:c r="C1438" s="9" t="n">
        <x:v>1.38679575</x:v>
      </x:c>
      <x:c r="D1438" s="3" t="n">
        <x:v>0</x:v>
      </x:c>
      <x:c r="E1438" s="3" t="n">
        <x:v>0</x:v>
      </x:c>
      <x:c r="F1438" s="3" t="n">
        <x:v>1</x:v>
      </x:c>
    </x:row>
    <x:row r="1439" ht="21" customHeight="1">
      <x:c r="A1439" s="3" t="n">
        <x:v>24</x:v>
      </x:c>
      <x:c r="B1439" s="3" t="n">
        <x:v>58</x:v>
      </x:c>
      <x:c r="C1439" s="9" t="n">
        <x:v>0.1186229</x:v>
      </x:c>
      <x:c r="D1439" s="3" t="n">
        <x:v>0</x:v>
      </x:c>
      <x:c r="E1439" s="3" t="n">
        <x:v>0</x:v>
      </x:c>
      <x:c r="F1439" s="3" t="n">
        <x:v>1</x:v>
      </x:c>
    </x:row>
    <x:row r="1440" ht="21" customHeight="1">
      <x:c r="A1440" s="3" t="n">
        <x:v>24</x:v>
      </x:c>
      <x:c r="B1440" s="3" t="n">
        <x:v>59</x:v>
      </x:c>
      <x:c r="C1440" s="9" t="n">
        <x:v>-1.99597755</x:v>
      </x:c>
      <x:c r="D1440" s="3" t="n">
        <x:v>0</x:v>
      </x:c>
      <x:c r="E1440" s="3" t="n">
        <x:v>0</x:v>
      </x:c>
      <x:c r="F1440" s="3" t="n">
        <x:v>1</x:v>
      </x:c>
    </x:row>
    <x:row r="1441" ht="21" customHeight="1">
      <x:c r="A1441" s="3" t="n">
        <x:v>24</x:v>
      </x:c>
      <x:c r="B1441" s="3" t="n">
        <x:v>60</x:v>
      </x:c>
      <x:c r="C1441" s="9" t="n">
        <x:v>-1.44499118</x:v>
      </x:c>
      <x:c r="D1441" s="3" t="n">
        <x:v>0</x:v>
      </x:c>
      <x:c r="E1441" s="3" t="n">
        <x:v>0</x:v>
      </x:c>
      <x:c r="F1441" s="3" t="n">
        <x:v>1</x:v>
      </x:c>
    </x:row>
    <x:row r="1442" ht="21" customHeight="1">
      <x:c r="A1442" s="3" t="n">
        <x:v>25</x:v>
      </x:c>
      <x:c r="B1442" s="3" t="n">
        <x:v>1</x:v>
      </x:c>
      <x:c r="C1442" s="9" t="n">
        <x:v>2.56912816</x:v>
      </x:c>
      <x:c r="D1442" s="3" t="n">
        <x:v>0</x:v>
      </x:c>
      <x:c r="E1442" s="3" t="n">
        <x:v>0</x:v>
      </x:c>
      <x:c r="F1442" s="3" t="n">
        <x:v>1</x:v>
      </x:c>
    </x:row>
    <x:row r="1443" ht="21" customHeight="1">
      <x:c r="A1443" s="3" t="n">
        <x:v>25</x:v>
      </x:c>
      <x:c r="B1443" s="3" t="n">
        <x:v>2</x:v>
      </x:c>
      <x:c r="C1443" s="9" t="n">
        <x:v>1.67994885</x:v>
      </x:c>
      <x:c r="D1443" s="3" t="n">
        <x:v>0</x:v>
      </x:c>
      <x:c r="E1443" s="3" t="n">
        <x:v>0</x:v>
      </x:c>
      <x:c r="F1443" s="3" t="n">
        <x:v>1</x:v>
      </x:c>
    </x:row>
    <x:row r="1444" ht="21" customHeight="1">
      <x:c r="A1444" s="3" t="n">
        <x:v>25</x:v>
      </x:c>
      <x:c r="B1444" s="3" t="n">
        <x:v>3</x:v>
      </x:c>
      <x:c r="C1444" s="9" t="n">
        <x:v>0.2173071</x:v>
      </x:c>
      <x:c r="D1444" s="3" t="n">
        <x:v>0</x:v>
      </x:c>
      <x:c r="E1444" s="3" t="n">
        <x:v>0</x:v>
      </x:c>
      <x:c r="F1444" s="3" t="n">
        <x:v>1</x:v>
      </x:c>
    </x:row>
    <x:row r="1445" ht="21" customHeight="1">
      <x:c r="A1445" s="3" t="n">
        <x:v>25</x:v>
      </x:c>
      <x:c r="B1445" s="3" t="n">
        <x:v>4</x:v>
      </x:c>
      <x:c r="C1445" s="9" t="n">
        <x:v>-1.4084699</x:v>
      </x:c>
      <x:c r="D1445" s="3" t="n">
        <x:v>0</x:v>
      </x:c>
      <x:c r="E1445" s="3" t="n">
        <x:v>0</x:v>
      </x:c>
      <x:c r="F1445" s="3" t="n">
        <x:v>1</x:v>
      </x:c>
    </x:row>
    <x:row r="1446" ht="21" customHeight="1">
      <x:c r="A1446" s="3" t="n">
        <x:v>25</x:v>
      </x:c>
      <x:c r="B1446" s="3" t="n">
        <x:v>5</x:v>
      </x:c>
      <x:c r="C1446" s="9" t="n">
        <x:v>-0.16243256</x:v>
      </x:c>
      <x:c r="D1446" s="3" t="n">
        <x:v>0</x:v>
      </x:c>
      <x:c r="E1446" s="3" t="n">
        <x:v>0</x:v>
      </x:c>
      <x:c r="F1446" s="3" t="n">
        <x:v>1</x:v>
      </x:c>
    </x:row>
    <x:row r="1447" ht="21" customHeight="1">
      <x:c r="A1447" s="3" t="n">
        <x:v>25</x:v>
      </x:c>
      <x:c r="B1447" s="3" t="n">
        <x:v>6</x:v>
      </x:c>
      <x:c r="C1447" s="9" t="n">
        <x:v>0.53583227</x:v>
      </x:c>
      <x:c r="D1447" s="3" t="n">
        <x:v>0</x:v>
      </x:c>
      <x:c r="E1447" s="3" t="n">
        <x:v>0</x:v>
      </x:c>
      <x:c r="F1447" s="3" t="n">
        <x:v>1</x:v>
      </x:c>
    </x:row>
    <x:row r="1448" ht="21" customHeight="1">
      <x:c r="A1448" s="3" t="n">
        <x:v>25</x:v>
      </x:c>
      <x:c r="B1448" s="3" t="n">
        <x:v>7</x:v>
      </x:c>
      <x:c r="C1448" s="9" t="n">
        <x:v>-0.50016935</x:v>
      </x:c>
      <x:c r="D1448" s="3" t="n">
        <x:v>0</x:v>
      </x:c>
      <x:c r="E1448" s="3" t="n">
        <x:v>0</x:v>
      </x:c>
      <x:c r="F1448" s="3" t="n">
        <x:v>1</x:v>
      </x:c>
    </x:row>
    <x:row r="1449" ht="21" customHeight="1">
      <x:c r="A1449" s="3" t="n">
        <x:v>25</x:v>
      </x:c>
      <x:c r="B1449" s="3" t="n">
        <x:v>8</x:v>
      </x:c>
      <x:c r="C1449" s="9" t="n">
        <x:v>1.21780199</x:v>
      </x:c>
      <x:c r="D1449" s="3" t="n">
        <x:v>0</x:v>
      </x:c>
      <x:c r="E1449" s="3" t="n">
        <x:v>0</x:v>
      </x:c>
      <x:c r="F1449" s="3" t="n">
        <x:v>1</x:v>
      </x:c>
    </x:row>
    <x:row r="1450" ht="21" customHeight="1">
      <x:c r="A1450" s="3" t="n">
        <x:v>25</x:v>
      </x:c>
      <x:c r="B1450" s="3" t="n">
        <x:v>9</x:v>
      </x:c>
      <x:c r="C1450" s="9" t="n">
        <x:v>1.34597031</x:v>
      </x:c>
      <x:c r="D1450" s="3" t="n">
        <x:v>0</x:v>
      </x:c>
      <x:c r="E1450" s="3" t="n">
        <x:v>0</x:v>
      </x:c>
      <x:c r="F1450" s="3" t="n">
        <x:v>1</x:v>
      </x:c>
    </x:row>
    <x:row r="1451" ht="21" customHeight="1">
      <x:c r="A1451" s="3" t="n">
        <x:v>25</x:v>
      </x:c>
      <x:c r="B1451" s="3" t="n">
        <x:v>10</x:v>
      </x:c>
      <x:c r="C1451" s="9" t="n">
        <x:v>1.90861847</x:v>
      </x:c>
      <x:c r="D1451" s="3" t="n">
        <x:v>0</x:v>
      </x:c>
      <x:c r="E1451" s="3" t="n">
        <x:v>0</x:v>
      </x:c>
      <x:c r="F1451" s="3" t="n">
        <x:v>1</x:v>
      </x:c>
    </x:row>
    <x:row r="1452" ht="21" customHeight="1">
      <x:c r="A1452" s="3" t="n">
        <x:v>25</x:v>
      </x:c>
      <x:c r="B1452" s="3" t="n">
        <x:v>11</x:v>
      </x:c>
      <x:c r="C1452" s="9" t="n">
        <x:v>-0.50434071</x:v>
      </x:c>
      <x:c r="D1452" s="3" t="n">
        <x:v>0</x:v>
      </x:c>
      <x:c r="E1452" s="3" t="n">
        <x:v>0</x:v>
      </x:c>
      <x:c r="F1452" s="3" t="n">
        <x:v>1</x:v>
      </x:c>
    </x:row>
    <x:row r="1453" ht="21" customHeight="1">
      <x:c r="A1453" s="3" t="n">
        <x:v>25</x:v>
      </x:c>
      <x:c r="B1453" s="3" t="n">
        <x:v>12</x:v>
      </x:c>
      <x:c r="C1453" s="9" t="n">
        <x:v>0.57283027</x:v>
      </x:c>
      <x:c r="D1453" s="3" t="n">
        <x:v>0</x:v>
      </x:c>
      <x:c r="E1453" s="3" t="n">
        <x:v>0</x:v>
      </x:c>
      <x:c r="F1453" s="3" t="n">
        <x:v>1</x:v>
      </x:c>
    </x:row>
    <x:row r="1454" ht="21" customHeight="1">
      <x:c r="A1454" s="3" t="n">
        <x:v>25</x:v>
      </x:c>
      <x:c r="B1454" s="3" t="n">
        <x:v>13</x:v>
      </x:c>
      <x:c r="C1454" s="9" t="n">
        <x:v>0.12702034</x:v>
      </x:c>
      <x:c r="D1454" s="3" t="n">
        <x:v>0</x:v>
      </x:c>
      <x:c r="E1454" s="3" t="n">
        <x:v>0</x:v>
      </x:c>
      <x:c r="F1454" s="3" t="n">
        <x:v>1</x:v>
      </x:c>
    </x:row>
    <x:row r="1455" ht="21" customHeight="1">
      <x:c r="A1455" s="3" t="n">
        <x:v>25</x:v>
      </x:c>
      <x:c r="B1455" s="3" t="n">
        <x:v>14</x:v>
      </x:c>
      <x:c r="C1455" s="9" t="n">
        <x:v>-0.88647381</x:v>
      </x:c>
      <x:c r="D1455" s="3" t="n">
        <x:v>0</x:v>
      </x:c>
      <x:c r="E1455" s="3" t="n">
        <x:v>0</x:v>
      </x:c>
      <x:c r="F1455" s="3" t="n">
        <x:v>1</x:v>
      </x:c>
    </x:row>
    <x:row r="1456" ht="21" customHeight="1">
      <x:c r="A1456" s="3" t="n">
        <x:v>25</x:v>
      </x:c>
      <x:c r="B1456" s="3" t="n">
        <x:v>15</x:v>
      </x:c>
      <x:c r="C1456" s="9" t="n">
        <x:v>-0.05731321</x:v>
      </x:c>
      <x:c r="D1456" s="3" t="n">
        <x:v>0</x:v>
      </x:c>
      <x:c r="E1456" s="3" t="n">
        <x:v>0</x:v>
      </x:c>
      <x:c r="F1456" s="3" t="n">
        <x:v>1</x:v>
      </x:c>
    </x:row>
    <x:row r="1457" ht="21" customHeight="1">
      <x:c r="A1457" s="3" t="n">
        <x:v>25</x:v>
      </x:c>
      <x:c r="B1457" s="3" t="n">
        <x:v>16</x:v>
      </x:c>
      <x:c r="C1457" s="9" t="n">
        <x:v>0.14302468</x:v>
      </x:c>
      <x:c r="D1457" s="3" t="n">
        <x:v>0</x:v>
      </x:c>
      <x:c r="E1457" s="3" t="n">
        <x:v>0</x:v>
      </x:c>
      <x:c r="F1457" s="3" t="n">
        <x:v>1</x:v>
      </x:c>
    </x:row>
    <x:row r="1458" ht="21" customHeight="1">
      <x:c r="A1458" s="3" t="n">
        <x:v>25</x:v>
      </x:c>
      <x:c r="B1458" s="3" t="n">
        <x:v>17</x:v>
      </x:c>
      <x:c r="C1458" s="9" t="n">
        <x:v>-0.2843563</x:v>
      </x:c>
      <x:c r="D1458" s="3" t="n">
        <x:v>0</x:v>
      </x:c>
      <x:c r="E1458" s="3" t="n">
        <x:v>0</x:v>
      </x:c>
      <x:c r="F1458" s="3" t="n">
        <x:v>1</x:v>
      </x:c>
    </x:row>
    <x:row r="1459" ht="21" customHeight="1">
      <x:c r="A1459" s="3" t="n">
        <x:v>25</x:v>
      </x:c>
      <x:c r="B1459" s="3" t="n">
        <x:v>18</x:v>
      </x:c>
      <x:c r="C1459" s="9" t="n">
        <x:v>1.16014371</x:v>
      </x:c>
      <x:c r="D1459" s="3" t="n">
        <x:v>0</x:v>
      </x:c>
      <x:c r="E1459" s="3" t="n">
        <x:v>0</x:v>
      </x:c>
      <x:c r="F1459" s="3" t="n">
        <x:v>1</x:v>
      </x:c>
    </x:row>
    <x:row r="1460" ht="21" customHeight="1">
      <x:c r="A1460" s="3" t="n">
        <x:v>25</x:v>
      </x:c>
      <x:c r="B1460" s="3" t="n">
        <x:v>19</x:v>
      </x:c>
      <x:c r="C1460" s="9" t="n">
        <x:v>0.05598681</x:v>
      </x:c>
      <x:c r="D1460" s="3" t="n">
        <x:v>0</x:v>
      </x:c>
      <x:c r="E1460" s="3" t="n">
        <x:v>0</x:v>
      </x:c>
      <x:c r="F1460" s="3" t="n">
        <x:v>1</x:v>
      </x:c>
    </x:row>
    <x:row r="1461" ht="21" customHeight="1">
      <x:c r="A1461" s="3" t="n">
        <x:v>25</x:v>
      </x:c>
      <x:c r="B1461" s="3" t="n">
        <x:v>20</x:v>
      </x:c>
      <x:c r="C1461" s="9" t="n">
        <x:v>-1.48080696</x:v>
      </x:c>
      <x:c r="D1461" s="3" t="n">
        <x:v>0</x:v>
      </x:c>
      <x:c r="E1461" s="3" t="n">
        <x:v>0</x:v>
      </x:c>
      <x:c r="F1461" s="3" t="n">
        <x:v>1</x:v>
      </x:c>
    </x:row>
    <x:row r="1462" ht="21" customHeight="1">
      <x:c r="A1462" s="3" t="n">
        <x:v>25</x:v>
      </x:c>
      <x:c r="B1462" s="3" t="n">
        <x:v>21</x:v>
      </x:c>
      <x:c r="C1462" s="9" t="n">
        <x:v>-0.78969448</x:v>
      </x:c>
      <x:c r="D1462" s="3" t="n">
        <x:v>0</x:v>
      </x:c>
      <x:c r="E1462" s="3" t="n">
        <x:v>0</x:v>
      </x:c>
      <x:c r="F1462" s="3" t="n">
        <x:v>1</x:v>
      </x:c>
    </x:row>
    <x:row r="1463" ht="21" customHeight="1">
      <x:c r="A1463" s="3" t="n">
        <x:v>25</x:v>
      </x:c>
      <x:c r="B1463" s="3" t="n">
        <x:v>22</x:v>
      </x:c>
      <x:c r="C1463" s="9" t="n">
        <x:v>0.04250116</x:v>
      </x:c>
      <x:c r="D1463" s="3" t="n">
        <x:v>0</x:v>
      </x:c>
      <x:c r="E1463" s="3" t="n">
        <x:v>0</x:v>
      </x:c>
      <x:c r="F1463" s="3" t="n">
        <x:v>1</x:v>
      </x:c>
    </x:row>
    <x:row r="1464" ht="21" customHeight="1">
      <x:c r="A1464" s="3" t="n">
        <x:v>25</x:v>
      </x:c>
      <x:c r="B1464" s="3" t="n">
        <x:v>23</x:v>
      </x:c>
      <x:c r="C1464" s="9" t="n">
        <x:v>1.41469859</x:v>
      </x:c>
      <x:c r="D1464" s="3" t="n">
        <x:v>0</x:v>
      </x:c>
      <x:c r="E1464" s="3" t="n">
        <x:v>0</x:v>
      </x:c>
      <x:c r="F1464" s="3" t="n">
        <x:v>1</x:v>
      </x:c>
    </x:row>
    <x:row r="1465" ht="21" customHeight="1">
      <x:c r="A1465" s="3" t="n">
        <x:v>25</x:v>
      </x:c>
      <x:c r="B1465" s="3" t="n">
        <x:v>24</x:v>
      </x:c>
      <x:c r="C1465" s="9" t="n">
        <x:v>1.01132808</x:v>
      </x:c>
      <x:c r="D1465" s="3" t="n">
        <x:v>0</x:v>
      </x:c>
      <x:c r="E1465" s="3" t="n">
        <x:v>0</x:v>
      </x:c>
      <x:c r="F1465" s="3" t="n">
        <x:v>1</x:v>
      </x:c>
    </x:row>
    <x:row r="1466" ht="21" customHeight="1">
      <x:c r="A1466" s="3" t="n">
        <x:v>25</x:v>
      </x:c>
      <x:c r="B1466" s="3" t="n">
        <x:v>25</x:v>
      </x:c>
      <x:c r="C1466" s="9" t="n">
        <x:v>0.24106151</x:v>
      </x:c>
      <x:c r="D1466" s="3" t="n">
        <x:v>0</x:v>
      </x:c>
      <x:c r="E1466" s="3" t="n">
        <x:v>0</x:v>
      </x:c>
      <x:c r="F1466" s="3" t="n">
        <x:v>1</x:v>
      </x:c>
    </x:row>
    <x:row r="1467" ht="21" customHeight="1">
      <x:c r="A1467" s="3" t="n">
        <x:v>25</x:v>
      </x:c>
      <x:c r="B1467" s="3" t="n">
        <x:v>26</x:v>
      </x:c>
      <x:c r="C1467" s="9" t="n">
        <x:v>1.34091549</x:v>
      </x:c>
      <x:c r="D1467" s="3" t="n">
        <x:v>0</x:v>
      </x:c>
      <x:c r="E1467" s="3" t="n">
        <x:v>0</x:v>
      </x:c>
      <x:c r="F1467" s="3" t="n">
        <x:v>1</x:v>
      </x:c>
    </x:row>
    <x:row r="1468" ht="21" customHeight="1">
      <x:c r="A1468" s="3" t="n">
        <x:v>25</x:v>
      </x:c>
      <x:c r="B1468" s="3" t="n">
        <x:v>27</x:v>
      </x:c>
      <x:c r="C1468" s="9" t="n">
        <x:v>0.91541565</x:v>
      </x:c>
      <x:c r="D1468" s="3" t="n">
        <x:v>0</x:v>
      </x:c>
      <x:c r="E1468" s="3" t="n">
        <x:v>0</x:v>
      </x:c>
      <x:c r="F1468" s="3" t="n">
        <x:v>1</x:v>
      </x:c>
    </x:row>
    <x:row r="1469" ht="21" customHeight="1">
      <x:c r="A1469" s="3" t="n">
        <x:v>25</x:v>
      </x:c>
      <x:c r="B1469" s="3" t="n">
        <x:v>28</x:v>
      </x:c>
      <x:c r="C1469" s="9" t="n">
        <x:v>-1.65084048</x:v>
      </x:c>
      <x:c r="D1469" s="3" t="n">
        <x:v>0</x:v>
      </x:c>
      <x:c r="E1469" s="3" t="n">
        <x:v>0</x:v>
      </x:c>
      <x:c r="F1469" s="3" t="n">
        <x:v>1</x:v>
      </x:c>
    </x:row>
    <x:row r="1470" ht="21" customHeight="1">
      <x:c r="A1470" s="3" t="n">
        <x:v>25</x:v>
      </x:c>
      <x:c r="B1470" s="3" t="n">
        <x:v>29</x:v>
      </x:c>
      <x:c r="C1470" s="9" t="n">
        <x:v>-0.04166975</x:v>
      </x:c>
      <x:c r="D1470" s="3" t="n">
        <x:v>0</x:v>
      </x:c>
      <x:c r="E1470" s="3" t="n">
        <x:v>0</x:v>
      </x:c>
      <x:c r="F1470" s="3" t="n">
        <x:v>1</x:v>
      </x:c>
    </x:row>
    <x:row r="1471" ht="21" customHeight="1">
      <x:c r="A1471" s="3" t="n">
        <x:v>25</x:v>
      </x:c>
      <x:c r="B1471" s="3" t="n">
        <x:v>30</x:v>
      </x:c>
      <x:c r="C1471" s="9" t="n">
        <x:v>-0.0232245</x:v>
      </x:c>
      <x:c r="D1471" s="3" t="n">
        <x:v>0</x:v>
      </x:c>
      <x:c r="E1471" s="3" t="n">
        <x:v>0</x:v>
      </x:c>
      <x:c r="F1471" s="3" t="n">
        <x:v>1</x:v>
      </x:c>
    </x:row>
    <x:row r="1472" ht="21" customHeight="1">
      <x:c r="A1472" s="3" t="n">
        <x:v>25</x:v>
      </x:c>
      <x:c r="B1472" s="3" t="n">
        <x:v>31</x:v>
      </x:c>
      <x:c r="C1472" s="9" t="n">
        <x:v>0.87730578</x:v>
      </x:c>
      <x:c r="D1472" s="3" t="n">
        <x:v>0</x:v>
      </x:c>
      <x:c r="E1472" s="3" t="n">
        <x:v>0</x:v>
      </x:c>
      <x:c r="F1472" s="3" t="n">
        <x:v>1</x:v>
      </x:c>
    </x:row>
    <x:row r="1473" ht="21" customHeight="1">
      <x:c r="A1473" s="3" t="n">
        <x:v>25</x:v>
      </x:c>
      <x:c r="B1473" s="3" t="n">
        <x:v>32</x:v>
      </x:c>
      <x:c r="C1473" s="9" t="n">
        <x:v>0.06030514</x:v>
      </x:c>
      <x:c r="D1473" s="3" t="n">
        <x:v>0</x:v>
      </x:c>
      <x:c r="E1473" s="3" t="n">
        <x:v>0</x:v>
      </x:c>
      <x:c r="F1473" s="3" t="n">
        <x:v>1</x:v>
      </x:c>
    </x:row>
    <x:row r="1474" ht="21" customHeight="1">
      <x:c r="A1474" s="3" t="n">
        <x:v>25</x:v>
      </x:c>
      <x:c r="B1474" s="3" t="n">
        <x:v>33</x:v>
      </x:c>
      <x:c r="C1474" s="9" t="n">
        <x:v>-1.01548503</x:v>
      </x:c>
      <x:c r="D1474" s="3" t="n">
        <x:v>0</x:v>
      </x:c>
      <x:c r="E1474" s="3" t="n">
        <x:v>0</x:v>
      </x:c>
      <x:c r="F1474" s="3" t="n">
        <x:v>1</x:v>
      </x:c>
    </x:row>
    <x:row r="1475" ht="21" customHeight="1">
      <x:c r="A1475" s="3" t="n">
        <x:v>25</x:v>
      </x:c>
      <x:c r="B1475" s="3" t="n">
        <x:v>34</x:v>
      </x:c>
      <x:c r="C1475" s="9" t="n">
        <x:v>0.91601176</x:v>
      </x:c>
      <x:c r="D1475" s="3" t="n">
        <x:v>0</x:v>
      </x:c>
      <x:c r="E1475" s="3" t="n">
        <x:v>0</x:v>
      </x:c>
      <x:c r="F1475" s="3" t="n">
        <x:v>1</x:v>
      </x:c>
    </x:row>
    <x:row r="1476" ht="21" customHeight="1">
      <x:c r="A1476" s="3" t="n">
        <x:v>25</x:v>
      </x:c>
      <x:c r="B1476" s="3" t="n">
        <x:v>35</x:v>
      </x:c>
      <x:c r="C1476" s="9" t="n">
        <x:v>0.24409926</x:v>
      </x:c>
      <x:c r="D1476" s="3" t="n">
        <x:v>0</x:v>
      </x:c>
      <x:c r="E1476" s="3" t="n">
        <x:v>0</x:v>
      </x:c>
      <x:c r="F1476" s="3" t="n">
        <x:v>1</x:v>
      </x:c>
    </x:row>
    <x:row r="1477" ht="21" customHeight="1">
      <x:c r="A1477" s="3" t="n">
        <x:v>25</x:v>
      </x:c>
      <x:c r="B1477" s="3" t="n">
        <x:v>36</x:v>
      </x:c>
      <x:c r="C1477" s="9" t="n">
        <x:v>0.21420635</x:v>
      </x:c>
      <x:c r="D1477" s="3" t="n">
        <x:v>0</x:v>
      </x:c>
      <x:c r="E1477" s="3" t="n">
        <x:v>0</x:v>
      </x:c>
      <x:c r="F1477" s="3" t="n">
        <x:v>1</x:v>
      </x:c>
    </x:row>
    <x:row r="1478" ht="21" customHeight="1">
      <x:c r="A1478" s="3" t="n">
        <x:v>25</x:v>
      </x:c>
      <x:c r="B1478" s="3" t="n">
        <x:v>37</x:v>
      </x:c>
      <x:c r="C1478" s="9" t="n">
        <x:v>-0.09722943</x:v>
      </x:c>
      <x:c r="D1478" s="3" t="n">
        <x:v>0</x:v>
      </x:c>
      <x:c r="E1478" s="3" t="n">
        <x:v>0</x:v>
      </x:c>
      <x:c r="F1478" s="3" t="n">
        <x:v>1</x:v>
      </x:c>
    </x:row>
    <x:row r="1479" ht="21" customHeight="1">
      <x:c r="A1479" s="3" t="n">
        <x:v>25</x:v>
      </x:c>
      <x:c r="B1479" s="3" t="n">
        <x:v>38</x:v>
      </x:c>
      <x:c r="C1479" s="9" t="n">
        <x:v>-1.31404614</x:v>
      </x:c>
      <x:c r="D1479" s="3" t="n">
        <x:v>0</x:v>
      </x:c>
      <x:c r="E1479" s="3" t="n">
        <x:v>0</x:v>
      </x:c>
      <x:c r="F1479" s="3" t="n">
        <x:v>1</x:v>
      </x:c>
    </x:row>
    <x:row r="1480" ht="21" customHeight="1">
      <x:c r="A1480" s="3" t="n">
        <x:v>25</x:v>
      </x:c>
      <x:c r="B1480" s="3" t="n">
        <x:v>39</x:v>
      </x:c>
      <x:c r="C1480" s="9" t="n">
        <x:v>0.688389</x:v>
      </x:c>
      <x:c r="D1480" s="3" t="n">
        <x:v>0</x:v>
      </x:c>
      <x:c r="E1480" s="3" t="n">
        <x:v>0</x:v>
      </x:c>
      <x:c r="F1480" s="3" t="n">
        <x:v>1</x:v>
      </x:c>
    </x:row>
    <x:row r="1481" ht="21" customHeight="1">
      <x:c r="A1481" s="3" t="n">
        <x:v>25</x:v>
      </x:c>
      <x:c r="B1481" s="3" t="n">
        <x:v>40</x:v>
      </x:c>
      <x:c r="C1481" s="9" t="n">
        <x:v>0.16398057</x:v>
      </x:c>
      <x:c r="D1481" s="3" t="n">
        <x:v>0</x:v>
      </x:c>
      <x:c r="E1481" s="3" t="n">
        <x:v>0</x:v>
      </x:c>
      <x:c r="F1481" s="3" t="n">
        <x:v>1</x:v>
      </x:c>
    </x:row>
    <x:row r="1482" ht="21" customHeight="1">
      <x:c r="A1482" s="3" t="n">
        <x:v>25</x:v>
      </x:c>
      <x:c r="B1482" s="3" t="n">
        <x:v>41</x:v>
      </x:c>
      <x:c r="C1482" s="9" t="n">
        <x:v>-0.71139833</x:v>
      </x:c>
      <x:c r="D1482" s="3" t="n">
        <x:v>0</x:v>
      </x:c>
      <x:c r="E1482" s="3" t="n">
        <x:v>0</x:v>
      </x:c>
      <x:c r="F1482" s="3" t="n">
        <x:v>1</x:v>
      </x:c>
    </x:row>
    <x:row r="1483" ht="21" customHeight="1">
      <x:c r="A1483" s="3" t="n">
        <x:v>25</x:v>
      </x:c>
      <x:c r="B1483" s="3" t="n">
        <x:v>42</x:v>
      </x:c>
      <x:c r="C1483" s="9" t="n">
        <x:v>-2.02166786</x:v>
      </x:c>
      <x:c r="D1483" s="3" t="n">
        <x:v>0</x:v>
      </x:c>
      <x:c r="E1483" s="3" t="n">
        <x:v>0</x:v>
      </x:c>
      <x:c r="F1483" s="3" t="n">
        <x:v>1</x:v>
      </x:c>
    </x:row>
    <x:row r="1484" ht="21" customHeight="1">
      <x:c r="A1484" s="3" t="n">
        <x:v>25</x:v>
      </x:c>
      <x:c r="B1484" s="3" t="n">
        <x:v>43</x:v>
      </x:c>
      <x:c r="C1484" s="9" t="n">
        <x:v>-1.72671787</x:v>
      </x:c>
      <x:c r="D1484" s="3" t="n">
        <x:v>0</x:v>
      </x:c>
      <x:c r="E1484" s="3" t="n">
        <x:v>0</x:v>
      </x:c>
      <x:c r="F1484" s="3" t="n">
        <x:v>1</x:v>
      </x:c>
    </x:row>
    <x:row r="1485" ht="21" customHeight="1">
      <x:c r="A1485" s="3" t="n">
        <x:v>25</x:v>
      </x:c>
      <x:c r="B1485" s="3" t="n">
        <x:v>44</x:v>
      </x:c>
      <x:c r="C1485" s="9" t="n">
        <x:v>0.79005074</x:v>
      </x:c>
      <x:c r="D1485" s="3" t="n">
        <x:v>0</x:v>
      </x:c>
      <x:c r="E1485" s="3" t="n">
        <x:v>0</x:v>
      </x:c>
      <x:c r="F1485" s="3" t="n">
        <x:v>1</x:v>
      </x:c>
    </x:row>
    <x:row r="1486" ht="21" customHeight="1">
      <x:c r="A1486" s="3" t="n">
        <x:v>25</x:v>
      </x:c>
      <x:c r="B1486" s="3" t="n">
        <x:v>45</x:v>
      </x:c>
      <x:c r="C1486" s="9" t="n">
        <x:v>0.79656673</x:v>
      </x:c>
      <x:c r="D1486" s="3" t="n">
        <x:v>0</x:v>
      </x:c>
      <x:c r="E1486" s="3" t="n">
        <x:v>0</x:v>
      </x:c>
      <x:c r="F1486" s="3" t="n">
        <x:v>1</x:v>
      </x:c>
    </x:row>
    <x:row r="1487" ht="21" customHeight="1">
      <x:c r="A1487" s="3" t="n">
        <x:v>25</x:v>
      </x:c>
      <x:c r="B1487" s="3" t="n">
        <x:v>46</x:v>
      </x:c>
      <x:c r="C1487" s="9" t="n">
        <x:v>1.14892565</x:v>
      </x:c>
      <x:c r="D1487" s="3" t="n">
        <x:v>0</x:v>
      </x:c>
      <x:c r="E1487" s="3" t="n">
        <x:v>0</x:v>
      </x:c>
      <x:c r="F1487" s="3" t="n">
        <x:v>1</x:v>
      </x:c>
    </x:row>
    <x:row r="1488" ht="21" customHeight="1">
      <x:c r="A1488" s="3" t="n">
        <x:v>25</x:v>
      </x:c>
      <x:c r="B1488" s="3" t="n">
        <x:v>47</x:v>
      </x:c>
      <x:c r="C1488" s="9" t="n">
        <x:v>0.93129236</x:v>
      </x:c>
      <x:c r="D1488" s="3" t="n">
        <x:v>0</x:v>
      </x:c>
      <x:c r="E1488" s="3" t="n">
        <x:v>0</x:v>
      </x:c>
      <x:c r="F1488" s="3" t="n">
        <x:v>1</x:v>
      </x:c>
    </x:row>
    <x:row r="1489" ht="21" customHeight="1">
      <x:c r="A1489" s="3" t="n">
        <x:v>25</x:v>
      </x:c>
      <x:c r="B1489" s="3" t="n">
        <x:v>48</x:v>
      </x:c>
      <x:c r="C1489" s="9" t="n">
        <x:v>-1.96677729</x:v>
      </x:c>
      <x:c r="D1489" s="3" t="n">
        <x:v>0</x:v>
      </x:c>
      <x:c r="E1489" s="3" t="n">
        <x:v>0</x:v>
      </x:c>
      <x:c r="F1489" s="3" t="n">
        <x:v>1</x:v>
      </x:c>
    </x:row>
    <x:row r="1490" ht="21" customHeight="1">
      <x:c r="A1490" s="3" t="n">
        <x:v>25</x:v>
      </x:c>
      <x:c r="B1490" s="3" t="n">
        <x:v>49</x:v>
      </x:c>
      <x:c r="C1490" s="9" t="n">
        <x:v>1.48629939</x:v>
      </x:c>
      <x:c r="D1490" s="3" t="n">
        <x:v>0</x:v>
      </x:c>
      <x:c r="E1490" s="3" t="n">
        <x:v>0</x:v>
      </x:c>
      <x:c r="F1490" s="3" t="n">
        <x:v>1</x:v>
      </x:c>
    </x:row>
    <x:row r="1491" ht="21" customHeight="1">
      <x:c r="A1491" s="3" t="n">
        <x:v>25</x:v>
      </x:c>
      <x:c r="B1491" s="3" t="n">
        <x:v>50</x:v>
      </x:c>
      <x:c r="C1491" s="9" t="n">
        <x:v>0.1703554</x:v>
      </x:c>
      <x:c r="D1491" s="3" t="n">
        <x:v>0</x:v>
      </x:c>
      <x:c r="E1491" s="3" t="n">
        <x:v>0</x:v>
      </x:c>
      <x:c r="F1491" s="3" t="n">
        <x:v>1</x:v>
      </x:c>
    </x:row>
    <x:row r="1492" ht="21" customHeight="1">
      <x:c r="A1492" s="3" t="n">
        <x:v>25</x:v>
      </x:c>
      <x:c r="B1492" s="3" t="n">
        <x:v>51</x:v>
      </x:c>
      <x:c r="C1492" s="9" t="n">
        <x:v>-0.43947063</x:v>
      </x:c>
      <x:c r="D1492" s="3" t="n">
        <x:v>0</x:v>
      </x:c>
      <x:c r="E1492" s="3" t="n">
        <x:v>0</x:v>
      </x:c>
      <x:c r="F1492" s="3" t="n">
        <x:v>1</x:v>
      </x:c>
    </x:row>
    <x:row r="1493" ht="21" customHeight="1">
      <x:c r="A1493" s="3" t="n">
        <x:v>25</x:v>
      </x:c>
      <x:c r="B1493" s="3" t="n">
        <x:v>52</x:v>
      </x:c>
      <x:c r="C1493" s="9" t="n">
        <x:v>-0.21126804</x:v>
      </x:c>
      <x:c r="D1493" s="3" t="n">
        <x:v>0</x:v>
      </x:c>
      <x:c r="E1493" s="3" t="n">
        <x:v>0</x:v>
      </x:c>
      <x:c r="F1493" s="3" t="n">
        <x:v>1</x:v>
      </x:c>
    </x:row>
    <x:row r="1494" ht="21" customHeight="1">
      <x:c r="A1494" s="3" t="n">
        <x:v>25</x:v>
      </x:c>
      <x:c r="B1494" s="3" t="n">
        <x:v>53</x:v>
      </x:c>
      <x:c r="C1494" s="9" t="n">
        <x:v>-0.46439592</x:v>
      </x:c>
      <x:c r="D1494" s="3" t="n">
        <x:v>0</x:v>
      </x:c>
      <x:c r="E1494" s="3" t="n">
        <x:v>0</x:v>
      </x:c>
      <x:c r="F1494" s="3" t="n">
        <x:v>1</x:v>
      </x:c>
    </x:row>
    <x:row r="1495" ht="21" customHeight="1">
      <x:c r="A1495" s="3" t="n">
        <x:v>25</x:v>
      </x:c>
      <x:c r="B1495" s="3" t="n">
        <x:v>54</x:v>
      </x:c>
      <x:c r="C1495" s="9" t="n">
        <x:v>-0.35054597</x:v>
      </x:c>
      <x:c r="D1495" s="3" t="n">
        <x:v>0</x:v>
      </x:c>
      <x:c r="E1495" s="3" t="n">
        <x:v>0</x:v>
      </x:c>
      <x:c r="F1495" s="3" t="n">
        <x:v>1</x:v>
      </x:c>
    </x:row>
    <x:row r="1496" ht="21" customHeight="1">
      <x:c r="A1496" s="3" t="n">
        <x:v>25</x:v>
      </x:c>
      <x:c r="B1496" s="3" t="n">
        <x:v>55</x:v>
      </x:c>
      <x:c r="C1496" s="9" t="n">
        <x:v>0.55257943</x:v>
      </x:c>
      <x:c r="D1496" s="3" t="n">
        <x:v>0</x:v>
      </x:c>
      <x:c r="E1496" s="3" t="n">
        <x:v>0</x:v>
      </x:c>
      <x:c r="F1496" s="3" t="n">
        <x:v>1</x:v>
      </x:c>
    </x:row>
    <x:row r="1497" ht="21" customHeight="1">
      <x:c r="A1497" s="3" t="n">
        <x:v>25</x:v>
      </x:c>
      <x:c r="B1497" s="3" t="n">
        <x:v>56</x:v>
      </x:c>
      <x:c r="C1497" s="9" t="n">
        <x:v>0.56966413</x:v>
      </x:c>
      <x:c r="D1497" s="3" t="n">
        <x:v>0</x:v>
      </x:c>
      <x:c r="E1497" s="3" t="n">
        <x:v>0</x:v>
      </x:c>
      <x:c r="F1497" s="3" t="n">
        <x:v>1</x:v>
      </x:c>
    </x:row>
    <x:row r="1498" ht="21" customHeight="1">
      <x:c r="A1498" s="3" t="n">
        <x:v>25</x:v>
      </x:c>
      <x:c r="B1498" s="3" t="n">
        <x:v>57</x:v>
      </x:c>
      <x:c r="C1498" s="9" t="n">
        <x:v>-2.48272356</x:v>
      </x:c>
      <x:c r="D1498" s="3" t="n">
        <x:v>0</x:v>
      </x:c>
      <x:c r="E1498" s="3" t="n">
        <x:v>0</x:v>
      </x:c>
      <x:c r="F1498" s="3" t="n">
        <x:v>1</x:v>
      </x:c>
    </x:row>
    <x:row r="1499" ht="21" customHeight="1">
      <x:c r="A1499" s="3" t="n">
        <x:v>25</x:v>
      </x:c>
      <x:c r="B1499" s="3" t="n">
        <x:v>58</x:v>
      </x:c>
      <x:c r="C1499" s="9" t="n">
        <x:v>0.94964116</x:v>
      </x:c>
      <x:c r="D1499" s="3" t="n">
        <x:v>0</x:v>
      </x:c>
      <x:c r="E1499" s="3" t="n">
        <x:v>0</x:v>
      </x:c>
      <x:c r="F1499" s="3" t="n">
        <x:v>1</x:v>
      </x:c>
    </x:row>
    <x:row r="1500" ht="21" customHeight="1">
      <x:c r="A1500" s="3" t="n">
        <x:v>25</x:v>
      </x:c>
      <x:c r="B1500" s="3" t="n">
        <x:v>59</x:v>
      </x:c>
      <x:c r="C1500" s="9" t="n">
        <x:v>0.75141883</x:v>
      </x:c>
      <x:c r="D1500" s="3" t="n">
        <x:v>0</x:v>
      </x:c>
      <x:c r="E1500" s="3" t="n">
        <x:v>0</x:v>
      </x:c>
      <x:c r="F1500" s="3" t="n">
        <x:v>1</x:v>
      </x:c>
    </x:row>
    <x:row r="1501" ht="21" customHeight="1">
      <x:c r="A1501" s="3" t="n">
        <x:v>25</x:v>
      </x:c>
      <x:c r="B1501" s="3" t="n">
        <x:v>60</x:v>
      </x:c>
      <x:c r="C1501" s="9" t="n">
        <x:v>-1.58034626</x:v>
      </x:c>
      <x:c r="D1501" s="3" t="n">
        <x:v>0</x:v>
      </x:c>
      <x:c r="E1501" s="3" t="n">
        <x:v>0</x:v>
      </x:c>
      <x:c r="F1501" s="3" t="n">
        <x:v>1</x:v>
      </x:c>
    </x:row>
    <x:row r="1502" ht="21" customHeight="1">
      <x:c r="A1502" s="3" t="n">
        <x:v>26</x:v>
      </x:c>
      <x:c r="B1502" s="3" t="n">
        <x:v>1</x:v>
      </x:c>
      <x:c r="C1502" s="9" t="n">
        <x:v>0.6798119</x:v>
      </x:c>
      <x:c r="D1502" s="3" t="n">
        <x:v>0</x:v>
      </x:c>
      <x:c r="E1502" s="3" t="n">
        <x:v>0</x:v>
      </x:c>
      <x:c r="F1502" s="3" t="n">
        <x:v>1</x:v>
      </x:c>
    </x:row>
    <x:row r="1503" ht="21" customHeight="1">
      <x:c r="A1503" s="3" t="n">
        <x:v>26</x:v>
      </x:c>
      <x:c r="B1503" s="3" t="n">
        <x:v>2</x:v>
      </x:c>
      <x:c r="C1503" s="9" t="n">
        <x:v>-0.74043904</x:v>
      </x:c>
      <x:c r="D1503" s="3" t="n">
        <x:v>0</x:v>
      </x:c>
      <x:c r="E1503" s="3" t="n">
        <x:v>0</x:v>
      </x:c>
      <x:c r="F1503" s="3" t="n">
        <x:v>1</x:v>
      </x:c>
    </x:row>
    <x:row r="1504" ht="21" customHeight="1">
      <x:c r="A1504" s="3" t="n">
        <x:v>26</x:v>
      </x:c>
      <x:c r="B1504" s="3" t="n">
        <x:v>3</x:v>
      </x:c>
      <x:c r="C1504" s="9" t="n">
        <x:v>0.77861865</x:v>
      </x:c>
      <x:c r="D1504" s="3" t="n">
        <x:v>0</x:v>
      </x:c>
      <x:c r="E1504" s="3" t="n">
        <x:v>0</x:v>
      </x:c>
      <x:c r="F1504" s="3" t="n">
        <x:v>1</x:v>
      </x:c>
    </x:row>
    <x:row r="1505" ht="21" customHeight="1">
      <x:c r="A1505" s="3" t="n">
        <x:v>26</x:v>
      </x:c>
      <x:c r="B1505" s="3" t="n">
        <x:v>4</x:v>
      </x:c>
      <x:c r="C1505" s="9" t="n">
        <x:v>0.22256139</x:v>
      </x:c>
      <x:c r="D1505" s="3" t="n">
        <x:v>0</x:v>
      </x:c>
      <x:c r="E1505" s="3" t="n">
        <x:v>0</x:v>
      </x:c>
      <x:c r="F1505" s="3" t="n">
        <x:v>1</x:v>
      </x:c>
    </x:row>
    <x:row r="1506" ht="21" customHeight="1">
      <x:c r="A1506" s="3" t="n">
        <x:v>26</x:v>
      </x:c>
      <x:c r="B1506" s="3" t="n">
        <x:v>5</x:v>
      </x:c>
      <x:c r="C1506" s="9" t="n">
        <x:v>-1.09694322</x:v>
      </x:c>
      <x:c r="D1506" s="3" t="n">
        <x:v>0</x:v>
      </x:c>
      <x:c r="E1506" s="3" t="n">
        <x:v>0</x:v>
      </x:c>
      <x:c r="F1506" s="3" t="n">
        <x:v>1</x:v>
      </x:c>
    </x:row>
    <x:row r="1507" ht="21" customHeight="1">
      <x:c r="A1507" s="3" t="n">
        <x:v>26</x:v>
      </x:c>
      <x:c r="B1507" s="3" t="n">
        <x:v>6</x:v>
      </x:c>
      <x:c r="C1507" s="9" t="n">
        <x:v>-0.19259769</x:v>
      </x:c>
      <x:c r="D1507" s="3" t="n">
        <x:v>0</x:v>
      </x:c>
      <x:c r="E1507" s="3" t="n">
        <x:v>0</x:v>
      </x:c>
      <x:c r="F1507" s="3" t="n">
        <x:v>1</x:v>
      </x:c>
    </x:row>
    <x:row r="1508" ht="21" customHeight="1">
      <x:c r="A1508" s="3" t="n">
        <x:v>26</x:v>
      </x:c>
      <x:c r="B1508" s="3" t="n">
        <x:v>7</x:v>
      </x:c>
      <x:c r="C1508" s="9" t="n">
        <x:v>-0.39064322</x:v>
      </x:c>
      <x:c r="D1508" s="3" t="n">
        <x:v>0</x:v>
      </x:c>
      <x:c r="E1508" s="3" t="n">
        <x:v>0</x:v>
      </x:c>
      <x:c r="F1508" s="3" t="n">
        <x:v>1</x:v>
      </x:c>
    </x:row>
    <x:row r="1509" ht="21" customHeight="1">
      <x:c r="A1509" s="3" t="n">
        <x:v>26</x:v>
      </x:c>
      <x:c r="B1509" s="3" t="n">
        <x:v>8</x:v>
      </x:c>
      <x:c r="C1509" s="9" t="n">
        <x:v>-1.28556873</x:v>
      </x:c>
      <x:c r="D1509" s="3" t="n">
        <x:v>0</x:v>
      </x:c>
      <x:c r="E1509" s="3" t="n">
        <x:v>0</x:v>
      </x:c>
      <x:c r="F1509" s="3" t="n">
        <x:v>1</x:v>
      </x:c>
    </x:row>
    <x:row r="1510" ht="21" customHeight="1">
      <x:c r="A1510" s="3" t="n">
        <x:v>26</x:v>
      </x:c>
      <x:c r="B1510" s="3" t="n">
        <x:v>9</x:v>
      </x:c>
      <x:c r="C1510" s="9" t="n">
        <x:v>-0.77559776</x:v>
      </x:c>
      <x:c r="D1510" s="3" t="n">
        <x:v>0</x:v>
      </x:c>
      <x:c r="E1510" s="3" t="n">
        <x:v>0</x:v>
      </x:c>
      <x:c r="F1510" s="3" t="n">
        <x:v>1</x:v>
      </x:c>
    </x:row>
    <x:row r="1511" ht="21" customHeight="1">
      <x:c r="A1511" s="3" t="n">
        <x:v>26</x:v>
      </x:c>
      <x:c r="B1511" s="3" t="n">
        <x:v>10</x:v>
      </x:c>
      <x:c r="C1511" s="9" t="n">
        <x:v>0.1247999</x:v>
      </x:c>
      <x:c r="D1511" s="3" t="n">
        <x:v>0</x:v>
      </x:c>
      <x:c r="E1511" s="3" t="n">
        <x:v>0</x:v>
      </x:c>
      <x:c r="F1511" s="3" t="n">
        <x:v>1</x:v>
      </x:c>
    </x:row>
    <x:row r="1512" ht="21" customHeight="1">
      <x:c r="A1512" s="3" t="n">
        <x:v>26</x:v>
      </x:c>
      <x:c r="B1512" s="3" t="n">
        <x:v>11</x:v>
      </x:c>
      <x:c r="C1512" s="9" t="n">
        <x:v>0.48295459</x:v>
      </x:c>
      <x:c r="D1512" s="3" t="n">
        <x:v>0</x:v>
      </x:c>
      <x:c r="E1512" s="3" t="n">
        <x:v>0</x:v>
      </x:c>
      <x:c r="F1512" s="3" t="n">
        <x:v>1</x:v>
      </x:c>
    </x:row>
    <x:row r="1513" ht="21" customHeight="1">
      <x:c r="A1513" s="3" t="n">
        <x:v>26</x:v>
      </x:c>
      <x:c r="B1513" s="3" t="n">
        <x:v>12</x:v>
      </x:c>
      <x:c r="C1513" s="9" t="n">
        <x:v>0.33275762</x:v>
      </x:c>
      <x:c r="D1513" s="3" t="n">
        <x:v>0</x:v>
      </x:c>
      <x:c r="E1513" s="3" t="n">
        <x:v>0</x:v>
      </x:c>
      <x:c r="F1513" s="3" t="n">
        <x:v>1</x:v>
      </x:c>
    </x:row>
    <x:row r="1514" ht="21" customHeight="1">
      <x:c r="A1514" s="3" t="n">
        <x:v>26</x:v>
      </x:c>
      <x:c r="B1514" s="3" t="n">
        <x:v>13</x:v>
      </x:c>
      <x:c r="C1514" s="9" t="n">
        <x:v>0.62944166</x:v>
      </x:c>
      <x:c r="D1514" s="3" t="n">
        <x:v>0</x:v>
      </x:c>
      <x:c r="E1514" s="3" t="n">
        <x:v>0</x:v>
      </x:c>
      <x:c r="F1514" s="3" t="n">
        <x:v>1</x:v>
      </x:c>
    </x:row>
    <x:row r="1515" ht="21" customHeight="1">
      <x:c r="A1515" s="3" t="n">
        <x:v>26</x:v>
      </x:c>
      <x:c r="B1515" s="3" t="n">
        <x:v>14</x:v>
      </x:c>
      <x:c r="C1515" s="9" t="n">
        <x:v>-0.92802476</x:v>
      </x:c>
      <x:c r="D1515" s="3" t="n">
        <x:v>0</x:v>
      </x:c>
      <x:c r="E1515" s="3" t="n">
        <x:v>0</x:v>
      </x:c>
      <x:c r="F1515" s="3" t="n">
        <x:v>1</x:v>
      </x:c>
    </x:row>
    <x:row r="1516" ht="21" customHeight="1">
      <x:c r="A1516" s="3" t="n">
        <x:v>26</x:v>
      </x:c>
      <x:c r="B1516" s="3" t="n">
        <x:v>15</x:v>
      </x:c>
      <x:c r="C1516" s="9" t="n">
        <x:v>-0.24006328</x:v>
      </x:c>
      <x:c r="D1516" s="3" t="n">
        <x:v>0</x:v>
      </x:c>
      <x:c r="E1516" s="3" t="n">
        <x:v>0</x:v>
      </x:c>
      <x:c r="F1516" s="3" t="n">
        <x:v>1</x:v>
      </x:c>
    </x:row>
    <x:row r="1517" ht="21" customHeight="1">
      <x:c r="A1517" s="3" t="n">
        <x:v>26</x:v>
      </x:c>
      <x:c r="B1517" s="3" t="n">
        <x:v>16</x:v>
      </x:c>
      <x:c r="C1517" s="9" t="n">
        <x:v>3.17170906</x:v>
      </x:c>
      <x:c r="D1517" s="3" t="n">
        <x:v>0</x:v>
      </x:c>
      <x:c r="E1517" s="3" t="n">
        <x:v>0</x:v>
      </x:c>
      <x:c r="F1517" s="3" t="n">
        <x:v>1</x:v>
      </x:c>
    </x:row>
    <x:row r="1518" ht="21" customHeight="1">
      <x:c r="A1518" s="3" t="n">
        <x:v>26</x:v>
      </x:c>
      <x:c r="B1518" s="3" t="n">
        <x:v>17</x:v>
      </x:c>
      <x:c r="C1518" s="9" t="n">
        <x:v>-2.7994596</x:v>
      </x:c>
      <x:c r="D1518" s="3" t="n">
        <x:v>0</x:v>
      </x:c>
      <x:c r="E1518" s="3" t="n">
        <x:v>0</x:v>
      </x:c>
      <x:c r="F1518" s="3" t="n">
        <x:v>1</x:v>
      </x:c>
    </x:row>
    <x:row r="1519" ht="21" customHeight="1">
      <x:c r="A1519" s="3" t="n">
        <x:v>26</x:v>
      </x:c>
      <x:c r="B1519" s="3" t="n">
        <x:v>18</x:v>
      </x:c>
      <x:c r="C1519" s="9" t="n">
        <x:v>0.8661052</x:v>
      </x:c>
      <x:c r="D1519" s="3" t="n">
        <x:v>0</x:v>
      </x:c>
      <x:c r="E1519" s="3" t="n">
        <x:v>0</x:v>
      </x:c>
      <x:c r="F1519" s="3" t="n">
        <x:v>1</x:v>
      </x:c>
    </x:row>
    <x:row r="1520" ht="21" customHeight="1">
      <x:c r="A1520" s="3" t="n">
        <x:v>26</x:v>
      </x:c>
      <x:c r="B1520" s="3" t="n">
        <x:v>19</x:v>
      </x:c>
      <x:c r="C1520" s="9" t="n">
        <x:v>0.10538831</x:v>
      </x:c>
      <x:c r="D1520" s="3" t="n">
        <x:v>0</x:v>
      </x:c>
      <x:c r="E1520" s="3" t="n">
        <x:v>0</x:v>
      </x:c>
      <x:c r="F1520" s="3" t="n">
        <x:v>1</x:v>
      </x:c>
    </x:row>
    <x:row r="1521" ht="21" customHeight="1">
      <x:c r="A1521" s="3" t="n">
        <x:v>26</x:v>
      </x:c>
      <x:c r="B1521" s="3" t="n">
        <x:v>20</x:v>
      </x:c>
      <x:c r="C1521" s="9" t="n">
        <x:v>-1.42118569</x:v>
      </x:c>
      <x:c r="D1521" s="3" t="n">
        <x:v>0</x:v>
      </x:c>
      <x:c r="E1521" s="3" t="n">
        <x:v>0</x:v>
      </x:c>
      <x:c r="F1521" s="3" t="n">
        <x:v>1</x:v>
      </x:c>
    </x:row>
    <x:row r="1522" ht="21" customHeight="1">
      <x:c r="A1522" s="3" t="n">
        <x:v>26</x:v>
      </x:c>
      <x:c r="B1522" s="3" t="n">
        <x:v>21</x:v>
      </x:c>
      <x:c r="C1522" s="9" t="n">
        <x:v>0.08894392</x:v>
      </x:c>
      <x:c r="D1522" s="3" t="n">
        <x:v>0</x:v>
      </x:c>
      <x:c r="E1522" s="3" t="n">
        <x:v>0</x:v>
      </x:c>
      <x:c r="F1522" s="3" t="n">
        <x:v>1</x:v>
      </x:c>
    </x:row>
    <x:row r="1523" ht="21" customHeight="1">
      <x:c r="A1523" s="3" t="n">
        <x:v>26</x:v>
      </x:c>
      <x:c r="B1523" s="3" t="n">
        <x:v>22</x:v>
      </x:c>
      <x:c r="C1523" s="9" t="n">
        <x:v>-1.49124416</x:v>
      </x:c>
      <x:c r="D1523" s="3" t="n">
        <x:v>0</x:v>
      </x:c>
      <x:c r="E1523" s="3" t="n">
        <x:v>0</x:v>
      </x:c>
      <x:c r="F1523" s="3" t="n">
        <x:v>1</x:v>
      </x:c>
    </x:row>
    <x:row r="1524" ht="21" customHeight="1">
      <x:c r="A1524" s="3" t="n">
        <x:v>26</x:v>
      </x:c>
      <x:c r="B1524" s="3" t="n">
        <x:v>23</x:v>
      </x:c>
      <x:c r="C1524" s="9" t="n">
        <x:v>0.23280017</x:v>
      </x:c>
      <x:c r="D1524" s="3" t="n">
        <x:v>0</x:v>
      </x:c>
      <x:c r="E1524" s="3" t="n">
        <x:v>0</x:v>
      </x:c>
      <x:c r="F1524" s="3" t="n">
        <x:v>1</x:v>
      </x:c>
    </x:row>
    <x:row r="1525" ht="21" customHeight="1">
      <x:c r="A1525" s="3" t="n">
        <x:v>26</x:v>
      </x:c>
      <x:c r="B1525" s="3" t="n">
        <x:v>24</x:v>
      </x:c>
      <x:c r="C1525" s="9" t="n">
        <x:v>0.04242718</x:v>
      </x:c>
      <x:c r="D1525" s="3" t="n">
        <x:v>0</x:v>
      </x:c>
      <x:c r="E1525" s="3" t="n">
        <x:v>0</x:v>
      </x:c>
      <x:c r="F1525" s="3" t="n">
        <x:v>1</x:v>
      </x:c>
    </x:row>
    <x:row r="1526" ht="21" customHeight="1">
      <x:c r="A1526" s="3" t="n">
        <x:v>26</x:v>
      </x:c>
      <x:c r="B1526" s="3" t="n">
        <x:v>25</x:v>
      </x:c>
      <x:c r="C1526" s="9" t="n">
        <x:v>-0.11416341</x:v>
      </x:c>
      <x:c r="D1526" s="3" t="n">
        <x:v>0</x:v>
      </x:c>
      <x:c r="E1526" s="3" t="n">
        <x:v>0</x:v>
      </x:c>
      <x:c r="F1526" s="3" t="n">
        <x:v>1</x:v>
      </x:c>
    </x:row>
    <x:row r="1527" ht="21" customHeight="1">
      <x:c r="A1527" s="3" t="n">
        <x:v>26</x:v>
      </x:c>
      <x:c r="B1527" s="3" t="n">
        <x:v>26</x:v>
      </x:c>
      <x:c r="C1527" s="9" t="n">
        <x:v>-1.12424472</x:v>
      </x:c>
      <x:c r="D1527" s="3" t="n">
        <x:v>0</x:v>
      </x:c>
      <x:c r="E1527" s="3" t="n">
        <x:v>0</x:v>
      </x:c>
      <x:c r="F1527" s="3" t="n">
        <x:v>1</x:v>
      </x:c>
    </x:row>
    <x:row r="1528" ht="21" customHeight="1">
      <x:c r="A1528" s="3" t="n">
        <x:v>26</x:v>
      </x:c>
      <x:c r="B1528" s="3" t="n">
        <x:v>27</x:v>
      </x:c>
      <x:c r="C1528" s="9" t="n">
        <x:v>-1.65106558</x:v>
      </x:c>
      <x:c r="D1528" s="3" t="n">
        <x:v>0</x:v>
      </x:c>
      <x:c r="E1528" s="3" t="n">
        <x:v>0</x:v>
      </x:c>
      <x:c r="F1528" s="3" t="n">
        <x:v>1</x:v>
      </x:c>
    </x:row>
    <x:row r="1529" ht="21" customHeight="1">
      <x:c r="A1529" s="3" t="n">
        <x:v>26</x:v>
      </x:c>
      <x:c r="B1529" s="3" t="n">
        <x:v>28</x:v>
      </x:c>
      <x:c r="C1529" s="9" t="n">
        <x:v>-0.8624342</x:v>
      </x:c>
      <x:c r="D1529" s="3" t="n">
        <x:v>0</x:v>
      </x:c>
      <x:c r="E1529" s="3" t="n">
        <x:v>0</x:v>
      </x:c>
      <x:c r="F1529" s="3" t="n">
        <x:v>1</x:v>
      </x:c>
    </x:row>
    <x:row r="1530" ht="21" customHeight="1">
      <x:c r="A1530" s="3" t="n">
        <x:v>26</x:v>
      </x:c>
      <x:c r="B1530" s="3" t="n">
        <x:v>29</x:v>
      </x:c>
      <x:c r="C1530" s="9" t="n">
        <x:v>-1.3551683</x:v>
      </x:c>
      <x:c r="D1530" s="3" t="n">
        <x:v>0</x:v>
      </x:c>
      <x:c r="E1530" s="3" t="n">
        <x:v>0</x:v>
      </x:c>
      <x:c r="F1530" s="3" t="n">
        <x:v>1</x:v>
      </x:c>
    </x:row>
    <x:row r="1531" ht="21" customHeight="1">
      <x:c r="A1531" s="3" t="n">
        <x:v>26</x:v>
      </x:c>
      <x:c r="B1531" s="3" t="n">
        <x:v>30</x:v>
      </x:c>
      <x:c r="C1531" s="9" t="n">
        <x:v>1.55364356</x:v>
      </x:c>
      <x:c r="D1531" s="3" t="n">
        <x:v>0</x:v>
      </x:c>
      <x:c r="E1531" s="3" t="n">
        <x:v>0</x:v>
      </x:c>
      <x:c r="F1531" s="3" t="n">
        <x:v>1</x:v>
      </x:c>
    </x:row>
    <x:row r="1532" ht="21" customHeight="1">
      <x:c r="A1532" s="3" t="n">
        <x:v>26</x:v>
      </x:c>
      <x:c r="B1532" s="3" t="n">
        <x:v>31</x:v>
      </x:c>
      <x:c r="C1532" s="9" t="n">
        <x:v>-0.78431055</x:v>
      </x:c>
      <x:c r="D1532" s="3" t="n">
        <x:v>0</x:v>
      </x:c>
      <x:c r="E1532" s="3" t="n">
        <x:v>0</x:v>
      </x:c>
      <x:c r="F1532" s="3" t="n">
        <x:v>1</x:v>
      </x:c>
    </x:row>
    <x:row r="1533" ht="21" customHeight="1">
      <x:c r="A1533" s="3" t="n">
        <x:v>26</x:v>
      </x:c>
      <x:c r="B1533" s="3" t="n">
        <x:v>32</x:v>
      </x:c>
      <x:c r="C1533" s="9" t="n">
        <x:v>0.55746996</x:v>
      </x:c>
      <x:c r="D1533" s="3" t="n">
        <x:v>0</x:v>
      </x:c>
      <x:c r="E1533" s="3" t="n">
        <x:v>0</x:v>
      </x:c>
      <x:c r="F1533" s="3" t="n">
        <x:v>1</x:v>
      </x:c>
    </x:row>
    <x:row r="1534" ht="21" customHeight="1">
      <x:c r="A1534" s="3" t="n">
        <x:v>26</x:v>
      </x:c>
      <x:c r="B1534" s="3" t="n">
        <x:v>33</x:v>
      </x:c>
      <x:c r="C1534" s="9" t="n">
        <x:v>0.3764319</x:v>
      </x:c>
      <x:c r="D1534" s="3" t="n">
        <x:v>0</x:v>
      </x:c>
      <x:c r="E1534" s="3" t="n">
        <x:v>0</x:v>
      </x:c>
      <x:c r="F1534" s="3" t="n">
        <x:v>1</x:v>
      </x:c>
    </x:row>
    <x:row r="1535" ht="21" customHeight="1">
      <x:c r="A1535" s="3" t="n">
        <x:v>26</x:v>
      </x:c>
      <x:c r="B1535" s="3" t="n">
        <x:v>34</x:v>
      </x:c>
      <x:c r="C1535" s="9" t="n">
        <x:v>1.68807776</x:v>
      </x:c>
      <x:c r="D1535" s="3" t="n">
        <x:v>0</x:v>
      </x:c>
      <x:c r="E1535" s="3" t="n">
        <x:v>0</x:v>
      </x:c>
      <x:c r="F1535" s="3" t="n">
        <x:v>1</x:v>
      </x:c>
    </x:row>
    <x:row r="1536" ht="21" customHeight="1">
      <x:c r="A1536" s="3" t="n">
        <x:v>26</x:v>
      </x:c>
      <x:c r="B1536" s="3" t="n">
        <x:v>35</x:v>
      </x:c>
      <x:c r="C1536" s="9" t="n">
        <x:v>-0.82419723</x:v>
      </x:c>
      <x:c r="D1536" s="3" t="n">
        <x:v>0</x:v>
      </x:c>
      <x:c r="E1536" s="3" t="n">
        <x:v>0</x:v>
      </x:c>
      <x:c r="F1536" s="3" t="n">
        <x:v>1</x:v>
      </x:c>
    </x:row>
    <x:row r="1537" ht="21" customHeight="1">
      <x:c r="A1537" s="3" t="n">
        <x:v>26</x:v>
      </x:c>
      <x:c r="B1537" s="3" t="n">
        <x:v>36</x:v>
      </x:c>
      <x:c r="C1537" s="9" t="n">
        <x:v>-1.94101525</x:v>
      </x:c>
      <x:c r="D1537" s="3" t="n">
        <x:v>0</x:v>
      </x:c>
      <x:c r="E1537" s="3" t="n">
        <x:v>0</x:v>
      </x:c>
      <x:c r="F1537" s="3" t="n">
        <x:v>1</x:v>
      </x:c>
    </x:row>
    <x:row r="1538" ht="21" customHeight="1">
      <x:c r="A1538" s="3" t="n">
        <x:v>26</x:v>
      </x:c>
      <x:c r="B1538" s="3" t="n">
        <x:v>37</x:v>
      </x:c>
      <x:c r="C1538" s="9" t="n">
        <x:v>-0.37339364</x:v>
      </x:c>
      <x:c r="D1538" s="3" t="n">
        <x:v>0</x:v>
      </x:c>
      <x:c r="E1538" s="3" t="n">
        <x:v>0</x:v>
      </x:c>
      <x:c r="F1538" s="3" t="n">
        <x:v>1</x:v>
      </x:c>
    </x:row>
    <x:row r="1539" ht="21" customHeight="1">
      <x:c r="A1539" s="3" t="n">
        <x:v>26</x:v>
      </x:c>
      <x:c r="B1539" s="3" t="n">
        <x:v>38</x:v>
      </x:c>
      <x:c r="C1539" s="9" t="n">
        <x:v>-0.73097126</x:v>
      </x:c>
      <x:c r="D1539" s="3" t="n">
        <x:v>0</x:v>
      </x:c>
      <x:c r="E1539" s="3" t="n">
        <x:v>0</x:v>
      </x:c>
      <x:c r="F1539" s="3" t="n">
        <x:v>1</x:v>
      </x:c>
    </x:row>
    <x:row r="1540" ht="21" customHeight="1">
      <x:c r="A1540" s="3" t="n">
        <x:v>26</x:v>
      </x:c>
      <x:c r="B1540" s="3" t="n">
        <x:v>39</x:v>
      </x:c>
      <x:c r="C1540" s="9" t="n">
        <x:v>0.19408778</x:v>
      </x:c>
      <x:c r="D1540" s="3" t="n">
        <x:v>0</x:v>
      </x:c>
      <x:c r="E1540" s="3" t="n">
        <x:v>0</x:v>
      </x:c>
      <x:c r="F1540" s="3" t="n">
        <x:v>1</x:v>
      </x:c>
    </x:row>
    <x:row r="1541" ht="21" customHeight="1">
      <x:c r="A1541" s="3" t="n">
        <x:v>26</x:v>
      </x:c>
      <x:c r="B1541" s="3" t="n">
        <x:v>40</x:v>
      </x:c>
      <x:c r="C1541" s="9" t="n">
        <x:v>2.36258132</x:v>
      </x:c>
      <x:c r="D1541" s="3" t="n">
        <x:v>0</x:v>
      </x:c>
      <x:c r="E1541" s="3" t="n">
        <x:v>0</x:v>
      </x:c>
      <x:c r="F1541" s="3" t="n">
        <x:v>1</x:v>
      </x:c>
    </x:row>
    <x:row r="1542" ht="21" customHeight="1">
      <x:c r="A1542" s="3" t="n">
        <x:v>26</x:v>
      </x:c>
      <x:c r="B1542" s="3" t="n">
        <x:v>41</x:v>
      </x:c>
      <x:c r="C1542" s="9" t="n">
        <x:v>0.01646764</x:v>
      </x:c>
      <x:c r="D1542" s="3" t="n">
        <x:v>0</x:v>
      </x:c>
      <x:c r="E1542" s="3" t="n">
        <x:v>0</x:v>
      </x:c>
      <x:c r="F1542" s="3" t="n">
        <x:v>1</x:v>
      </x:c>
    </x:row>
    <x:row r="1543" ht="21" customHeight="1">
      <x:c r="A1543" s="3" t="n">
        <x:v>26</x:v>
      </x:c>
      <x:c r="B1543" s="3" t="n">
        <x:v>42</x:v>
      </x:c>
      <x:c r="C1543" s="9" t="n">
        <x:v>2.22891438</x:v>
      </x:c>
      <x:c r="D1543" s="3" t="n">
        <x:v>0</x:v>
      </x:c>
      <x:c r="E1543" s="3" t="n">
        <x:v>0</x:v>
      </x:c>
      <x:c r="F1543" s="3" t="n">
        <x:v>1</x:v>
      </x:c>
    </x:row>
    <x:row r="1544" ht="21" customHeight="1">
      <x:c r="A1544" s="3" t="n">
        <x:v>26</x:v>
      </x:c>
      <x:c r="B1544" s="3" t="n">
        <x:v>43</x:v>
      </x:c>
      <x:c r="C1544" s="9" t="n">
        <x:v>-1.09742926</x:v>
      </x:c>
      <x:c r="D1544" s="3" t="n">
        <x:v>0</x:v>
      </x:c>
      <x:c r="E1544" s="3" t="n">
        <x:v>0</x:v>
      </x:c>
      <x:c r="F1544" s="3" t="n">
        <x:v>1</x:v>
      </x:c>
    </x:row>
    <x:row r="1545" ht="21" customHeight="1">
      <x:c r="A1545" s="3" t="n">
        <x:v>26</x:v>
      </x:c>
      <x:c r="B1545" s="3" t="n">
        <x:v>44</x:v>
      </x:c>
      <x:c r="C1545" s="9" t="n">
        <x:v>-2.21307647</x:v>
      </x:c>
      <x:c r="D1545" s="3" t="n">
        <x:v>0</x:v>
      </x:c>
      <x:c r="E1545" s="3" t="n">
        <x:v>0</x:v>
      </x:c>
      <x:c r="F1545" s="3" t="n">
        <x:v>1</x:v>
      </x:c>
    </x:row>
    <x:row r="1546" ht="21" customHeight="1">
      <x:c r="A1546" s="3" t="n">
        <x:v>26</x:v>
      </x:c>
      <x:c r="B1546" s="3" t="n">
        <x:v>45</x:v>
      </x:c>
      <x:c r="C1546" s="9" t="n">
        <x:v>-0.55258244</x:v>
      </x:c>
      <x:c r="D1546" s="3" t="n">
        <x:v>0</x:v>
      </x:c>
      <x:c r="E1546" s="3" t="n">
        <x:v>0</x:v>
      </x:c>
      <x:c r="F1546" s="3" t="n">
        <x:v>1</x:v>
      </x:c>
    </x:row>
    <x:row r="1547" ht="21" customHeight="1">
      <x:c r="A1547" s="3" t="n">
        <x:v>26</x:v>
      </x:c>
      <x:c r="B1547" s="3" t="n">
        <x:v>46</x:v>
      </x:c>
      <x:c r="C1547" s="9" t="n">
        <x:v>0.16159919</x:v>
      </x:c>
      <x:c r="D1547" s="3" t="n">
        <x:v>0</x:v>
      </x:c>
      <x:c r="E1547" s="3" t="n">
        <x:v>0</x:v>
      </x:c>
      <x:c r="F1547" s="3" t="n">
        <x:v>1</x:v>
      </x:c>
    </x:row>
    <x:row r="1548" ht="21" customHeight="1">
      <x:c r="A1548" s="3" t="n">
        <x:v>26</x:v>
      </x:c>
      <x:c r="B1548" s="3" t="n">
        <x:v>47</x:v>
      </x:c>
      <x:c r="C1548" s="9" t="n">
        <x:v>1.29621379</x:v>
      </x:c>
      <x:c r="D1548" s="3" t="n">
        <x:v>0</x:v>
      </x:c>
      <x:c r="E1548" s="3" t="n">
        <x:v>0</x:v>
      </x:c>
      <x:c r="F1548" s="3" t="n">
        <x:v>1</x:v>
      </x:c>
    </x:row>
    <x:row r="1549" ht="21" customHeight="1">
      <x:c r="A1549" s="3" t="n">
        <x:v>26</x:v>
      </x:c>
      <x:c r="B1549" s="3" t="n">
        <x:v>48</x:v>
      </x:c>
      <x:c r="C1549" s="9" t="n">
        <x:v>-0.50076412</x:v>
      </x:c>
      <x:c r="D1549" s="3" t="n">
        <x:v>0</x:v>
      </x:c>
      <x:c r="E1549" s="3" t="n">
        <x:v>0</x:v>
      </x:c>
      <x:c r="F1549" s="3" t="n">
        <x:v>1</x:v>
      </x:c>
    </x:row>
    <x:row r="1550" ht="21" customHeight="1">
      <x:c r="A1550" s="3" t="n">
        <x:v>26</x:v>
      </x:c>
      <x:c r="B1550" s="3" t="n">
        <x:v>49</x:v>
      </x:c>
      <x:c r="C1550" s="9" t="n">
        <x:v>-0.77329823</x:v>
      </x:c>
      <x:c r="D1550" s="3" t="n">
        <x:v>0</x:v>
      </x:c>
      <x:c r="E1550" s="3" t="n">
        <x:v>0</x:v>
      </x:c>
      <x:c r="F1550" s="3" t="n">
        <x:v>1</x:v>
      </x:c>
    </x:row>
    <x:row r="1551" ht="21" customHeight="1">
      <x:c r="A1551" s="3" t="n">
        <x:v>26</x:v>
      </x:c>
      <x:c r="B1551" s="3" t="n">
        <x:v>50</x:v>
      </x:c>
      <x:c r="C1551" s="9" t="n">
        <x:v>0.12101649</x:v>
      </x:c>
      <x:c r="D1551" s="3" t="n">
        <x:v>0</x:v>
      </x:c>
      <x:c r="E1551" s="3" t="n">
        <x:v>0</x:v>
      </x:c>
      <x:c r="F1551" s="3" t="n">
        <x:v>1</x:v>
      </x:c>
    </x:row>
    <x:row r="1552" ht="21" customHeight="1">
      <x:c r="A1552" s="3" t="n">
        <x:v>26</x:v>
      </x:c>
      <x:c r="B1552" s="3" t="n">
        <x:v>51</x:v>
      </x:c>
      <x:c r="C1552" s="9" t="n">
        <x:v>0.63801718</x:v>
      </x:c>
      <x:c r="D1552" s="3" t="n">
        <x:v>0</x:v>
      </x:c>
      <x:c r="E1552" s="3" t="n">
        <x:v>0</x:v>
      </x:c>
      <x:c r="F1552" s="3" t="n">
        <x:v>1</x:v>
      </x:c>
    </x:row>
    <x:row r="1553" ht="21" customHeight="1">
      <x:c r="A1553" s="3" t="n">
        <x:v>26</x:v>
      </x:c>
      <x:c r="B1553" s="3" t="n">
        <x:v>52</x:v>
      </x:c>
      <x:c r="C1553" s="9" t="n">
        <x:v>-2.10141804</x:v>
      </x:c>
      <x:c r="D1553" s="3" t="n">
        <x:v>0</x:v>
      </x:c>
      <x:c r="E1553" s="3" t="n">
        <x:v>0</x:v>
      </x:c>
      <x:c r="F1553" s="3" t="n">
        <x:v>1</x:v>
      </x:c>
    </x:row>
    <x:row r="1554" ht="21" customHeight="1">
      <x:c r="A1554" s="3" t="n">
        <x:v>26</x:v>
      </x:c>
      <x:c r="B1554" s="3" t="n">
        <x:v>53</x:v>
      </x:c>
      <x:c r="C1554" s="9" t="n">
        <x:v>0.27020607</x:v>
      </x:c>
      <x:c r="D1554" s="3" t="n">
        <x:v>0</x:v>
      </x:c>
      <x:c r="E1554" s="3" t="n">
        <x:v>0</x:v>
      </x:c>
      <x:c r="F1554" s="3" t="n">
        <x:v>1</x:v>
      </x:c>
    </x:row>
    <x:row r="1555" ht="21" customHeight="1">
      <x:c r="A1555" s="3" t="n">
        <x:v>26</x:v>
      </x:c>
      <x:c r="B1555" s="3" t="n">
        <x:v>54</x:v>
      </x:c>
      <x:c r="C1555" s="9" t="n">
        <x:v>-0.12261216</x:v>
      </x:c>
      <x:c r="D1555" s="3" t="n">
        <x:v>0</x:v>
      </x:c>
      <x:c r="E1555" s="3" t="n">
        <x:v>0</x:v>
      </x:c>
      <x:c r="F1555" s="3" t="n">
        <x:v>1</x:v>
      </x:c>
    </x:row>
    <x:row r="1556" ht="21" customHeight="1">
      <x:c r="A1556" s="3" t="n">
        <x:v>26</x:v>
      </x:c>
      <x:c r="B1556" s="3" t="n">
        <x:v>55</x:v>
      </x:c>
      <x:c r="C1556" s="9" t="n">
        <x:v>-0.39950225</x:v>
      </x:c>
      <x:c r="D1556" s="3" t="n">
        <x:v>0</x:v>
      </x:c>
      <x:c r="E1556" s="3" t="n">
        <x:v>0</x:v>
      </x:c>
      <x:c r="F1556" s="3" t="n">
        <x:v>1</x:v>
      </x:c>
    </x:row>
    <x:row r="1557" ht="21" customHeight="1">
      <x:c r="A1557" s="3" t="n">
        <x:v>26</x:v>
      </x:c>
      <x:c r="B1557" s="3" t="n">
        <x:v>56</x:v>
      </x:c>
      <x:c r="C1557" s="9" t="n">
        <x:v>0.92009329</x:v>
      </x:c>
      <x:c r="D1557" s="3" t="n">
        <x:v>0</x:v>
      </x:c>
      <x:c r="E1557" s="3" t="n">
        <x:v>0</x:v>
      </x:c>
      <x:c r="F1557" s="3" t="n">
        <x:v>1</x:v>
      </x:c>
    </x:row>
    <x:row r="1558" ht="21" customHeight="1">
      <x:c r="A1558" s="3" t="n">
        <x:v>26</x:v>
      </x:c>
      <x:c r="B1558" s="3" t="n">
        <x:v>57</x:v>
      </x:c>
      <x:c r="C1558" s="9" t="n">
        <x:v>-1.59908823</x:v>
      </x:c>
      <x:c r="D1558" s="3" t="n">
        <x:v>0</x:v>
      </x:c>
      <x:c r="E1558" s="3" t="n">
        <x:v>0</x:v>
      </x:c>
      <x:c r="F1558" s="3" t="n">
        <x:v>1</x:v>
      </x:c>
    </x:row>
    <x:row r="1559" ht="21" customHeight="1">
      <x:c r="A1559" s="3" t="n">
        <x:v>26</x:v>
      </x:c>
      <x:c r="B1559" s="3" t="n">
        <x:v>58</x:v>
      </x:c>
      <x:c r="C1559" s="9" t="n">
        <x:v>0.29272037</x:v>
      </x:c>
      <x:c r="D1559" s="3" t="n">
        <x:v>0</x:v>
      </x:c>
      <x:c r="E1559" s="3" t="n">
        <x:v>0</x:v>
      </x:c>
      <x:c r="F1559" s="3" t="n">
        <x:v>1</x:v>
      </x:c>
    </x:row>
    <x:row r="1560" ht="21" customHeight="1">
      <x:c r="A1560" s="3" t="n">
        <x:v>26</x:v>
      </x:c>
      <x:c r="B1560" s="3" t="n">
        <x:v>59</x:v>
      </x:c>
      <x:c r="C1560" s="9" t="n">
        <x:v>-0.50768056</x:v>
      </x:c>
      <x:c r="D1560" s="3" t="n">
        <x:v>0</x:v>
      </x:c>
      <x:c r="E1560" s="3" t="n">
        <x:v>0</x:v>
      </x:c>
      <x:c r="F1560" s="3" t="n">
        <x:v>1</x:v>
      </x:c>
    </x:row>
    <x:row r="1561" ht="21" customHeight="1">
      <x:c r="A1561" s="3" t="n">
        <x:v>26</x:v>
      </x:c>
      <x:c r="B1561" s="3" t="n">
        <x:v>60</x:v>
      </x:c>
      <x:c r="C1561" s="9" t="n">
        <x:v>-1.55999564</x:v>
      </x:c>
      <x:c r="D1561" s="3" t="n">
        <x:v>0</x:v>
      </x:c>
      <x:c r="E1561" s="3" t="n">
        <x:v>0</x:v>
      </x:c>
      <x:c r="F1561" s="3" t="n">
        <x:v>1</x:v>
      </x:c>
    </x:row>
    <x:row r="1562" ht="21" customHeight="1">
      <x:c r="A1562" s="3" t="n">
        <x:v>27</x:v>
      </x:c>
      <x:c r="B1562" s="3" t="n">
        <x:v>1</x:v>
      </x:c>
      <x:c r="C1562" s="9" t="n">
        <x:v>-0.4182454</x:v>
      </x:c>
      <x:c r="D1562" s="3" t="n">
        <x:v>0</x:v>
      </x:c>
      <x:c r="E1562" s="3" t="n">
        <x:v>0</x:v>
      </x:c>
      <x:c r="F1562" s="3" t="n">
        <x:v>1</x:v>
      </x:c>
    </x:row>
    <x:row r="1563" ht="21" customHeight="1">
      <x:c r="A1563" s="3" t="n">
        <x:v>27</x:v>
      </x:c>
      <x:c r="B1563" s="3" t="n">
        <x:v>2</x:v>
      </x:c>
      <x:c r="C1563" s="9" t="n">
        <x:v>0.42852089</x:v>
      </x:c>
      <x:c r="D1563" s="3" t="n">
        <x:v>0</x:v>
      </x:c>
      <x:c r="E1563" s="3" t="n">
        <x:v>0</x:v>
      </x:c>
      <x:c r="F1563" s="3" t="n">
        <x:v>1</x:v>
      </x:c>
    </x:row>
    <x:row r="1564" ht="21" customHeight="1">
      <x:c r="A1564" s="3" t="n">
        <x:v>27</x:v>
      </x:c>
      <x:c r="B1564" s="3" t="n">
        <x:v>3</x:v>
      </x:c>
      <x:c r="C1564" s="9" t="n">
        <x:v>-1.28777169</x:v>
      </x:c>
      <x:c r="D1564" s="3" t="n">
        <x:v>0</x:v>
      </x:c>
      <x:c r="E1564" s="3" t="n">
        <x:v>0</x:v>
      </x:c>
      <x:c r="F1564" s="3" t="n">
        <x:v>1</x:v>
      </x:c>
    </x:row>
    <x:row r="1565" ht="21" customHeight="1">
      <x:c r="A1565" s="3" t="n">
        <x:v>27</x:v>
      </x:c>
      <x:c r="B1565" s="3" t="n">
        <x:v>4</x:v>
      </x:c>
      <x:c r="C1565" s="9" t="n">
        <x:v>0.23084777</x:v>
      </x:c>
      <x:c r="D1565" s="3" t="n">
        <x:v>0</x:v>
      </x:c>
      <x:c r="E1565" s="3" t="n">
        <x:v>0</x:v>
      </x:c>
      <x:c r="F1565" s="3" t="n">
        <x:v>1</x:v>
      </x:c>
    </x:row>
    <x:row r="1566" ht="21" customHeight="1">
      <x:c r="A1566" s="3" t="n">
        <x:v>27</x:v>
      </x:c>
      <x:c r="B1566" s="3" t="n">
        <x:v>5</x:v>
      </x:c>
      <x:c r="C1566" s="9" t="n">
        <x:v>-1.68016443</x:v>
      </x:c>
      <x:c r="D1566" s="3" t="n">
        <x:v>0</x:v>
      </x:c>
      <x:c r="E1566" s="3" t="n">
        <x:v>0</x:v>
      </x:c>
      <x:c r="F1566" s="3" t="n">
        <x:v>1</x:v>
      </x:c>
    </x:row>
    <x:row r="1567" ht="21" customHeight="1">
      <x:c r="A1567" s="3" t="n">
        <x:v>27</x:v>
      </x:c>
      <x:c r="B1567" s="3" t="n">
        <x:v>6</x:v>
      </x:c>
      <x:c r="C1567" s="9" t="n">
        <x:v>-2.1016429</x:v>
      </x:c>
      <x:c r="D1567" s="3" t="n">
        <x:v>0</x:v>
      </x:c>
      <x:c r="E1567" s="3" t="n">
        <x:v>0</x:v>
      </x:c>
      <x:c r="F1567" s="3" t="n">
        <x:v>1</x:v>
      </x:c>
    </x:row>
    <x:row r="1568" ht="21" customHeight="1">
      <x:c r="A1568" s="3" t="n">
        <x:v>27</x:v>
      </x:c>
      <x:c r="B1568" s="3" t="n">
        <x:v>7</x:v>
      </x:c>
      <x:c r="C1568" s="9" t="n">
        <x:v>0.02113347</x:v>
      </x:c>
      <x:c r="D1568" s="3" t="n">
        <x:v>0</x:v>
      </x:c>
      <x:c r="E1568" s="3" t="n">
        <x:v>0</x:v>
      </x:c>
      <x:c r="F1568" s="3" t="n">
        <x:v>1</x:v>
      </x:c>
    </x:row>
    <x:row r="1569" ht="21" customHeight="1">
      <x:c r="A1569" s="3" t="n">
        <x:v>27</x:v>
      </x:c>
      <x:c r="B1569" s="3" t="n">
        <x:v>8</x:v>
      </x:c>
      <x:c r="C1569" s="9" t="n">
        <x:v>-1.1995967</x:v>
      </x:c>
      <x:c r="D1569" s="3" t="n">
        <x:v>0</x:v>
      </x:c>
      <x:c r="E1569" s="3" t="n">
        <x:v>0</x:v>
      </x:c>
      <x:c r="F1569" s="3" t="n">
        <x:v>1</x:v>
      </x:c>
    </x:row>
    <x:row r="1570" ht="21" customHeight="1">
      <x:c r="A1570" s="3" t="n">
        <x:v>27</x:v>
      </x:c>
      <x:c r="B1570" s="3" t="n">
        <x:v>9</x:v>
      </x:c>
      <x:c r="C1570" s="9" t="n">
        <x:v>0.42906061</x:v>
      </x:c>
      <x:c r="D1570" s="3" t="n">
        <x:v>0</x:v>
      </x:c>
      <x:c r="E1570" s="3" t="n">
        <x:v>0</x:v>
      </x:c>
      <x:c r="F1570" s="3" t="n">
        <x:v>1</x:v>
      </x:c>
    </x:row>
    <x:row r="1571" ht="21" customHeight="1">
      <x:c r="A1571" s="3" t="n">
        <x:v>27</x:v>
      </x:c>
      <x:c r="B1571" s="3" t="n">
        <x:v>10</x:v>
      </x:c>
      <x:c r="C1571" s="9" t="n">
        <x:v>-2.01951861</x:v>
      </x:c>
      <x:c r="D1571" s="3" t="n">
        <x:v>0</x:v>
      </x:c>
      <x:c r="E1571" s="3" t="n">
        <x:v>0</x:v>
      </x:c>
      <x:c r="F1571" s="3" t="n">
        <x:v>1</x:v>
      </x:c>
    </x:row>
    <x:row r="1572" ht="21" customHeight="1">
      <x:c r="A1572" s="3" t="n">
        <x:v>27</x:v>
      </x:c>
      <x:c r="B1572" s="3" t="n">
        <x:v>11</x:v>
      </x:c>
      <x:c r="C1572" s="9" t="n">
        <x:v>-0.68939535</x:v>
      </x:c>
      <x:c r="D1572" s="3" t="n">
        <x:v>0</x:v>
      </x:c>
      <x:c r="E1572" s="3" t="n">
        <x:v>0</x:v>
      </x:c>
      <x:c r="F1572" s="3" t="n">
        <x:v>1</x:v>
      </x:c>
    </x:row>
    <x:row r="1573" ht="21" customHeight="1">
      <x:c r="A1573" s="3" t="n">
        <x:v>27</x:v>
      </x:c>
      <x:c r="B1573" s="3" t="n">
        <x:v>12</x:v>
      </x:c>
      <x:c r="C1573" s="9" t="n">
        <x:v>0.45287948</x:v>
      </x:c>
      <x:c r="D1573" s="3" t="n">
        <x:v>0</x:v>
      </x:c>
      <x:c r="E1573" s="3" t="n">
        <x:v>0</x:v>
      </x:c>
      <x:c r="F1573" s="3" t="n">
        <x:v>1</x:v>
      </x:c>
    </x:row>
    <x:row r="1574" ht="21" customHeight="1">
      <x:c r="A1574" s="3" t="n">
        <x:v>27</x:v>
      </x:c>
      <x:c r="B1574" s="3" t="n">
        <x:v>13</x:v>
      </x:c>
      <x:c r="C1574" s="9" t="n">
        <x:v>-0.37723931</x:v>
      </x:c>
      <x:c r="D1574" s="3" t="n">
        <x:v>0</x:v>
      </x:c>
      <x:c r="E1574" s="3" t="n">
        <x:v>0</x:v>
      </x:c>
      <x:c r="F1574" s="3" t="n">
        <x:v>1</x:v>
      </x:c>
    </x:row>
    <x:row r="1575" ht="21" customHeight="1">
      <x:c r="A1575" s="3" t="n">
        <x:v>27</x:v>
      </x:c>
      <x:c r="B1575" s="3" t="n">
        <x:v>14</x:v>
      </x:c>
      <x:c r="C1575" s="9" t="n">
        <x:v>-0.02343766</x:v>
      </x:c>
      <x:c r="D1575" s="3" t="n">
        <x:v>0</x:v>
      </x:c>
      <x:c r="E1575" s="3" t="n">
        <x:v>0</x:v>
      </x:c>
      <x:c r="F1575" s="3" t="n">
        <x:v>1</x:v>
      </x:c>
    </x:row>
    <x:row r="1576" ht="21" customHeight="1">
      <x:c r="A1576" s="3" t="n">
        <x:v>27</x:v>
      </x:c>
      <x:c r="B1576" s="3" t="n">
        <x:v>15</x:v>
      </x:c>
      <x:c r="C1576" s="9" t="n">
        <x:v>-0.91865037</x:v>
      </x:c>
      <x:c r="D1576" s="3" t="n">
        <x:v>0</x:v>
      </x:c>
      <x:c r="E1576" s="3" t="n">
        <x:v>0</x:v>
      </x:c>
      <x:c r="F1576" s="3" t="n">
        <x:v>1</x:v>
      </x:c>
    </x:row>
    <x:row r="1577" ht="21" customHeight="1">
      <x:c r="A1577" s="3" t="n">
        <x:v>27</x:v>
      </x:c>
      <x:c r="B1577" s="3" t="n">
        <x:v>16</x:v>
      </x:c>
      <x:c r="C1577" s="9" t="n">
        <x:v>-0.69277137</x:v>
      </x:c>
      <x:c r="D1577" s="3" t="n">
        <x:v>0</x:v>
      </x:c>
      <x:c r="E1577" s="3" t="n">
        <x:v>0</x:v>
      </x:c>
      <x:c r="F1577" s="3" t="n">
        <x:v>1</x:v>
      </x:c>
    </x:row>
    <x:row r="1578" ht="21" customHeight="1">
      <x:c r="A1578" s="3" t="n">
        <x:v>27</x:v>
      </x:c>
      <x:c r="B1578" s="3" t="n">
        <x:v>17</x:v>
      </x:c>
      <x:c r="C1578" s="9" t="n">
        <x:v>1.78600623</x:v>
      </x:c>
      <x:c r="D1578" s="3" t="n">
        <x:v>0</x:v>
      </x:c>
      <x:c r="E1578" s="3" t="n">
        <x:v>0</x:v>
      </x:c>
      <x:c r="F1578" s="3" t="n">
        <x:v>1</x:v>
      </x:c>
    </x:row>
    <x:row r="1579" ht="21" customHeight="1">
      <x:c r="A1579" s="3" t="n">
        <x:v>27</x:v>
      </x:c>
      <x:c r="B1579" s="3" t="n">
        <x:v>18</x:v>
      </x:c>
      <x:c r="C1579" s="9" t="n">
        <x:v>-0.18536617</x:v>
      </x:c>
      <x:c r="D1579" s="3" t="n">
        <x:v>0</x:v>
      </x:c>
      <x:c r="E1579" s="3" t="n">
        <x:v>0</x:v>
      </x:c>
      <x:c r="F1579" s="3" t="n">
        <x:v>1</x:v>
      </x:c>
    </x:row>
    <x:row r="1580" ht="21" customHeight="1">
      <x:c r="A1580" s="3" t="n">
        <x:v>27</x:v>
      </x:c>
      <x:c r="B1580" s="3" t="n">
        <x:v>19</x:v>
      </x:c>
      <x:c r="C1580" s="9" t="n">
        <x:v>-0.25930787</x:v>
      </x:c>
      <x:c r="D1580" s="3" t="n">
        <x:v>0</x:v>
      </x:c>
      <x:c r="E1580" s="3" t="n">
        <x:v>0</x:v>
      </x:c>
      <x:c r="F1580" s="3" t="n">
        <x:v>1</x:v>
      </x:c>
    </x:row>
    <x:row r="1581" ht="21" customHeight="1">
      <x:c r="A1581" s="3" t="n">
        <x:v>27</x:v>
      </x:c>
      <x:c r="B1581" s="3" t="n">
        <x:v>20</x:v>
      </x:c>
      <x:c r="C1581" s="9" t="n">
        <x:v>1.01213897</x:v>
      </x:c>
      <x:c r="D1581" s="3" t="n">
        <x:v>0</x:v>
      </x:c>
      <x:c r="E1581" s="3" t="n">
        <x:v>0</x:v>
      </x:c>
      <x:c r="F1581" s="3" t="n">
        <x:v>1</x:v>
      </x:c>
    </x:row>
    <x:row r="1582" ht="21" customHeight="1">
      <x:c r="A1582" s="3" t="n">
        <x:v>27</x:v>
      </x:c>
      <x:c r="B1582" s="3" t="n">
        <x:v>21</x:v>
      </x:c>
      <x:c r="C1582" s="9" t="n">
        <x:v>-0.95566215</x:v>
      </x:c>
      <x:c r="D1582" s="3" t="n">
        <x:v>0</x:v>
      </x:c>
      <x:c r="E1582" s="3" t="n">
        <x:v>0</x:v>
      </x:c>
      <x:c r="F1582" s="3" t="n">
        <x:v>1</x:v>
      </x:c>
    </x:row>
    <x:row r="1583" ht="21" customHeight="1">
      <x:c r="A1583" s="3" t="n">
        <x:v>27</x:v>
      </x:c>
      <x:c r="B1583" s="3" t="n">
        <x:v>22</x:v>
      </x:c>
      <x:c r="C1583" s="9" t="n">
        <x:v>-0.75657092</x:v>
      </x:c>
      <x:c r="D1583" s="3" t="n">
        <x:v>0</x:v>
      </x:c>
      <x:c r="E1583" s="3" t="n">
        <x:v>0</x:v>
      </x:c>
      <x:c r="F1583" s="3" t="n">
        <x:v>1</x:v>
      </x:c>
    </x:row>
    <x:row r="1584" ht="21" customHeight="1">
      <x:c r="A1584" s="3" t="n">
        <x:v>27</x:v>
      </x:c>
      <x:c r="B1584" s="3" t="n">
        <x:v>23</x:v>
      </x:c>
      <x:c r="C1584" s="9" t="n">
        <x:v>-0.19389953</x:v>
      </x:c>
      <x:c r="D1584" s="3" t="n">
        <x:v>0</x:v>
      </x:c>
      <x:c r="E1584" s="3" t="n">
        <x:v>0</x:v>
      </x:c>
      <x:c r="F1584" s="3" t="n">
        <x:v>1</x:v>
      </x:c>
    </x:row>
    <x:row r="1585" ht="21" customHeight="1">
      <x:c r="A1585" s="3" t="n">
        <x:v>27</x:v>
      </x:c>
      <x:c r="B1585" s="3" t="n">
        <x:v>24</x:v>
      </x:c>
      <x:c r="C1585" s="9" t="n">
        <x:v>0.44643631</x:v>
      </x:c>
      <x:c r="D1585" s="3" t="n">
        <x:v>0</x:v>
      </x:c>
      <x:c r="E1585" s="3" t="n">
        <x:v>0</x:v>
      </x:c>
      <x:c r="F1585" s="3" t="n">
        <x:v>1</x:v>
      </x:c>
    </x:row>
    <x:row r="1586" ht="21" customHeight="1">
      <x:c r="A1586" s="3" t="n">
        <x:v>27</x:v>
      </x:c>
      <x:c r="B1586" s="3" t="n">
        <x:v>25</x:v>
      </x:c>
      <x:c r="C1586" s="9" t="n">
        <x:v>0.86354028</x:v>
      </x:c>
      <x:c r="D1586" s="3" t="n">
        <x:v>0</x:v>
      </x:c>
      <x:c r="E1586" s="3" t="n">
        <x:v>0</x:v>
      </x:c>
      <x:c r="F1586" s="3" t="n">
        <x:v>1</x:v>
      </x:c>
    </x:row>
    <x:row r="1587" ht="21" customHeight="1">
      <x:c r="A1587" s="3" t="n">
        <x:v>27</x:v>
      </x:c>
      <x:c r="B1587" s="3" t="n">
        <x:v>26</x:v>
      </x:c>
      <x:c r="C1587" s="9" t="n">
        <x:v>-0.56437248</x:v>
      </x:c>
      <x:c r="D1587" s="3" t="n">
        <x:v>0</x:v>
      </x:c>
      <x:c r="E1587" s="3" t="n">
        <x:v>0</x:v>
      </x:c>
      <x:c r="F1587" s="3" t="n">
        <x:v>1</x:v>
      </x:c>
    </x:row>
    <x:row r="1588" ht="21" customHeight="1">
      <x:c r="A1588" s="3" t="n">
        <x:v>27</x:v>
      </x:c>
      <x:c r="B1588" s="3" t="n">
        <x:v>27</x:v>
      </x:c>
      <x:c r="C1588" s="9" t="n">
        <x:v>1.20810632</x:v>
      </x:c>
      <x:c r="D1588" s="3" t="n">
        <x:v>0</x:v>
      </x:c>
      <x:c r="E1588" s="3" t="n">
        <x:v>0</x:v>
      </x:c>
      <x:c r="F1588" s="3" t="n">
        <x:v>1</x:v>
      </x:c>
    </x:row>
    <x:row r="1589" ht="21" customHeight="1">
      <x:c r="A1589" s="3" t="n">
        <x:v>27</x:v>
      </x:c>
      <x:c r="B1589" s="3" t="n">
        <x:v>28</x:v>
      </x:c>
      <x:c r="C1589" s="9" t="n">
        <x:v>0.24493312</x:v>
      </x:c>
      <x:c r="D1589" s="3" t="n">
        <x:v>0</x:v>
      </x:c>
      <x:c r="E1589" s="3" t="n">
        <x:v>0</x:v>
      </x:c>
      <x:c r="F1589" s="3" t="n">
        <x:v>1</x:v>
      </x:c>
    </x:row>
    <x:row r="1590" ht="21" customHeight="1">
      <x:c r="A1590" s="3" t="n">
        <x:v>27</x:v>
      </x:c>
      <x:c r="B1590" s="3" t="n">
        <x:v>29</x:v>
      </x:c>
      <x:c r="C1590" s="9" t="n">
        <x:v>-0.31427755</x:v>
      </x:c>
      <x:c r="D1590" s="3" t="n">
        <x:v>0</x:v>
      </x:c>
      <x:c r="E1590" s="3" t="n">
        <x:v>0</x:v>
      </x:c>
      <x:c r="F1590" s="3" t="n">
        <x:v>1</x:v>
      </x:c>
    </x:row>
    <x:row r="1591" ht="21" customHeight="1">
      <x:c r="A1591" s="3" t="n">
        <x:v>27</x:v>
      </x:c>
      <x:c r="B1591" s="3" t="n">
        <x:v>30</x:v>
      </x:c>
      <x:c r="C1591" s="9" t="n">
        <x:v>-2.02380986</x:v>
      </x:c>
      <x:c r="D1591" s="3" t="n">
        <x:v>0</x:v>
      </x:c>
      <x:c r="E1591" s="3" t="n">
        <x:v>0</x:v>
      </x:c>
      <x:c r="F1591" s="3" t="n">
        <x:v>1</x:v>
      </x:c>
    </x:row>
    <x:row r="1592" ht="21" customHeight="1">
      <x:c r="A1592" s="3" t="n">
        <x:v>27</x:v>
      </x:c>
      <x:c r="B1592" s="3" t="n">
        <x:v>31</x:v>
      </x:c>
      <x:c r="C1592" s="9" t="n">
        <x:v>-1.52292933</x:v>
      </x:c>
      <x:c r="D1592" s="3" t="n">
        <x:v>0</x:v>
      </x:c>
      <x:c r="E1592" s="3" t="n">
        <x:v>0</x:v>
      </x:c>
      <x:c r="F1592" s="3" t="n">
        <x:v>1</x:v>
      </x:c>
    </x:row>
    <x:row r="1593" ht="21" customHeight="1">
      <x:c r="A1593" s="3" t="n">
        <x:v>27</x:v>
      </x:c>
      <x:c r="B1593" s="3" t="n">
        <x:v>32</x:v>
      </x:c>
      <x:c r="C1593" s="9" t="n">
        <x:v>-0.53916873</x:v>
      </x:c>
      <x:c r="D1593" s="3" t="n">
        <x:v>0</x:v>
      </x:c>
      <x:c r="E1593" s="3" t="n">
        <x:v>0</x:v>
      </x:c>
      <x:c r="F1593" s="3" t="n">
        <x:v>1</x:v>
      </x:c>
    </x:row>
    <x:row r="1594" ht="21" customHeight="1">
      <x:c r="A1594" s="3" t="n">
        <x:v>27</x:v>
      </x:c>
      <x:c r="B1594" s="3" t="n">
        <x:v>33</x:v>
      </x:c>
      <x:c r="C1594" s="9" t="n">
        <x:v>0.04066057</x:v>
      </x:c>
      <x:c r="D1594" s="3" t="n">
        <x:v>0</x:v>
      </x:c>
      <x:c r="E1594" s="3" t="n">
        <x:v>0</x:v>
      </x:c>
      <x:c r="F1594" s="3" t="n">
        <x:v>1</x:v>
      </x:c>
    </x:row>
    <x:row r="1595" ht="21" customHeight="1">
      <x:c r="A1595" s="3" t="n">
        <x:v>27</x:v>
      </x:c>
      <x:c r="B1595" s="3" t="n">
        <x:v>34</x:v>
      </x:c>
      <x:c r="C1595" s="9" t="n">
        <x:v>0.67020955</x:v>
      </x:c>
      <x:c r="D1595" s="3" t="n">
        <x:v>0</x:v>
      </x:c>
      <x:c r="E1595" s="3" t="n">
        <x:v>0</x:v>
      </x:c>
      <x:c r="F1595" s="3" t="n">
        <x:v>1</x:v>
      </x:c>
    </x:row>
    <x:row r="1596" ht="21" customHeight="1">
      <x:c r="A1596" s="3" t="n">
        <x:v>27</x:v>
      </x:c>
      <x:c r="B1596" s="3" t="n">
        <x:v>35</x:v>
      </x:c>
      <x:c r="C1596" s="9" t="n">
        <x:v>-3.06597511</x:v>
      </x:c>
      <x:c r="D1596" s="3" t="n">
        <x:v>0</x:v>
      </x:c>
      <x:c r="E1596" s="3" t="n">
        <x:v>0</x:v>
      </x:c>
      <x:c r="F1596" s="3" t="n">
        <x:v>1</x:v>
      </x:c>
    </x:row>
    <x:row r="1597" ht="21" customHeight="1">
      <x:c r="A1597" s="3" t="n">
        <x:v>27</x:v>
      </x:c>
      <x:c r="B1597" s="3" t="n">
        <x:v>36</x:v>
      </x:c>
      <x:c r="C1597" s="9" t="n">
        <x:v>1.92086223</x:v>
      </x:c>
      <x:c r="D1597" s="3" t="n">
        <x:v>0</x:v>
      </x:c>
      <x:c r="E1597" s="3" t="n">
        <x:v>0</x:v>
      </x:c>
      <x:c r="F1597" s="3" t="n">
        <x:v>1</x:v>
      </x:c>
    </x:row>
    <x:row r="1598" ht="21" customHeight="1">
      <x:c r="A1598" s="3" t="n">
        <x:v>27</x:v>
      </x:c>
      <x:c r="B1598" s="3" t="n">
        <x:v>37</x:v>
      </x:c>
      <x:c r="C1598" s="9" t="n">
        <x:v>-0.09456807</x:v>
      </x:c>
      <x:c r="D1598" s="3" t="n">
        <x:v>0</x:v>
      </x:c>
      <x:c r="E1598" s="3" t="n">
        <x:v>0</x:v>
      </x:c>
      <x:c r="F1598" s="3" t="n">
        <x:v>1</x:v>
      </x:c>
    </x:row>
    <x:row r="1599" ht="21" customHeight="1">
      <x:c r="A1599" s="3" t="n">
        <x:v>27</x:v>
      </x:c>
      <x:c r="B1599" s="3" t="n">
        <x:v>38</x:v>
      </x:c>
      <x:c r="C1599" s="9" t="n">
        <x:v>-0.00423229</x:v>
      </x:c>
      <x:c r="D1599" s="3" t="n">
        <x:v>0</x:v>
      </x:c>
      <x:c r="E1599" s="3" t="n">
        <x:v>0</x:v>
      </x:c>
      <x:c r="F1599" s="3" t="n">
        <x:v>1</x:v>
      </x:c>
    </x:row>
    <x:row r="1600" ht="21" customHeight="1">
      <x:c r="A1600" s="3" t="n">
        <x:v>27</x:v>
      </x:c>
      <x:c r="B1600" s="3" t="n">
        <x:v>39</x:v>
      </x:c>
      <x:c r="C1600" s="9" t="n">
        <x:v>-0.56045342</x:v>
      </x:c>
      <x:c r="D1600" s="3" t="n">
        <x:v>0</x:v>
      </x:c>
      <x:c r="E1600" s="3" t="n">
        <x:v>0</x:v>
      </x:c>
      <x:c r="F1600" s="3" t="n">
        <x:v>1</x:v>
      </x:c>
    </x:row>
    <x:row r="1601" ht="21" customHeight="1">
      <x:c r="A1601" s="3" t="n">
        <x:v>27</x:v>
      </x:c>
      <x:c r="B1601" s="3" t="n">
        <x:v>40</x:v>
      </x:c>
      <x:c r="C1601" s="9" t="n">
        <x:v>-0.11195374</x:v>
      </x:c>
      <x:c r="D1601" s="3" t="n">
        <x:v>0</x:v>
      </x:c>
      <x:c r="E1601" s="3" t="n">
        <x:v>0</x:v>
      </x:c>
      <x:c r="F1601" s="3" t="n">
        <x:v>1</x:v>
      </x:c>
    </x:row>
    <x:row r="1602" ht="21" customHeight="1">
      <x:c r="A1602" s="3" t="n">
        <x:v>27</x:v>
      </x:c>
      <x:c r="B1602" s="3" t="n">
        <x:v>41</x:v>
      </x:c>
      <x:c r="C1602" s="9" t="n">
        <x:v>-0.57086378</x:v>
      </x:c>
      <x:c r="D1602" s="3" t="n">
        <x:v>0</x:v>
      </x:c>
      <x:c r="E1602" s="3" t="n">
        <x:v>0</x:v>
      </x:c>
      <x:c r="F1602" s="3" t="n">
        <x:v>1</x:v>
      </x:c>
    </x:row>
    <x:row r="1603" ht="21" customHeight="1">
      <x:c r="A1603" s="3" t="n">
        <x:v>27</x:v>
      </x:c>
      <x:c r="B1603" s="3" t="n">
        <x:v>42</x:v>
      </x:c>
      <x:c r="C1603" s="9" t="n">
        <x:v>1.39080957</x:v>
      </x:c>
      <x:c r="D1603" s="3" t="n">
        <x:v>0</x:v>
      </x:c>
      <x:c r="E1603" s="3" t="n">
        <x:v>0</x:v>
      </x:c>
      <x:c r="F1603" s="3" t="n">
        <x:v>1</x:v>
      </x:c>
    </x:row>
    <x:row r="1604" ht="21" customHeight="1">
      <x:c r="A1604" s="3" t="n">
        <x:v>27</x:v>
      </x:c>
      <x:c r="B1604" s="3" t="n">
        <x:v>43</x:v>
      </x:c>
      <x:c r="C1604" s="9" t="n">
        <x:v>0.29421324</x:v>
      </x:c>
      <x:c r="D1604" s="3" t="n">
        <x:v>0</x:v>
      </x:c>
      <x:c r="E1604" s="3" t="n">
        <x:v>0</x:v>
      </x:c>
      <x:c r="F1604" s="3" t="n">
        <x:v>1</x:v>
      </x:c>
    </x:row>
    <x:row r="1605" ht="21" customHeight="1">
      <x:c r="A1605" s="3" t="n">
        <x:v>27</x:v>
      </x:c>
      <x:c r="B1605" s="3" t="n">
        <x:v>44</x:v>
      </x:c>
      <x:c r="C1605" s="9" t="n">
        <x:v>-1.54491016</x:v>
      </x:c>
      <x:c r="D1605" s="3" t="n">
        <x:v>0</x:v>
      </x:c>
      <x:c r="E1605" s="3" t="n">
        <x:v>0</x:v>
      </x:c>
      <x:c r="F1605" s="3" t="n">
        <x:v>1</x:v>
      </x:c>
    </x:row>
    <x:row r="1606" ht="21" customHeight="1">
      <x:c r="A1606" s="3" t="n">
        <x:v>27</x:v>
      </x:c>
      <x:c r="B1606" s="3" t="n">
        <x:v>45</x:v>
      </x:c>
      <x:c r="C1606" s="9" t="n">
        <x:v>-0.66012074</x:v>
      </x:c>
      <x:c r="D1606" s="3" t="n">
        <x:v>0</x:v>
      </x:c>
      <x:c r="E1606" s="3" t="n">
        <x:v>0</x:v>
      </x:c>
      <x:c r="F1606" s="3" t="n">
        <x:v>1</x:v>
      </x:c>
    </x:row>
    <x:row r="1607" ht="21" customHeight="1">
      <x:c r="A1607" s="3" t="n">
        <x:v>27</x:v>
      </x:c>
      <x:c r="B1607" s="3" t="n">
        <x:v>46</x:v>
      </x:c>
      <x:c r="C1607" s="9" t="n">
        <x:v>-0.50157779</x:v>
      </x:c>
      <x:c r="D1607" s="3" t="n">
        <x:v>0</x:v>
      </x:c>
      <x:c r="E1607" s="3" t="n">
        <x:v>0</x:v>
      </x:c>
      <x:c r="F1607" s="3" t="n">
        <x:v>1</x:v>
      </x:c>
    </x:row>
    <x:row r="1608" ht="21" customHeight="1">
      <x:c r="A1608" s="3" t="n">
        <x:v>27</x:v>
      </x:c>
      <x:c r="B1608" s="3" t="n">
        <x:v>47</x:v>
      </x:c>
      <x:c r="C1608" s="9" t="n">
        <x:v>0.76220218</x:v>
      </x:c>
      <x:c r="D1608" s="3" t="n">
        <x:v>0</x:v>
      </x:c>
      <x:c r="E1608" s="3" t="n">
        <x:v>0</x:v>
      </x:c>
      <x:c r="F1608" s="3" t="n">
        <x:v>1</x:v>
      </x:c>
    </x:row>
    <x:row r="1609" ht="21" customHeight="1">
      <x:c r="A1609" s="3" t="n">
        <x:v>27</x:v>
      </x:c>
      <x:c r="B1609" s="3" t="n">
        <x:v>48</x:v>
      </x:c>
      <x:c r="C1609" s="9" t="n">
        <x:v>2.68041628</x:v>
      </x:c>
      <x:c r="D1609" s="3" t="n">
        <x:v>0</x:v>
      </x:c>
      <x:c r="E1609" s="3" t="n">
        <x:v>0</x:v>
      </x:c>
      <x:c r="F1609" s="3" t="n">
        <x:v>1</x:v>
      </x:c>
    </x:row>
    <x:row r="1610" ht="21" customHeight="1">
      <x:c r="A1610" s="3" t="n">
        <x:v>27</x:v>
      </x:c>
      <x:c r="B1610" s="3" t="n">
        <x:v>49</x:v>
      </x:c>
      <x:c r="C1610" s="9" t="n">
        <x:v>-0.20399776</x:v>
      </x:c>
      <x:c r="D1610" s="3" t="n">
        <x:v>0</x:v>
      </x:c>
      <x:c r="E1610" s="3" t="n">
        <x:v>0</x:v>
      </x:c>
      <x:c r="F1610" s="3" t="n">
        <x:v>1</x:v>
      </x:c>
    </x:row>
    <x:row r="1611" ht="21" customHeight="1">
      <x:c r="A1611" s="3" t="n">
        <x:v>27</x:v>
      </x:c>
      <x:c r="B1611" s="3" t="n">
        <x:v>50</x:v>
      </x:c>
      <x:c r="C1611" s="9" t="n">
        <x:v>0.3328463</x:v>
      </x:c>
      <x:c r="D1611" s="3" t="n">
        <x:v>0</x:v>
      </x:c>
      <x:c r="E1611" s="3" t="n">
        <x:v>0</x:v>
      </x:c>
      <x:c r="F1611" s="3" t="n">
        <x:v>1</x:v>
      </x:c>
    </x:row>
    <x:row r="1612" ht="21" customHeight="1">
      <x:c r="A1612" s="3" t="n">
        <x:v>27</x:v>
      </x:c>
      <x:c r="B1612" s="3" t="n">
        <x:v>51</x:v>
      </x:c>
      <x:c r="C1612" s="9" t="n">
        <x:v>0.08877603</x:v>
      </x:c>
      <x:c r="D1612" s="3" t="n">
        <x:v>0</x:v>
      </x:c>
      <x:c r="E1612" s="3" t="n">
        <x:v>0</x:v>
      </x:c>
      <x:c r="F1612" s="3" t="n">
        <x:v>1</x:v>
      </x:c>
    </x:row>
    <x:row r="1613" ht="21" customHeight="1">
      <x:c r="A1613" s="3" t="n">
        <x:v>27</x:v>
      </x:c>
      <x:c r="B1613" s="3" t="n">
        <x:v>52</x:v>
      </x:c>
      <x:c r="C1613" s="9" t="n">
        <x:v>-0.29876991</x:v>
      </x:c>
      <x:c r="D1613" s="3" t="n">
        <x:v>0</x:v>
      </x:c>
      <x:c r="E1613" s="3" t="n">
        <x:v>0</x:v>
      </x:c>
      <x:c r="F1613" s="3" t="n">
        <x:v>1</x:v>
      </x:c>
    </x:row>
    <x:row r="1614" ht="21" customHeight="1">
      <x:c r="A1614" s="3" t="n">
        <x:v>27</x:v>
      </x:c>
      <x:c r="B1614" s="3" t="n">
        <x:v>53</x:v>
      </x:c>
      <x:c r="C1614" s="9" t="n">
        <x:v>0.88872924</x:v>
      </x:c>
      <x:c r="D1614" s="3" t="n">
        <x:v>0</x:v>
      </x:c>
      <x:c r="E1614" s="3" t="n">
        <x:v>0</x:v>
      </x:c>
      <x:c r="F1614" s="3" t="n">
        <x:v>1</x:v>
      </x:c>
    </x:row>
    <x:row r="1615" ht="21" customHeight="1">
      <x:c r="A1615" s="3" t="n">
        <x:v>27</x:v>
      </x:c>
      <x:c r="B1615" s="3" t="n">
        <x:v>54</x:v>
      </x:c>
      <x:c r="C1615" s="9" t="n">
        <x:v>-0.39497585</x:v>
      </x:c>
      <x:c r="D1615" s="3" t="n">
        <x:v>0</x:v>
      </x:c>
      <x:c r="E1615" s="3" t="n">
        <x:v>0</x:v>
      </x:c>
      <x:c r="F1615" s="3" t="n">
        <x:v>1</x:v>
      </x:c>
    </x:row>
    <x:row r="1616" ht="21" customHeight="1">
      <x:c r="A1616" s="3" t="n">
        <x:v>27</x:v>
      </x:c>
      <x:c r="B1616" s="3" t="n">
        <x:v>55</x:v>
      </x:c>
      <x:c r="C1616" s="9" t="n">
        <x:v>0.70281895</x:v>
      </x:c>
      <x:c r="D1616" s="3" t="n">
        <x:v>0</x:v>
      </x:c>
      <x:c r="E1616" s="3" t="n">
        <x:v>0</x:v>
      </x:c>
      <x:c r="F1616" s="3" t="n">
        <x:v>1</x:v>
      </x:c>
    </x:row>
    <x:row r="1617" ht="21" customHeight="1">
      <x:c r="A1617" s="3" t="n">
        <x:v>27</x:v>
      </x:c>
      <x:c r="B1617" s="3" t="n">
        <x:v>56</x:v>
      </x:c>
      <x:c r="C1617" s="9" t="n">
        <x:v>-0.86370593</x:v>
      </x:c>
      <x:c r="D1617" s="3" t="n">
        <x:v>0</x:v>
      </x:c>
      <x:c r="E1617" s="3" t="n">
        <x:v>0</x:v>
      </x:c>
      <x:c r="F1617" s="3" t="n">
        <x:v>1</x:v>
      </x:c>
    </x:row>
    <x:row r="1618" ht="21" customHeight="1">
      <x:c r="A1618" s="3" t="n">
        <x:v>27</x:v>
      </x:c>
      <x:c r="B1618" s="3" t="n">
        <x:v>57</x:v>
      </x:c>
      <x:c r="C1618" s="9" t="n">
        <x:v>-0.61123062</x:v>
      </x:c>
      <x:c r="D1618" s="3" t="n">
        <x:v>0</x:v>
      </x:c>
      <x:c r="E1618" s="3" t="n">
        <x:v>0</x:v>
      </x:c>
      <x:c r="F1618" s="3" t="n">
        <x:v>1</x:v>
      </x:c>
    </x:row>
    <x:row r="1619" ht="21" customHeight="1">
      <x:c r="A1619" s="3" t="n">
        <x:v>27</x:v>
      </x:c>
      <x:c r="B1619" s="3" t="n">
        <x:v>58</x:v>
      </x:c>
      <x:c r="C1619" s="9" t="n">
        <x:v>-1.085796</x:v>
      </x:c>
      <x:c r="D1619" s="3" t="n">
        <x:v>0</x:v>
      </x:c>
      <x:c r="E1619" s="3" t="n">
        <x:v>0</x:v>
      </x:c>
      <x:c r="F1619" s="3" t="n">
        <x:v>1</x:v>
      </x:c>
    </x:row>
    <x:row r="1620" ht="21" customHeight="1">
      <x:c r="A1620" s="3" t="n">
        <x:v>27</x:v>
      </x:c>
      <x:c r="B1620" s="3" t="n">
        <x:v>59</x:v>
      </x:c>
      <x:c r="C1620" s="9" t="n">
        <x:v>-1.22874823</x:v>
      </x:c>
      <x:c r="D1620" s="3" t="n">
        <x:v>0</x:v>
      </x:c>
      <x:c r="E1620" s="3" t="n">
        <x:v>0</x:v>
      </x:c>
      <x:c r="F1620" s="3" t="n">
        <x:v>1</x:v>
      </x:c>
    </x:row>
    <x:row r="1621" ht="21" customHeight="1">
      <x:c r="A1621" s="3" t="n">
        <x:v>27</x:v>
      </x:c>
      <x:c r="B1621" s="3" t="n">
        <x:v>60</x:v>
      </x:c>
      <x:c r="C1621" s="9" t="n">
        <x:v>0.43943197</x:v>
      </x:c>
      <x:c r="D1621" s="3" t="n">
        <x:v>0</x:v>
      </x:c>
      <x:c r="E1621" s="3" t="n">
        <x:v>0</x:v>
      </x:c>
      <x:c r="F1621" s="3" t="n">
        <x:v>1</x:v>
      </x:c>
    </x:row>
    <x:row r="1622" ht="21" customHeight="1">
      <x:c r="A1622" s="3" t="n">
        <x:v>28</x:v>
      </x:c>
      <x:c r="B1622" s="3" t="n">
        <x:v>1</x:v>
      </x:c>
      <x:c r="C1622" s="9" t="n">
        <x:v>-0.09038805</x:v>
      </x:c>
      <x:c r="D1622" s="3" t="n">
        <x:v>0</x:v>
      </x:c>
      <x:c r="E1622" s="3" t="n">
        <x:v>0</x:v>
      </x:c>
      <x:c r="F1622" s="3" t="n">
        <x:v>1</x:v>
      </x:c>
    </x:row>
    <x:row r="1623" ht="21" customHeight="1">
      <x:c r="A1623" s="3" t="n">
        <x:v>28</x:v>
      </x:c>
      <x:c r="B1623" s="3" t="n">
        <x:v>2</x:v>
      </x:c>
      <x:c r="C1623" s="9" t="n">
        <x:v>0.36876758</x:v>
      </x:c>
      <x:c r="D1623" s="3" t="n">
        <x:v>0</x:v>
      </x:c>
      <x:c r="E1623" s="3" t="n">
        <x:v>0</x:v>
      </x:c>
      <x:c r="F1623" s="3" t="n">
        <x:v>1</x:v>
      </x:c>
    </x:row>
    <x:row r="1624" ht="21" customHeight="1">
      <x:c r="A1624" s="3" t="n">
        <x:v>28</x:v>
      </x:c>
      <x:c r="B1624" s="3" t="n">
        <x:v>3</x:v>
      </x:c>
      <x:c r="C1624" s="9" t="n">
        <x:v>-0.8682296</x:v>
      </x:c>
      <x:c r="D1624" s="3" t="n">
        <x:v>0</x:v>
      </x:c>
      <x:c r="E1624" s="3" t="n">
        <x:v>0</x:v>
      </x:c>
      <x:c r="F1624" s="3" t="n">
        <x:v>1</x:v>
      </x:c>
    </x:row>
    <x:row r="1625" ht="21" customHeight="1">
      <x:c r="A1625" s="3" t="n">
        <x:v>28</x:v>
      </x:c>
      <x:c r="B1625" s="3" t="n">
        <x:v>4</x:v>
      </x:c>
      <x:c r="C1625" s="9" t="n">
        <x:v>2.13535754</x:v>
      </x:c>
      <x:c r="D1625" s="3" t="n">
        <x:v>0</x:v>
      </x:c>
      <x:c r="E1625" s="3" t="n">
        <x:v>0</x:v>
      </x:c>
      <x:c r="F1625" s="3" t="n">
        <x:v>1</x:v>
      </x:c>
    </x:row>
    <x:row r="1626" ht="21" customHeight="1">
      <x:c r="A1626" s="3" t="n">
        <x:v>28</x:v>
      </x:c>
      <x:c r="B1626" s="3" t="n">
        <x:v>5</x:v>
      </x:c>
      <x:c r="C1626" s="9" t="n">
        <x:v>0.61133714</x:v>
      </x:c>
      <x:c r="D1626" s="3" t="n">
        <x:v>0</x:v>
      </x:c>
      <x:c r="E1626" s="3" t="n">
        <x:v>0</x:v>
      </x:c>
      <x:c r="F1626" s="3" t="n">
        <x:v>1</x:v>
      </x:c>
    </x:row>
    <x:row r="1627" ht="21" customHeight="1">
      <x:c r="A1627" s="3" t="n">
        <x:v>28</x:v>
      </x:c>
      <x:c r="B1627" s="3" t="n">
        <x:v>6</x:v>
      </x:c>
      <x:c r="C1627" s="9" t="n">
        <x:v>-1.39789014</x:v>
      </x:c>
      <x:c r="D1627" s="3" t="n">
        <x:v>0</x:v>
      </x:c>
      <x:c r="E1627" s="3" t="n">
        <x:v>0</x:v>
      </x:c>
      <x:c r="F1627" s="3" t="n">
        <x:v>1</x:v>
      </x:c>
    </x:row>
    <x:row r="1628" ht="21" customHeight="1">
      <x:c r="A1628" s="3" t="n">
        <x:v>28</x:v>
      </x:c>
      <x:c r="B1628" s="3" t="n">
        <x:v>7</x:v>
      </x:c>
      <x:c r="C1628" s="9" t="n">
        <x:v>-0.22383121</x:v>
      </x:c>
      <x:c r="D1628" s="3" t="n">
        <x:v>0</x:v>
      </x:c>
      <x:c r="E1628" s="3" t="n">
        <x:v>0</x:v>
      </x:c>
      <x:c r="F1628" s="3" t="n">
        <x:v>1</x:v>
      </x:c>
    </x:row>
    <x:row r="1629" ht="21" customHeight="1">
      <x:c r="A1629" s="3" t="n">
        <x:v>28</x:v>
      </x:c>
      <x:c r="B1629" s="3" t="n">
        <x:v>8</x:v>
      </x:c>
      <x:c r="C1629" s="9" t="n">
        <x:v>-0.28211024</x:v>
      </x:c>
      <x:c r="D1629" s="3" t="n">
        <x:v>0</x:v>
      </x:c>
      <x:c r="E1629" s="3" t="n">
        <x:v>0</x:v>
      </x:c>
      <x:c r="F1629" s="3" t="n">
        <x:v>1</x:v>
      </x:c>
    </x:row>
    <x:row r="1630" ht="21" customHeight="1">
      <x:c r="A1630" s="3" t="n">
        <x:v>28</x:v>
      </x:c>
      <x:c r="B1630" s="3" t="n">
        <x:v>9</x:v>
      </x:c>
      <x:c r="C1630" s="9" t="n">
        <x:v>0.90703026</x:v>
      </x:c>
      <x:c r="D1630" s="3" t="n">
        <x:v>0</x:v>
      </x:c>
      <x:c r="E1630" s="3" t="n">
        <x:v>0</x:v>
      </x:c>
      <x:c r="F1630" s="3" t="n">
        <x:v>1</x:v>
      </x:c>
    </x:row>
    <x:row r="1631" ht="21" customHeight="1">
      <x:c r="A1631" s="3" t="n">
        <x:v>28</x:v>
      </x:c>
      <x:c r="B1631" s="3" t="n">
        <x:v>10</x:v>
      </x:c>
      <x:c r="C1631" s="9" t="n">
        <x:v>-0.98684523</x:v>
      </x:c>
      <x:c r="D1631" s="3" t="n">
        <x:v>0</x:v>
      </x:c>
      <x:c r="E1631" s="3" t="n">
        <x:v>0</x:v>
      </x:c>
      <x:c r="F1631" s="3" t="n">
        <x:v>1</x:v>
      </x:c>
    </x:row>
    <x:row r="1632" ht="21" customHeight="1">
      <x:c r="A1632" s="3" t="n">
        <x:v>28</x:v>
      </x:c>
      <x:c r="B1632" s="3" t="n">
        <x:v>11</x:v>
      </x:c>
      <x:c r="C1632" s="9" t="n">
        <x:v>0.67657142</x:v>
      </x:c>
      <x:c r="D1632" s="3" t="n">
        <x:v>0</x:v>
      </x:c>
      <x:c r="E1632" s="3" t="n">
        <x:v>0</x:v>
      </x:c>
      <x:c r="F1632" s="3" t="n">
        <x:v>1</x:v>
      </x:c>
    </x:row>
    <x:row r="1633" ht="21" customHeight="1">
      <x:c r="A1633" s="3" t="n">
        <x:v>28</x:v>
      </x:c>
      <x:c r="B1633" s="3" t="n">
        <x:v>12</x:v>
      </x:c>
      <x:c r="C1633" s="9" t="n">
        <x:v>-0.96725444</x:v>
      </x:c>
      <x:c r="D1633" s="3" t="n">
        <x:v>0</x:v>
      </x:c>
      <x:c r="E1633" s="3" t="n">
        <x:v>0</x:v>
      </x:c>
      <x:c r="F1633" s="3" t="n">
        <x:v>1</x:v>
      </x:c>
    </x:row>
    <x:row r="1634" ht="21" customHeight="1">
      <x:c r="A1634" s="3" t="n">
        <x:v>28</x:v>
      </x:c>
      <x:c r="B1634" s="3" t="n">
        <x:v>13</x:v>
      </x:c>
      <x:c r="C1634" s="9" t="n">
        <x:v>-0.88976706</x:v>
      </x:c>
      <x:c r="D1634" s="3" t="n">
        <x:v>0</x:v>
      </x:c>
      <x:c r="E1634" s="3" t="n">
        <x:v>0</x:v>
      </x:c>
      <x:c r="F1634" s="3" t="n">
        <x:v>1</x:v>
      </x:c>
    </x:row>
    <x:row r="1635" ht="21" customHeight="1">
      <x:c r="A1635" s="3" t="n">
        <x:v>28</x:v>
      </x:c>
      <x:c r="B1635" s="3" t="n">
        <x:v>14</x:v>
      </x:c>
      <x:c r="C1635" s="9" t="n">
        <x:v>1.35828995</x:v>
      </x:c>
      <x:c r="D1635" s="3" t="n">
        <x:v>0</x:v>
      </x:c>
      <x:c r="E1635" s="3" t="n">
        <x:v>0</x:v>
      </x:c>
      <x:c r="F1635" s="3" t="n">
        <x:v>1</x:v>
      </x:c>
    </x:row>
    <x:row r="1636" ht="21" customHeight="1">
      <x:c r="A1636" s="3" t="n">
        <x:v>28</x:v>
      </x:c>
      <x:c r="B1636" s="3" t="n">
        <x:v>15</x:v>
      </x:c>
      <x:c r="C1636" s="9" t="n">
        <x:v>0.49881895</x:v>
      </x:c>
      <x:c r="D1636" s="3" t="n">
        <x:v>0</x:v>
      </x:c>
      <x:c r="E1636" s="3" t="n">
        <x:v>0</x:v>
      </x:c>
      <x:c r="F1636" s="3" t="n">
        <x:v>1</x:v>
      </x:c>
    </x:row>
    <x:row r="1637" ht="21" customHeight="1">
      <x:c r="A1637" s="3" t="n">
        <x:v>28</x:v>
      </x:c>
      <x:c r="B1637" s="3" t="n">
        <x:v>16</x:v>
      </x:c>
      <x:c r="C1637" s="9" t="n">
        <x:v>-0.16617087</x:v>
      </x:c>
      <x:c r="D1637" s="3" t="n">
        <x:v>0</x:v>
      </x:c>
      <x:c r="E1637" s="3" t="n">
        <x:v>0</x:v>
      </x:c>
      <x:c r="F1637" s="3" t="n">
        <x:v>1</x:v>
      </x:c>
    </x:row>
    <x:row r="1638" ht="21" customHeight="1">
      <x:c r="A1638" s="3" t="n">
        <x:v>28</x:v>
      </x:c>
      <x:c r="B1638" s="3" t="n">
        <x:v>17</x:v>
      </x:c>
      <x:c r="C1638" s="9" t="n">
        <x:v>-0.36112166</x:v>
      </x:c>
      <x:c r="D1638" s="3" t="n">
        <x:v>0</x:v>
      </x:c>
      <x:c r="E1638" s="3" t="n">
        <x:v>0</x:v>
      </x:c>
      <x:c r="F1638" s="3" t="n">
        <x:v>1</x:v>
      </x:c>
    </x:row>
    <x:row r="1639" ht="21" customHeight="1">
      <x:c r="A1639" s="3" t="n">
        <x:v>28</x:v>
      </x:c>
      <x:c r="B1639" s="3" t="n">
        <x:v>18</x:v>
      </x:c>
      <x:c r="C1639" s="9" t="n">
        <x:v>0.8128949</x:v>
      </x:c>
      <x:c r="D1639" s="3" t="n">
        <x:v>0</x:v>
      </x:c>
      <x:c r="E1639" s="3" t="n">
        <x:v>0</x:v>
      </x:c>
      <x:c r="F1639" s="3" t="n">
        <x:v>1</x:v>
      </x:c>
    </x:row>
    <x:row r="1640" ht="21" customHeight="1">
      <x:c r="A1640" s="3" t="n">
        <x:v>28</x:v>
      </x:c>
      <x:c r="B1640" s="3" t="n">
        <x:v>19</x:v>
      </x:c>
      <x:c r="C1640" s="9" t="n">
        <x:v>-0.36857764</x:v>
      </x:c>
      <x:c r="D1640" s="3" t="n">
        <x:v>0</x:v>
      </x:c>
      <x:c r="E1640" s="3" t="n">
        <x:v>0</x:v>
      </x:c>
      <x:c r="F1640" s="3" t="n">
        <x:v>1</x:v>
      </x:c>
    </x:row>
    <x:row r="1641" ht="21" customHeight="1">
      <x:c r="A1641" s="3" t="n">
        <x:v>28</x:v>
      </x:c>
      <x:c r="B1641" s="3" t="n">
        <x:v>20</x:v>
      </x:c>
      <x:c r="C1641" s="9" t="n">
        <x:v>0.5044663</x:v>
      </x:c>
      <x:c r="D1641" s="3" t="n">
        <x:v>0</x:v>
      </x:c>
      <x:c r="E1641" s="3" t="n">
        <x:v>0</x:v>
      </x:c>
      <x:c r="F1641" s="3" t="n">
        <x:v>1</x:v>
      </x:c>
    </x:row>
    <x:row r="1642" ht="21" customHeight="1">
      <x:c r="A1642" s="3" t="n">
        <x:v>28</x:v>
      </x:c>
      <x:c r="B1642" s="3" t="n">
        <x:v>21</x:v>
      </x:c>
      <x:c r="C1642" s="9" t="n">
        <x:v>-1.78746708</x:v>
      </x:c>
      <x:c r="D1642" s="3" t="n">
        <x:v>0</x:v>
      </x:c>
      <x:c r="E1642" s="3" t="n">
        <x:v>0</x:v>
      </x:c>
      <x:c r="F1642" s="3" t="n">
        <x:v>1</x:v>
      </x:c>
    </x:row>
    <x:row r="1643" ht="21" customHeight="1">
      <x:c r="A1643" s="3" t="n">
        <x:v>28</x:v>
      </x:c>
      <x:c r="B1643" s="3" t="n">
        <x:v>22</x:v>
      </x:c>
      <x:c r="C1643" s="9" t="n">
        <x:v>-1.42738886</x:v>
      </x:c>
      <x:c r="D1643" s="3" t="n">
        <x:v>0</x:v>
      </x:c>
      <x:c r="E1643" s="3" t="n">
        <x:v>0</x:v>
      </x:c>
      <x:c r="F1643" s="3" t="n">
        <x:v>1</x:v>
      </x:c>
    </x:row>
    <x:row r="1644" ht="21" customHeight="1">
      <x:c r="A1644" s="3" t="n">
        <x:v>28</x:v>
      </x:c>
      <x:c r="B1644" s="3" t="n">
        <x:v>23</x:v>
      </x:c>
      <x:c r="C1644" s="9" t="n">
        <x:v>0.80789906</x:v>
      </x:c>
      <x:c r="D1644" s="3" t="n">
        <x:v>0</x:v>
      </x:c>
      <x:c r="E1644" s="3" t="n">
        <x:v>0</x:v>
      </x:c>
      <x:c r="F1644" s="3" t="n">
        <x:v>1</x:v>
      </x:c>
    </x:row>
    <x:row r="1645" ht="21" customHeight="1">
      <x:c r="A1645" s="3" t="n">
        <x:v>28</x:v>
      </x:c>
      <x:c r="B1645" s="3" t="n">
        <x:v>24</x:v>
      </x:c>
      <x:c r="C1645" s="9" t="n">
        <x:v>-0.72088963</x:v>
      </x:c>
      <x:c r="D1645" s="3" t="n">
        <x:v>0</x:v>
      </x:c>
      <x:c r="E1645" s="3" t="n">
        <x:v>0</x:v>
      </x:c>
      <x:c r="F1645" s="3" t="n">
        <x:v>1</x:v>
      </x:c>
    </x:row>
    <x:row r="1646" ht="21" customHeight="1">
      <x:c r="A1646" s="3" t="n">
        <x:v>28</x:v>
      </x:c>
      <x:c r="B1646" s="3" t="n">
        <x:v>25</x:v>
      </x:c>
      <x:c r="C1646" s="9" t="n">
        <x:v>0.44324337</x:v>
      </x:c>
      <x:c r="D1646" s="3" t="n">
        <x:v>0</x:v>
      </x:c>
      <x:c r="E1646" s="3" t="n">
        <x:v>0</x:v>
      </x:c>
      <x:c r="F1646" s="3" t="n">
        <x:v>1</x:v>
      </x:c>
    </x:row>
    <x:row r="1647" ht="21" customHeight="1">
      <x:c r="A1647" s="3" t="n">
        <x:v>28</x:v>
      </x:c>
      <x:c r="B1647" s="3" t="n">
        <x:v>26</x:v>
      </x:c>
      <x:c r="C1647" s="9" t="n">
        <x:v>1.93738664</x:v>
      </x:c>
      <x:c r="D1647" s="3" t="n">
        <x:v>0</x:v>
      </x:c>
      <x:c r="E1647" s="3" t="n">
        <x:v>0</x:v>
      </x:c>
      <x:c r="F1647" s="3" t="n">
        <x:v>1</x:v>
      </x:c>
    </x:row>
    <x:row r="1648" ht="21" customHeight="1">
      <x:c r="A1648" s="3" t="n">
        <x:v>28</x:v>
      </x:c>
      <x:c r="B1648" s="3" t="n">
        <x:v>27</x:v>
      </x:c>
      <x:c r="C1648" s="9" t="n">
        <x:v>0.41775897</x:v>
      </x:c>
      <x:c r="D1648" s="3" t="n">
        <x:v>0</x:v>
      </x:c>
      <x:c r="E1648" s="3" t="n">
        <x:v>0</x:v>
      </x:c>
      <x:c r="F1648" s="3" t="n">
        <x:v>1</x:v>
      </x:c>
    </x:row>
    <x:row r="1649" ht="21" customHeight="1">
      <x:c r="A1649" s="3" t="n">
        <x:v>28</x:v>
      </x:c>
      <x:c r="B1649" s="3" t="n">
        <x:v>28</x:v>
      </x:c>
      <x:c r="C1649" s="9" t="n">
        <x:v>-1.23126489</x:v>
      </x:c>
      <x:c r="D1649" s="3" t="n">
        <x:v>0</x:v>
      </x:c>
      <x:c r="E1649" s="3" t="n">
        <x:v>0</x:v>
      </x:c>
      <x:c r="F1649" s="3" t="n">
        <x:v>1</x:v>
      </x:c>
    </x:row>
    <x:row r="1650" ht="21" customHeight="1">
      <x:c r="A1650" s="3" t="n">
        <x:v>28</x:v>
      </x:c>
      <x:c r="B1650" s="3" t="n">
        <x:v>29</x:v>
      </x:c>
      <x:c r="C1650" s="9" t="n">
        <x:v>1.40360778</x:v>
      </x:c>
      <x:c r="D1650" s="3" t="n">
        <x:v>0</x:v>
      </x:c>
      <x:c r="E1650" s="3" t="n">
        <x:v>0</x:v>
      </x:c>
      <x:c r="F1650" s="3" t="n">
        <x:v>1</x:v>
      </x:c>
    </x:row>
    <x:row r="1651" ht="21" customHeight="1">
      <x:c r="A1651" s="3" t="n">
        <x:v>28</x:v>
      </x:c>
      <x:c r="B1651" s="3" t="n">
        <x:v>30</x:v>
      </x:c>
      <x:c r="C1651" s="9" t="n">
        <x:v>0.07249947</x:v>
      </x:c>
      <x:c r="D1651" s="3" t="n">
        <x:v>0</x:v>
      </x:c>
      <x:c r="E1651" s="3" t="n">
        <x:v>0</x:v>
      </x:c>
      <x:c r="F1651" s="3" t="n">
        <x:v>1</x:v>
      </x:c>
    </x:row>
    <x:row r="1652" ht="21" customHeight="1">
      <x:c r="A1652" s="3" t="n">
        <x:v>28</x:v>
      </x:c>
      <x:c r="B1652" s="3" t="n">
        <x:v>31</x:v>
      </x:c>
      <x:c r="C1652" s="9" t="n">
        <x:v>-1.65363213</x:v>
      </x:c>
      <x:c r="D1652" s="3" t="n">
        <x:v>0</x:v>
      </x:c>
      <x:c r="E1652" s="3" t="n">
        <x:v>0</x:v>
      </x:c>
      <x:c r="F1652" s="3" t="n">
        <x:v>1</x:v>
      </x:c>
    </x:row>
    <x:row r="1653" ht="21" customHeight="1">
      <x:c r="A1653" s="3" t="n">
        <x:v>28</x:v>
      </x:c>
      <x:c r="B1653" s="3" t="n">
        <x:v>32</x:v>
      </x:c>
      <x:c r="C1653" s="9" t="n">
        <x:v>0.52413333</x:v>
      </x:c>
      <x:c r="D1653" s="3" t="n">
        <x:v>0</x:v>
      </x:c>
      <x:c r="E1653" s="3" t="n">
        <x:v>0</x:v>
      </x:c>
      <x:c r="F1653" s="3" t="n">
        <x:v>1</x:v>
      </x:c>
    </x:row>
    <x:row r="1654" ht="21" customHeight="1">
      <x:c r="A1654" s="3" t="n">
        <x:v>28</x:v>
      </x:c>
      <x:c r="B1654" s="3" t="n">
        <x:v>33</x:v>
      </x:c>
      <x:c r="C1654" s="9" t="n">
        <x:v>-0.59371999</x:v>
      </x:c>
      <x:c r="D1654" s="3" t="n">
        <x:v>0</x:v>
      </x:c>
      <x:c r="E1654" s="3" t="n">
        <x:v>0</x:v>
      </x:c>
      <x:c r="F1654" s="3" t="n">
        <x:v>1</x:v>
      </x:c>
    </x:row>
    <x:row r="1655" ht="21" customHeight="1">
      <x:c r="A1655" s="3" t="n">
        <x:v>28</x:v>
      </x:c>
      <x:c r="B1655" s="3" t="n">
        <x:v>34</x:v>
      </x:c>
      <x:c r="C1655" s="9" t="n">
        <x:v>-0.91083765</x:v>
      </x:c>
      <x:c r="D1655" s="3" t="n">
        <x:v>0</x:v>
      </x:c>
      <x:c r="E1655" s="3" t="n">
        <x:v>0</x:v>
      </x:c>
      <x:c r="F1655" s="3" t="n">
        <x:v>1</x:v>
      </x:c>
    </x:row>
    <x:row r="1656" ht="21" customHeight="1">
      <x:c r="A1656" s="3" t="n">
        <x:v>28</x:v>
      </x:c>
      <x:c r="B1656" s="3" t="n">
        <x:v>35</x:v>
      </x:c>
      <x:c r="C1656" s="9" t="n">
        <x:v>0.10985294</x:v>
      </x:c>
      <x:c r="D1656" s="3" t="n">
        <x:v>0</x:v>
      </x:c>
      <x:c r="E1656" s="3" t="n">
        <x:v>0</x:v>
      </x:c>
      <x:c r="F1656" s="3" t="n">
        <x:v>1</x:v>
      </x:c>
    </x:row>
    <x:row r="1657" ht="21" customHeight="1">
      <x:c r="A1657" s="3" t="n">
        <x:v>28</x:v>
      </x:c>
      <x:c r="B1657" s="3" t="n">
        <x:v>36</x:v>
      </x:c>
      <x:c r="C1657" s="9" t="n">
        <x:v>0.55573281</x:v>
      </x:c>
      <x:c r="D1657" s="3" t="n">
        <x:v>0</x:v>
      </x:c>
      <x:c r="E1657" s="3" t="n">
        <x:v>0</x:v>
      </x:c>
      <x:c r="F1657" s="3" t="n">
        <x:v>1</x:v>
      </x:c>
    </x:row>
    <x:row r="1658" ht="21" customHeight="1">
      <x:c r="A1658" s="3" t="n">
        <x:v>28</x:v>
      </x:c>
      <x:c r="B1658" s="3" t="n">
        <x:v>37</x:v>
      </x:c>
      <x:c r="C1658" s="9" t="n">
        <x:v>1.53127876</x:v>
      </x:c>
      <x:c r="D1658" s="3" t="n">
        <x:v>0</x:v>
      </x:c>
      <x:c r="E1658" s="3" t="n">
        <x:v>0</x:v>
      </x:c>
      <x:c r="F1658" s="3" t="n">
        <x:v>1</x:v>
      </x:c>
    </x:row>
    <x:row r="1659" ht="21" customHeight="1">
      <x:c r="A1659" s="3" t="n">
        <x:v>28</x:v>
      </x:c>
      <x:c r="B1659" s="3" t="n">
        <x:v>38</x:v>
      </x:c>
      <x:c r="C1659" s="9" t="n">
        <x:v>-1.07456158</x:v>
      </x:c>
      <x:c r="D1659" s="3" t="n">
        <x:v>0</x:v>
      </x:c>
      <x:c r="E1659" s="3" t="n">
        <x:v>0</x:v>
      </x:c>
      <x:c r="F1659" s="3" t="n">
        <x:v>1</x:v>
      </x:c>
    </x:row>
    <x:row r="1660" ht="21" customHeight="1">
      <x:c r="A1660" s="3" t="n">
        <x:v>28</x:v>
      </x:c>
      <x:c r="B1660" s="3" t="n">
        <x:v>39</x:v>
      </x:c>
      <x:c r="C1660" s="9" t="n">
        <x:v>-1.39332095</x:v>
      </x:c>
      <x:c r="D1660" s="3" t="n">
        <x:v>0</x:v>
      </x:c>
      <x:c r="E1660" s="3" t="n">
        <x:v>0</x:v>
      </x:c>
      <x:c r="F1660" s="3" t="n">
        <x:v>1</x:v>
      </x:c>
    </x:row>
    <x:row r="1661" ht="21" customHeight="1">
      <x:c r="A1661" s="3" t="n">
        <x:v>28</x:v>
      </x:c>
      <x:c r="B1661" s="3" t="n">
        <x:v>40</x:v>
      </x:c>
      <x:c r="C1661" s="9" t="n">
        <x:v>0.41796203</x:v>
      </x:c>
      <x:c r="D1661" s="3" t="n">
        <x:v>0</x:v>
      </x:c>
      <x:c r="E1661" s="3" t="n">
        <x:v>0</x:v>
      </x:c>
      <x:c r="F1661" s="3" t="n">
        <x:v>1</x:v>
      </x:c>
    </x:row>
    <x:row r="1662" ht="21" customHeight="1">
      <x:c r="A1662" s="3" t="n">
        <x:v>28</x:v>
      </x:c>
      <x:c r="B1662" s="3" t="n">
        <x:v>41</x:v>
      </x:c>
      <x:c r="C1662" s="9" t="n">
        <x:v>-1.20668981</x:v>
      </x:c>
      <x:c r="D1662" s="3" t="n">
        <x:v>0</x:v>
      </x:c>
      <x:c r="E1662" s="3" t="n">
        <x:v>0</x:v>
      </x:c>
      <x:c r="F1662" s="3" t="n">
        <x:v>1</x:v>
      </x:c>
    </x:row>
    <x:row r="1663" ht="21" customHeight="1">
      <x:c r="A1663" s="3" t="n">
        <x:v>28</x:v>
      </x:c>
      <x:c r="B1663" s="3" t="n">
        <x:v>42</x:v>
      </x:c>
      <x:c r="C1663" s="9" t="n">
        <x:v>-0.92451703</x:v>
      </x:c>
      <x:c r="D1663" s="3" t="n">
        <x:v>0</x:v>
      </x:c>
      <x:c r="E1663" s="3" t="n">
        <x:v>0</x:v>
      </x:c>
      <x:c r="F1663" s="3" t="n">
        <x:v>1</x:v>
      </x:c>
    </x:row>
    <x:row r="1664" ht="21" customHeight="1">
      <x:c r="A1664" s="3" t="n">
        <x:v>28</x:v>
      </x:c>
      <x:c r="B1664" s="3" t="n">
        <x:v>43</x:v>
      </x:c>
      <x:c r="C1664" s="9" t="n">
        <x:v>-0.20362896</x:v>
      </x:c>
      <x:c r="D1664" s="3" t="n">
        <x:v>0</x:v>
      </x:c>
      <x:c r="E1664" s="3" t="n">
        <x:v>0</x:v>
      </x:c>
      <x:c r="F1664" s="3" t="n">
        <x:v>1</x:v>
      </x:c>
    </x:row>
    <x:row r="1665" ht="21" customHeight="1">
      <x:c r="A1665" s="3" t="n">
        <x:v>28</x:v>
      </x:c>
      <x:c r="B1665" s="3" t="n">
        <x:v>44</x:v>
      </x:c>
      <x:c r="C1665" s="9" t="n">
        <x:v>-0.7368127</x:v>
      </x:c>
      <x:c r="D1665" s="3" t="n">
        <x:v>0</x:v>
      </x:c>
      <x:c r="E1665" s="3" t="n">
        <x:v>0</x:v>
      </x:c>
      <x:c r="F1665" s="3" t="n">
        <x:v>1</x:v>
      </x:c>
    </x:row>
    <x:row r="1666" ht="21" customHeight="1">
      <x:c r="A1666" s="3" t="n">
        <x:v>28</x:v>
      </x:c>
      <x:c r="B1666" s="3" t="n">
        <x:v>45</x:v>
      </x:c>
      <x:c r="C1666" s="9" t="n">
        <x:v>-1.19630801</x:v>
      </x:c>
      <x:c r="D1666" s="3" t="n">
        <x:v>0</x:v>
      </x:c>
      <x:c r="E1666" s="3" t="n">
        <x:v>0</x:v>
      </x:c>
      <x:c r="F1666" s="3" t="n">
        <x:v>1</x:v>
      </x:c>
    </x:row>
    <x:row r="1667" ht="21" customHeight="1">
      <x:c r="A1667" s="3" t="n">
        <x:v>28</x:v>
      </x:c>
      <x:c r="B1667" s="3" t="n">
        <x:v>46</x:v>
      </x:c>
      <x:c r="C1667" s="9" t="n">
        <x:v>1.11846268</x:v>
      </x:c>
      <x:c r="D1667" s="3" t="n">
        <x:v>0</x:v>
      </x:c>
      <x:c r="E1667" s="3" t="n">
        <x:v>0</x:v>
      </x:c>
      <x:c r="F1667" s="3" t="n">
        <x:v>1</x:v>
      </x:c>
    </x:row>
    <x:row r="1668" ht="21" customHeight="1">
      <x:c r="A1668" s="3" t="n">
        <x:v>28</x:v>
      </x:c>
      <x:c r="B1668" s="3" t="n">
        <x:v>47</x:v>
      </x:c>
      <x:c r="C1668" s="9" t="n">
        <x:v>-0.86035943</x:v>
      </x:c>
      <x:c r="D1668" s="3" t="n">
        <x:v>0</x:v>
      </x:c>
      <x:c r="E1668" s="3" t="n">
        <x:v>0</x:v>
      </x:c>
      <x:c r="F1668" s="3" t="n">
        <x:v>1</x:v>
      </x:c>
    </x:row>
    <x:row r="1669" ht="21" customHeight="1">
      <x:c r="A1669" s="3" t="n">
        <x:v>28</x:v>
      </x:c>
      <x:c r="B1669" s="3" t="n">
        <x:v>48</x:v>
      </x:c>
      <x:c r="C1669" s="9" t="n">
        <x:v>0.62007177</x:v>
      </x:c>
      <x:c r="D1669" s="3" t="n">
        <x:v>0</x:v>
      </x:c>
      <x:c r="E1669" s="3" t="n">
        <x:v>0</x:v>
      </x:c>
      <x:c r="F1669" s="3" t="n">
        <x:v>1</x:v>
      </x:c>
    </x:row>
    <x:row r="1670" ht="21" customHeight="1">
      <x:c r="A1670" s="3" t="n">
        <x:v>28</x:v>
      </x:c>
      <x:c r="B1670" s="3" t="n">
        <x:v>49</x:v>
      </x:c>
      <x:c r="C1670" s="9" t="n">
        <x:v>-0.14465385</x:v>
      </x:c>
      <x:c r="D1670" s="3" t="n">
        <x:v>0</x:v>
      </x:c>
      <x:c r="E1670" s="3" t="n">
        <x:v>0</x:v>
      </x:c>
      <x:c r="F1670" s="3" t="n">
        <x:v>1</x:v>
      </x:c>
    </x:row>
    <x:row r="1671" ht="21" customHeight="1">
      <x:c r="A1671" s="3" t="n">
        <x:v>28</x:v>
      </x:c>
      <x:c r="B1671" s="3" t="n">
        <x:v>50</x:v>
      </x:c>
      <x:c r="C1671" s="9" t="n">
        <x:v>0.20553372</x:v>
      </x:c>
      <x:c r="D1671" s="3" t="n">
        <x:v>0</x:v>
      </x:c>
      <x:c r="E1671" s="3" t="n">
        <x:v>0</x:v>
      </x:c>
      <x:c r="F1671" s="3" t="n">
        <x:v>1</x:v>
      </x:c>
    </x:row>
    <x:row r="1672" ht="21" customHeight="1">
      <x:c r="A1672" s="3" t="n">
        <x:v>28</x:v>
      </x:c>
      <x:c r="B1672" s="3" t="n">
        <x:v>51</x:v>
      </x:c>
      <x:c r="C1672" s="9" t="n">
        <x:v>2.13324288</x:v>
      </x:c>
      <x:c r="D1672" s="3" t="n">
        <x:v>0</x:v>
      </x:c>
      <x:c r="E1672" s="3" t="n">
        <x:v>0</x:v>
      </x:c>
      <x:c r="F1672" s="3" t="n">
        <x:v>1</x:v>
      </x:c>
    </x:row>
    <x:row r="1673" ht="21" customHeight="1">
      <x:c r="A1673" s="3" t="n">
        <x:v>28</x:v>
      </x:c>
      <x:c r="B1673" s="3" t="n">
        <x:v>52</x:v>
      </x:c>
      <x:c r="C1673" s="9" t="n">
        <x:v>0.68575786</x:v>
      </x:c>
      <x:c r="D1673" s="3" t="n">
        <x:v>0</x:v>
      </x:c>
      <x:c r="E1673" s="3" t="n">
        <x:v>0</x:v>
      </x:c>
      <x:c r="F1673" s="3" t="n">
        <x:v>1</x:v>
      </x:c>
    </x:row>
    <x:row r="1674" ht="21" customHeight="1">
      <x:c r="A1674" s="3" t="n">
        <x:v>28</x:v>
      </x:c>
      <x:c r="B1674" s="3" t="n">
        <x:v>53</x:v>
      </x:c>
      <x:c r="C1674" s="9" t="n">
        <x:v>-0.31065601</x:v>
      </x:c>
      <x:c r="D1674" s="3" t="n">
        <x:v>0</x:v>
      </x:c>
      <x:c r="E1674" s="3" t="n">
        <x:v>0</x:v>
      </x:c>
      <x:c r="F1674" s="3" t="n">
        <x:v>1</x:v>
      </x:c>
    </x:row>
    <x:row r="1675" ht="21" customHeight="1">
      <x:c r="A1675" s="3" t="n">
        <x:v>28</x:v>
      </x:c>
      <x:c r="B1675" s="3" t="n">
        <x:v>54</x:v>
      </x:c>
      <x:c r="C1675" s="9" t="n">
        <x:v>-1.65318853</x:v>
      </x:c>
      <x:c r="D1675" s="3" t="n">
        <x:v>0</x:v>
      </x:c>
      <x:c r="E1675" s="3" t="n">
        <x:v>0</x:v>
      </x:c>
      <x:c r="F1675" s="3" t="n">
        <x:v>1</x:v>
      </x:c>
    </x:row>
    <x:row r="1676" ht="21" customHeight="1">
      <x:c r="A1676" s="3" t="n">
        <x:v>28</x:v>
      </x:c>
      <x:c r="B1676" s="3" t="n">
        <x:v>55</x:v>
      </x:c>
      <x:c r="C1676" s="9" t="n">
        <x:v>-0.25609111</x:v>
      </x:c>
      <x:c r="D1676" s="3" t="n">
        <x:v>0</x:v>
      </x:c>
      <x:c r="E1676" s="3" t="n">
        <x:v>0</x:v>
      </x:c>
      <x:c r="F1676" s="3" t="n">
        <x:v>1</x:v>
      </x:c>
    </x:row>
    <x:row r="1677" ht="21" customHeight="1">
      <x:c r="A1677" s="3" t="n">
        <x:v>28</x:v>
      </x:c>
      <x:c r="B1677" s="3" t="n">
        <x:v>56</x:v>
      </x:c>
      <x:c r="C1677" s="9" t="n">
        <x:v>1.94958756</x:v>
      </x:c>
      <x:c r="D1677" s="3" t="n">
        <x:v>0</x:v>
      </x:c>
      <x:c r="E1677" s="3" t="n">
        <x:v>0</x:v>
      </x:c>
      <x:c r="F1677" s="3" t="n">
        <x:v>1</x:v>
      </x:c>
    </x:row>
    <x:row r="1678" ht="21" customHeight="1">
      <x:c r="A1678" s="3" t="n">
        <x:v>28</x:v>
      </x:c>
      <x:c r="B1678" s="3" t="n">
        <x:v>57</x:v>
      </x:c>
      <x:c r="C1678" s="9" t="n">
        <x:v>0.03473454</x:v>
      </x:c>
      <x:c r="D1678" s="3" t="n">
        <x:v>0</x:v>
      </x:c>
      <x:c r="E1678" s="3" t="n">
        <x:v>0</x:v>
      </x:c>
      <x:c r="F1678" s="3" t="n">
        <x:v>1</x:v>
      </x:c>
    </x:row>
    <x:row r="1679" ht="21" customHeight="1">
      <x:c r="A1679" s="3" t="n">
        <x:v>28</x:v>
      </x:c>
      <x:c r="B1679" s="3" t="n">
        <x:v>58</x:v>
      </x:c>
      <x:c r="C1679" s="9" t="n">
        <x:v>-2.27515393</x:v>
      </x:c>
      <x:c r="D1679" s="3" t="n">
        <x:v>0</x:v>
      </x:c>
      <x:c r="E1679" s="3" t="n">
        <x:v>0</x:v>
      </x:c>
      <x:c r="F1679" s="3" t="n">
        <x:v>1</x:v>
      </x:c>
    </x:row>
    <x:row r="1680" ht="21" customHeight="1">
      <x:c r="A1680" s="3" t="n">
        <x:v>28</x:v>
      </x:c>
      <x:c r="B1680" s="3" t="n">
        <x:v>59</x:v>
      </x:c>
      <x:c r="C1680" s="9" t="n">
        <x:v>0.46884446</x:v>
      </x:c>
      <x:c r="D1680" s="3" t="n">
        <x:v>0</x:v>
      </x:c>
      <x:c r="E1680" s="3" t="n">
        <x:v>0</x:v>
      </x:c>
      <x:c r="F1680" s="3" t="n">
        <x:v>1</x:v>
      </x:c>
    </x:row>
    <x:row r="1681" ht="21" customHeight="1">
      <x:c r="A1681" s="3" t="n">
        <x:v>28</x:v>
      </x:c>
      <x:c r="B1681" s="3" t="n">
        <x:v>60</x:v>
      </x:c>
      <x:c r="C1681" s="9" t="n">
        <x:v>-0.83506287</x:v>
      </x:c>
      <x:c r="D1681" s="3" t="n">
        <x:v>0</x:v>
      </x:c>
      <x:c r="E1681" s="3" t="n">
        <x:v>0</x:v>
      </x:c>
      <x:c r="F1681" s="3" t="n">
        <x:v>1</x:v>
      </x:c>
    </x:row>
    <x:row r="1682" ht="21" customHeight="1">
      <x:c r="A1682" s="3" t="n">
        <x:v>29</x:v>
      </x:c>
      <x:c r="B1682" s="3" t="n">
        <x:v>1</x:v>
      </x:c>
      <x:c r="C1682" s="9" t="n">
        <x:v>-0.19651863</x:v>
      </x:c>
      <x:c r="D1682" s="3" t="n">
        <x:v>0</x:v>
      </x:c>
      <x:c r="E1682" s="3" t="n">
        <x:v>0</x:v>
      </x:c>
      <x:c r="F1682" s="3" t="n">
        <x:v>1</x:v>
      </x:c>
    </x:row>
    <x:row r="1683" ht="21" customHeight="1">
      <x:c r="A1683" s="3" t="n">
        <x:v>29</x:v>
      </x:c>
      <x:c r="B1683" s="3" t="n">
        <x:v>2</x:v>
      </x:c>
      <x:c r="C1683" s="9" t="n">
        <x:v>0.21247421</x:v>
      </x:c>
      <x:c r="D1683" s="3" t="n">
        <x:v>0</x:v>
      </x:c>
      <x:c r="E1683" s="3" t="n">
        <x:v>0</x:v>
      </x:c>
      <x:c r="F1683" s="3" t="n">
        <x:v>1</x:v>
      </x:c>
    </x:row>
    <x:row r="1684" ht="21" customHeight="1">
      <x:c r="A1684" s="3" t="n">
        <x:v>29</x:v>
      </x:c>
      <x:c r="B1684" s="3" t="n">
        <x:v>3</x:v>
      </x:c>
      <x:c r="C1684" s="9" t="n">
        <x:v>1.26070737</x:v>
      </x:c>
      <x:c r="D1684" s="3" t="n">
        <x:v>0</x:v>
      </x:c>
      <x:c r="E1684" s="3" t="n">
        <x:v>0</x:v>
      </x:c>
      <x:c r="F1684" s="3" t="n">
        <x:v>1</x:v>
      </x:c>
    </x:row>
    <x:row r="1685" ht="21" customHeight="1">
      <x:c r="A1685" s="3" t="n">
        <x:v>29</x:v>
      </x:c>
      <x:c r="B1685" s="3" t="n">
        <x:v>4</x:v>
      </x:c>
      <x:c r="C1685" s="9" t="n">
        <x:v>0.19918571</x:v>
      </x:c>
      <x:c r="D1685" s="3" t="n">
        <x:v>0</x:v>
      </x:c>
      <x:c r="E1685" s="3" t="n">
        <x:v>0</x:v>
      </x:c>
      <x:c r="F1685" s="3" t="n">
        <x:v>1</x:v>
      </x:c>
    </x:row>
    <x:row r="1686" ht="21" customHeight="1">
      <x:c r="A1686" s="3" t="n">
        <x:v>29</x:v>
      </x:c>
      <x:c r="B1686" s="3" t="n">
        <x:v>5</x:v>
      </x:c>
      <x:c r="C1686" s="9" t="n">
        <x:v>-0.90533138</x:v>
      </x:c>
      <x:c r="D1686" s="3" t="n">
        <x:v>0</x:v>
      </x:c>
      <x:c r="E1686" s="3" t="n">
        <x:v>0</x:v>
      </x:c>
      <x:c r="F1686" s="3" t="n">
        <x:v>1</x:v>
      </x:c>
    </x:row>
    <x:row r="1687" ht="21" customHeight="1">
      <x:c r="A1687" s="3" t="n">
        <x:v>29</x:v>
      </x:c>
      <x:c r="B1687" s="3" t="n">
        <x:v>6</x:v>
      </x:c>
      <x:c r="C1687" s="9" t="n">
        <x:v>-1.11353216</x:v>
      </x:c>
      <x:c r="D1687" s="3" t="n">
        <x:v>0</x:v>
      </x:c>
      <x:c r="E1687" s="3" t="n">
        <x:v>0</x:v>
      </x:c>
      <x:c r="F1687" s="3" t="n">
        <x:v>1</x:v>
      </x:c>
    </x:row>
    <x:row r="1688" ht="21" customHeight="1">
      <x:c r="A1688" s="3" t="n">
        <x:v>29</x:v>
      </x:c>
      <x:c r="B1688" s="3" t="n">
        <x:v>7</x:v>
      </x:c>
      <x:c r="C1688" s="9" t="n">
        <x:v>1.10574273</x:v>
      </x:c>
      <x:c r="D1688" s="3" t="n">
        <x:v>0</x:v>
      </x:c>
      <x:c r="E1688" s="3" t="n">
        <x:v>0</x:v>
      </x:c>
      <x:c r="F1688" s="3" t="n">
        <x:v>1</x:v>
      </x:c>
    </x:row>
    <x:row r="1689" ht="21" customHeight="1">
      <x:c r="A1689" s="3" t="n">
        <x:v>29</x:v>
      </x:c>
      <x:c r="B1689" s="3" t="n">
        <x:v>8</x:v>
      </x:c>
      <x:c r="C1689" s="9" t="n">
        <x:v>-0.43086537</x:v>
      </x:c>
      <x:c r="D1689" s="3" t="n">
        <x:v>0</x:v>
      </x:c>
      <x:c r="E1689" s="3" t="n">
        <x:v>0</x:v>
      </x:c>
      <x:c r="F1689" s="3" t="n">
        <x:v>1</x:v>
      </x:c>
    </x:row>
    <x:row r="1690" ht="21" customHeight="1">
      <x:c r="A1690" s="3" t="n">
        <x:v>29</x:v>
      </x:c>
      <x:c r="B1690" s="3" t="n">
        <x:v>9</x:v>
      </x:c>
      <x:c r="C1690" s="9" t="n">
        <x:v>-0.43797394</x:v>
      </x:c>
      <x:c r="D1690" s="3" t="n">
        <x:v>0</x:v>
      </x:c>
      <x:c r="E1690" s="3" t="n">
        <x:v>0</x:v>
      </x:c>
      <x:c r="F1690" s="3" t="n">
        <x:v>1</x:v>
      </x:c>
    </x:row>
    <x:row r="1691" ht="21" customHeight="1">
      <x:c r="A1691" s="3" t="n">
        <x:v>29</x:v>
      </x:c>
      <x:c r="B1691" s="3" t="n">
        <x:v>10</x:v>
      </x:c>
      <x:c r="C1691" s="9" t="n">
        <x:v>-0.63443516</x:v>
      </x:c>
      <x:c r="D1691" s="3" t="n">
        <x:v>0</x:v>
      </x:c>
      <x:c r="E1691" s="3" t="n">
        <x:v>0</x:v>
      </x:c>
      <x:c r="F1691" s="3" t="n">
        <x:v>1</x:v>
      </x:c>
    </x:row>
    <x:row r="1692" ht="21" customHeight="1">
      <x:c r="A1692" s="3" t="n">
        <x:v>29</x:v>
      </x:c>
      <x:c r="B1692" s="3" t="n">
        <x:v>11</x:v>
      </x:c>
      <x:c r="C1692" s="9" t="n">
        <x:v>-0.77894991</x:v>
      </x:c>
      <x:c r="D1692" s="3" t="n">
        <x:v>0</x:v>
      </x:c>
      <x:c r="E1692" s="3" t="n">
        <x:v>0</x:v>
      </x:c>
      <x:c r="F1692" s="3" t="n">
        <x:v>1</x:v>
      </x:c>
    </x:row>
    <x:row r="1693" ht="21" customHeight="1">
      <x:c r="A1693" s="3" t="n">
        <x:v>29</x:v>
      </x:c>
      <x:c r="B1693" s="3" t="n">
        <x:v>12</x:v>
      </x:c>
      <x:c r="C1693" s="9" t="n">
        <x:v>-0.08958715</x:v>
      </x:c>
      <x:c r="D1693" s="3" t="n">
        <x:v>0</x:v>
      </x:c>
      <x:c r="E1693" s="3" t="n">
        <x:v>0</x:v>
      </x:c>
      <x:c r="F1693" s="3" t="n">
        <x:v>1</x:v>
      </x:c>
    </x:row>
    <x:row r="1694" ht="21" customHeight="1">
      <x:c r="A1694" s="3" t="n">
        <x:v>29</x:v>
      </x:c>
      <x:c r="B1694" s="3" t="n">
        <x:v>13</x:v>
      </x:c>
      <x:c r="C1694" s="9" t="n">
        <x:v>-1.3001693</x:v>
      </x:c>
      <x:c r="D1694" s="3" t="n">
        <x:v>0</x:v>
      </x:c>
      <x:c r="E1694" s="3" t="n">
        <x:v>0</x:v>
      </x:c>
      <x:c r="F1694" s="3" t="n">
        <x:v>1</x:v>
      </x:c>
    </x:row>
    <x:row r="1695" ht="21" customHeight="1">
      <x:c r="A1695" s="3" t="n">
        <x:v>29</x:v>
      </x:c>
      <x:c r="B1695" s="3" t="n">
        <x:v>14</x:v>
      </x:c>
      <x:c r="C1695" s="9" t="n">
        <x:v>1.10100717</x:v>
      </x:c>
      <x:c r="D1695" s="3" t="n">
        <x:v>0</x:v>
      </x:c>
      <x:c r="E1695" s="3" t="n">
        <x:v>0</x:v>
      </x:c>
      <x:c r="F1695" s="3" t="n">
        <x:v>1</x:v>
      </x:c>
    </x:row>
    <x:row r="1696" ht="21" customHeight="1">
      <x:c r="A1696" s="3" t="n">
        <x:v>29</x:v>
      </x:c>
      <x:c r="B1696" s="3" t="n">
        <x:v>15</x:v>
      </x:c>
      <x:c r="C1696" s="9" t="n">
        <x:v>-0.13835149</x:v>
      </x:c>
      <x:c r="D1696" s="3" t="n">
        <x:v>0</x:v>
      </x:c>
      <x:c r="E1696" s="3" t="n">
        <x:v>0</x:v>
      </x:c>
      <x:c r="F1696" s="3" t="n">
        <x:v>1</x:v>
      </x:c>
    </x:row>
    <x:row r="1697" ht="21" customHeight="1">
      <x:c r="A1697" s="3" t="n">
        <x:v>29</x:v>
      </x:c>
      <x:c r="B1697" s="3" t="n">
        <x:v>16</x:v>
      </x:c>
      <x:c r="C1697" s="9" t="n">
        <x:v>0.93692297</x:v>
      </x:c>
      <x:c r="D1697" s="3" t="n">
        <x:v>0</x:v>
      </x:c>
      <x:c r="E1697" s="3" t="n">
        <x:v>0</x:v>
      </x:c>
      <x:c r="F1697" s="3" t="n">
        <x:v>1</x:v>
      </x:c>
    </x:row>
    <x:row r="1698" ht="21" customHeight="1">
      <x:c r="A1698" s="3" t="n">
        <x:v>29</x:v>
      </x:c>
      <x:c r="B1698" s="3" t="n">
        <x:v>17</x:v>
      </x:c>
      <x:c r="C1698" s="9" t="n">
        <x:v>-1.57440533</x:v>
      </x:c>
      <x:c r="D1698" s="3" t="n">
        <x:v>0</x:v>
      </x:c>
      <x:c r="E1698" s="3" t="n">
        <x:v>0</x:v>
      </x:c>
      <x:c r="F1698" s="3" t="n">
        <x:v>1</x:v>
      </x:c>
    </x:row>
    <x:row r="1699" ht="21" customHeight="1">
      <x:c r="A1699" s="3" t="n">
        <x:v>29</x:v>
      </x:c>
      <x:c r="B1699" s="3" t="n">
        <x:v>18</x:v>
      </x:c>
      <x:c r="C1699" s="9" t="n">
        <x:v>-0.56722617</x:v>
      </x:c>
      <x:c r="D1699" s="3" t="n">
        <x:v>0</x:v>
      </x:c>
      <x:c r="E1699" s="3" t="n">
        <x:v>0</x:v>
      </x:c>
      <x:c r="F1699" s="3" t="n">
        <x:v>1</x:v>
      </x:c>
    </x:row>
    <x:row r="1700" ht="21" customHeight="1">
      <x:c r="A1700" s="3" t="n">
        <x:v>29</x:v>
      </x:c>
      <x:c r="B1700" s="3" t="n">
        <x:v>19</x:v>
      </x:c>
      <x:c r="C1700" s="9" t="n">
        <x:v>1.11619012</x:v>
      </x:c>
      <x:c r="D1700" s="3" t="n">
        <x:v>0</x:v>
      </x:c>
      <x:c r="E1700" s="3" t="n">
        <x:v>0</x:v>
      </x:c>
      <x:c r="F1700" s="3" t="n">
        <x:v>1</x:v>
      </x:c>
    </x:row>
    <x:row r="1701" ht="21" customHeight="1">
      <x:c r="A1701" s="3" t="n">
        <x:v>29</x:v>
      </x:c>
      <x:c r="B1701" s="3" t="n">
        <x:v>20</x:v>
      </x:c>
      <x:c r="C1701" s="9" t="n">
        <x:v>-0.85181503</x:v>
      </x:c>
      <x:c r="D1701" s="3" t="n">
        <x:v>0</x:v>
      </x:c>
      <x:c r="E1701" s="3" t="n">
        <x:v>0</x:v>
      </x:c>
      <x:c r="F1701" s="3" t="n">
        <x:v>1</x:v>
      </x:c>
    </x:row>
    <x:row r="1702" ht="21" customHeight="1">
      <x:c r="A1702" s="3" t="n">
        <x:v>29</x:v>
      </x:c>
      <x:c r="B1702" s="3" t="n">
        <x:v>21</x:v>
      </x:c>
      <x:c r="C1702" s="9" t="n">
        <x:v>0.39141375</x:v>
      </x:c>
      <x:c r="D1702" s="3" t="n">
        <x:v>0</x:v>
      </x:c>
      <x:c r="E1702" s="3" t="n">
        <x:v>0</x:v>
      </x:c>
      <x:c r="F1702" s="3" t="n">
        <x:v>1</x:v>
      </x:c>
    </x:row>
    <x:row r="1703" ht="21" customHeight="1">
      <x:c r="A1703" s="3" t="n">
        <x:v>29</x:v>
      </x:c>
      <x:c r="B1703" s="3" t="n">
        <x:v>22</x:v>
      </x:c>
      <x:c r="C1703" s="9" t="n">
        <x:v>0.3350904</x:v>
      </x:c>
      <x:c r="D1703" s="3" t="n">
        <x:v>0</x:v>
      </x:c>
      <x:c r="E1703" s="3" t="n">
        <x:v>0</x:v>
      </x:c>
      <x:c r="F1703" s="3" t="n">
        <x:v>1</x:v>
      </x:c>
    </x:row>
    <x:row r="1704" ht="21" customHeight="1">
      <x:c r="A1704" s="3" t="n">
        <x:v>29</x:v>
      </x:c>
      <x:c r="B1704" s="3" t="n">
        <x:v>23</x:v>
      </x:c>
      <x:c r="C1704" s="9" t="n">
        <x:v>-0.10996311</x:v>
      </x:c>
      <x:c r="D1704" s="3" t="n">
        <x:v>0</x:v>
      </x:c>
      <x:c r="E1704" s="3" t="n">
        <x:v>0</x:v>
      </x:c>
      <x:c r="F1704" s="3" t="n">
        <x:v>1</x:v>
      </x:c>
    </x:row>
    <x:row r="1705" ht="21" customHeight="1">
      <x:c r="A1705" s="3" t="n">
        <x:v>29</x:v>
      </x:c>
      <x:c r="B1705" s="3" t="n">
        <x:v>24</x:v>
      </x:c>
      <x:c r="C1705" s="9" t="n">
        <x:v>-1.37400119</x:v>
      </x:c>
      <x:c r="D1705" s="3" t="n">
        <x:v>0</x:v>
      </x:c>
      <x:c r="E1705" s="3" t="n">
        <x:v>0</x:v>
      </x:c>
      <x:c r="F1705" s="3" t="n">
        <x:v>1</x:v>
      </x:c>
    </x:row>
    <x:row r="1706" ht="21" customHeight="1">
      <x:c r="A1706" s="3" t="n">
        <x:v>29</x:v>
      </x:c>
      <x:c r="B1706" s="3" t="n">
        <x:v>25</x:v>
      </x:c>
      <x:c r="C1706" s="9" t="n">
        <x:v>-2.4291693</x:v>
      </x:c>
      <x:c r="D1706" s="3" t="n">
        <x:v>0</x:v>
      </x:c>
      <x:c r="E1706" s="3" t="n">
        <x:v>0</x:v>
      </x:c>
      <x:c r="F1706" s="3" t="n">
        <x:v>1</x:v>
      </x:c>
    </x:row>
    <x:row r="1707" ht="21" customHeight="1">
      <x:c r="A1707" s="3" t="n">
        <x:v>29</x:v>
      </x:c>
      <x:c r="B1707" s="3" t="n">
        <x:v>26</x:v>
      </x:c>
      <x:c r="C1707" s="9" t="n">
        <x:v>1.10089265</x:v>
      </x:c>
      <x:c r="D1707" s="3" t="n">
        <x:v>0</x:v>
      </x:c>
      <x:c r="E1707" s="3" t="n">
        <x:v>0</x:v>
      </x:c>
      <x:c r="F1707" s="3" t="n">
        <x:v>1</x:v>
      </x:c>
    </x:row>
    <x:row r="1708" ht="21" customHeight="1">
      <x:c r="A1708" s="3" t="n">
        <x:v>29</x:v>
      </x:c>
      <x:c r="B1708" s="3" t="n">
        <x:v>27</x:v>
      </x:c>
      <x:c r="C1708" s="9" t="n">
        <x:v>1.34899202</x:v>
      </x:c>
      <x:c r="D1708" s="3" t="n">
        <x:v>0</x:v>
      </x:c>
      <x:c r="E1708" s="3" t="n">
        <x:v>0</x:v>
      </x:c>
      <x:c r="F1708" s="3" t="n">
        <x:v>1</x:v>
      </x:c>
    </x:row>
    <x:row r="1709" ht="21" customHeight="1">
      <x:c r="A1709" s="3" t="n">
        <x:v>29</x:v>
      </x:c>
      <x:c r="B1709" s="3" t="n">
        <x:v>28</x:v>
      </x:c>
      <x:c r="C1709" s="9" t="n">
        <x:v>1.03446312</x:v>
      </x:c>
      <x:c r="D1709" s="3" t="n">
        <x:v>0</x:v>
      </x:c>
      <x:c r="E1709" s="3" t="n">
        <x:v>0</x:v>
      </x:c>
      <x:c r="F1709" s="3" t="n">
        <x:v>1</x:v>
      </x:c>
    </x:row>
    <x:row r="1710" ht="21" customHeight="1">
      <x:c r="A1710" s="3" t="n">
        <x:v>29</x:v>
      </x:c>
      <x:c r="B1710" s="3" t="n">
        <x:v>29</x:v>
      </x:c>
      <x:c r="C1710" s="9" t="n">
        <x:v>-0.45374301</x:v>
      </x:c>
      <x:c r="D1710" s="3" t="n">
        <x:v>0</x:v>
      </x:c>
      <x:c r="E1710" s="3" t="n">
        <x:v>0</x:v>
      </x:c>
      <x:c r="F1710" s="3" t="n">
        <x:v>1</x:v>
      </x:c>
    </x:row>
    <x:row r="1711" ht="21" customHeight="1">
      <x:c r="A1711" s="3" t="n">
        <x:v>29</x:v>
      </x:c>
      <x:c r="B1711" s="3" t="n">
        <x:v>30</x:v>
      </x:c>
      <x:c r="C1711" s="9" t="n">
        <x:v>-0.72113277</x:v>
      </x:c>
      <x:c r="D1711" s="3" t="n">
        <x:v>0</x:v>
      </x:c>
      <x:c r="E1711" s="3" t="n">
        <x:v>0</x:v>
      </x:c>
      <x:c r="F1711" s="3" t="n">
        <x:v>1</x:v>
      </x:c>
    </x:row>
    <x:row r="1712" ht="21" customHeight="1">
      <x:c r="A1712" s="3" t="n">
        <x:v>29</x:v>
      </x:c>
      <x:c r="B1712" s="3" t="n">
        <x:v>31</x:v>
      </x:c>
      <x:c r="C1712" s="9" t="n">
        <x:v>0.10658919</x:v>
      </x:c>
      <x:c r="D1712" s="3" t="n">
        <x:v>0</x:v>
      </x:c>
      <x:c r="E1712" s="3" t="n">
        <x:v>0</x:v>
      </x:c>
      <x:c r="F1712" s="3" t="n">
        <x:v>1</x:v>
      </x:c>
    </x:row>
    <x:row r="1713" ht="21" customHeight="1">
      <x:c r="A1713" s="3" t="n">
        <x:v>29</x:v>
      </x:c>
      <x:c r="B1713" s="3" t="n">
        <x:v>32</x:v>
      </x:c>
      <x:c r="C1713" s="9" t="n">
        <x:v>0.85183941</x:v>
      </x:c>
      <x:c r="D1713" s="3" t="n">
        <x:v>0</x:v>
      </x:c>
      <x:c r="E1713" s="3" t="n">
        <x:v>0</x:v>
      </x:c>
      <x:c r="F1713" s="3" t="n">
        <x:v>1</x:v>
      </x:c>
    </x:row>
    <x:row r="1714" ht="21" customHeight="1">
      <x:c r="A1714" s="3" t="n">
        <x:v>29</x:v>
      </x:c>
      <x:c r="B1714" s="3" t="n">
        <x:v>33</x:v>
      </x:c>
      <x:c r="C1714" s="9" t="n">
        <x:v>0.10660572</x:v>
      </x:c>
      <x:c r="D1714" s="3" t="n">
        <x:v>0</x:v>
      </x:c>
      <x:c r="E1714" s="3" t="n">
        <x:v>0</x:v>
      </x:c>
      <x:c r="F1714" s="3" t="n">
        <x:v>1</x:v>
      </x:c>
    </x:row>
    <x:row r="1715" ht="21" customHeight="1">
      <x:c r="A1715" s="3" t="n">
        <x:v>29</x:v>
      </x:c>
      <x:c r="B1715" s="3" t="n">
        <x:v>34</x:v>
      </x:c>
      <x:c r="C1715" s="9" t="n">
        <x:v>-0.92506561</x:v>
      </x:c>
      <x:c r="D1715" s="3" t="n">
        <x:v>0</x:v>
      </x:c>
      <x:c r="E1715" s="3" t="n">
        <x:v>0</x:v>
      </x:c>
      <x:c r="F1715" s="3" t="n">
        <x:v>1</x:v>
      </x:c>
    </x:row>
    <x:row r="1716" ht="21" customHeight="1">
      <x:c r="A1716" s="3" t="n">
        <x:v>29</x:v>
      </x:c>
      <x:c r="B1716" s="3" t="n">
        <x:v>35</x:v>
      </x:c>
      <x:c r="C1716" s="9" t="n">
        <x:v>0.5336439</x:v>
      </x:c>
      <x:c r="D1716" s="3" t="n">
        <x:v>0</x:v>
      </x:c>
      <x:c r="E1716" s="3" t="n">
        <x:v>0</x:v>
      </x:c>
      <x:c r="F1716" s="3" t="n">
        <x:v>1</x:v>
      </x:c>
    </x:row>
    <x:row r="1717" ht="21" customHeight="1">
      <x:c r="A1717" s="3" t="n">
        <x:v>29</x:v>
      </x:c>
      <x:c r="B1717" s="3" t="n">
        <x:v>36</x:v>
      </x:c>
      <x:c r="C1717" s="9" t="n">
        <x:v>-0.45980777</x:v>
      </x:c>
      <x:c r="D1717" s="3" t="n">
        <x:v>0</x:v>
      </x:c>
      <x:c r="E1717" s="3" t="n">
        <x:v>0</x:v>
      </x:c>
      <x:c r="F1717" s="3" t="n">
        <x:v>1</x:v>
      </x:c>
    </x:row>
    <x:row r="1718" ht="21" customHeight="1">
      <x:c r="A1718" s="3" t="n">
        <x:v>29</x:v>
      </x:c>
      <x:c r="B1718" s="3" t="n">
        <x:v>37</x:v>
      </x:c>
      <x:c r="C1718" s="9" t="n">
        <x:v>-0.43810138</x:v>
      </x:c>
      <x:c r="D1718" s="3" t="n">
        <x:v>0</x:v>
      </x:c>
      <x:c r="E1718" s="3" t="n">
        <x:v>0</x:v>
      </x:c>
      <x:c r="F1718" s="3" t="n">
        <x:v>1</x:v>
      </x:c>
    </x:row>
    <x:row r="1719" ht="21" customHeight="1">
      <x:c r="A1719" s="3" t="n">
        <x:v>29</x:v>
      </x:c>
      <x:c r="B1719" s="3" t="n">
        <x:v>38</x:v>
      </x:c>
      <x:c r="C1719" s="9" t="n">
        <x:v>-0.70169503</x:v>
      </x:c>
      <x:c r="D1719" s="3" t="n">
        <x:v>0</x:v>
      </x:c>
      <x:c r="E1719" s="3" t="n">
        <x:v>0</x:v>
      </x:c>
      <x:c r="F1719" s="3" t="n">
        <x:v>1</x:v>
      </x:c>
    </x:row>
    <x:row r="1720" ht="21" customHeight="1">
      <x:c r="A1720" s="3" t="n">
        <x:v>29</x:v>
      </x:c>
      <x:c r="B1720" s="3" t="n">
        <x:v>39</x:v>
      </x:c>
      <x:c r="C1720" s="9" t="n">
        <x:v>0.11324992</x:v>
      </x:c>
      <x:c r="D1720" s="3" t="n">
        <x:v>0</x:v>
      </x:c>
      <x:c r="E1720" s="3" t="n">
        <x:v>0</x:v>
      </x:c>
      <x:c r="F1720" s="3" t="n">
        <x:v>1</x:v>
      </x:c>
    </x:row>
    <x:row r="1721" ht="21" customHeight="1">
      <x:c r="A1721" s="3" t="n">
        <x:v>29</x:v>
      </x:c>
      <x:c r="B1721" s="3" t="n">
        <x:v>40</x:v>
      </x:c>
      <x:c r="C1721" s="9" t="n">
        <x:v>0.80445417</x:v>
      </x:c>
      <x:c r="D1721" s="3" t="n">
        <x:v>0</x:v>
      </x:c>
      <x:c r="E1721" s="3" t="n">
        <x:v>0</x:v>
      </x:c>
      <x:c r="F1721" s="3" t="n">
        <x:v>1</x:v>
      </x:c>
    </x:row>
    <x:row r="1722" ht="21" customHeight="1">
      <x:c r="A1722" s="3" t="n">
        <x:v>29</x:v>
      </x:c>
      <x:c r="B1722" s="3" t="n">
        <x:v>41</x:v>
      </x:c>
      <x:c r="C1722" s="9" t="n">
        <x:v>0.02133276</x:v>
      </x:c>
      <x:c r="D1722" s="3" t="n">
        <x:v>0</x:v>
      </x:c>
      <x:c r="E1722" s="3" t="n">
        <x:v>0</x:v>
      </x:c>
      <x:c r="F1722" s="3" t="n">
        <x:v>1</x:v>
      </x:c>
    </x:row>
    <x:row r="1723" ht="21" customHeight="1">
      <x:c r="A1723" s="3" t="n">
        <x:v>29</x:v>
      </x:c>
      <x:c r="B1723" s="3" t="n">
        <x:v>42</x:v>
      </x:c>
      <x:c r="C1723" s="9" t="n">
        <x:v>-0.358719</x:v>
      </x:c>
      <x:c r="D1723" s="3" t="n">
        <x:v>0</x:v>
      </x:c>
      <x:c r="E1723" s="3" t="n">
        <x:v>0</x:v>
      </x:c>
      <x:c r="F1723" s="3" t="n">
        <x:v>1</x:v>
      </x:c>
    </x:row>
    <x:row r="1724" ht="21" customHeight="1">
      <x:c r="A1724" s="3" t="n">
        <x:v>29</x:v>
      </x:c>
      <x:c r="B1724" s="3" t="n">
        <x:v>43</x:v>
      </x:c>
      <x:c r="C1724" s="9" t="n">
        <x:v>0.4035309</x:v>
      </x:c>
      <x:c r="D1724" s="3" t="n">
        <x:v>0</x:v>
      </x:c>
      <x:c r="E1724" s="3" t="n">
        <x:v>0</x:v>
      </x:c>
      <x:c r="F1724" s="3" t="n">
        <x:v>1</x:v>
      </x:c>
    </x:row>
    <x:row r="1725" ht="21" customHeight="1">
      <x:c r="A1725" s="3" t="n">
        <x:v>29</x:v>
      </x:c>
      <x:c r="B1725" s="3" t="n">
        <x:v>44</x:v>
      </x:c>
      <x:c r="C1725" s="9" t="n">
        <x:v>-1.53907905</x:v>
      </x:c>
      <x:c r="D1725" s="3" t="n">
        <x:v>0</x:v>
      </x:c>
      <x:c r="E1725" s="3" t="n">
        <x:v>0</x:v>
      </x:c>
      <x:c r="F1725" s="3" t="n">
        <x:v>1</x:v>
      </x:c>
    </x:row>
    <x:row r="1726" ht="21" customHeight="1">
      <x:c r="A1726" s="3" t="n">
        <x:v>29</x:v>
      </x:c>
      <x:c r="B1726" s="3" t="n">
        <x:v>45</x:v>
      </x:c>
      <x:c r="C1726" s="9" t="n">
        <x:v>0.67592492</x:v>
      </x:c>
      <x:c r="D1726" s="3" t="n">
        <x:v>0</x:v>
      </x:c>
      <x:c r="E1726" s="3" t="n">
        <x:v>0</x:v>
      </x:c>
      <x:c r="F1726" s="3" t="n">
        <x:v>1</x:v>
      </x:c>
    </x:row>
    <x:row r="1727" ht="21" customHeight="1">
      <x:c r="A1727" s="3" t="n">
        <x:v>29</x:v>
      </x:c>
      <x:c r="B1727" s="3" t="n">
        <x:v>46</x:v>
      </x:c>
      <x:c r="C1727" s="9" t="n">
        <x:v>-0.33441295</x:v>
      </x:c>
      <x:c r="D1727" s="3" t="n">
        <x:v>0</x:v>
      </x:c>
      <x:c r="E1727" s="3" t="n">
        <x:v>0</x:v>
      </x:c>
      <x:c r="F1727" s="3" t="n">
        <x:v>1</x:v>
      </x:c>
    </x:row>
    <x:row r="1728" ht="21" customHeight="1">
      <x:c r="A1728" s="3" t="n">
        <x:v>29</x:v>
      </x:c>
      <x:c r="B1728" s="3" t="n">
        <x:v>47</x:v>
      </x:c>
      <x:c r="C1728" s="9" t="n">
        <x:v>0.06619206</x:v>
      </x:c>
      <x:c r="D1728" s="3" t="n">
        <x:v>0</x:v>
      </x:c>
      <x:c r="E1728" s="3" t="n">
        <x:v>0</x:v>
      </x:c>
      <x:c r="F1728" s="3" t="n">
        <x:v>1</x:v>
      </x:c>
    </x:row>
    <x:row r="1729" ht="21" customHeight="1">
      <x:c r="A1729" s="3" t="n">
        <x:v>29</x:v>
      </x:c>
      <x:c r="B1729" s="3" t="n">
        <x:v>48</x:v>
      </x:c>
      <x:c r="C1729" s="9" t="n">
        <x:v>-1.10041479</x:v>
      </x:c>
      <x:c r="D1729" s="3" t="n">
        <x:v>0</x:v>
      </x:c>
      <x:c r="E1729" s="3" t="n">
        <x:v>0</x:v>
      </x:c>
      <x:c r="F1729" s="3" t="n">
        <x:v>1</x:v>
      </x:c>
    </x:row>
    <x:row r="1730" ht="21" customHeight="1">
      <x:c r="A1730" s="3" t="n">
        <x:v>29</x:v>
      </x:c>
      <x:c r="B1730" s="3" t="n">
        <x:v>49</x:v>
      </x:c>
      <x:c r="C1730" s="9" t="n">
        <x:v>-0.56306092</x:v>
      </x:c>
      <x:c r="D1730" s="3" t="n">
        <x:v>0</x:v>
      </x:c>
      <x:c r="E1730" s="3" t="n">
        <x:v>0</x:v>
      </x:c>
      <x:c r="F1730" s="3" t="n">
        <x:v>1</x:v>
      </x:c>
    </x:row>
    <x:row r="1731" ht="21" customHeight="1">
      <x:c r="A1731" s="3" t="n">
        <x:v>29</x:v>
      </x:c>
      <x:c r="B1731" s="3" t="n">
        <x:v>50</x:v>
      </x:c>
      <x:c r="C1731" s="9" t="n">
        <x:v>-0.82534666</x:v>
      </x:c>
      <x:c r="D1731" s="3" t="n">
        <x:v>0</x:v>
      </x:c>
      <x:c r="E1731" s="3" t="n">
        <x:v>0</x:v>
      </x:c>
      <x:c r="F1731" s="3" t="n">
        <x:v>1</x:v>
      </x:c>
    </x:row>
    <x:row r="1732" ht="21" customHeight="1">
      <x:c r="A1732" s="3" t="n">
        <x:v>29</x:v>
      </x:c>
      <x:c r="B1732" s="3" t="n">
        <x:v>51</x:v>
      </x:c>
      <x:c r="C1732" s="9" t="n">
        <x:v>0.31235826</x:v>
      </x:c>
      <x:c r="D1732" s="3" t="n">
        <x:v>0</x:v>
      </x:c>
      <x:c r="E1732" s="3" t="n">
        <x:v>0</x:v>
      </x:c>
      <x:c r="F1732" s="3" t="n">
        <x:v>1</x:v>
      </x:c>
    </x:row>
    <x:row r="1733" ht="21" customHeight="1">
      <x:c r="A1733" s="3" t="n">
        <x:v>29</x:v>
      </x:c>
      <x:c r="B1733" s="3" t="n">
        <x:v>52</x:v>
      </x:c>
      <x:c r="C1733" s="9" t="n">
        <x:v>-2.18003792</x:v>
      </x:c>
      <x:c r="D1733" s="3" t="n">
        <x:v>0</x:v>
      </x:c>
      <x:c r="E1733" s="3" t="n">
        <x:v>0</x:v>
      </x:c>
      <x:c r="F1733" s="3" t="n">
        <x:v>1</x:v>
      </x:c>
    </x:row>
    <x:row r="1734" ht="21" customHeight="1">
      <x:c r="A1734" s="3" t="n">
        <x:v>29</x:v>
      </x:c>
      <x:c r="B1734" s="3" t="n">
        <x:v>53</x:v>
      </x:c>
      <x:c r="C1734" s="9" t="n">
        <x:v>0.24525894</x:v>
      </x:c>
      <x:c r="D1734" s="3" t="n">
        <x:v>0</x:v>
      </x:c>
      <x:c r="E1734" s="3" t="n">
        <x:v>0</x:v>
      </x:c>
      <x:c r="F1734" s="3" t="n">
        <x:v>1</x:v>
      </x:c>
    </x:row>
    <x:row r="1735" ht="21" customHeight="1">
      <x:c r="A1735" s="3" t="n">
        <x:v>29</x:v>
      </x:c>
      <x:c r="B1735" s="3" t="n">
        <x:v>54</x:v>
      </x:c>
      <x:c r="C1735" s="9" t="n">
        <x:v>-1.15990171</x:v>
      </x:c>
      <x:c r="D1735" s="3" t="n">
        <x:v>0</x:v>
      </x:c>
      <x:c r="E1735" s="3" t="n">
        <x:v>0</x:v>
      </x:c>
      <x:c r="F1735" s="3" t="n">
        <x:v>1</x:v>
      </x:c>
    </x:row>
    <x:row r="1736" ht="21" customHeight="1">
      <x:c r="A1736" s="3" t="n">
        <x:v>29</x:v>
      </x:c>
      <x:c r="B1736" s="3" t="n">
        <x:v>55</x:v>
      </x:c>
      <x:c r="C1736" s="9" t="n">
        <x:v>0.52970884</x:v>
      </x:c>
      <x:c r="D1736" s="3" t="n">
        <x:v>0</x:v>
      </x:c>
      <x:c r="E1736" s="3" t="n">
        <x:v>0</x:v>
      </x:c>
      <x:c r="F1736" s="3" t="n">
        <x:v>1</x:v>
      </x:c>
    </x:row>
    <x:row r="1737" ht="21" customHeight="1">
      <x:c r="A1737" s="3" t="n">
        <x:v>29</x:v>
      </x:c>
      <x:c r="B1737" s="3" t="n">
        <x:v>56</x:v>
      </x:c>
      <x:c r="C1737" s="9" t="n">
        <x:v>0.23097388</x:v>
      </x:c>
      <x:c r="D1737" s="3" t="n">
        <x:v>0</x:v>
      </x:c>
      <x:c r="E1737" s="3" t="n">
        <x:v>0</x:v>
      </x:c>
      <x:c r="F1737" s="3" t="n">
        <x:v>1</x:v>
      </x:c>
    </x:row>
    <x:row r="1738" ht="21" customHeight="1">
      <x:c r="A1738" s="3" t="n">
        <x:v>29</x:v>
      </x:c>
      <x:c r="B1738" s="3" t="n">
        <x:v>57</x:v>
      </x:c>
      <x:c r="C1738" s="9" t="n">
        <x:v>-0.25823312</x:v>
      </x:c>
      <x:c r="D1738" s="3" t="n">
        <x:v>0</x:v>
      </x:c>
      <x:c r="E1738" s="3" t="n">
        <x:v>0</x:v>
      </x:c>
      <x:c r="F1738" s="3" t="n">
        <x:v>1</x:v>
      </x:c>
    </x:row>
    <x:row r="1739" ht="21" customHeight="1">
      <x:c r="A1739" s="3" t="n">
        <x:v>29</x:v>
      </x:c>
      <x:c r="B1739" s="3" t="n">
        <x:v>58</x:v>
      </x:c>
      <x:c r="C1739" s="9" t="n">
        <x:v>0.58679296</x:v>
      </x:c>
      <x:c r="D1739" s="3" t="n">
        <x:v>0</x:v>
      </x:c>
      <x:c r="E1739" s="3" t="n">
        <x:v>0</x:v>
      </x:c>
      <x:c r="F1739" s="3" t="n">
        <x:v>1</x:v>
      </x:c>
    </x:row>
    <x:row r="1740" ht="21" customHeight="1">
      <x:c r="A1740" s="3" t="n">
        <x:v>29</x:v>
      </x:c>
      <x:c r="B1740" s="3" t="n">
        <x:v>59</x:v>
      </x:c>
      <x:c r="C1740" s="9" t="n">
        <x:v>-0.36338261</x:v>
      </x:c>
      <x:c r="D1740" s="3" t="n">
        <x:v>0</x:v>
      </x:c>
      <x:c r="E1740" s="3" t="n">
        <x:v>0</x:v>
      </x:c>
      <x:c r="F1740" s="3" t="n">
        <x:v>1</x:v>
      </x:c>
    </x:row>
    <x:row r="1741" ht="21" customHeight="1">
      <x:c r="A1741" s="3" t="n">
        <x:v>29</x:v>
      </x:c>
      <x:c r="B1741" s="3" t="n">
        <x:v>60</x:v>
      </x:c>
      <x:c r="C1741" s="9" t="n">
        <x:v>0.50519017</x:v>
      </x:c>
      <x:c r="D1741" s="3" t="n">
        <x:v>0</x:v>
      </x:c>
      <x:c r="E1741" s="3" t="n">
        <x:v>0</x:v>
      </x:c>
      <x:c r="F1741" s="3" t="n">
        <x:v>1</x:v>
      </x:c>
    </x:row>
    <x:row r="1742" ht="21" customHeight="1">
      <x:c r="A1742" s="3" t="n">
        <x:v>30</x:v>
      </x:c>
      <x:c r="B1742" s="3" t="n">
        <x:v>1</x:v>
      </x:c>
      <x:c r="C1742" s="9" t="n">
        <x:v>-0.23287323</x:v>
      </x:c>
      <x:c r="D1742" s="3" t="n">
        <x:v>0</x:v>
      </x:c>
      <x:c r="E1742" s="3" t="n">
        <x:v>0</x:v>
      </x:c>
      <x:c r="F1742" s="3" t="n">
        <x:v>1</x:v>
      </x:c>
    </x:row>
    <x:row r="1743" ht="21" customHeight="1">
      <x:c r="A1743" s="3" t="n">
        <x:v>30</x:v>
      </x:c>
      <x:c r="B1743" s="3" t="n">
        <x:v>2</x:v>
      </x:c>
      <x:c r="C1743" s="9" t="n">
        <x:v>-0.10966032</x:v>
      </x:c>
      <x:c r="D1743" s="3" t="n">
        <x:v>0</x:v>
      </x:c>
      <x:c r="E1743" s="3" t="n">
        <x:v>0</x:v>
      </x:c>
      <x:c r="F1743" s="3" t="n">
        <x:v>1</x:v>
      </x:c>
    </x:row>
    <x:row r="1744" ht="21" customHeight="1">
      <x:c r="A1744" s="3" t="n">
        <x:v>30</x:v>
      </x:c>
      <x:c r="B1744" s="3" t="n">
        <x:v>3</x:v>
      </x:c>
      <x:c r="C1744" s="9" t="n">
        <x:v>-0.71850574</x:v>
      </x:c>
      <x:c r="D1744" s="3" t="n">
        <x:v>0</x:v>
      </x:c>
      <x:c r="E1744" s="3" t="n">
        <x:v>0</x:v>
      </x:c>
      <x:c r="F1744" s="3" t="n">
        <x:v>1</x:v>
      </x:c>
    </x:row>
    <x:row r="1745" ht="21" customHeight="1">
      <x:c r="A1745" s="3" t="n">
        <x:v>30</x:v>
      </x:c>
      <x:c r="B1745" s="3" t="n">
        <x:v>4</x:v>
      </x:c>
      <x:c r="C1745" s="9" t="n">
        <x:v>0.10235874</x:v>
      </x:c>
      <x:c r="D1745" s="3" t="n">
        <x:v>0</x:v>
      </x:c>
      <x:c r="E1745" s="3" t="n">
        <x:v>0</x:v>
      </x:c>
      <x:c r="F1745" s="3" t="n">
        <x:v>1</x:v>
      </x:c>
    </x:row>
    <x:row r="1746" ht="21" customHeight="1">
      <x:c r="A1746" s="3" t="n">
        <x:v>30</x:v>
      </x:c>
      <x:c r="B1746" s="3" t="n">
        <x:v>5</x:v>
      </x:c>
      <x:c r="C1746" s="9" t="n">
        <x:v>0.93057489</x:v>
      </x:c>
      <x:c r="D1746" s="3" t="n">
        <x:v>0</x:v>
      </x:c>
      <x:c r="E1746" s="3" t="n">
        <x:v>0</x:v>
      </x:c>
      <x:c r="F1746" s="3" t="n">
        <x:v>1</x:v>
      </x:c>
    </x:row>
    <x:row r="1747" ht="21" customHeight="1">
      <x:c r="A1747" s="3" t="n">
        <x:v>30</x:v>
      </x:c>
      <x:c r="B1747" s="3" t="n">
        <x:v>6</x:v>
      </x:c>
      <x:c r="C1747" s="9" t="n">
        <x:v>-0.40590174</x:v>
      </x:c>
      <x:c r="D1747" s="3" t="n">
        <x:v>0</x:v>
      </x:c>
      <x:c r="E1747" s="3" t="n">
        <x:v>0</x:v>
      </x:c>
      <x:c r="F1747" s="3" t="n">
        <x:v>1</x:v>
      </x:c>
    </x:row>
    <x:row r="1748" ht="21" customHeight="1">
      <x:c r="A1748" s="3" t="n">
        <x:v>30</x:v>
      </x:c>
      <x:c r="B1748" s="3" t="n">
        <x:v>7</x:v>
      </x:c>
      <x:c r="C1748" s="9" t="n">
        <x:v>-1.83408855</x:v>
      </x:c>
      <x:c r="D1748" s="3" t="n">
        <x:v>0</x:v>
      </x:c>
      <x:c r="E1748" s="3" t="n">
        <x:v>0</x:v>
      </x:c>
      <x:c r="F1748" s="3" t="n">
        <x:v>1</x:v>
      </x:c>
    </x:row>
    <x:row r="1749" ht="21" customHeight="1">
      <x:c r="A1749" s="3" t="n">
        <x:v>30</x:v>
      </x:c>
      <x:c r="B1749" s="3" t="n">
        <x:v>8</x:v>
      </x:c>
      <x:c r="C1749" s="9" t="n">
        <x:v>-0.15579763</x:v>
      </x:c>
      <x:c r="D1749" s="3" t="n">
        <x:v>0</x:v>
      </x:c>
      <x:c r="E1749" s="3" t="n">
        <x:v>0</x:v>
      </x:c>
      <x:c r="F1749" s="3" t="n">
        <x:v>1</x:v>
      </x:c>
    </x:row>
    <x:row r="1750" ht="21" customHeight="1">
      <x:c r="A1750" s="3" t="n">
        <x:v>30</x:v>
      </x:c>
      <x:c r="B1750" s="3" t="n">
        <x:v>9</x:v>
      </x:c>
      <x:c r="C1750" s="9" t="n">
        <x:v>2.51501094</x:v>
      </x:c>
      <x:c r="D1750" s="3" t="n">
        <x:v>0</x:v>
      </x:c>
      <x:c r="E1750" s="3" t="n">
        <x:v>0</x:v>
      </x:c>
      <x:c r="F1750" s="3" t="n">
        <x:v>1</x:v>
      </x:c>
    </x:row>
    <x:row r="1751" ht="21" customHeight="1">
      <x:c r="A1751" s="3" t="n">
        <x:v>30</x:v>
      </x:c>
      <x:c r="B1751" s="3" t="n">
        <x:v>10</x:v>
      </x:c>
      <x:c r="C1751" s="9" t="n">
        <x:v>1.54009324</x:v>
      </x:c>
      <x:c r="D1751" s="3" t="n">
        <x:v>0</x:v>
      </x:c>
      <x:c r="E1751" s="3" t="n">
        <x:v>0</x:v>
      </x:c>
      <x:c r="F1751" s="3" t="n">
        <x:v>1</x:v>
      </x:c>
    </x:row>
    <x:row r="1752" ht="21" customHeight="1">
      <x:c r="A1752" s="3" t="n">
        <x:v>30</x:v>
      </x:c>
      <x:c r="B1752" s="3" t="n">
        <x:v>11</x:v>
      </x:c>
      <x:c r="C1752" s="9" t="n">
        <x:v>0.77061423</x:v>
      </x:c>
      <x:c r="D1752" s="3" t="n">
        <x:v>0</x:v>
      </x:c>
      <x:c r="E1752" s="3" t="n">
        <x:v>0</x:v>
      </x:c>
      <x:c r="F1752" s="3" t="n">
        <x:v>1</x:v>
      </x:c>
    </x:row>
    <x:row r="1753" ht="21" customHeight="1">
      <x:c r="A1753" s="3" t="n">
        <x:v>30</x:v>
      </x:c>
      <x:c r="B1753" s="3" t="n">
        <x:v>12</x:v>
      </x:c>
      <x:c r="C1753" s="9" t="n">
        <x:v>-2.43100106</x:v>
      </x:c>
      <x:c r="D1753" s="3" t="n">
        <x:v>0</x:v>
      </x:c>
      <x:c r="E1753" s="3" t="n">
        <x:v>0</x:v>
      </x:c>
      <x:c r="F1753" s="3" t="n">
        <x:v>1</x:v>
      </x:c>
    </x:row>
    <x:row r="1754" ht="21" customHeight="1">
      <x:c r="A1754" s="3" t="n">
        <x:v>30</x:v>
      </x:c>
      <x:c r="B1754" s="3" t="n">
        <x:v>13</x:v>
      </x:c>
      <x:c r="C1754" s="9" t="n">
        <x:v>0.6365277</x:v>
      </x:c>
      <x:c r="D1754" s="3" t="n">
        <x:v>0</x:v>
      </x:c>
      <x:c r="E1754" s="3" t="n">
        <x:v>0</x:v>
      </x:c>
      <x:c r="F1754" s="3" t="n">
        <x:v>1</x:v>
      </x:c>
    </x:row>
    <x:row r="1755" ht="21" customHeight="1">
      <x:c r="A1755" s="3" t="n">
        <x:v>30</x:v>
      </x:c>
      <x:c r="B1755" s="3" t="n">
        <x:v>14</x:v>
      </x:c>
      <x:c r="C1755" s="9" t="n">
        <x:v>1.23975679</x:v>
      </x:c>
      <x:c r="D1755" s="3" t="n">
        <x:v>0</x:v>
      </x:c>
      <x:c r="E1755" s="3" t="n">
        <x:v>0</x:v>
      </x:c>
      <x:c r="F1755" s="3" t="n">
        <x:v>1</x:v>
      </x:c>
    </x:row>
    <x:row r="1756" ht="21" customHeight="1">
      <x:c r="A1756" s="3" t="n">
        <x:v>30</x:v>
      </x:c>
      <x:c r="B1756" s="3" t="n">
        <x:v>15</x:v>
      </x:c>
      <x:c r="C1756" s="9" t="n">
        <x:v>0.86923941</x:v>
      </x:c>
      <x:c r="D1756" s="3" t="n">
        <x:v>0</x:v>
      </x:c>
      <x:c r="E1756" s="3" t="n">
        <x:v>0</x:v>
      </x:c>
      <x:c r="F1756" s="3" t="n">
        <x:v>1</x:v>
      </x:c>
    </x:row>
    <x:row r="1757" ht="21" customHeight="1">
      <x:c r="A1757" s="3" t="n">
        <x:v>30</x:v>
      </x:c>
      <x:c r="B1757" s="3" t="n">
        <x:v>16</x:v>
      </x:c>
      <x:c r="C1757" s="9" t="n">
        <x:v>0.03176918</x:v>
      </x:c>
      <x:c r="D1757" s="3" t="n">
        <x:v>0</x:v>
      </x:c>
      <x:c r="E1757" s="3" t="n">
        <x:v>0</x:v>
      </x:c>
      <x:c r="F1757" s="3" t="n">
        <x:v>1</x:v>
      </x:c>
    </x:row>
    <x:row r="1758" ht="21" customHeight="1">
      <x:c r="A1758" s="3" t="n">
        <x:v>30</x:v>
      </x:c>
      <x:c r="B1758" s="3" t="n">
        <x:v>17</x:v>
      </x:c>
      <x:c r="C1758" s="9" t="n">
        <x:v>1.44024155</x:v>
      </x:c>
      <x:c r="D1758" s="3" t="n">
        <x:v>0</x:v>
      </x:c>
      <x:c r="E1758" s="3" t="n">
        <x:v>0</x:v>
      </x:c>
      <x:c r="F1758" s="3" t="n">
        <x:v>1</x:v>
      </x:c>
    </x:row>
    <x:row r="1759" ht="21" customHeight="1">
      <x:c r="A1759" s="3" t="n">
        <x:v>30</x:v>
      </x:c>
      <x:c r="B1759" s="3" t="n">
        <x:v>18</x:v>
      </x:c>
      <x:c r="C1759" s="9" t="n">
        <x:v>0.50629786</x:v>
      </x:c>
      <x:c r="D1759" s="3" t="n">
        <x:v>0</x:v>
      </x:c>
      <x:c r="E1759" s="3" t="n">
        <x:v>0</x:v>
      </x:c>
      <x:c r="F1759" s="3" t="n">
        <x:v>1</x:v>
      </x:c>
    </x:row>
    <x:row r="1760" ht="21" customHeight="1">
      <x:c r="A1760" s="3" t="n">
        <x:v>30</x:v>
      </x:c>
      <x:c r="B1760" s="3" t="n">
        <x:v>19</x:v>
      </x:c>
      <x:c r="C1760" s="9" t="n">
        <x:v>1.90261457</x:v>
      </x:c>
      <x:c r="D1760" s="3" t="n">
        <x:v>0</x:v>
      </x:c>
      <x:c r="E1760" s="3" t="n">
        <x:v>0</x:v>
      </x:c>
      <x:c r="F1760" s="3" t="n">
        <x:v>1</x:v>
      </x:c>
    </x:row>
    <x:row r="1761" ht="21" customHeight="1">
      <x:c r="A1761" s="3" t="n">
        <x:v>30</x:v>
      </x:c>
      <x:c r="B1761" s="3" t="n">
        <x:v>20</x:v>
      </x:c>
      <x:c r="C1761" s="9" t="n">
        <x:v>0.35028226</x:v>
      </x:c>
      <x:c r="D1761" s="3" t="n">
        <x:v>0</x:v>
      </x:c>
      <x:c r="E1761" s="3" t="n">
        <x:v>0</x:v>
      </x:c>
      <x:c r="F1761" s="3" t="n">
        <x:v>1</x:v>
      </x:c>
    </x:row>
    <x:row r="1762" ht="21" customHeight="1">
      <x:c r="A1762" s="3" t="n">
        <x:v>30</x:v>
      </x:c>
      <x:c r="B1762" s="3" t="n">
        <x:v>21</x:v>
      </x:c>
      <x:c r="C1762" s="9" t="n">
        <x:v>-0.95897212</x:v>
      </x:c>
      <x:c r="D1762" s="3" t="n">
        <x:v>0</x:v>
      </x:c>
      <x:c r="E1762" s="3" t="n">
        <x:v>0</x:v>
      </x:c>
      <x:c r="F1762" s="3" t="n">
        <x:v>1</x:v>
      </x:c>
    </x:row>
    <x:row r="1763" ht="21" customHeight="1">
      <x:c r="A1763" s="3" t="n">
        <x:v>30</x:v>
      </x:c>
      <x:c r="B1763" s="3" t="n">
        <x:v>22</x:v>
      </x:c>
      <x:c r="C1763" s="9" t="n">
        <x:v>-1.32796025</x:v>
      </x:c>
      <x:c r="D1763" s="3" t="n">
        <x:v>0</x:v>
      </x:c>
      <x:c r="E1763" s="3" t="n">
        <x:v>0</x:v>
      </x:c>
      <x:c r="F1763" s="3" t="n">
        <x:v>1</x:v>
      </x:c>
    </x:row>
    <x:row r="1764" ht="21" customHeight="1">
      <x:c r="A1764" s="3" t="n">
        <x:v>30</x:v>
      </x:c>
      <x:c r="B1764" s="3" t="n">
        <x:v>23</x:v>
      </x:c>
      <x:c r="C1764" s="9" t="n">
        <x:v>0.11222353</x:v>
      </x:c>
      <x:c r="D1764" s="3" t="n">
        <x:v>0</x:v>
      </x:c>
      <x:c r="E1764" s="3" t="n">
        <x:v>0</x:v>
      </x:c>
      <x:c r="F1764" s="3" t="n">
        <x:v>1</x:v>
      </x:c>
    </x:row>
    <x:row r="1765" ht="21" customHeight="1">
      <x:c r="A1765" s="3" t="n">
        <x:v>30</x:v>
      </x:c>
      <x:c r="B1765" s="3" t="n">
        <x:v>24</x:v>
      </x:c>
      <x:c r="C1765" s="9" t="n">
        <x:v>0.95784425</x:v>
      </x:c>
      <x:c r="D1765" s="3" t="n">
        <x:v>0</x:v>
      </x:c>
      <x:c r="E1765" s="3" t="n">
        <x:v>0</x:v>
      </x:c>
      <x:c r="F1765" s="3" t="n">
        <x:v>1</x:v>
      </x:c>
    </x:row>
    <x:row r="1766" ht="21" customHeight="1">
      <x:c r="A1766" s="3" t="n">
        <x:v>30</x:v>
      </x:c>
      <x:c r="B1766" s="3" t="n">
        <x:v>25</x:v>
      </x:c>
      <x:c r="C1766" s="9" t="n">
        <x:v>-1.0079025</x:v>
      </x:c>
      <x:c r="D1766" s="3" t="n">
        <x:v>0</x:v>
      </x:c>
      <x:c r="E1766" s="3" t="n">
        <x:v>0</x:v>
      </x:c>
      <x:c r="F1766" s="3" t="n">
        <x:v>1</x:v>
      </x:c>
    </x:row>
    <x:row r="1767" ht="21" customHeight="1">
      <x:c r="A1767" s="3" t="n">
        <x:v>30</x:v>
      </x:c>
      <x:c r="B1767" s="3" t="n">
        <x:v>26</x:v>
      </x:c>
      <x:c r="C1767" s="9" t="n">
        <x:v>0.05445048</x:v>
      </x:c>
      <x:c r="D1767" s="3" t="n">
        <x:v>0</x:v>
      </x:c>
      <x:c r="E1767" s="3" t="n">
        <x:v>0</x:v>
      </x:c>
      <x:c r="F1767" s="3" t="n">
        <x:v>1</x:v>
      </x:c>
    </x:row>
    <x:row r="1768" ht="21" customHeight="1">
      <x:c r="A1768" s="3" t="n">
        <x:v>30</x:v>
      </x:c>
      <x:c r="B1768" s="3" t="n">
        <x:v>27</x:v>
      </x:c>
      <x:c r="C1768" s="9" t="n">
        <x:v>-0.60672126</x:v>
      </x:c>
      <x:c r="D1768" s="3" t="n">
        <x:v>0</x:v>
      </x:c>
      <x:c r="E1768" s="3" t="n">
        <x:v>0</x:v>
      </x:c>
      <x:c r="F1768" s="3" t="n">
        <x:v>1</x:v>
      </x:c>
    </x:row>
    <x:row r="1769" ht="21" customHeight="1">
      <x:c r="A1769" s="3" t="n">
        <x:v>30</x:v>
      </x:c>
      <x:c r="B1769" s="3" t="n">
        <x:v>28</x:v>
      </x:c>
      <x:c r="C1769" s="9" t="n">
        <x:v>-0.91709014</x:v>
      </x:c>
      <x:c r="D1769" s="3" t="n">
        <x:v>0</x:v>
      </x:c>
      <x:c r="E1769" s="3" t="n">
        <x:v>0</x:v>
      </x:c>
      <x:c r="F1769" s="3" t="n">
        <x:v>1</x:v>
      </x:c>
    </x:row>
    <x:row r="1770" ht="21" customHeight="1">
      <x:c r="A1770" s="3" t="n">
        <x:v>30</x:v>
      </x:c>
      <x:c r="B1770" s="3" t="n">
        <x:v>29</x:v>
      </x:c>
      <x:c r="C1770" s="9" t="n">
        <x:v>1.36723887</x:v>
      </x:c>
      <x:c r="D1770" s="3" t="n">
        <x:v>0</x:v>
      </x:c>
      <x:c r="E1770" s="3" t="n">
        <x:v>0</x:v>
      </x:c>
      <x:c r="F1770" s="3" t="n">
        <x:v>1</x:v>
      </x:c>
    </x:row>
    <x:row r="1771" ht="21" customHeight="1">
      <x:c r="A1771" s="3" t="n">
        <x:v>30</x:v>
      </x:c>
      <x:c r="B1771" s="3" t="n">
        <x:v>30</x:v>
      </x:c>
      <x:c r="C1771" s="9" t="n">
        <x:v>0.18164513</x:v>
      </x:c>
      <x:c r="D1771" s="3" t="n">
        <x:v>0</x:v>
      </x:c>
      <x:c r="E1771" s="3" t="n">
        <x:v>0</x:v>
      </x:c>
      <x:c r="F1771" s="3" t="n">
        <x:v>1</x:v>
      </x:c>
    </x:row>
    <x:row r="1772" ht="21" customHeight="1">
      <x:c r="A1772" s="3" t="n">
        <x:v>30</x:v>
      </x:c>
      <x:c r="B1772" s="3" t="n">
        <x:v>31</x:v>
      </x:c>
      <x:c r="C1772" s="9" t="n">
        <x:v>0.24850885</x:v>
      </x:c>
      <x:c r="D1772" s="3" t="n">
        <x:v>0</x:v>
      </x:c>
      <x:c r="E1772" s="3" t="n">
        <x:v>0</x:v>
      </x:c>
      <x:c r="F1772" s="3" t="n">
        <x:v>1</x:v>
      </x:c>
    </x:row>
    <x:row r="1773" ht="21" customHeight="1">
      <x:c r="A1773" s="3" t="n">
        <x:v>30</x:v>
      </x:c>
      <x:c r="B1773" s="3" t="n">
        <x:v>32</x:v>
      </x:c>
      <x:c r="C1773" s="9" t="n">
        <x:v>0.82079101</x:v>
      </x:c>
      <x:c r="D1773" s="3" t="n">
        <x:v>0</x:v>
      </x:c>
      <x:c r="E1773" s="3" t="n">
        <x:v>0</x:v>
      </x:c>
      <x:c r="F1773" s="3" t="n">
        <x:v>1</x:v>
      </x:c>
    </x:row>
    <x:row r="1774" ht="21" customHeight="1">
      <x:c r="A1774" s="3" t="n">
        <x:v>30</x:v>
      </x:c>
      <x:c r="B1774" s="3" t="n">
        <x:v>33</x:v>
      </x:c>
      <x:c r="C1774" s="9" t="n">
        <x:v>0.65877281</x:v>
      </x:c>
      <x:c r="D1774" s="3" t="n">
        <x:v>0</x:v>
      </x:c>
      <x:c r="E1774" s="3" t="n">
        <x:v>0</x:v>
      </x:c>
      <x:c r="F1774" s="3" t="n">
        <x:v>1</x:v>
      </x:c>
    </x:row>
    <x:row r="1775" ht="21" customHeight="1">
      <x:c r="A1775" s="3" t="n">
        <x:v>30</x:v>
      </x:c>
      <x:c r="B1775" s="3" t="n">
        <x:v>34</x:v>
      </x:c>
      <x:c r="C1775" s="9" t="n">
        <x:v>0.82651016</x:v>
      </x:c>
      <x:c r="D1775" s="3" t="n">
        <x:v>0</x:v>
      </x:c>
      <x:c r="E1775" s="3" t="n">
        <x:v>0</x:v>
      </x:c>
      <x:c r="F1775" s="3" t="n">
        <x:v>1</x:v>
      </x:c>
    </x:row>
    <x:row r="1776" ht="21" customHeight="1">
      <x:c r="A1776" s="3" t="n">
        <x:v>30</x:v>
      </x:c>
      <x:c r="B1776" s="3" t="n">
        <x:v>35</x:v>
      </x:c>
      <x:c r="C1776" s="9" t="n">
        <x:v>0.51481321</x:v>
      </x:c>
      <x:c r="D1776" s="3" t="n">
        <x:v>0</x:v>
      </x:c>
      <x:c r="E1776" s="3" t="n">
        <x:v>0</x:v>
      </x:c>
      <x:c r="F1776" s="3" t="n">
        <x:v>1</x:v>
      </x:c>
    </x:row>
    <x:row r="1777" ht="21" customHeight="1">
      <x:c r="A1777" s="3" t="n">
        <x:v>30</x:v>
      </x:c>
      <x:c r="B1777" s="3" t="n">
        <x:v>36</x:v>
      </x:c>
      <x:c r="C1777" s="9" t="n">
        <x:v>0.07152637</x:v>
      </x:c>
      <x:c r="D1777" s="3" t="n">
        <x:v>0</x:v>
      </x:c>
      <x:c r="E1777" s="3" t="n">
        <x:v>0</x:v>
      </x:c>
      <x:c r="F1777" s="3" t="n">
        <x:v>1</x:v>
      </x:c>
    </x:row>
    <x:row r="1778" ht="21" customHeight="1">
      <x:c r="A1778" s="3" t="n">
        <x:v>30</x:v>
      </x:c>
      <x:c r="B1778" s="3" t="n">
        <x:v>37</x:v>
      </x:c>
      <x:c r="C1778" s="9" t="n">
        <x:v>-1.6970765</x:v>
      </x:c>
      <x:c r="D1778" s="3" t="n">
        <x:v>0</x:v>
      </x:c>
      <x:c r="E1778" s="3" t="n">
        <x:v>0</x:v>
      </x:c>
      <x:c r="F1778" s="3" t="n">
        <x:v>1</x:v>
      </x:c>
    </x:row>
    <x:row r="1779" ht="21" customHeight="1">
      <x:c r="A1779" s="3" t="n">
        <x:v>30</x:v>
      </x:c>
      <x:c r="B1779" s="3" t="n">
        <x:v>38</x:v>
      </x:c>
      <x:c r="C1779" s="9" t="n">
        <x:v>0.29192853</x:v>
      </x:c>
      <x:c r="D1779" s="3" t="n">
        <x:v>0</x:v>
      </x:c>
      <x:c r="E1779" s="3" t="n">
        <x:v>0</x:v>
      </x:c>
      <x:c r="F1779" s="3" t="n">
        <x:v>1</x:v>
      </x:c>
    </x:row>
    <x:row r="1780" ht="21" customHeight="1">
      <x:c r="A1780" s="3" t="n">
        <x:v>30</x:v>
      </x:c>
      <x:c r="B1780" s="3" t="n">
        <x:v>39</x:v>
      </x:c>
      <x:c r="C1780" s="9" t="n">
        <x:v>0.39570319</x:v>
      </x:c>
      <x:c r="D1780" s="3" t="n">
        <x:v>0</x:v>
      </x:c>
      <x:c r="E1780" s="3" t="n">
        <x:v>0</x:v>
      </x:c>
      <x:c r="F1780" s="3" t="n">
        <x:v>1</x:v>
      </x:c>
    </x:row>
    <x:row r="1781" ht="21" customHeight="1">
      <x:c r="A1781" s="3" t="n">
        <x:v>30</x:v>
      </x:c>
      <x:c r="B1781" s="3" t="n">
        <x:v>40</x:v>
      </x:c>
      <x:c r="C1781" s="9" t="n">
        <x:v>-0.26574461</x:v>
      </x:c>
      <x:c r="D1781" s="3" t="n">
        <x:v>0</x:v>
      </x:c>
      <x:c r="E1781" s="3" t="n">
        <x:v>0</x:v>
      </x:c>
      <x:c r="F1781" s="3" t="n">
        <x:v>1</x:v>
      </x:c>
    </x:row>
    <x:row r="1782" ht="21" customHeight="1">
      <x:c r="A1782" s="3" t="n">
        <x:v>30</x:v>
      </x:c>
      <x:c r="B1782" s="3" t="n">
        <x:v>41</x:v>
      </x:c>
      <x:c r="C1782" s="9" t="n">
        <x:v>-0.02782742</x:v>
      </x:c>
      <x:c r="D1782" s="3" t="n">
        <x:v>0</x:v>
      </x:c>
      <x:c r="E1782" s="3" t="n">
        <x:v>0</x:v>
      </x:c>
      <x:c r="F1782" s="3" t="n">
        <x:v>1</x:v>
      </x:c>
    </x:row>
    <x:row r="1783" ht="21" customHeight="1">
      <x:c r="A1783" s="3" t="n">
        <x:v>30</x:v>
      </x:c>
      <x:c r="B1783" s="3" t="n">
        <x:v>42</x:v>
      </x:c>
      <x:c r="C1783" s="9" t="n">
        <x:v>0.2582441</x:v>
      </x:c>
      <x:c r="D1783" s="3" t="n">
        <x:v>0</x:v>
      </x:c>
      <x:c r="E1783" s="3" t="n">
        <x:v>0</x:v>
      </x:c>
      <x:c r="F1783" s="3" t="n">
        <x:v>1</x:v>
      </x:c>
    </x:row>
    <x:row r="1784" ht="21" customHeight="1">
      <x:c r="A1784" s="3" t="n">
        <x:v>30</x:v>
      </x:c>
      <x:c r="B1784" s="3" t="n">
        <x:v>43</x:v>
      </x:c>
      <x:c r="C1784" s="9" t="n">
        <x:v>0.96349551</x:v>
      </x:c>
      <x:c r="D1784" s="3" t="n">
        <x:v>0</x:v>
      </x:c>
      <x:c r="E1784" s="3" t="n">
        <x:v>0</x:v>
      </x:c>
      <x:c r="F1784" s="3" t="n">
        <x:v>1</x:v>
      </x:c>
    </x:row>
    <x:row r="1785" ht="21" customHeight="1">
      <x:c r="A1785" s="3" t="n">
        <x:v>30</x:v>
      </x:c>
      <x:c r="B1785" s="3" t="n">
        <x:v>44</x:v>
      </x:c>
      <x:c r="C1785" s="9" t="n">
        <x:v>-0.99818585</x:v>
      </x:c>
      <x:c r="D1785" s="3" t="n">
        <x:v>0</x:v>
      </x:c>
      <x:c r="E1785" s="3" t="n">
        <x:v>0</x:v>
      </x:c>
      <x:c r="F1785" s="3" t="n">
        <x:v>1</x:v>
      </x:c>
    </x:row>
    <x:row r="1786" ht="21" customHeight="1">
      <x:c r="A1786" s="3" t="n">
        <x:v>30</x:v>
      </x:c>
      <x:c r="B1786" s="3" t="n">
        <x:v>45</x:v>
      </x:c>
      <x:c r="C1786" s="9" t="n">
        <x:v>0.48972139</x:v>
      </x:c>
      <x:c r="D1786" s="3" t="n">
        <x:v>0</x:v>
      </x:c>
      <x:c r="E1786" s="3" t="n">
        <x:v>0</x:v>
      </x:c>
      <x:c r="F1786" s="3" t="n">
        <x:v>1</x:v>
      </x:c>
    </x:row>
    <x:row r="1787" ht="21" customHeight="1">
      <x:c r="A1787" s="3" t="n">
        <x:v>30</x:v>
      </x:c>
      <x:c r="B1787" s="3" t="n">
        <x:v>46</x:v>
      </x:c>
      <x:c r="C1787" s="9" t="n">
        <x:v>-1.16301643</x:v>
      </x:c>
      <x:c r="D1787" s="3" t="n">
        <x:v>0</x:v>
      </x:c>
      <x:c r="E1787" s="3" t="n">
        <x:v>0</x:v>
      </x:c>
      <x:c r="F1787" s="3" t="n">
        <x:v>1</x:v>
      </x:c>
    </x:row>
    <x:row r="1788" ht="21" customHeight="1">
      <x:c r="A1788" s="3" t="n">
        <x:v>30</x:v>
      </x:c>
      <x:c r="B1788" s="3" t="n">
        <x:v>47</x:v>
      </x:c>
      <x:c r="C1788" s="9" t="n">
        <x:v>1.21017548</x:v>
      </x:c>
      <x:c r="D1788" s="3" t="n">
        <x:v>0</x:v>
      </x:c>
      <x:c r="E1788" s="3" t="n">
        <x:v>0</x:v>
      </x:c>
      <x:c r="F1788" s="3" t="n">
        <x:v>1</x:v>
      </x:c>
    </x:row>
    <x:row r="1789" ht="21" customHeight="1">
      <x:c r="A1789" s="3" t="n">
        <x:v>30</x:v>
      </x:c>
      <x:c r="B1789" s="3" t="n">
        <x:v>48</x:v>
      </x:c>
      <x:c r="C1789" s="9" t="n">
        <x:v>1.05726329</x:v>
      </x:c>
      <x:c r="D1789" s="3" t="n">
        <x:v>0</x:v>
      </x:c>
      <x:c r="E1789" s="3" t="n">
        <x:v>0</x:v>
      </x:c>
      <x:c r="F1789" s="3" t="n">
        <x:v>1</x:v>
      </x:c>
    </x:row>
    <x:row r="1790" ht="21" customHeight="1">
      <x:c r="A1790" s="3" t="n">
        <x:v>30</x:v>
      </x:c>
      <x:c r="B1790" s="3" t="n">
        <x:v>49</x:v>
      </x:c>
      <x:c r="C1790" s="9" t="n">
        <x:v>-0.5344308</x:v>
      </x:c>
      <x:c r="D1790" s="3" t="n">
        <x:v>0</x:v>
      </x:c>
      <x:c r="E1790" s="3" t="n">
        <x:v>0</x:v>
      </x:c>
      <x:c r="F1790" s="3" t="n">
        <x:v>1</x:v>
      </x:c>
    </x:row>
    <x:row r="1791" ht="21" customHeight="1">
      <x:c r="A1791" s="3" t="n">
        <x:v>30</x:v>
      </x:c>
      <x:c r="B1791" s="3" t="n">
        <x:v>50</x:v>
      </x:c>
      <x:c r="C1791" s="9" t="n">
        <x:v>-0.39903051</x:v>
      </x:c>
      <x:c r="D1791" s="3" t="n">
        <x:v>0</x:v>
      </x:c>
      <x:c r="E1791" s="3" t="n">
        <x:v>0</x:v>
      </x:c>
      <x:c r="F1791" s="3" t="n">
        <x:v>1</x:v>
      </x:c>
    </x:row>
    <x:row r="1792" ht="21" customHeight="1">
      <x:c r="A1792" s="3" t="n">
        <x:v>30</x:v>
      </x:c>
      <x:c r="B1792" s="3" t="n">
        <x:v>51</x:v>
      </x:c>
      <x:c r="C1792" s="9" t="n">
        <x:v>-0.44578506</x:v>
      </x:c>
      <x:c r="D1792" s="3" t="n">
        <x:v>0</x:v>
      </x:c>
      <x:c r="E1792" s="3" t="n">
        <x:v>0</x:v>
      </x:c>
      <x:c r="F1792" s="3" t="n">
        <x:v>1</x:v>
      </x:c>
    </x:row>
    <x:row r="1793" ht="21" customHeight="1">
      <x:c r="A1793" s="3" t="n">
        <x:v>30</x:v>
      </x:c>
      <x:c r="B1793" s="3" t="n">
        <x:v>52</x:v>
      </x:c>
      <x:c r="C1793" s="9" t="n">
        <x:v>-0.07509966</x:v>
      </x:c>
      <x:c r="D1793" s="3" t="n">
        <x:v>0</x:v>
      </x:c>
      <x:c r="E1793" s="3" t="n">
        <x:v>0</x:v>
      </x:c>
      <x:c r="F1793" s="3" t="n">
        <x:v>1</x:v>
      </x:c>
    </x:row>
    <x:row r="1794" ht="21" customHeight="1">
      <x:c r="A1794" s="3" t="n">
        <x:v>30</x:v>
      </x:c>
      <x:c r="B1794" s="3" t="n">
        <x:v>53</x:v>
      </x:c>
      <x:c r="C1794" s="9" t="n">
        <x:v>-0.27697024</x:v>
      </x:c>
      <x:c r="D1794" s="3" t="n">
        <x:v>0</x:v>
      </x:c>
      <x:c r="E1794" s="3" t="n">
        <x:v>0</x:v>
      </x:c>
      <x:c r="F1794" s="3" t="n">
        <x:v>1</x:v>
      </x:c>
    </x:row>
    <x:row r="1795" ht="21" customHeight="1">
      <x:c r="A1795" s="3" t="n">
        <x:v>30</x:v>
      </x:c>
      <x:c r="B1795" s="3" t="n">
        <x:v>54</x:v>
      </x:c>
      <x:c r="C1795" s="9" t="n">
        <x:v>-0.02239975</x:v>
      </x:c>
      <x:c r="D1795" s="3" t="n">
        <x:v>0</x:v>
      </x:c>
      <x:c r="E1795" s="3" t="n">
        <x:v>0</x:v>
      </x:c>
      <x:c r="F1795" s="3" t="n">
        <x:v>1</x:v>
      </x:c>
    </x:row>
    <x:row r="1796" ht="21" customHeight="1">
      <x:c r="A1796" s="3" t="n">
        <x:v>30</x:v>
      </x:c>
      <x:c r="B1796" s="3" t="n">
        <x:v>55</x:v>
      </x:c>
      <x:c r="C1796" s="9" t="n">
        <x:v>-1.04618139</x:v>
      </x:c>
      <x:c r="D1796" s="3" t="n">
        <x:v>0</x:v>
      </x:c>
      <x:c r="E1796" s="3" t="n">
        <x:v>0</x:v>
      </x:c>
      <x:c r="F1796" s="3" t="n">
        <x:v>1</x:v>
      </x:c>
    </x:row>
    <x:row r="1797" ht="21" customHeight="1">
      <x:c r="A1797" s="3" t="n">
        <x:v>30</x:v>
      </x:c>
      <x:c r="B1797" s="3" t="n">
        <x:v>56</x:v>
      </x:c>
      <x:c r="C1797" s="9" t="n">
        <x:v>0.43862769</x:v>
      </x:c>
      <x:c r="D1797" s="3" t="n">
        <x:v>0</x:v>
      </x:c>
      <x:c r="E1797" s="3" t="n">
        <x:v>0</x:v>
      </x:c>
      <x:c r="F1797" s="3" t="n">
        <x:v>1</x:v>
      </x:c>
    </x:row>
    <x:row r="1798" ht="21" customHeight="1">
      <x:c r="A1798" s="3" t="n">
        <x:v>30</x:v>
      </x:c>
      <x:c r="B1798" s="3" t="n">
        <x:v>57</x:v>
      </x:c>
      <x:c r="C1798" s="9" t="n">
        <x:v>-0.833063</x:v>
      </x:c>
      <x:c r="D1798" s="3" t="n">
        <x:v>0</x:v>
      </x:c>
      <x:c r="E1798" s="3" t="n">
        <x:v>0</x:v>
      </x:c>
      <x:c r="F1798" s="3" t="n">
        <x:v>1</x:v>
      </x:c>
    </x:row>
    <x:row r="1799" ht="21" customHeight="1">
      <x:c r="A1799" s="3" t="n">
        <x:v>30</x:v>
      </x:c>
      <x:c r="B1799" s="3" t="n">
        <x:v>58</x:v>
      </x:c>
      <x:c r="C1799" s="9" t="n">
        <x:v>-1.67153288</x:v>
      </x:c>
      <x:c r="D1799" s="3" t="n">
        <x:v>0</x:v>
      </x:c>
      <x:c r="E1799" s="3" t="n">
        <x:v>0</x:v>
      </x:c>
      <x:c r="F1799" s="3" t="n">
        <x:v>1</x:v>
      </x:c>
    </x:row>
    <x:row r="1800" ht="21" customHeight="1">
      <x:c r="A1800" s="3" t="n">
        <x:v>30</x:v>
      </x:c>
      <x:c r="B1800" s="3" t="n">
        <x:v>59</x:v>
      </x:c>
      <x:c r="C1800" s="9" t="n">
        <x:v>-0.38687102</x:v>
      </x:c>
      <x:c r="D1800" s="3" t="n">
        <x:v>0</x:v>
      </x:c>
      <x:c r="E1800" s="3" t="n">
        <x:v>0</x:v>
      </x:c>
      <x:c r="F1800" s="3" t="n">
        <x:v>1</x:v>
      </x:c>
    </x:row>
    <x:row r="1801" ht="21" customHeight="1">
      <x:c r="A1801" s="3" t="n">
        <x:v>30</x:v>
      </x:c>
      <x:c r="B1801" s="3" t="n">
        <x:v>60</x:v>
      </x:c>
      <x:c r="C1801" s="9" t="n">
        <x:v>0.62938466</x:v>
      </x:c>
      <x:c r="D1801" s="3" t="n">
        <x:v>0</x:v>
      </x:c>
      <x:c r="E1801" s="3" t="n">
        <x:v>0</x:v>
      </x:c>
      <x:c r="F18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510b09140c94f68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-1.33261205</x:v>
      </x:c>
      <x:c r="G2" s="9" t="n">
        <x:v>0.51555643</x:v>
      </x:c>
      <x:c r="H2" s="9" t="n">
        <x:v>0.09202587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-1.33261205</x:v>
      </x:c>
      <x:c r="G3" s="9" t="n">
        <x:v>0.51555643</x:v>
      </x:c>
      <x:c r="H3" s="9" t="n">
        <x:v>0.09202587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-1.33261205</x:v>
      </x:c>
      <x:c r="G4" s="9" t="n">
        <x:v>0.51555643</x:v>
      </x:c>
      <x:c r="H4" s="9" t="n">
        <x:v>0.09202587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-1.33261205</x:v>
      </x:c>
      <x:c r="G5" s="9" t="n">
        <x:v>0.51555643</x:v>
      </x:c>
      <x:c r="H5" s="9" t="n">
        <x:v>0.09202587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-1.33261205</x:v>
      </x:c>
      <x:c r="G6" s="9" t="n">
        <x:v>0.51555643</x:v>
      </x:c>
      <x:c r="H6" s="9" t="n">
        <x:v>0.09202587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-1.33261205</x:v>
      </x:c>
      <x:c r="G7" s="9" t="n">
        <x:v>0.51555643</x:v>
      </x:c>
      <x:c r="H7" s="9" t="n">
        <x:v>0.09202587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-1.33261205</x:v>
      </x:c>
      <x:c r="G8" s="9" t="n">
        <x:v>-0.34421614</x:v>
      </x:c>
      <x:c r="H8" s="9" t="n">
        <x:v>-0.72814489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-1.33261205</x:v>
      </x:c>
      <x:c r="G9" s="9" t="n">
        <x:v>-0.34421614</x:v>
      </x:c>
      <x:c r="H9" s="9" t="n">
        <x:v>-0.72814489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-1.33261205</x:v>
      </x:c>
      <x:c r="G10" s="9" t="n">
        <x:v>-0.34421614</x:v>
      </x:c>
      <x:c r="H10" s="9" t="n">
        <x:v>-0.72814489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-1.33261205</x:v>
      </x:c>
      <x:c r="G11" s="9" t="n">
        <x:v>-0.34421614</x:v>
      </x:c>
      <x:c r="H11" s="9" t="n">
        <x:v>-0.72814489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-1.33261205</x:v>
      </x:c>
      <x:c r="G12" s="9" t="n">
        <x:v>-0.34421614</x:v>
      </x:c>
      <x:c r="H12" s="9" t="n">
        <x:v>-0.72814489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-1.33261205</x:v>
      </x:c>
      <x:c r="G13" s="9" t="n">
        <x:v>-0.34421614</x:v>
      </x:c>
      <x:c r="H13" s="9" t="n">
        <x:v>-0.72814489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-1.33261205</x:v>
      </x:c>
      <x:c r="G14" s="9" t="n">
        <x:v>-1.15047674</x:v>
      </x:c>
      <x:c r="H14" s="9" t="n">
        <x:v>-1.49726848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-1.33261205</x:v>
      </x:c>
      <x:c r="G15" s="9" t="n">
        <x:v>-1.15047674</x:v>
      </x:c>
      <x:c r="H15" s="9" t="n">
        <x:v>-1.49726848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-1.33261205</x:v>
      </x:c>
      <x:c r="G16" s="9" t="n">
        <x:v>-1.15047674</x:v>
      </x:c>
      <x:c r="H16" s="9" t="n">
        <x:v>-1.49726848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-1.33261205</x:v>
      </x:c>
      <x:c r="G17" s="9" t="n">
        <x:v>-1.15047674</x:v>
      </x:c>
      <x:c r="H17" s="9" t="n">
        <x:v>-1.49726848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-1.33261205</x:v>
      </x:c>
      <x:c r="G18" s="9" t="n">
        <x:v>-1.15047674</x:v>
      </x:c>
      <x:c r="H18" s="9" t="n">
        <x:v>-1.49726848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-1.33261205</x:v>
      </x:c>
      <x:c r="G19" s="9" t="n">
        <x:v>-1.15047674</x:v>
      </x:c>
      <x:c r="H19" s="9" t="n">
        <x:v>-1.49726848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-1.33261205</x:v>
      </x:c>
      <x:c r="G20" s="9" t="n">
        <x:v>-0.32415963</x:v>
      </x:c>
      <x:c r="H20" s="9" t="n">
        <x:v>-0.7090122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-1.33261205</x:v>
      </x:c>
      <x:c r="G21" s="9" t="n">
        <x:v>-0.32415963</x:v>
      </x:c>
      <x:c r="H21" s="9" t="n">
        <x:v>-0.7090122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-1.33261205</x:v>
      </x:c>
      <x:c r="G22" s="9" t="n">
        <x:v>-0.32415963</x:v>
      </x:c>
      <x:c r="H22" s="9" t="n">
        <x:v>-0.7090122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-1.33261205</x:v>
      </x:c>
      <x:c r="G23" s="9" t="n">
        <x:v>-0.32415963</x:v>
      </x:c>
      <x:c r="H23" s="9" t="n">
        <x:v>-0.7090122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-1.33261205</x:v>
      </x:c>
      <x:c r="G24" s="9" t="n">
        <x:v>-0.32415963</x:v>
      </x:c>
      <x:c r="H24" s="9" t="n">
        <x:v>-0.7090122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-1.33261205</x:v>
      </x:c>
      <x:c r="G25" s="9" t="n">
        <x:v>-0.32415963</x:v>
      </x:c>
      <x:c r="H25" s="9" t="n">
        <x:v>-0.7090122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-1.33261205</x:v>
      </x:c>
      <x:c r="G26" s="9" t="n">
        <x:v>-0.68157818</x:v>
      </x:c>
      <x:c r="H26" s="9" t="n">
        <x:v>-1.04996776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-1.33261205</x:v>
      </x:c>
      <x:c r="G27" s="9" t="n">
        <x:v>-0.68157818</x:v>
      </x:c>
      <x:c r="H27" s="9" t="n">
        <x:v>-1.04996776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-1.33261205</x:v>
      </x:c>
      <x:c r="G28" s="9" t="n">
        <x:v>-0.68157818</x:v>
      </x:c>
      <x:c r="H28" s="9" t="n">
        <x:v>-1.04996776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-1.33261205</x:v>
      </x:c>
      <x:c r="G29" s="9" t="n">
        <x:v>-0.68157818</x:v>
      </x:c>
      <x:c r="H29" s="9" t="n">
        <x:v>-1.04996776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-1.33261205</x:v>
      </x:c>
      <x:c r="G30" s="9" t="n">
        <x:v>-0.68157818</x:v>
      </x:c>
      <x:c r="H30" s="9" t="n">
        <x:v>-1.04996776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-1.33261205</x:v>
      </x:c>
      <x:c r="G31" s="9" t="n">
        <x:v>-0.68157818</x:v>
      </x:c>
      <x:c r="H31" s="9" t="n">
        <x:v>-1.04996776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-1.33261205</x:v>
      </x:c>
      <x:c r="G32" s="9" t="n">
        <x:v>-0.59352293</x:v>
      </x:c>
      <x:c r="H32" s="9" t="n">
        <x:v>-0.96596841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-1.33261205</x:v>
      </x:c>
      <x:c r="G33" s="9" t="n">
        <x:v>-0.59352293</x:v>
      </x:c>
      <x:c r="H33" s="9" t="n">
        <x:v>-0.96596841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-1.33261205</x:v>
      </x:c>
      <x:c r="G34" s="9" t="n">
        <x:v>-0.59352293</x:v>
      </x:c>
      <x:c r="H34" s="9" t="n">
        <x:v>-0.96596841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-1.33261205</x:v>
      </x:c>
      <x:c r="G35" s="9" t="n">
        <x:v>-0.59352293</x:v>
      </x:c>
      <x:c r="H35" s="9" t="n">
        <x:v>-0.96596841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-1.33261205</x:v>
      </x:c>
      <x:c r="G36" s="9" t="n">
        <x:v>-0.59352293</x:v>
      </x:c>
      <x:c r="H36" s="9" t="n">
        <x:v>-0.96596841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-1.33261205</x:v>
      </x:c>
      <x:c r="G37" s="9" t="n">
        <x:v>-0.59352293</x:v>
      </x:c>
      <x:c r="H37" s="9" t="n">
        <x:v>-0.96596841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1.69600857</x:v>
      </x:c>
      <x:c r="G38" s="9" t="n">
        <x:v>-0.89074051</x:v>
      </x:c>
      <x:c r="H38" s="9" t="n">
        <x:v>-0.34090972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1.69600857</x:v>
      </x:c>
      <x:c r="G39" s="9" t="n">
        <x:v>-0.89074051</x:v>
      </x:c>
      <x:c r="H39" s="9" t="n">
        <x:v>-0.34090972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1.69600857</x:v>
      </x:c>
      <x:c r="G40" s="9" t="n">
        <x:v>-0.89074051</x:v>
      </x:c>
      <x:c r="H40" s="9" t="n">
        <x:v>-0.34090972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1.69600857</x:v>
      </x:c>
      <x:c r="G41" s="9" t="n">
        <x:v>-0.89074051</x:v>
      </x:c>
      <x:c r="H41" s="9" t="n">
        <x:v>-0.34090972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1.69600857</x:v>
      </x:c>
      <x:c r="G42" s="9" t="n">
        <x:v>-0.89074051</x:v>
      </x:c>
      <x:c r="H42" s="9" t="n">
        <x:v>-0.34090972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1.69600857</x:v>
      </x:c>
      <x:c r="G43" s="9" t="n">
        <x:v>-0.89074051</x:v>
      </x:c>
      <x:c r="H43" s="9" t="n">
        <x:v>-0.34090972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1.69600857</x:v>
      </x:c>
      <x:c r="G44" s="9" t="n">
        <x:v>-0.39051688</x:v>
      </x:c>
      <x:c r="H44" s="9" t="n">
        <x:v>0.13627321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1.69600857</x:v>
      </x:c>
      <x:c r="G45" s="9" t="n">
        <x:v>-0.39051688</x:v>
      </x:c>
      <x:c r="H45" s="9" t="n">
        <x:v>0.13627321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1.69600857</x:v>
      </x:c>
      <x:c r="G46" s="9" t="n">
        <x:v>-0.39051688</x:v>
      </x:c>
      <x:c r="H46" s="9" t="n">
        <x:v>0.13627321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1.69600857</x:v>
      </x:c>
      <x:c r="G47" s="9" t="n">
        <x:v>-0.39051688</x:v>
      </x:c>
      <x:c r="H47" s="9" t="n">
        <x:v>0.13627321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1.69600857</x:v>
      </x:c>
      <x:c r="G48" s="9" t="n">
        <x:v>-0.39051688</x:v>
      </x:c>
      <x:c r="H48" s="9" t="n">
        <x:v>0.13627321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1.69600857</x:v>
      </x:c>
      <x:c r="G49" s="9" t="n">
        <x:v>-0.39051688</x:v>
      </x:c>
      <x:c r="H49" s="9" t="n">
        <x:v>0.13627321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1.69600857</x:v>
      </x:c>
      <x:c r="G50" s="9" t="n">
        <x:v>-0.91929489</x:v>
      </x:c>
      <x:c r="H50" s="9" t="n">
        <x:v>-0.36814886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1.69600857</x:v>
      </x:c>
      <x:c r="G51" s="9" t="n">
        <x:v>-0.91929489</x:v>
      </x:c>
      <x:c r="H51" s="9" t="n">
        <x:v>-0.36814886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1.69600857</x:v>
      </x:c>
      <x:c r="G52" s="9" t="n">
        <x:v>-0.91929489</x:v>
      </x:c>
      <x:c r="H52" s="9" t="n">
        <x:v>-0.36814886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1.69600857</x:v>
      </x:c>
      <x:c r="G53" s="9" t="n">
        <x:v>-0.91929489</x:v>
      </x:c>
      <x:c r="H53" s="9" t="n">
        <x:v>-0.36814886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1.69600857</x:v>
      </x:c>
      <x:c r="G54" s="9" t="n">
        <x:v>-0.91929489</x:v>
      </x:c>
      <x:c r="H54" s="9" t="n">
        <x:v>-0.36814886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1.69600857</x:v>
      </x:c>
      <x:c r="G55" s="9" t="n">
        <x:v>-0.91929489</x:v>
      </x:c>
      <x:c r="H55" s="9" t="n">
        <x:v>-0.36814886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1.69600857</x:v>
      </x:c>
      <x:c r="G56" s="9" t="n">
        <x:v>-0.64383143</x:v>
      </x:c>
      <x:c r="H56" s="9" t="n">
        <x:v>-0.10537347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1.69600857</x:v>
      </x:c>
      <x:c r="G57" s="9" t="n">
        <x:v>-0.64383143</x:v>
      </x:c>
      <x:c r="H57" s="9" t="n">
        <x:v>-0.10537347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1.69600857</x:v>
      </x:c>
      <x:c r="G58" s="9" t="n">
        <x:v>-0.64383143</x:v>
      </x:c>
      <x:c r="H58" s="9" t="n">
        <x:v>-0.10537347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1.69600857</x:v>
      </x:c>
      <x:c r="G59" s="9" t="n">
        <x:v>-0.64383143</x:v>
      </x:c>
      <x:c r="H59" s="9" t="n">
        <x:v>-0.10537347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1.69600857</x:v>
      </x:c>
      <x:c r="G60" s="9" t="n">
        <x:v>-0.64383143</x:v>
      </x:c>
      <x:c r="H60" s="9" t="n">
        <x:v>-0.10537347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1.69600857</x:v>
      </x:c>
      <x:c r="G61" s="9" t="n">
        <x:v>-0.64383143</x:v>
      </x:c>
      <x:c r="H61" s="9" t="n">
        <x:v>-0.10537347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1.69600857</x:v>
      </x:c>
      <x:c r="G62" s="9" t="n">
        <x:v>-0.26074722</x:v>
      </x:c>
      <x:c r="H62" s="9" t="n">
        <x:v>0.26006558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1.69600857</x:v>
      </x:c>
      <x:c r="G63" s="9" t="n">
        <x:v>-0.26074722</x:v>
      </x:c>
      <x:c r="H63" s="9" t="n">
        <x:v>0.26006558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1.69600857</x:v>
      </x:c>
      <x:c r="G64" s="9" t="n">
        <x:v>-0.26074722</x:v>
      </x:c>
      <x:c r="H64" s="9" t="n">
        <x:v>0.26006558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1.69600857</x:v>
      </x:c>
      <x:c r="G65" s="9" t="n">
        <x:v>-0.26074722</x:v>
      </x:c>
      <x:c r="H65" s="9" t="n">
        <x:v>0.26006558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1.69600857</x:v>
      </x:c>
      <x:c r="G66" s="9" t="n">
        <x:v>-0.26074722</x:v>
      </x:c>
      <x:c r="H66" s="9" t="n">
        <x:v>0.26006558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1.69600857</x:v>
      </x:c>
      <x:c r="G67" s="9" t="n">
        <x:v>-0.26074722</x:v>
      </x:c>
      <x:c r="H67" s="9" t="n">
        <x:v>0.26006558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1.69600857</x:v>
      </x:c>
      <x:c r="G68" s="9" t="n">
        <x:v>0.23817589</x:v>
      </x:c>
      <x:c r="H68" s="9" t="n">
        <x:v>0.73600789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1.69600857</x:v>
      </x:c>
      <x:c r="G69" s="9" t="n">
        <x:v>0.23817589</x:v>
      </x:c>
      <x:c r="H69" s="9" t="n">
        <x:v>0.73600789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1.69600857</x:v>
      </x:c>
      <x:c r="G70" s="9" t="n">
        <x:v>0.23817589</x:v>
      </x:c>
      <x:c r="H70" s="9" t="n">
        <x:v>0.73600789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1.69600857</x:v>
      </x:c>
      <x:c r="G71" s="9" t="n">
        <x:v>0.23817589</x:v>
      </x:c>
      <x:c r="H71" s="9" t="n">
        <x:v>0.73600789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1.69600857</x:v>
      </x:c>
      <x:c r="G72" s="9" t="n">
        <x:v>0.23817589</x:v>
      </x:c>
      <x:c r="H72" s="9" t="n">
        <x:v>0.73600789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1.69600857</x:v>
      </x:c>
      <x:c r="G73" s="9" t="n">
        <x:v>0.23817589</x:v>
      </x:c>
      <x:c r="H73" s="9" t="n">
        <x:v>0.73600789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0.08788295</x:v>
      </x:c>
      <x:c r="G74" s="9" t="n">
        <x:v>-0.33166346</x:v>
      </x:c>
      <x:c r="H74" s="9" t="n">
        <x:v>-0.29002189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0.08788295</x:v>
      </x:c>
      <x:c r="G75" s="9" t="n">
        <x:v>-0.33166346</x:v>
      </x:c>
      <x:c r="H75" s="9" t="n">
        <x:v>-0.29002189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0.08788295</x:v>
      </x:c>
      <x:c r="G76" s="9" t="n">
        <x:v>-0.33166346</x:v>
      </x:c>
      <x:c r="H76" s="9" t="n">
        <x:v>-0.29002189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0.08788295</x:v>
      </x:c>
      <x:c r="G77" s="9" t="n">
        <x:v>-0.33166346</x:v>
      </x:c>
      <x:c r="H77" s="9" t="n">
        <x:v>-0.29002189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0.08788295</x:v>
      </x:c>
      <x:c r="G78" s="9" t="n">
        <x:v>-0.33166346</x:v>
      </x:c>
      <x:c r="H78" s="9" t="n">
        <x:v>-0.29002189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0.08788295</x:v>
      </x:c>
      <x:c r="G79" s="9" t="n">
        <x:v>-0.33166346</x:v>
      </x:c>
      <x:c r="H79" s="9" t="n">
        <x:v>-0.29002189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0.08788295</x:v>
      </x:c>
      <x:c r="G80" s="9" t="n">
        <x:v>1.77155198</x:v>
      </x:c>
      <x:c r="H80" s="9" t="n">
        <x:v>1.71631777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0.08788295</x:v>
      </x:c>
      <x:c r="G81" s="9" t="n">
        <x:v>1.77155198</x:v>
      </x:c>
      <x:c r="H81" s="9" t="n">
        <x:v>1.71631777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0.08788295</x:v>
      </x:c>
      <x:c r="G82" s="9" t="n">
        <x:v>1.77155198</x:v>
      </x:c>
      <x:c r="H82" s="9" t="n">
        <x:v>1.71631777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0.08788295</x:v>
      </x:c>
      <x:c r="G83" s="9" t="n">
        <x:v>1.77155198</x:v>
      </x:c>
      <x:c r="H83" s="9" t="n">
        <x:v>1.71631777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0.08788295</x:v>
      </x:c>
      <x:c r="G84" s="9" t="n">
        <x:v>1.77155198</x:v>
      </x:c>
      <x:c r="H84" s="9" t="n">
        <x:v>1.71631777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0.08788295</x:v>
      </x:c>
      <x:c r="G85" s="9" t="n">
        <x:v>1.77155198</x:v>
      </x:c>
      <x:c r="H85" s="9" t="n">
        <x:v>1.71631777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0.08788295</x:v>
      </x:c>
      <x:c r="G86" s="9" t="n">
        <x:v>0.95675852</x:v>
      </x:c>
      <x:c r="H86" s="9" t="n">
        <x:v>0.93905434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0.08788295</x:v>
      </x:c>
      <x:c r="G87" s="9" t="n">
        <x:v>0.95675852</x:v>
      </x:c>
      <x:c r="H87" s="9" t="n">
        <x:v>0.93905434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0.08788295</x:v>
      </x:c>
      <x:c r="G88" s="9" t="n">
        <x:v>0.95675852</x:v>
      </x:c>
      <x:c r="H88" s="9" t="n">
        <x:v>0.93905434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0.08788295</x:v>
      </x:c>
      <x:c r="G89" s="9" t="n">
        <x:v>0.95675852</x:v>
      </x:c>
      <x:c r="H89" s="9" t="n">
        <x:v>0.93905434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0.08788295</x:v>
      </x:c>
      <x:c r="G90" s="9" t="n">
        <x:v>0.95675852</x:v>
      </x:c>
      <x:c r="H90" s="9" t="n">
        <x:v>0.93905434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0.08788295</x:v>
      </x:c>
      <x:c r="G91" s="9" t="n">
        <x:v>0.95675852</x:v>
      </x:c>
      <x:c r="H91" s="9" t="n">
        <x:v>0.93905434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0.08788295</x:v>
      </x:c>
      <x:c r="G92" s="9" t="n">
        <x:v>-1.56826622</x:v>
      </x:c>
      <x:c r="H92" s="9" t="n">
        <x:v>-1.46966574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0.08788295</x:v>
      </x:c>
      <x:c r="G93" s="9" t="n">
        <x:v>-1.56826622</x:v>
      </x:c>
      <x:c r="H93" s="9" t="n">
        <x:v>-1.46966574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0.08788295</x:v>
      </x:c>
      <x:c r="G94" s="9" t="n">
        <x:v>-1.56826622</x:v>
      </x:c>
      <x:c r="H94" s="9" t="n">
        <x:v>-1.46966574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0.08788295</x:v>
      </x:c>
      <x:c r="G95" s="9" t="n">
        <x:v>-1.56826622</x:v>
      </x:c>
      <x:c r="H95" s="9" t="n">
        <x:v>-1.46966574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0.08788295</x:v>
      </x:c>
      <x:c r="G96" s="9" t="n">
        <x:v>-1.56826622</x:v>
      </x:c>
      <x:c r="H96" s="9" t="n">
        <x:v>-1.46966574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0.08788295</x:v>
      </x:c>
      <x:c r="G97" s="9" t="n">
        <x:v>-1.56826622</x:v>
      </x:c>
      <x:c r="H97" s="9" t="n">
        <x:v>-1.46966574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0.08788295</x:v>
      </x:c>
      <x:c r="G98" s="9" t="n">
        <x:v>0.76910146</x:v>
      </x:c>
      <x:c r="H98" s="9" t="n">
        <x:v>0.76004092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0.08788295</x:v>
      </x:c>
      <x:c r="G99" s="9" t="n">
        <x:v>0.76910146</x:v>
      </x:c>
      <x:c r="H99" s="9" t="n">
        <x:v>0.76004092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0.08788295</x:v>
      </x:c>
      <x:c r="G100" s="9" t="n">
        <x:v>0.76910146</x:v>
      </x:c>
      <x:c r="H100" s="9" t="n">
        <x:v>0.76004092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0.08788295</x:v>
      </x:c>
      <x:c r="G101" s="9" t="n">
        <x:v>0.76910146</x:v>
      </x:c>
      <x:c r="H101" s="9" t="n">
        <x:v>0.76004092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0.08788295</x:v>
      </x:c>
      <x:c r="G102" s="9" t="n">
        <x:v>0.76910146</x:v>
      </x:c>
      <x:c r="H102" s="9" t="n">
        <x:v>0.76004092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0.08788295</x:v>
      </x:c>
      <x:c r="G103" s="9" t="n">
        <x:v>0.76910146</x:v>
      </x:c>
      <x:c r="H103" s="9" t="n">
        <x:v>0.76004092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0.08788295</x:v>
      </x:c>
      <x:c r="G104" s="9" t="n">
        <x:v>-1.36604118</x:v>
      </x:c>
      <x:c r="H104" s="9" t="n">
        <x:v>-1.27675535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0.08788295</x:v>
      </x:c>
      <x:c r="G105" s="9" t="n">
        <x:v>-1.36604118</x:v>
      </x:c>
      <x:c r="H105" s="9" t="n">
        <x:v>-1.27675535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0.08788295</x:v>
      </x:c>
      <x:c r="G106" s="9" t="n">
        <x:v>-1.36604118</x:v>
      </x:c>
      <x:c r="H106" s="9" t="n">
        <x:v>-1.27675535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0.08788295</x:v>
      </x:c>
      <x:c r="G107" s="9" t="n">
        <x:v>-1.36604118</x:v>
      </x:c>
      <x:c r="H107" s="9" t="n">
        <x:v>-1.27675535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0.08788295</x:v>
      </x:c>
      <x:c r="G108" s="9" t="n">
        <x:v>-1.36604118</x:v>
      </x:c>
      <x:c r="H108" s="9" t="n">
        <x:v>-1.27675535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0.08788295</x:v>
      </x:c>
      <x:c r="G109" s="9" t="n">
        <x:v>-1.36604118</x:v>
      </x:c>
      <x:c r="H109" s="9" t="n">
        <x:v>-1.27675535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0.53619635</x:v>
      </x:c>
      <x:c r="G110" s="9" t="n">
        <x:v>-0.3936467</x:v>
      </x:c>
      <x:c r="H110" s="9" t="n">
        <x:v>-0.21465612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0.53619635</x:v>
      </x:c>
      <x:c r="G111" s="9" t="n">
        <x:v>-0.3936467</x:v>
      </x:c>
      <x:c r="H111" s="9" t="n">
        <x:v>-0.21465612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0.53619635</x:v>
      </x:c>
      <x:c r="G112" s="9" t="n">
        <x:v>-0.3936467</x:v>
      </x:c>
      <x:c r="H112" s="9" t="n">
        <x:v>-0.21465612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0.53619635</x:v>
      </x:c>
      <x:c r="G113" s="9" t="n">
        <x:v>-0.3936467</x:v>
      </x:c>
      <x:c r="H113" s="9" t="n">
        <x:v>-0.21465612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0.53619635</x:v>
      </x:c>
      <x:c r="G114" s="9" t="n">
        <x:v>-0.3936467</x:v>
      </x:c>
      <x:c r="H114" s="9" t="n">
        <x:v>-0.21465612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0.53619635</x:v>
      </x:c>
      <x:c r="G115" s="9" t="n">
        <x:v>-0.3936467</x:v>
      </x:c>
      <x:c r="H115" s="9" t="n">
        <x:v>-0.21465612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0.53619635</x:v>
      </x:c>
      <x:c r="G116" s="9" t="n">
        <x:v>1.47753611</x:v>
      </x:c>
      <x:c r="H116" s="9" t="n">
        <x:v>1.57033852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0.53619635</x:v>
      </x:c>
      <x:c r="G117" s="9" t="n">
        <x:v>1.47753611</x:v>
      </x:c>
      <x:c r="H117" s="9" t="n">
        <x:v>1.57033852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0.53619635</x:v>
      </x:c>
      <x:c r="G118" s="9" t="n">
        <x:v>1.47753611</x:v>
      </x:c>
      <x:c r="H118" s="9" t="n">
        <x:v>1.57033852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0.53619635</x:v>
      </x:c>
      <x:c r="G119" s="9" t="n">
        <x:v>1.47753611</x:v>
      </x:c>
      <x:c r="H119" s="9" t="n">
        <x:v>1.57033852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0.53619635</x:v>
      </x:c>
      <x:c r="G120" s="9" t="n">
        <x:v>1.47753611</x:v>
      </x:c>
      <x:c r="H120" s="9" t="n">
        <x:v>1.57033852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0.53619635</x:v>
      </x:c>
      <x:c r="G121" s="9" t="n">
        <x:v>1.47753611</x:v>
      </x:c>
      <x:c r="H121" s="9" t="n">
        <x:v>1.57033852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0.53619635</x:v>
      </x:c>
      <x:c r="G122" s="9" t="n">
        <x:v>-0.58901524</x:v>
      </x:c>
      <x:c r="H122" s="9" t="n">
        <x:v>-0.40102582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0.53619635</x:v>
      </x:c>
      <x:c r="G123" s="9" t="n">
        <x:v>-0.58901524</x:v>
      </x:c>
      <x:c r="H123" s="9" t="n">
        <x:v>-0.40102582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0.53619635</x:v>
      </x:c>
      <x:c r="G124" s="9" t="n">
        <x:v>-0.58901524</x:v>
      </x:c>
      <x:c r="H124" s="9" t="n">
        <x:v>-0.40102582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0.53619635</x:v>
      </x:c>
      <x:c r="G125" s="9" t="n">
        <x:v>-0.58901524</x:v>
      </x:c>
      <x:c r="H125" s="9" t="n">
        <x:v>-0.40102582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0.53619635</x:v>
      </x:c>
      <x:c r="G126" s="9" t="n">
        <x:v>-0.58901524</x:v>
      </x:c>
      <x:c r="H126" s="9" t="n">
        <x:v>-0.40102582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0.53619635</x:v>
      </x:c>
      <x:c r="G127" s="9" t="n">
        <x:v>-0.58901524</x:v>
      </x:c>
      <x:c r="H127" s="9" t="n">
        <x:v>-0.40102582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0.53619635</x:v>
      </x:c>
      <x:c r="G128" s="9" t="n">
        <x:v>2.04487281</x:v>
      </x:c>
      <x:c r="H128" s="9" t="n">
        <x:v>2.11154324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0.53619635</x:v>
      </x:c>
      <x:c r="G129" s="9" t="n">
        <x:v>2.04487281</x:v>
      </x:c>
      <x:c r="H129" s="9" t="n">
        <x:v>2.11154324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0.53619635</x:v>
      </x:c>
      <x:c r="G130" s="9" t="n">
        <x:v>2.04487281</x:v>
      </x:c>
      <x:c r="H130" s="9" t="n">
        <x:v>2.11154324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0.53619635</x:v>
      </x:c>
      <x:c r="G131" s="9" t="n">
        <x:v>2.04487281</x:v>
      </x:c>
      <x:c r="H131" s="9" t="n">
        <x:v>2.11154324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0.53619635</x:v>
      </x:c>
      <x:c r="G132" s="9" t="n">
        <x:v>2.04487281</x:v>
      </x:c>
      <x:c r="H132" s="9" t="n">
        <x:v>2.11154324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0.53619635</x:v>
      </x:c>
      <x:c r="G133" s="9" t="n">
        <x:v>2.04487281</x:v>
      </x:c>
      <x:c r="H133" s="9" t="n">
        <x:v>2.11154324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0.53619635</x:v>
      </x:c>
      <x:c r="G134" s="9" t="n">
        <x:v>-0.0793274</x:v>
      </x:c>
      <x:c r="H134" s="9" t="n">
        <x:v>0.08518539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0.53619635</x:v>
      </x:c>
      <x:c r="G135" s="9" t="n">
        <x:v>-0.0793274</x:v>
      </x:c>
      <x:c r="H135" s="9" t="n">
        <x:v>0.08518539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0.53619635</x:v>
      </x:c>
      <x:c r="G136" s="9" t="n">
        <x:v>-0.0793274</x:v>
      </x:c>
      <x:c r="H136" s="9" t="n">
        <x:v>0.08518539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0.53619635</x:v>
      </x:c>
      <x:c r="G137" s="9" t="n">
        <x:v>-0.0793274</x:v>
      </x:c>
      <x:c r="H137" s="9" t="n">
        <x:v>0.08518539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0.53619635</x:v>
      </x:c>
      <x:c r="G138" s="9" t="n">
        <x:v>-0.0793274</x:v>
      </x:c>
      <x:c r="H138" s="9" t="n">
        <x:v>0.08518539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0.53619635</x:v>
      </x:c>
      <x:c r="G139" s="9" t="n">
        <x:v>-0.0793274</x:v>
      </x:c>
      <x:c r="H139" s="9" t="n">
        <x:v>0.08518539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0.53619635</x:v>
      </x:c>
      <x:c r="G140" s="9" t="n">
        <x:v>-0.71087764</x:v>
      </x:c>
      <x:c r="H140" s="9" t="n">
        <x:v>-0.51727514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0.53619635</x:v>
      </x:c>
      <x:c r="G141" s="9" t="n">
        <x:v>-0.71087764</x:v>
      </x:c>
      <x:c r="H141" s="9" t="n">
        <x:v>-0.51727514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0.53619635</x:v>
      </x:c>
      <x:c r="G142" s="9" t="n">
        <x:v>-0.71087764</x:v>
      </x:c>
      <x:c r="H142" s="9" t="n">
        <x:v>-0.51727514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0.53619635</x:v>
      </x:c>
      <x:c r="G143" s="9" t="n">
        <x:v>-0.71087764</x:v>
      </x:c>
      <x:c r="H143" s="9" t="n">
        <x:v>-0.51727514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0.53619635</x:v>
      </x:c>
      <x:c r="G144" s="9" t="n">
        <x:v>-0.71087764</x:v>
      </x:c>
      <x:c r="H144" s="9" t="n">
        <x:v>-0.51727514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0.53619635</x:v>
      </x:c>
      <x:c r="G145" s="9" t="n">
        <x:v>-0.71087764</x:v>
      </x:c>
      <x:c r="H145" s="9" t="n">
        <x:v>-0.51727514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-1.13312489</x:v>
      </x:c>
      <x:c r="G146" s="9" t="n">
        <x:v>1.31834849</x:v>
      </x:c>
      <x:c r="H146" s="9" t="n">
        <x:v>0.91768684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-1.13312489</x:v>
      </x:c>
      <x:c r="G147" s="9" t="n">
        <x:v>1.31834849</x:v>
      </x:c>
      <x:c r="H147" s="9" t="n">
        <x:v>0.91768684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-1.13312489</x:v>
      </x:c>
      <x:c r="G148" s="9" t="n">
        <x:v>1.31834849</x:v>
      </x:c>
      <x:c r="H148" s="9" t="n">
        <x:v>0.91768684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-1.13312489</x:v>
      </x:c>
      <x:c r="G149" s="9" t="n">
        <x:v>1.31834849</x:v>
      </x:c>
      <x:c r="H149" s="9" t="n">
        <x:v>0.91768684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-1.13312489</x:v>
      </x:c>
      <x:c r="G150" s="9" t="n">
        <x:v>1.31834849</x:v>
      </x:c>
      <x:c r="H150" s="9" t="n">
        <x:v>0.91768684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-1.13312489</x:v>
      </x:c>
      <x:c r="G151" s="9" t="n">
        <x:v>1.31834849</x:v>
      </x:c>
      <x:c r="H151" s="9" t="n">
        <x:v>0.91768684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-1.13312489</x:v>
      </x:c>
      <x:c r="G152" s="9" t="n">
        <x:v>1.99706889</x:v>
      </x:c>
      <x:c r="H152" s="9" t="n">
        <x:v>1.56514484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-1.13312489</x:v>
      </x:c>
      <x:c r="G153" s="9" t="n">
        <x:v>1.99706889</x:v>
      </x:c>
      <x:c r="H153" s="9" t="n">
        <x:v>1.56514484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-1.13312489</x:v>
      </x:c>
      <x:c r="G154" s="9" t="n">
        <x:v>1.99706889</x:v>
      </x:c>
      <x:c r="H154" s="9" t="n">
        <x:v>1.56514484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-1.13312489</x:v>
      </x:c>
      <x:c r="G155" s="9" t="n">
        <x:v>1.99706889</x:v>
      </x:c>
      <x:c r="H155" s="9" t="n">
        <x:v>1.56514484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-1.13312489</x:v>
      </x:c>
      <x:c r="G156" s="9" t="n">
        <x:v>1.99706889</x:v>
      </x:c>
      <x:c r="H156" s="9" t="n">
        <x:v>1.56514484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-1.13312489</x:v>
      </x:c>
      <x:c r="G157" s="9" t="n">
        <x:v>1.99706889</x:v>
      </x:c>
      <x:c r="H157" s="9" t="n">
        <x:v>1.56514484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-1.13312489</x:v>
      </x:c>
      <x:c r="G158" s="9" t="n">
        <x:v>-0.90182247</x:v>
      </x:c>
      <x:c r="H158" s="9" t="n">
        <x:v>-1.20022127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-1.13312489</x:v>
      </x:c>
      <x:c r="G159" s="9" t="n">
        <x:v>-0.90182247</x:v>
      </x:c>
      <x:c r="H159" s="9" t="n">
        <x:v>-1.20022127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-1.13312489</x:v>
      </x:c>
      <x:c r="G160" s="9" t="n">
        <x:v>-0.90182247</x:v>
      </x:c>
      <x:c r="H160" s="9" t="n">
        <x:v>-1.20022127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-1.13312489</x:v>
      </x:c>
      <x:c r="G161" s="9" t="n">
        <x:v>-0.90182247</x:v>
      </x:c>
      <x:c r="H161" s="9" t="n">
        <x:v>-1.20022127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-1.13312489</x:v>
      </x:c>
      <x:c r="G162" s="9" t="n">
        <x:v>-0.90182247</x:v>
      </x:c>
      <x:c r="H162" s="9" t="n">
        <x:v>-1.20022127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-1.13312489</x:v>
      </x:c>
      <x:c r="G163" s="9" t="n">
        <x:v>-0.90182247</x:v>
      </x:c>
      <x:c r="H163" s="9" t="n">
        <x:v>-1.20022127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-1.13312489</x:v>
      </x:c>
      <x:c r="G164" s="9" t="n">
        <x:v>-0.44747145</x:v>
      </x:c>
      <x:c r="H164" s="9" t="n">
        <x:v>-0.76679803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-1.13312489</x:v>
      </x:c>
      <x:c r="G165" s="9" t="n">
        <x:v>-0.44747145</x:v>
      </x:c>
      <x:c r="H165" s="9" t="n">
        <x:v>-0.76679803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-1.13312489</x:v>
      </x:c>
      <x:c r="G166" s="9" t="n">
        <x:v>-0.44747145</x:v>
      </x:c>
      <x:c r="H166" s="9" t="n">
        <x:v>-0.76679803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-1.13312489</x:v>
      </x:c>
      <x:c r="G167" s="9" t="n">
        <x:v>-0.44747145</x:v>
      </x:c>
      <x:c r="H167" s="9" t="n">
        <x:v>-0.76679803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-1.13312489</x:v>
      </x:c>
      <x:c r="G168" s="9" t="n">
        <x:v>-0.44747145</x:v>
      </x:c>
      <x:c r="H168" s="9" t="n">
        <x:v>-0.76679803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-1.13312489</x:v>
      </x:c>
      <x:c r="G169" s="9" t="n">
        <x:v>-0.44747145</x:v>
      </x:c>
      <x:c r="H169" s="9" t="n">
        <x:v>-0.76679803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-1.13312489</x:v>
      </x:c>
      <x:c r="G170" s="9" t="n">
        <x:v>0.23856307</x:v>
      </x:c>
      <x:c r="H170" s="9" t="n">
        <x:v>-0.1123628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-1.13312489</x:v>
      </x:c>
      <x:c r="G171" s="9" t="n">
        <x:v>0.23856307</x:v>
      </x:c>
      <x:c r="H171" s="9" t="n">
        <x:v>-0.1123628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-1.13312489</x:v>
      </x:c>
      <x:c r="G172" s="9" t="n">
        <x:v>0.23856307</x:v>
      </x:c>
      <x:c r="H172" s="9" t="n">
        <x:v>-0.1123628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-1.13312489</x:v>
      </x:c>
      <x:c r="G173" s="9" t="n">
        <x:v>0.23856307</x:v>
      </x:c>
      <x:c r="H173" s="9" t="n">
        <x:v>-0.1123628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-1.13312489</x:v>
      </x:c>
      <x:c r="G174" s="9" t="n">
        <x:v>0.23856307</x:v>
      </x:c>
      <x:c r="H174" s="9" t="n">
        <x:v>-0.1123628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-1.13312489</x:v>
      </x:c>
      <x:c r="G175" s="9" t="n">
        <x:v>0.23856307</x:v>
      </x:c>
      <x:c r="H175" s="9" t="n">
        <x:v>-0.1123628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-1.13312489</x:v>
      </x:c>
      <x:c r="G176" s="9" t="n">
        <x:v>-0.80716922</x:v>
      </x:c>
      <x:c r="H176" s="9" t="n">
        <x:v>-1.10992783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-1.13312489</x:v>
      </x:c>
      <x:c r="G177" s="9" t="n">
        <x:v>-0.80716922</x:v>
      </x:c>
      <x:c r="H177" s="9" t="n">
        <x:v>-1.10992783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-1.13312489</x:v>
      </x:c>
      <x:c r="G178" s="9" t="n">
        <x:v>-0.80716922</x:v>
      </x:c>
      <x:c r="H178" s="9" t="n">
        <x:v>-1.10992783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-1.13312489</x:v>
      </x:c>
      <x:c r="G179" s="9" t="n">
        <x:v>-0.80716922</x:v>
      </x:c>
      <x:c r="H179" s="9" t="n">
        <x:v>-1.10992783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-1.13312489</x:v>
      </x:c>
      <x:c r="G180" s="9" t="n">
        <x:v>-0.80716922</x:v>
      </x:c>
      <x:c r="H180" s="9" t="n">
        <x:v>-1.10992783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-1.13312489</x:v>
      </x:c>
      <x:c r="G181" s="9" t="n">
        <x:v>-0.80716922</x:v>
      </x:c>
      <x:c r="H181" s="9" t="n">
        <x:v>-1.10992783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0.84895451</x:v>
      </x:c>
      <x:c r="G182" s="9" t="n">
        <x:v>0.04765261</x:v>
      </x:c>
      <x:c r="H182" s="9" t="n">
        <x:v>0.30014405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0.84895451</x:v>
      </x:c>
      <x:c r="G183" s="9" t="n">
        <x:v>0.04765261</x:v>
      </x:c>
      <x:c r="H183" s="9" t="n">
        <x:v>0.30014405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0.84895451</x:v>
      </x:c>
      <x:c r="G184" s="9" t="n">
        <x:v>0.04765261</x:v>
      </x:c>
      <x:c r="H184" s="9" t="n">
        <x:v>0.30014405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0.84895451</x:v>
      </x:c>
      <x:c r="G185" s="9" t="n">
        <x:v>0.04765261</x:v>
      </x:c>
      <x:c r="H185" s="9" t="n">
        <x:v>0.30014405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0.84895451</x:v>
      </x:c>
      <x:c r="G186" s="9" t="n">
        <x:v>0.04765261</x:v>
      </x:c>
      <x:c r="H186" s="9" t="n">
        <x:v>0.30014405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0.84895451</x:v>
      </x:c>
      <x:c r="G187" s="9" t="n">
        <x:v>0.04765261</x:v>
      </x:c>
      <x:c r="H187" s="9" t="n">
        <x:v>0.30014405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0.84895451</x:v>
      </x:c>
      <x:c r="G188" s="9" t="n">
        <x:v>-1.30351046</x:v>
      </x:c>
      <x:c r="H188" s="9" t="n">
        <x:v>-0.98878338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0.84895451</x:v>
      </x:c>
      <x:c r="G189" s="9" t="n">
        <x:v>-1.30351046</x:v>
      </x:c>
      <x:c r="H189" s="9" t="n">
        <x:v>-0.98878338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0.84895451</x:v>
      </x:c>
      <x:c r="G190" s="9" t="n">
        <x:v>-1.30351046</x:v>
      </x:c>
      <x:c r="H190" s="9" t="n">
        <x:v>-0.98878338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0.84895451</x:v>
      </x:c>
      <x:c r="G191" s="9" t="n">
        <x:v>-1.30351046</x:v>
      </x:c>
      <x:c r="H191" s="9" t="n">
        <x:v>-0.98878338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0.84895451</x:v>
      </x:c>
      <x:c r="G192" s="9" t="n">
        <x:v>-1.30351046</x:v>
      </x:c>
      <x:c r="H192" s="9" t="n">
        <x:v>-0.98878338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0.84895451</x:v>
      </x:c>
      <x:c r="G193" s="9" t="n">
        <x:v>-1.30351046</x:v>
      </x:c>
      <x:c r="H193" s="9" t="n">
        <x:v>-0.98878338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0.84895451</x:v>
      </x:c>
      <x:c r="G194" s="9" t="n">
        <x:v>0.79139206</x:v>
      </x:c>
      <x:c r="H194" s="9" t="n">
        <x:v>1.00962626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0.84895451</x:v>
      </x:c>
      <x:c r="G195" s="9" t="n">
        <x:v>0.79139206</x:v>
      </x:c>
      <x:c r="H195" s="9" t="n">
        <x:v>1.00962626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0.84895451</x:v>
      </x:c>
      <x:c r="G196" s="9" t="n">
        <x:v>0.79139206</x:v>
      </x:c>
      <x:c r="H196" s="9" t="n">
        <x:v>1.00962626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0.84895451</x:v>
      </x:c>
      <x:c r="G197" s="9" t="n">
        <x:v>0.79139206</x:v>
      </x:c>
      <x:c r="H197" s="9" t="n">
        <x:v>1.00962626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0.84895451</x:v>
      </x:c>
      <x:c r="G198" s="9" t="n">
        <x:v>0.79139206</x:v>
      </x:c>
      <x:c r="H198" s="9" t="n">
        <x:v>1.00962626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0.84895451</x:v>
      </x:c>
      <x:c r="G199" s="9" t="n">
        <x:v>0.79139206</x:v>
      </x:c>
      <x:c r="H199" s="9" t="n">
        <x:v>1.00962626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0.84895451</x:v>
      </x:c>
      <x:c r="G200" s="9" t="n">
        <x:v>-0.30949675</x:v>
      </x:c>
      <x:c r="H200" s="9" t="n">
        <x:v>-0.04055474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0.84895451</x:v>
      </x:c>
      <x:c r="G201" s="9" t="n">
        <x:v>-0.30949675</x:v>
      </x:c>
      <x:c r="H201" s="9" t="n">
        <x:v>-0.04055474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0.84895451</x:v>
      </x:c>
      <x:c r="G202" s="9" t="n">
        <x:v>-0.30949675</x:v>
      </x:c>
      <x:c r="H202" s="9" t="n">
        <x:v>-0.04055474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0.84895451</x:v>
      </x:c>
      <x:c r="G203" s="9" t="n">
        <x:v>-0.30949675</x:v>
      </x:c>
      <x:c r="H203" s="9" t="n">
        <x:v>-0.04055474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0.84895451</x:v>
      </x:c>
      <x:c r="G204" s="9" t="n">
        <x:v>-0.30949675</x:v>
      </x:c>
      <x:c r="H204" s="9" t="n">
        <x:v>-0.04055474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0.84895451</x:v>
      </x:c>
      <x:c r="G205" s="9" t="n">
        <x:v>-0.30949675</x:v>
      </x:c>
      <x:c r="H205" s="9" t="n">
        <x:v>-0.04055474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0.84895451</x:v>
      </x:c>
      <x:c r="G206" s="9" t="n">
        <x:v>-0.93874064</x:v>
      </x:c>
      <x:c r="H206" s="9" t="n">
        <x:v>-0.64081514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0.84895451</x:v>
      </x:c>
      <x:c r="G207" s="9" t="n">
        <x:v>-0.93874064</x:v>
      </x:c>
      <x:c r="H207" s="9" t="n">
        <x:v>-0.64081514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0.84895451</x:v>
      </x:c>
      <x:c r="G208" s="9" t="n">
        <x:v>-0.93874064</x:v>
      </x:c>
      <x:c r="H208" s="9" t="n">
        <x:v>-0.64081514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0.84895451</x:v>
      </x:c>
      <x:c r="G209" s="9" t="n">
        <x:v>-0.93874064</x:v>
      </x:c>
      <x:c r="H209" s="9" t="n">
        <x:v>-0.64081514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0.84895451</x:v>
      </x:c>
      <x:c r="G210" s="9" t="n">
        <x:v>-0.93874064</x:v>
      </x:c>
      <x:c r="H210" s="9" t="n">
        <x:v>-0.64081514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0.84895451</x:v>
      </x:c>
      <x:c r="G211" s="9" t="n">
        <x:v>-0.93874064</x:v>
      </x:c>
      <x:c r="H211" s="9" t="n">
        <x:v>-0.64081514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0.84895451</x:v>
      </x:c>
      <x:c r="G212" s="9" t="n">
        <x:v>1.16930609</x:v>
      </x:c>
      <x:c r="H212" s="9" t="n">
        <x:v>1.37013327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0.84895451</x:v>
      </x:c>
      <x:c r="G213" s="9" t="n">
        <x:v>1.16930609</x:v>
      </x:c>
      <x:c r="H213" s="9" t="n">
        <x:v>1.37013327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0.84895451</x:v>
      </x:c>
      <x:c r="G214" s="9" t="n">
        <x:v>1.16930609</x:v>
      </x:c>
      <x:c r="H214" s="9" t="n">
        <x:v>1.37013327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0.84895451</x:v>
      </x:c>
      <x:c r="G215" s="9" t="n">
        <x:v>1.16930609</x:v>
      </x:c>
      <x:c r="H215" s="9" t="n">
        <x:v>1.37013327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0.84895451</x:v>
      </x:c>
      <x:c r="G216" s="9" t="n">
        <x:v>1.16930609</x:v>
      </x:c>
      <x:c r="H216" s="9" t="n">
        <x:v>1.37013327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0.84895451</x:v>
      </x:c>
      <x:c r="G217" s="9" t="n">
        <x:v>1.16930609</x:v>
      </x:c>
      <x:c r="H217" s="9" t="n">
        <x:v>1.37013327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0.86322481</x:v>
      </x:c>
      <x:c r="G218" s="9" t="n">
        <x:v>-1.27991863</x:v>
      </x:c>
      <x:c r="H218" s="9" t="n">
        <x:v>-0.96199711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0.86322481</x:v>
      </x:c>
      <x:c r="G219" s="9" t="n">
        <x:v>-1.27991863</x:v>
      </x:c>
      <x:c r="H219" s="9" t="n">
        <x:v>-0.96199711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0.86322481</x:v>
      </x:c>
      <x:c r="G220" s="9" t="n">
        <x:v>-1.27991863</x:v>
      </x:c>
      <x:c r="H220" s="9" t="n">
        <x:v>-0.96199711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0.86322481</x:v>
      </x:c>
      <x:c r="G221" s="9" t="n">
        <x:v>-1.27991863</x:v>
      </x:c>
      <x:c r="H221" s="9" t="n">
        <x:v>-0.96199711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0.86322481</x:v>
      </x:c>
      <x:c r="G222" s="9" t="n">
        <x:v>-1.27991863</x:v>
      </x:c>
      <x:c r="H222" s="9" t="n">
        <x:v>-0.96199711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0.86322481</x:v>
      </x:c>
      <x:c r="G223" s="9" t="n">
        <x:v>-1.27991863</x:v>
      </x:c>
      <x:c r="H223" s="9" t="n">
        <x:v>-0.96199711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0.86322481</x:v>
      </x:c>
      <x:c r="G224" s="9" t="n">
        <x:v>0.24581305</x:v>
      </x:c>
      <x:c r="H224" s="9" t="n">
        <x:v>0.49345814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0.86322481</x:v>
      </x:c>
      <x:c r="G225" s="9" t="n">
        <x:v>0.24581305</x:v>
      </x:c>
      <x:c r="H225" s="9" t="n">
        <x:v>0.49345814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0.86322481</x:v>
      </x:c>
      <x:c r="G226" s="9" t="n">
        <x:v>0.24581305</x:v>
      </x:c>
      <x:c r="H226" s="9" t="n">
        <x:v>0.49345814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0.86322481</x:v>
      </x:c>
      <x:c r="G227" s="9" t="n">
        <x:v>0.24581305</x:v>
      </x:c>
      <x:c r="H227" s="9" t="n">
        <x:v>0.49345814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0.86322481</x:v>
      </x:c>
      <x:c r="G228" s="9" t="n">
        <x:v>0.24581305</x:v>
      </x:c>
      <x:c r="H228" s="9" t="n">
        <x:v>0.49345814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0.86322481</x:v>
      </x:c>
      <x:c r="G229" s="9" t="n">
        <x:v>0.24581305</x:v>
      </x:c>
      <x:c r="H229" s="9" t="n">
        <x:v>0.49345814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0.86322481</x:v>
      </x:c>
      <x:c r="G230" s="9" t="n">
        <x:v>0.91684012</x:v>
      </x:c>
      <x:c r="H230" s="9" t="n">
        <x:v>1.13357717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0.86322481</x:v>
      </x:c>
      <x:c r="G231" s="9" t="n">
        <x:v>0.91684012</x:v>
      </x:c>
      <x:c r="H231" s="9" t="n">
        <x:v>1.13357717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0.86322481</x:v>
      </x:c>
      <x:c r="G232" s="9" t="n">
        <x:v>0.91684012</x:v>
      </x:c>
      <x:c r="H232" s="9" t="n">
        <x:v>1.13357717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0.86322481</x:v>
      </x:c>
      <x:c r="G233" s="9" t="n">
        <x:v>0.91684012</x:v>
      </x:c>
      <x:c r="H233" s="9" t="n">
        <x:v>1.13357717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0.86322481</x:v>
      </x:c>
      <x:c r="G234" s="9" t="n">
        <x:v>0.91684012</x:v>
      </x:c>
      <x:c r="H234" s="9" t="n">
        <x:v>1.13357717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0.86322481</x:v>
      </x:c>
      <x:c r="G235" s="9" t="n">
        <x:v>0.91684012</x:v>
      </x:c>
      <x:c r="H235" s="9" t="n">
        <x:v>1.13357717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0.86322481</x:v>
      </x:c>
      <x:c r="G236" s="9" t="n">
        <x:v>2.12443554</x:v>
      </x:c>
      <x:c r="H236" s="9" t="n">
        <x:v>2.28554978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0.86322481</x:v>
      </x:c>
      <x:c r="G237" s="9" t="n">
        <x:v>2.12443554</x:v>
      </x:c>
      <x:c r="H237" s="9" t="n">
        <x:v>2.28554978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0.86322481</x:v>
      </x:c>
      <x:c r="G238" s="9" t="n">
        <x:v>2.12443554</x:v>
      </x:c>
      <x:c r="H238" s="9" t="n">
        <x:v>2.28554978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0.86322481</x:v>
      </x:c>
      <x:c r="G239" s="9" t="n">
        <x:v>2.12443554</x:v>
      </x:c>
      <x:c r="H239" s="9" t="n">
        <x:v>2.28554978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0.86322481</x:v>
      </x:c>
      <x:c r="G240" s="9" t="n">
        <x:v>2.12443554</x:v>
      </x:c>
      <x:c r="H240" s="9" t="n">
        <x:v>2.28554978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0.86322481</x:v>
      </x:c>
      <x:c r="G241" s="9" t="n">
        <x:v>2.12443554</x:v>
      </x:c>
      <x:c r="H241" s="9" t="n">
        <x:v>2.28554978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0.86322481</x:v>
      </x:c>
      <x:c r="G242" s="9" t="n">
        <x:v>0.71162397</x:v>
      </x:c>
      <x:c r="H242" s="9" t="n">
        <x:v>0.93781345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0.86322481</x:v>
      </x:c>
      <x:c r="G243" s="9" t="n">
        <x:v>0.71162397</x:v>
      </x:c>
      <x:c r="H243" s="9" t="n">
        <x:v>0.93781345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0.86322481</x:v>
      </x:c>
      <x:c r="G244" s="9" t="n">
        <x:v>0.71162397</x:v>
      </x:c>
      <x:c r="H244" s="9" t="n">
        <x:v>0.93781345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0.86322481</x:v>
      </x:c>
      <x:c r="G245" s="9" t="n">
        <x:v>0.71162397</x:v>
      </x:c>
      <x:c r="H245" s="9" t="n">
        <x:v>0.93781345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0.86322481</x:v>
      </x:c>
      <x:c r="G246" s="9" t="n">
        <x:v>0.71162397</x:v>
      </x:c>
      <x:c r="H246" s="9" t="n">
        <x:v>0.93781345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0.86322481</x:v>
      </x:c>
      <x:c r="G247" s="9" t="n">
        <x:v>0.71162397</x:v>
      </x:c>
      <x:c r="H247" s="9" t="n">
        <x:v>0.93781345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0.86322481</x:v>
      </x:c>
      <x:c r="G248" s="9" t="n">
        <x:v>-0.82308361</x:v>
      </x:c>
      <x:c r="H248" s="9" t="n">
        <x:v>-0.52620428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0.86322481</x:v>
      </x:c>
      <x:c r="G249" s="9" t="n">
        <x:v>-0.82308361</x:v>
      </x:c>
      <x:c r="H249" s="9" t="n">
        <x:v>-0.52620428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0.86322481</x:v>
      </x:c>
      <x:c r="G250" s="9" t="n">
        <x:v>-0.82308361</x:v>
      </x:c>
      <x:c r="H250" s="9" t="n">
        <x:v>-0.52620428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0.86322481</x:v>
      </x:c>
      <x:c r="G251" s="9" t="n">
        <x:v>-0.82308361</x:v>
      </x:c>
      <x:c r="H251" s="9" t="n">
        <x:v>-0.52620428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0.86322481</x:v>
      </x:c>
      <x:c r="G252" s="9" t="n">
        <x:v>-0.82308361</x:v>
      </x:c>
      <x:c r="H252" s="9" t="n">
        <x:v>-0.52620428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0.86322481</x:v>
      </x:c>
      <x:c r="G253" s="9" t="n">
        <x:v>-0.82308361</x:v>
      </x:c>
      <x:c r="H253" s="9" t="n">
        <x:v>-0.52620428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-0.37388688</x:v>
      </x:c>
      <x:c r="G254" s="9" t="n">
        <x:v>0.48485696</x:v>
      </x:c>
      <x:c r="H254" s="9" t="n">
        <x:v>0.350358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-0.37388688</x:v>
      </x:c>
      <x:c r="G255" s="9" t="n">
        <x:v>0.48485696</x:v>
      </x:c>
      <x:c r="H255" s="9" t="n">
        <x:v>0.350358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-0.37388688</x:v>
      </x:c>
      <x:c r="G256" s="9" t="n">
        <x:v>0.48485696</x:v>
      </x:c>
      <x:c r="H256" s="9" t="n">
        <x:v>0.350358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-0.37388688</x:v>
      </x:c>
      <x:c r="G257" s="9" t="n">
        <x:v>0.48485696</x:v>
      </x:c>
      <x:c r="H257" s="9" t="n">
        <x:v>0.350358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-0.37388688</x:v>
      </x:c>
      <x:c r="G258" s="9" t="n">
        <x:v>0.48485696</x:v>
      </x:c>
      <x:c r="H258" s="9" t="n">
        <x:v>0.350358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-0.37388688</x:v>
      </x:c>
      <x:c r="G259" s="9" t="n">
        <x:v>0.48485696</x:v>
      </x:c>
      <x:c r="H259" s="9" t="n">
        <x:v>0.350358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-0.37388688</x:v>
      </x:c>
      <x:c r="G260" s="9" t="n">
        <x:v>-0.31085009</x:v>
      </x:c>
      <x:c r="H260" s="9" t="n">
        <x:v>-0.40869816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-0.37388688</x:v>
      </x:c>
      <x:c r="G261" s="9" t="n">
        <x:v>-0.31085009</x:v>
      </x:c>
      <x:c r="H261" s="9" t="n">
        <x:v>-0.40869816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-0.37388688</x:v>
      </x:c>
      <x:c r="G262" s="9" t="n">
        <x:v>-0.31085009</x:v>
      </x:c>
      <x:c r="H262" s="9" t="n">
        <x:v>-0.40869816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-0.37388688</x:v>
      </x:c>
      <x:c r="G263" s="9" t="n">
        <x:v>-0.31085009</x:v>
      </x:c>
      <x:c r="H263" s="9" t="n">
        <x:v>-0.40869816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-0.37388688</x:v>
      </x:c>
      <x:c r="G264" s="9" t="n">
        <x:v>-0.31085009</x:v>
      </x:c>
      <x:c r="H264" s="9" t="n">
        <x:v>-0.40869816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-0.37388688</x:v>
      </x:c>
      <x:c r="G265" s="9" t="n">
        <x:v>-0.31085009</x:v>
      </x:c>
      <x:c r="H265" s="9" t="n">
        <x:v>-0.40869816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-0.37388688</x:v>
      </x:c>
      <x:c r="G266" s="9" t="n">
        <x:v>-0.47327227</x:v>
      </x:c>
      <x:c r="H266" s="9" t="n">
        <x:v>-0.56363903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-0.37388688</x:v>
      </x:c>
      <x:c r="G267" s="9" t="n">
        <x:v>-0.47327227</x:v>
      </x:c>
      <x:c r="H267" s="9" t="n">
        <x:v>-0.56363903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-0.37388688</x:v>
      </x:c>
      <x:c r="G268" s="9" t="n">
        <x:v>-0.47327227</x:v>
      </x:c>
      <x:c r="H268" s="9" t="n">
        <x:v>-0.56363903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-0.37388688</x:v>
      </x:c>
      <x:c r="G269" s="9" t="n">
        <x:v>-0.47327227</x:v>
      </x:c>
      <x:c r="H269" s="9" t="n">
        <x:v>-0.56363903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-0.37388688</x:v>
      </x:c>
      <x:c r="G270" s="9" t="n">
        <x:v>-0.47327227</x:v>
      </x:c>
      <x:c r="H270" s="9" t="n">
        <x:v>-0.56363903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-0.37388688</x:v>
      </x:c>
      <x:c r="G271" s="9" t="n">
        <x:v>-0.47327227</x:v>
      </x:c>
      <x:c r="H271" s="9" t="n">
        <x:v>-0.56363903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-0.37388688</x:v>
      </x:c>
      <x:c r="G272" s="9" t="n">
        <x:v>-1.00081911</x:v>
      </x:c>
      <x:c r="H272" s="9" t="n">
        <x:v>-1.06688665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-0.37388688</x:v>
      </x:c>
      <x:c r="G273" s="9" t="n">
        <x:v>-1.00081911</x:v>
      </x:c>
      <x:c r="H273" s="9" t="n">
        <x:v>-1.06688665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-0.37388688</x:v>
      </x:c>
      <x:c r="G274" s="9" t="n">
        <x:v>-1.00081911</x:v>
      </x:c>
      <x:c r="H274" s="9" t="n">
        <x:v>-1.06688665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-0.37388688</x:v>
      </x:c>
      <x:c r="G275" s="9" t="n">
        <x:v>-1.00081911</x:v>
      </x:c>
      <x:c r="H275" s="9" t="n">
        <x:v>-1.06688665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-0.37388688</x:v>
      </x:c>
      <x:c r="G276" s="9" t="n">
        <x:v>-1.00081911</x:v>
      </x:c>
      <x:c r="H276" s="9" t="n">
        <x:v>-1.06688665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-0.37388688</x:v>
      </x:c>
      <x:c r="G277" s="9" t="n">
        <x:v>-1.00081911</x:v>
      </x:c>
      <x:c r="H277" s="9" t="n">
        <x:v>-1.06688665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-0.37388688</x:v>
      </x:c>
      <x:c r="G278" s="9" t="n">
        <x:v>-1.06189989</x:v>
      </x:c>
      <x:c r="H278" s="9" t="n">
        <x:v>-1.125154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-0.37388688</x:v>
      </x:c>
      <x:c r="G279" s="9" t="n">
        <x:v>-1.06189989</x:v>
      </x:c>
      <x:c r="H279" s="9" t="n">
        <x:v>-1.125154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-0.37388688</x:v>
      </x:c>
      <x:c r="G280" s="9" t="n">
        <x:v>-1.06189989</x:v>
      </x:c>
      <x:c r="H280" s="9" t="n">
        <x:v>-1.125154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-0.37388688</x:v>
      </x:c>
      <x:c r="G281" s="9" t="n">
        <x:v>-1.06189989</x:v>
      </x:c>
      <x:c r="H281" s="9" t="n">
        <x:v>-1.125154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-0.37388688</x:v>
      </x:c>
      <x:c r="G282" s="9" t="n">
        <x:v>-1.06189989</x:v>
      </x:c>
      <x:c r="H282" s="9" t="n">
        <x:v>-1.125154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-0.37388688</x:v>
      </x:c>
      <x:c r="G283" s="9" t="n">
        <x:v>-1.06189989</x:v>
      </x:c>
      <x:c r="H283" s="9" t="n">
        <x:v>-1.125154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-0.37388688</x:v>
      </x:c>
      <x:c r="G284" s="9" t="n">
        <x:v>0.26462674</x:v>
      </x:c>
      <x:c r="H284" s="9" t="n">
        <x:v>0.14027176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-0.37388688</x:v>
      </x:c>
      <x:c r="G285" s="9" t="n">
        <x:v>0.26462674</x:v>
      </x:c>
      <x:c r="H285" s="9" t="n">
        <x:v>0.14027176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-0.37388688</x:v>
      </x:c>
      <x:c r="G286" s="9" t="n">
        <x:v>0.26462674</x:v>
      </x:c>
      <x:c r="H286" s="9" t="n">
        <x:v>0.14027176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-0.37388688</x:v>
      </x:c>
      <x:c r="G287" s="9" t="n">
        <x:v>0.26462674</x:v>
      </x:c>
      <x:c r="H287" s="9" t="n">
        <x:v>0.14027176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-0.37388688</x:v>
      </x:c>
      <x:c r="G288" s="9" t="n">
        <x:v>0.26462674</x:v>
      </x:c>
      <x:c r="H288" s="9" t="n">
        <x:v>0.14027176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-0.37388688</x:v>
      </x:c>
      <x:c r="G289" s="9" t="n">
        <x:v>0.26462674</x:v>
      </x:c>
      <x:c r="H289" s="9" t="n">
        <x:v>0.14027176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0.46713473</x:v>
      </x:c>
      <x:c r="G290" s="9" t="n">
        <x:v>-0.26975948</x:v>
      </x:c>
      <x:c r="H290" s="9" t="n">
        <x:v>-0.11719373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0.46713473</x:v>
      </x:c>
      <x:c r="G291" s="9" t="n">
        <x:v>-0.26975948</x:v>
      </x:c>
      <x:c r="H291" s="9" t="n">
        <x:v>-0.11719373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0.46713473</x:v>
      </x:c>
      <x:c r="G292" s="9" t="n">
        <x:v>-0.26975948</x:v>
      </x:c>
      <x:c r="H292" s="9" t="n">
        <x:v>-0.11719373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0.46713473</x:v>
      </x:c>
      <x:c r="G293" s="9" t="n">
        <x:v>-0.26975948</x:v>
      </x:c>
      <x:c r="H293" s="9" t="n">
        <x:v>-0.11719373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0.46713473</x:v>
      </x:c>
      <x:c r="G294" s="9" t="n">
        <x:v>-0.26975948</x:v>
      </x:c>
      <x:c r="H294" s="9" t="n">
        <x:v>-0.11719373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0.46713473</x:v>
      </x:c>
      <x:c r="G295" s="9" t="n">
        <x:v>-0.26975948</x:v>
      </x:c>
      <x:c r="H295" s="9" t="n">
        <x:v>-0.11719373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0.46713473</x:v>
      </x:c>
      <x:c r="G296" s="9" t="n">
        <x:v>2.19253004</x:v>
      </x:c>
      <x:c r="H296" s="9" t="n">
        <x:v>2.23168078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0.46713473</x:v>
      </x:c>
      <x:c r="G297" s="9" t="n">
        <x:v>2.19253004</x:v>
      </x:c>
      <x:c r="H297" s="9" t="n">
        <x:v>2.23168078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0.46713473</x:v>
      </x:c>
      <x:c r="G298" s="9" t="n">
        <x:v>2.19253004</x:v>
      </x:c>
      <x:c r="H298" s="9" t="n">
        <x:v>2.23168078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0.46713473</x:v>
      </x:c>
      <x:c r="G299" s="9" t="n">
        <x:v>2.19253004</x:v>
      </x:c>
      <x:c r="H299" s="9" t="n">
        <x:v>2.23168078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0.46713473</x:v>
      </x:c>
      <x:c r="G300" s="9" t="n">
        <x:v>2.19253004</x:v>
      </x:c>
      <x:c r="H300" s="9" t="n">
        <x:v>2.23168078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0.46713473</x:v>
      </x:c>
      <x:c r="G301" s="9" t="n">
        <x:v>2.19253004</x:v>
      </x:c>
      <x:c r="H301" s="9" t="n">
        <x:v>2.23168078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0.46713473</x:v>
      </x:c>
      <x:c r="G302" s="9" t="n">
        <x:v>-0.93735499</x:v>
      </x:c>
      <x:c r="H302" s="9" t="n">
        <x:v>-0.75403925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0.46713473</x:v>
      </x:c>
      <x:c r="G303" s="9" t="n">
        <x:v>-0.93735499</x:v>
      </x:c>
      <x:c r="H303" s="9" t="n">
        <x:v>-0.75403925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0.46713473</x:v>
      </x:c>
      <x:c r="G304" s="9" t="n">
        <x:v>-0.93735499</x:v>
      </x:c>
      <x:c r="H304" s="9" t="n">
        <x:v>-0.75403925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0.46713473</x:v>
      </x:c>
      <x:c r="G305" s="9" t="n">
        <x:v>-0.93735499</x:v>
      </x:c>
      <x:c r="H305" s="9" t="n">
        <x:v>-0.75403925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0.46713473</x:v>
      </x:c>
      <x:c r="G306" s="9" t="n">
        <x:v>-0.93735499</x:v>
      </x:c>
      <x:c r="H306" s="9" t="n">
        <x:v>-0.75403925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0.46713473</x:v>
      </x:c>
      <x:c r="G307" s="9" t="n">
        <x:v>-0.93735499</x:v>
      </x:c>
      <x:c r="H307" s="9" t="n">
        <x:v>-0.75403925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0.46713473</x:v>
      </x:c>
      <x:c r="G308" s="9" t="n">
        <x:v>0.31853504</x:v>
      </x:c>
      <x:c r="H308" s="9" t="n">
        <x:v>0.44400348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0.46713473</x:v>
      </x:c>
      <x:c r="G309" s="9" t="n">
        <x:v>0.31853504</x:v>
      </x:c>
      <x:c r="H309" s="9" t="n">
        <x:v>0.44400348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0.46713473</x:v>
      </x:c>
      <x:c r="G310" s="9" t="n">
        <x:v>0.31853504</x:v>
      </x:c>
      <x:c r="H310" s="9" t="n">
        <x:v>0.44400348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0.46713473</x:v>
      </x:c>
      <x:c r="G311" s="9" t="n">
        <x:v>0.31853504</x:v>
      </x:c>
      <x:c r="H311" s="9" t="n">
        <x:v>0.44400348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0.46713473</x:v>
      </x:c>
      <x:c r="G312" s="9" t="n">
        <x:v>0.31853504</x:v>
      </x:c>
      <x:c r="H312" s="9" t="n">
        <x:v>0.44400348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0.46713473</x:v>
      </x:c>
      <x:c r="G313" s="9" t="n">
        <x:v>0.31853504</x:v>
      </x:c>
      <x:c r="H313" s="9" t="n">
        <x:v>0.44400348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0.46713473</x:v>
      </x:c>
      <x:c r="G314" s="9" t="n">
        <x:v>-0.95106445</x:v>
      </x:c>
      <x:c r="H314" s="9" t="n">
        <x:v>-0.76711724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0.46713473</x:v>
      </x:c>
      <x:c r="G315" s="9" t="n">
        <x:v>-0.95106445</x:v>
      </x:c>
      <x:c r="H315" s="9" t="n">
        <x:v>-0.76711724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0.46713473</x:v>
      </x:c>
      <x:c r="G316" s="9" t="n">
        <x:v>-0.95106445</x:v>
      </x:c>
      <x:c r="H316" s="9" t="n">
        <x:v>-0.76711724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0.46713473</x:v>
      </x:c>
      <x:c r="G317" s="9" t="n">
        <x:v>-0.95106445</x:v>
      </x:c>
      <x:c r="H317" s="9" t="n">
        <x:v>-0.76711724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0.46713473</x:v>
      </x:c>
      <x:c r="G318" s="9" t="n">
        <x:v>-0.95106445</x:v>
      </x:c>
      <x:c r="H318" s="9" t="n">
        <x:v>-0.76711724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0.46713473</x:v>
      </x:c>
      <x:c r="G319" s="9" t="n">
        <x:v>-0.95106445</x:v>
      </x:c>
      <x:c r="H319" s="9" t="n">
        <x:v>-0.76711724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0.46713473</x:v>
      </x:c>
      <x:c r="G320" s="9" t="n">
        <x:v>-1.05225681</x:v>
      </x:c>
      <x:c r="H320" s="9" t="n">
        <x:v>-0.8636486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0.46713473</x:v>
      </x:c>
      <x:c r="G321" s="9" t="n">
        <x:v>-1.05225681</x:v>
      </x:c>
      <x:c r="H321" s="9" t="n">
        <x:v>-0.8636486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0.46713473</x:v>
      </x:c>
      <x:c r="G322" s="9" t="n">
        <x:v>-1.05225681</x:v>
      </x:c>
      <x:c r="H322" s="9" t="n">
        <x:v>-0.8636486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0.46713473</x:v>
      </x:c>
      <x:c r="G323" s="9" t="n">
        <x:v>-1.05225681</x:v>
      </x:c>
      <x:c r="H323" s="9" t="n">
        <x:v>-0.8636486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0.46713473</x:v>
      </x:c>
      <x:c r="G324" s="9" t="n">
        <x:v>-1.05225681</x:v>
      </x:c>
      <x:c r="H324" s="9" t="n">
        <x:v>-0.8636486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0.46713473</x:v>
      </x:c>
      <x:c r="G325" s="9" t="n">
        <x:v>-1.05225681</x:v>
      </x:c>
      <x:c r="H325" s="9" t="n">
        <x:v>-0.8636486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1.16752194</x:v>
      </x:c>
      <x:c r="G326" s="9" t="n">
        <x:v>-0.57926097</x:v>
      </x:c>
      <x:c r="H326" s="9" t="n">
        <x:v>-0.20232317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1.16752194</x:v>
      </x:c>
      <x:c r="G327" s="9" t="n">
        <x:v>-0.57926097</x:v>
      </x:c>
      <x:c r="H327" s="9" t="n">
        <x:v>-0.20232317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1.16752194</x:v>
      </x:c>
      <x:c r="G328" s="9" t="n">
        <x:v>-0.57926097</x:v>
      </x:c>
      <x:c r="H328" s="9" t="n">
        <x:v>-0.20232317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1.16752194</x:v>
      </x:c>
      <x:c r="G329" s="9" t="n">
        <x:v>-0.57926097</x:v>
      </x:c>
      <x:c r="H329" s="9" t="n">
        <x:v>-0.20232317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1.16752194</x:v>
      </x:c>
      <x:c r="G330" s="9" t="n">
        <x:v>-0.57926097</x:v>
      </x:c>
      <x:c r="H330" s="9" t="n">
        <x:v>-0.20232317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1.16752194</x:v>
      </x:c>
      <x:c r="G331" s="9" t="n">
        <x:v>-0.57926097</x:v>
      </x:c>
      <x:c r="H331" s="9" t="n">
        <x:v>-0.20232317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1.16752194</x:v>
      </x:c>
      <x:c r="G332" s="9" t="n">
        <x:v>-0.01402253</x:v>
      </x:c>
      <x:c r="H332" s="9" t="n">
        <x:v>0.33687994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1.16752194</x:v>
      </x:c>
      <x:c r="G333" s="9" t="n">
        <x:v>-0.01402253</x:v>
      </x:c>
      <x:c r="H333" s="9" t="n">
        <x:v>0.33687994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1.16752194</x:v>
      </x:c>
      <x:c r="G334" s="9" t="n">
        <x:v>-0.01402253</x:v>
      </x:c>
      <x:c r="H334" s="9" t="n">
        <x:v>0.33687994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1.16752194</x:v>
      </x:c>
      <x:c r="G335" s="9" t="n">
        <x:v>-0.01402253</x:v>
      </x:c>
      <x:c r="H335" s="9" t="n">
        <x:v>0.33687994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1.16752194</x:v>
      </x:c>
      <x:c r="G336" s="9" t="n">
        <x:v>-0.01402253</x:v>
      </x:c>
      <x:c r="H336" s="9" t="n">
        <x:v>0.33687994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1.16752194</x:v>
      </x:c>
      <x:c r="G337" s="9" t="n">
        <x:v>-0.01402253</x:v>
      </x:c>
      <x:c r="H337" s="9" t="n">
        <x:v>0.33687994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1.16752194</x:v>
      </x:c>
      <x:c r="G338" s="9" t="n">
        <x:v>0.24280344</x:v>
      </x:c>
      <x:c r="H338" s="9" t="n">
        <x:v>0.58187631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1.16752194</x:v>
      </x:c>
      <x:c r="G339" s="9" t="n">
        <x:v>0.24280344</x:v>
      </x:c>
      <x:c r="H339" s="9" t="n">
        <x:v>0.58187631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1.16752194</x:v>
      </x:c>
      <x:c r="G340" s="9" t="n">
        <x:v>0.24280344</x:v>
      </x:c>
      <x:c r="H340" s="9" t="n">
        <x:v>0.58187631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1.16752194</x:v>
      </x:c>
      <x:c r="G341" s="9" t="n">
        <x:v>0.24280344</x:v>
      </x:c>
      <x:c r="H341" s="9" t="n">
        <x:v>0.58187631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1.16752194</x:v>
      </x:c>
      <x:c r="G342" s="9" t="n">
        <x:v>0.24280344</x:v>
      </x:c>
      <x:c r="H342" s="9" t="n">
        <x:v>0.58187631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1.16752194</x:v>
      </x:c>
      <x:c r="G343" s="9" t="n">
        <x:v>0.24280344</x:v>
      </x:c>
      <x:c r="H343" s="9" t="n">
        <x:v>0.58187631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1.16752194</x:v>
      </x:c>
      <x:c r="G344" s="9" t="n">
        <x:v>-0.51226726</x:v>
      </x:c>
      <x:c r="H344" s="9" t="n">
        <x:v>-0.13841524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1.16752194</x:v>
      </x:c>
      <x:c r="G345" s="9" t="n">
        <x:v>-0.51226726</x:v>
      </x:c>
      <x:c r="H345" s="9" t="n">
        <x:v>-0.13841524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1.16752194</x:v>
      </x:c>
      <x:c r="G346" s="9" t="n">
        <x:v>-0.51226726</x:v>
      </x:c>
      <x:c r="H346" s="9" t="n">
        <x:v>-0.13841524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1.16752194</x:v>
      </x:c>
      <x:c r="G347" s="9" t="n">
        <x:v>-0.51226726</x:v>
      </x:c>
      <x:c r="H347" s="9" t="n">
        <x:v>-0.13841524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1.16752194</x:v>
      </x:c>
      <x:c r="G348" s="9" t="n">
        <x:v>-0.51226726</x:v>
      </x:c>
      <x:c r="H348" s="9" t="n">
        <x:v>-0.13841524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1.16752194</x:v>
      </x:c>
      <x:c r="G349" s="9" t="n">
        <x:v>-0.51226726</x:v>
      </x:c>
      <x:c r="H349" s="9" t="n">
        <x:v>-0.13841524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1.16752194</x:v>
      </x:c>
      <x:c r="G350" s="9" t="n">
        <x:v>-1.18619406</x:v>
      </x:c>
      <x:c r="H350" s="9" t="n">
        <x:v>-0.78130043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1.16752194</x:v>
      </x:c>
      <x:c r="G351" s="9" t="n">
        <x:v>-1.18619406</x:v>
      </x:c>
      <x:c r="H351" s="9" t="n">
        <x:v>-0.78130043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1.16752194</x:v>
      </x:c>
      <x:c r="G352" s="9" t="n">
        <x:v>-1.18619406</x:v>
      </x:c>
      <x:c r="H352" s="9" t="n">
        <x:v>-0.78130043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1.16752194</x:v>
      </x:c>
      <x:c r="G353" s="9" t="n">
        <x:v>-1.18619406</x:v>
      </x:c>
      <x:c r="H353" s="9" t="n">
        <x:v>-0.78130043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1.16752194</x:v>
      </x:c>
      <x:c r="G354" s="9" t="n">
        <x:v>-1.18619406</x:v>
      </x:c>
      <x:c r="H354" s="9" t="n">
        <x:v>-0.78130043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1.16752194</x:v>
      </x:c>
      <x:c r="G355" s="9" t="n">
        <x:v>-1.18619406</x:v>
      </x:c>
      <x:c r="H355" s="9" t="n">
        <x:v>-0.78130043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1.16752194</x:v>
      </x:c>
      <x:c r="G356" s="9" t="n">
        <x:v>0.26467271</x:v>
      </x:c>
      <x:c r="H356" s="9" t="n">
        <x:v>0.60273825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1.16752194</x:v>
      </x:c>
      <x:c r="G357" s="9" t="n">
        <x:v>0.26467271</x:v>
      </x:c>
      <x:c r="H357" s="9" t="n">
        <x:v>0.60273825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1.16752194</x:v>
      </x:c>
      <x:c r="G358" s="9" t="n">
        <x:v>0.26467271</x:v>
      </x:c>
      <x:c r="H358" s="9" t="n">
        <x:v>0.60273825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1.16752194</x:v>
      </x:c>
      <x:c r="G359" s="9" t="n">
        <x:v>0.26467271</x:v>
      </x:c>
      <x:c r="H359" s="9" t="n">
        <x:v>0.60273825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1.16752194</x:v>
      </x:c>
      <x:c r="G360" s="9" t="n">
        <x:v>0.26467271</x:v>
      </x:c>
      <x:c r="H360" s="9" t="n">
        <x:v>0.60273825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1.16752194</x:v>
      </x:c>
      <x:c r="G361" s="9" t="n">
        <x:v>0.26467271</x:v>
      </x:c>
      <x:c r="H361" s="9" t="n">
        <x:v>0.60273825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1.25326952</x:v>
      </x:c>
      <x:c r="G362" s="9" t="n">
        <x:v>-0.17436712</x:v>
      </x:c>
      <x:c r="H362" s="9" t="n">
        <x:v>0.20964522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1.25326952</x:v>
      </x:c>
      <x:c r="G363" s="9" t="n">
        <x:v>-0.17436712</x:v>
      </x:c>
      <x:c r="H363" s="9" t="n">
        <x:v>0.20964522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1.25326952</x:v>
      </x:c>
      <x:c r="G364" s="9" t="n">
        <x:v>-0.17436712</x:v>
      </x:c>
      <x:c r="H364" s="9" t="n">
        <x:v>0.20964522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1.25326952</x:v>
      </x:c>
      <x:c r="G365" s="9" t="n">
        <x:v>-0.17436712</x:v>
      </x:c>
      <x:c r="H365" s="9" t="n">
        <x:v>0.20964522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1.25326952</x:v>
      </x:c>
      <x:c r="G366" s="9" t="n">
        <x:v>-0.17436712</x:v>
      </x:c>
      <x:c r="H366" s="9" t="n">
        <x:v>0.20964522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1.25326952</x:v>
      </x:c>
      <x:c r="G367" s="9" t="n">
        <x:v>-0.17436712</x:v>
      </x:c>
      <x:c r="H367" s="9" t="n">
        <x:v>0.20964522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1.25326952</x:v>
      </x:c>
      <x:c r="G368" s="9" t="n">
        <x:v>-1.10795791</x:v>
      </x:c>
      <x:c r="H368" s="9" t="n">
        <x:v>-0.68094362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1.25326952</x:v>
      </x:c>
      <x:c r="G369" s="9" t="n">
        <x:v>-1.10795791</x:v>
      </x:c>
      <x:c r="H369" s="9" t="n">
        <x:v>-0.68094362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1.25326952</x:v>
      </x:c>
      <x:c r="G370" s="9" t="n">
        <x:v>-1.10795791</x:v>
      </x:c>
      <x:c r="H370" s="9" t="n">
        <x:v>-0.68094362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1.25326952</x:v>
      </x:c>
      <x:c r="G371" s="9" t="n">
        <x:v>-1.10795791</x:v>
      </x:c>
      <x:c r="H371" s="9" t="n">
        <x:v>-0.68094362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1.25326952</x:v>
      </x:c>
      <x:c r="G372" s="9" t="n">
        <x:v>-1.10795791</x:v>
      </x:c>
      <x:c r="H372" s="9" t="n">
        <x:v>-0.68094362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1.25326952</x:v>
      </x:c>
      <x:c r="G373" s="9" t="n">
        <x:v>-1.10795791</x:v>
      </x:c>
      <x:c r="H373" s="9" t="n">
        <x:v>-0.68094362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1.25326952</x:v>
      </x:c>
      <x:c r="G374" s="9" t="n">
        <x:v>0.48326913</x:v>
      </x:c>
      <x:c r="H374" s="9" t="n">
        <x:v>0.83699022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1.25326952</x:v>
      </x:c>
      <x:c r="G375" s="9" t="n">
        <x:v>0.48326913</x:v>
      </x:c>
      <x:c r="H375" s="9" t="n">
        <x:v>0.83699022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1.25326952</x:v>
      </x:c>
      <x:c r="G376" s="9" t="n">
        <x:v>0.48326913</x:v>
      </x:c>
      <x:c r="H376" s="9" t="n">
        <x:v>0.83699022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1.25326952</x:v>
      </x:c>
      <x:c r="G377" s="9" t="n">
        <x:v>0.48326913</x:v>
      </x:c>
      <x:c r="H377" s="9" t="n">
        <x:v>0.83699022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1.25326952</x:v>
      </x:c>
      <x:c r="G378" s="9" t="n">
        <x:v>0.48326913</x:v>
      </x:c>
      <x:c r="H378" s="9" t="n">
        <x:v>0.83699022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1.25326952</x:v>
      </x:c>
      <x:c r="G379" s="9" t="n">
        <x:v>0.48326913</x:v>
      </x:c>
      <x:c r="H379" s="9" t="n">
        <x:v>0.83699022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1.25326952</x:v>
      </x:c>
      <x:c r="G380" s="9" t="n">
        <x:v>1.13722655</x:v>
      </x:c>
      <x:c r="H380" s="9" t="n">
        <x:v>1.46082585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1.25326952</x:v>
      </x:c>
      <x:c r="G381" s="9" t="n">
        <x:v>1.13722655</x:v>
      </x:c>
      <x:c r="H381" s="9" t="n">
        <x:v>1.46082585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1.25326952</x:v>
      </x:c>
      <x:c r="G382" s="9" t="n">
        <x:v>1.13722655</x:v>
      </x:c>
      <x:c r="H382" s="9" t="n">
        <x:v>1.46082585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1.25326952</x:v>
      </x:c>
      <x:c r="G383" s="9" t="n">
        <x:v>1.13722655</x:v>
      </x:c>
      <x:c r="H383" s="9" t="n">
        <x:v>1.46082585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1.25326952</x:v>
      </x:c>
      <x:c r="G384" s="9" t="n">
        <x:v>1.13722655</x:v>
      </x:c>
      <x:c r="H384" s="9" t="n">
        <x:v>1.46082585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1.25326952</x:v>
      </x:c>
      <x:c r="G385" s="9" t="n">
        <x:v>1.13722655</x:v>
      </x:c>
      <x:c r="H385" s="9" t="n">
        <x:v>1.46082585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1.25326952</x:v>
      </x:c>
      <x:c r="G386" s="9" t="n">
        <x:v>-0.63665497</x:v>
      </x:c>
      <x:c r="H386" s="9" t="n">
        <x:v>-0.23134928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1.25326952</x:v>
      </x:c>
      <x:c r="G387" s="9" t="n">
        <x:v>-0.63665497</x:v>
      </x:c>
      <x:c r="H387" s="9" t="n">
        <x:v>-0.23134928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1.25326952</x:v>
      </x:c>
      <x:c r="G388" s="9" t="n">
        <x:v>-0.63665497</x:v>
      </x:c>
      <x:c r="H388" s="9" t="n">
        <x:v>-0.23134928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1.25326952</x:v>
      </x:c>
      <x:c r="G389" s="9" t="n">
        <x:v>-0.63665497</x:v>
      </x:c>
      <x:c r="H389" s="9" t="n">
        <x:v>-0.23134928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1.25326952</x:v>
      </x:c>
      <x:c r="G390" s="9" t="n">
        <x:v>-0.63665497</x:v>
      </x:c>
      <x:c r="H390" s="9" t="n">
        <x:v>-0.23134928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1.25326952</x:v>
      </x:c>
      <x:c r="G391" s="9" t="n">
        <x:v>-0.63665497</x:v>
      </x:c>
      <x:c r="H391" s="9" t="n">
        <x:v>-0.23134928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1.25326952</x:v>
      </x:c>
      <x:c r="G392" s="9" t="n">
        <x:v>0.03033822</x:v>
      </x:c>
      <x:c r="H392" s="9" t="n">
        <x:v>0.40492167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1.25326952</x:v>
      </x:c>
      <x:c r="G393" s="9" t="n">
        <x:v>0.03033822</x:v>
      </x:c>
      <x:c r="H393" s="9" t="n">
        <x:v>0.40492167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1.25326952</x:v>
      </x:c>
      <x:c r="G394" s="9" t="n">
        <x:v>0.03033822</x:v>
      </x:c>
      <x:c r="H394" s="9" t="n">
        <x:v>0.40492167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1.25326952</x:v>
      </x:c>
      <x:c r="G395" s="9" t="n">
        <x:v>0.03033822</x:v>
      </x:c>
      <x:c r="H395" s="9" t="n">
        <x:v>0.40492167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1.25326952</x:v>
      </x:c>
      <x:c r="G396" s="9" t="n">
        <x:v>0.03033822</x:v>
      </x:c>
      <x:c r="H396" s="9" t="n">
        <x:v>0.40492167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1.25326952</x:v>
      </x:c>
      <x:c r="G397" s="9" t="n">
        <x:v>0.03033822</x:v>
      </x:c>
      <x:c r="H397" s="9" t="n">
        <x:v>0.40492167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-0.55021033</x:v>
      </x:c>
      <x:c r="G398" s="9" t="n">
        <x:v>-1.33709311</x:v>
      </x:c>
      <x:c r="H398" s="9" t="n">
        <x:v>-1.44056863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-0.55021033</x:v>
      </x:c>
      <x:c r="G399" s="9" t="n">
        <x:v>-1.33709311</x:v>
      </x:c>
      <x:c r="H399" s="9" t="n">
        <x:v>-1.44056863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-0.55021033</x:v>
      </x:c>
      <x:c r="G400" s="9" t="n">
        <x:v>-1.33709311</x:v>
      </x:c>
      <x:c r="H400" s="9" t="n">
        <x:v>-1.44056863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-0.55021033</x:v>
      </x:c>
      <x:c r="G401" s="9" t="n">
        <x:v>-1.33709311</x:v>
      </x:c>
      <x:c r="H401" s="9" t="n">
        <x:v>-1.44056863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-0.55021033</x:v>
      </x:c>
      <x:c r="G402" s="9" t="n">
        <x:v>-1.33709311</x:v>
      </x:c>
      <x:c r="H402" s="9" t="n">
        <x:v>-1.44056863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-0.55021033</x:v>
      </x:c>
      <x:c r="G403" s="9" t="n">
        <x:v>-1.33709311</x:v>
      </x:c>
      <x:c r="H403" s="9" t="n">
        <x:v>-1.44056863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-0.55021033</x:v>
      </x:c>
      <x:c r="G404" s="9" t="n">
        <x:v>0.55957331</x:v>
      </x:c>
      <x:c r="H404" s="9" t="n">
        <x:v>0.36873582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-0.55021033</x:v>
      </x:c>
      <x:c r="G405" s="9" t="n">
        <x:v>0.55957331</x:v>
      </x:c>
      <x:c r="H405" s="9" t="n">
        <x:v>0.36873582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-0.55021033</x:v>
      </x:c>
      <x:c r="G406" s="9" t="n">
        <x:v>0.55957331</x:v>
      </x:c>
      <x:c r="H406" s="9" t="n">
        <x:v>0.36873582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-0.55021033</x:v>
      </x:c>
      <x:c r="G407" s="9" t="n">
        <x:v>0.55957331</x:v>
      </x:c>
      <x:c r="H407" s="9" t="n">
        <x:v>0.36873582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-0.55021033</x:v>
      </x:c>
      <x:c r="G408" s="9" t="n">
        <x:v>0.55957331</x:v>
      </x:c>
      <x:c r="H408" s="9" t="n">
        <x:v>0.36873582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-0.55021033</x:v>
      </x:c>
      <x:c r="G409" s="9" t="n">
        <x:v>0.55957331</x:v>
      </x:c>
      <x:c r="H409" s="9" t="n">
        <x:v>0.36873582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-0.55021033</x:v>
      </x:c>
      <x:c r="G410" s="9" t="n">
        <x:v>-1.76050055</x:v>
      </x:c>
      <x:c r="H410" s="9" t="n">
        <x:v>-1.84447359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-0.55021033</x:v>
      </x:c>
      <x:c r="G411" s="9" t="n">
        <x:v>-1.76050055</x:v>
      </x:c>
      <x:c r="H411" s="9" t="n">
        <x:v>-1.84447359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-0.55021033</x:v>
      </x:c>
      <x:c r="G412" s="9" t="n">
        <x:v>-1.76050055</x:v>
      </x:c>
      <x:c r="H412" s="9" t="n">
        <x:v>-1.84447359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-0.55021033</x:v>
      </x:c>
      <x:c r="G413" s="9" t="n">
        <x:v>-1.76050055</x:v>
      </x:c>
      <x:c r="H413" s="9" t="n">
        <x:v>-1.84447359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-0.55021033</x:v>
      </x:c>
      <x:c r="G414" s="9" t="n">
        <x:v>-1.76050055</x:v>
      </x:c>
      <x:c r="H414" s="9" t="n">
        <x:v>-1.84447359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-0.55021033</x:v>
      </x:c>
      <x:c r="G415" s="9" t="n">
        <x:v>-1.76050055</x:v>
      </x:c>
      <x:c r="H415" s="9" t="n">
        <x:v>-1.84447359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-0.55021033</x:v>
      </x:c>
      <x:c r="G416" s="9" t="n">
        <x:v>-1.05225384</x:v>
      </x:c>
      <x:c r="H416" s="9" t="n">
        <x:v>-1.16884929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-0.55021033</x:v>
      </x:c>
      <x:c r="G417" s="9" t="n">
        <x:v>-1.05225384</x:v>
      </x:c>
      <x:c r="H417" s="9" t="n">
        <x:v>-1.16884929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-0.55021033</x:v>
      </x:c>
      <x:c r="G418" s="9" t="n">
        <x:v>-1.05225384</x:v>
      </x:c>
      <x:c r="H418" s="9" t="n">
        <x:v>-1.16884929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-0.55021033</x:v>
      </x:c>
      <x:c r="G419" s="9" t="n">
        <x:v>-1.05225384</x:v>
      </x:c>
      <x:c r="H419" s="9" t="n">
        <x:v>-1.16884929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-0.55021033</x:v>
      </x:c>
      <x:c r="G420" s="9" t="n">
        <x:v>-1.05225384</x:v>
      </x:c>
      <x:c r="H420" s="9" t="n">
        <x:v>-1.16884929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-0.55021033</x:v>
      </x:c>
      <x:c r="G421" s="9" t="n">
        <x:v>-1.05225384</x:v>
      </x:c>
      <x:c r="H421" s="9" t="n">
        <x:v>-1.16884929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-0.55021033</x:v>
      </x:c>
      <x:c r="G422" s="9" t="n">
        <x:v>-0.22992065</x:v>
      </x:c>
      <x:c r="H422" s="9" t="n">
        <x:v>-0.38439342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-0.55021033</x:v>
      </x:c>
      <x:c r="G423" s="9" t="n">
        <x:v>-0.22992065</x:v>
      </x:c>
      <x:c r="H423" s="9" t="n">
        <x:v>-0.38439342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-0.55021033</x:v>
      </x:c>
      <x:c r="G424" s="9" t="n">
        <x:v>-0.22992065</x:v>
      </x:c>
      <x:c r="H424" s="9" t="n">
        <x:v>-0.38439342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-0.55021033</x:v>
      </x:c>
      <x:c r="G425" s="9" t="n">
        <x:v>-0.22992065</x:v>
      </x:c>
      <x:c r="H425" s="9" t="n">
        <x:v>-0.38439342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-0.55021033</x:v>
      </x:c>
      <x:c r="G426" s="9" t="n">
        <x:v>-0.22992065</x:v>
      </x:c>
      <x:c r="H426" s="9" t="n">
        <x:v>-0.38439342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-0.55021033</x:v>
      </x:c>
      <x:c r="G427" s="9" t="n">
        <x:v>-0.22992065</x:v>
      </x:c>
      <x:c r="H427" s="9" t="n">
        <x:v>-0.38439342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-0.55021033</x:v>
      </x:c>
      <x:c r="G428" s="9" t="n">
        <x:v>1.29736659</x:v>
      </x:c>
      <x:c r="H428" s="9" t="n">
        <x:v>1.07254575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-0.55021033</x:v>
      </x:c>
      <x:c r="G429" s="9" t="n">
        <x:v>1.29736659</x:v>
      </x:c>
      <x:c r="H429" s="9" t="n">
        <x:v>1.07254575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-0.55021033</x:v>
      </x:c>
      <x:c r="G430" s="9" t="n">
        <x:v>1.29736659</x:v>
      </x:c>
      <x:c r="H430" s="9" t="n">
        <x:v>1.07254575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-0.55021033</x:v>
      </x:c>
      <x:c r="G431" s="9" t="n">
        <x:v>1.29736659</x:v>
      </x:c>
      <x:c r="H431" s="9" t="n">
        <x:v>1.07254575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-0.55021033</x:v>
      </x:c>
      <x:c r="G432" s="9" t="n">
        <x:v>1.29736659</x:v>
      </x:c>
      <x:c r="H432" s="9" t="n">
        <x:v>1.07254575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-0.55021033</x:v>
      </x:c>
      <x:c r="G433" s="9" t="n">
        <x:v>1.29736659</x:v>
      </x:c>
      <x:c r="H433" s="9" t="n">
        <x:v>1.07254575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-0.66576099</x:v>
      </x:c>
      <x:c r="G434" s="9" t="n">
        <x:v>0.00725387</x:v>
      </x:c>
      <x:c r="H434" s="9" t="n">
        <x:v>-0.19280854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-0.66576099</x:v>
      </x:c>
      <x:c r="G435" s="9" t="n">
        <x:v>0.00725387</x:v>
      </x:c>
      <x:c r="H435" s="9" t="n">
        <x:v>-0.19280854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-0.66576099</x:v>
      </x:c>
      <x:c r="G436" s="9" t="n">
        <x:v>0.00725387</x:v>
      </x:c>
      <x:c r="H436" s="9" t="n">
        <x:v>-0.19280854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-0.66576099</x:v>
      </x:c>
      <x:c r="G437" s="9" t="n">
        <x:v>0.00725387</x:v>
      </x:c>
      <x:c r="H437" s="9" t="n">
        <x:v>-0.19280854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-0.66576099</x:v>
      </x:c>
      <x:c r="G438" s="9" t="n">
        <x:v>0.00725387</x:v>
      </x:c>
      <x:c r="H438" s="9" t="n">
        <x:v>-0.19280854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-0.66576099</x:v>
      </x:c>
      <x:c r="G439" s="9" t="n">
        <x:v>0.00725387</x:v>
      </x:c>
      <x:c r="H439" s="9" t="n">
        <x:v>-0.19280854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-0.66576099</x:v>
      </x:c>
      <x:c r="G440" s="9" t="n">
        <x:v>-0.25973107</x:v>
      </x:c>
      <x:c r="H440" s="9" t="n">
        <x:v>-0.44749595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-0.66576099</x:v>
      </x:c>
      <x:c r="G441" s="9" t="n">
        <x:v>-0.25973107</x:v>
      </x:c>
      <x:c r="H441" s="9" t="n">
        <x:v>-0.44749595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-0.66576099</x:v>
      </x:c>
      <x:c r="G442" s="9" t="n">
        <x:v>-0.25973107</x:v>
      </x:c>
      <x:c r="H442" s="9" t="n">
        <x:v>-0.44749595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-0.66576099</x:v>
      </x:c>
      <x:c r="G443" s="9" t="n">
        <x:v>-0.25973107</x:v>
      </x:c>
      <x:c r="H443" s="9" t="n">
        <x:v>-0.44749595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-0.66576099</x:v>
      </x:c>
      <x:c r="G444" s="9" t="n">
        <x:v>-0.25973107</x:v>
      </x:c>
      <x:c r="H444" s="9" t="n">
        <x:v>-0.44749595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-0.66576099</x:v>
      </x:c>
      <x:c r="G445" s="9" t="n">
        <x:v>-0.25973107</x:v>
      </x:c>
      <x:c r="H445" s="9" t="n">
        <x:v>-0.44749595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-0.66576099</x:v>
      </x:c>
      <x:c r="G446" s="9" t="n">
        <x:v>-0.97226115</x:v>
      </x:c>
      <x:c r="H446" s="9" t="n">
        <x:v>-1.12720632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-0.66576099</x:v>
      </x:c>
      <x:c r="G447" s="9" t="n">
        <x:v>-0.97226115</x:v>
      </x:c>
      <x:c r="H447" s="9" t="n">
        <x:v>-1.12720632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-0.66576099</x:v>
      </x:c>
      <x:c r="G448" s="9" t="n">
        <x:v>-0.97226115</x:v>
      </x:c>
      <x:c r="H448" s="9" t="n">
        <x:v>-1.12720632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-0.66576099</x:v>
      </x:c>
      <x:c r="G449" s="9" t="n">
        <x:v>-0.97226115</x:v>
      </x:c>
      <x:c r="H449" s="9" t="n">
        <x:v>-1.12720632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-0.66576099</x:v>
      </x:c>
      <x:c r="G450" s="9" t="n">
        <x:v>-0.97226115</x:v>
      </x:c>
      <x:c r="H450" s="9" t="n">
        <x:v>-1.12720632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-0.66576099</x:v>
      </x:c>
      <x:c r="G451" s="9" t="n">
        <x:v>-0.97226115</x:v>
      </x:c>
      <x:c r="H451" s="9" t="n">
        <x:v>-1.12720632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-0.66576099</x:v>
      </x:c>
      <x:c r="G452" s="9" t="n">
        <x:v>-1.03523987</x:v>
      </x:c>
      <x:c r="H452" s="9" t="n">
        <x:v>-1.18728419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-0.66576099</x:v>
      </x:c>
      <x:c r="G453" s="9" t="n">
        <x:v>-1.03523987</x:v>
      </x:c>
      <x:c r="H453" s="9" t="n">
        <x:v>-1.18728419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-0.66576099</x:v>
      </x:c>
      <x:c r="G454" s="9" t="n">
        <x:v>-1.03523987</x:v>
      </x:c>
      <x:c r="H454" s="9" t="n">
        <x:v>-1.18728419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-0.66576099</x:v>
      </x:c>
      <x:c r="G455" s="9" t="n">
        <x:v>-1.03523987</x:v>
      </x:c>
      <x:c r="H455" s="9" t="n">
        <x:v>-1.18728419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-0.66576099</x:v>
      </x:c>
      <x:c r="G456" s="9" t="n">
        <x:v>-1.03523987</x:v>
      </x:c>
      <x:c r="H456" s="9" t="n">
        <x:v>-1.18728419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-0.66576099</x:v>
      </x:c>
      <x:c r="G457" s="9" t="n">
        <x:v>-1.03523987</x:v>
      </x:c>
      <x:c r="H457" s="9" t="n">
        <x:v>-1.18728419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-0.66576099</x:v>
      </x:c>
      <x:c r="G458" s="9" t="n">
        <x:v>0.62290758</x:v>
      </x:c>
      <x:c r="H458" s="9" t="n">
        <x:v>0.39448766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-0.66576099</x:v>
      </x:c>
      <x:c r="G459" s="9" t="n">
        <x:v>0.62290758</x:v>
      </x:c>
      <x:c r="H459" s="9" t="n">
        <x:v>0.39448766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-0.66576099</x:v>
      </x:c>
      <x:c r="G460" s="9" t="n">
        <x:v>0.62290758</x:v>
      </x:c>
      <x:c r="H460" s="9" t="n">
        <x:v>0.39448766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-0.66576099</x:v>
      </x:c>
      <x:c r="G461" s="9" t="n">
        <x:v>0.62290758</x:v>
      </x:c>
      <x:c r="H461" s="9" t="n">
        <x:v>0.39448766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-0.66576099</x:v>
      </x:c>
      <x:c r="G462" s="9" t="n">
        <x:v>0.62290758</x:v>
      </x:c>
      <x:c r="H462" s="9" t="n">
        <x:v>0.39448766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-0.66576099</x:v>
      </x:c>
      <x:c r="G463" s="9" t="n">
        <x:v>0.62290758</x:v>
      </x:c>
      <x:c r="H463" s="9" t="n">
        <x:v>0.39448766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-0.66576099</x:v>
      </x:c>
      <x:c r="G464" s="9" t="n">
        <x:v>0.03250808</x:v>
      </x:c>
      <x:c r="H464" s="9" t="n">
        <x:v>-0.16871756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-0.66576099</x:v>
      </x:c>
      <x:c r="G465" s="9" t="n">
        <x:v>0.03250808</x:v>
      </x:c>
      <x:c r="H465" s="9" t="n">
        <x:v>-0.16871756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-0.66576099</x:v>
      </x:c>
      <x:c r="G466" s="9" t="n">
        <x:v>0.03250808</x:v>
      </x:c>
      <x:c r="H466" s="9" t="n">
        <x:v>-0.16871756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-0.66576099</x:v>
      </x:c>
      <x:c r="G467" s="9" t="n">
        <x:v>0.03250808</x:v>
      </x:c>
      <x:c r="H467" s="9" t="n">
        <x:v>-0.16871756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-0.66576099</x:v>
      </x:c>
      <x:c r="G468" s="9" t="n">
        <x:v>0.03250808</x:v>
      </x:c>
      <x:c r="H468" s="9" t="n">
        <x:v>-0.16871756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-0.66576099</x:v>
      </x:c>
      <x:c r="G469" s="9" t="n">
        <x:v>0.03250808</x:v>
      </x:c>
      <x:c r="H469" s="9" t="n">
        <x:v>-0.16871756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0.12922479</x:v>
      </x:c>
      <x:c r="G470" s="9" t="n">
        <x:v>0.54616495</x:v>
      </x:c>
      <x:c r="H470" s="9" t="n">
        <x:v>0.5597756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0.12922479</x:v>
      </x:c>
      <x:c r="G471" s="9" t="n">
        <x:v>0.54616495</x:v>
      </x:c>
      <x:c r="H471" s="9" t="n">
        <x:v>0.5597756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0.12922479</x:v>
      </x:c>
      <x:c r="G472" s="9" t="n">
        <x:v>0.54616495</x:v>
      </x:c>
      <x:c r="H472" s="9" t="n">
        <x:v>0.5597756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0.12922479</x:v>
      </x:c>
      <x:c r="G473" s="9" t="n">
        <x:v>0.54616495</x:v>
      </x:c>
      <x:c r="H473" s="9" t="n">
        <x:v>0.5597756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0.12922479</x:v>
      </x:c>
      <x:c r="G474" s="9" t="n">
        <x:v>0.54616495</x:v>
      </x:c>
      <x:c r="H474" s="9" t="n">
        <x:v>0.5597756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0.12922479</x:v>
      </x:c>
      <x:c r="G475" s="9" t="n">
        <x:v>0.54616495</x:v>
      </x:c>
      <x:c r="H475" s="9" t="n">
        <x:v>0.5597756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0.12922479</x:v>
      </x:c>
      <x:c r="G476" s="9" t="n">
        <x:v>-0.23768908</x:v>
      </x:c>
      <x:c r="H476" s="9" t="n">
        <x:v>-0.18797349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0.12922479</x:v>
      </x:c>
      <x:c r="G477" s="9" t="n">
        <x:v>-0.23768908</x:v>
      </x:c>
      <x:c r="H477" s="9" t="n">
        <x:v>-0.18797349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0.12922479</x:v>
      </x:c>
      <x:c r="G478" s="9" t="n">
        <x:v>-0.23768908</x:v>
      </x:c>
      <x:c r="H478" s="9" t="n">
        <x:v>-0.18797349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0.12922479</x:v>
      </x:c>
      <x:c r="G479" s="9" t="n">
        <x:v>-0.23768908</x:v>
      </x:c>
      <x:c r="H479" s="9" t="n">
        <x:v>-0.18797349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0.12922479</x:v>
      </x:c>
      <x:c r="G480" s="9" t="n">
        <x:v>-0.23768908</x:v>
      </x:c>
      <x:c r="H480" s="9" t="n">
        <x:v>-0.18797349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0.12922479</x:v>
      </x:c>
      <x:c r="G481" s="9" t="n">
        <x:v>-0.23768908</x:v>
      </x:c>
      <x:c r="H481" s="9" t="n">
        <x:v>-0.18797349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0.12922479</x:v>
      </x:c>
      <x:c r="G482" s="9" t="n">
        <x:v>1.12960793</x:v>
      </x:c>
      <x:c r="H482" s="9" t="n">
        <x:v>1.11634472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0.12922479</x:v>
      </x:c>
      <x:c r="G483" s="9" t="n">
        <x:v>1.12960793</x:v>
      </x:c>
      <x:c r="H483" s="9" t="n">
        <x:v>1.11634472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0.12922479</x:v>
      </x:c>
      <x:c r="G484" s="9" t="n">
        <x:v>1.12960793</x:v>
      </x:c>
      <x:c r="H484" s="9" t="n">
        <x:v>1.11634472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0.12922479</x:v>
      </x:c>
      <x:c r="G485" s="9" t="n">
        <x:v>1.12960793</x:v>
      </x:c>
      <x:c r="H485" s="9" t="n">
        <x:v>1.11634472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0.12922479</x:v>
      </x:c>
      <x:c r="G486" s="9" t="n">
        <x:v>1.12960793</x:v>
      </x:c>
      <x:c r="H486" s="9" t="n">
        <x:v>1.11634472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0.12922479</x:v>
      </x:c>
      <x:c r="G487" s="9" t="n">
        <x:v>1.12960793</x:v>
      </x:c>
      <x:c r="H487" s="9" t="n">
        <x:v>1.11634472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0.12922479</x:v>
      </x:c>
      <x:c r="G488" s="9" t="n">
        <x:v>-0.36477298</x:v>
      </x:c>
      <x:c r="H488" s="9" t="n">
        <x:v>-0.30920381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0.12922479</x:v>
      </x:c>
      <x:c r="G489" s="9" t="n">
        <x:v>-0.36477298</x:v>
      </x:c>
      <x:c r="H489" s="9" t="n">
        <x:v>-0.30920381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0.12922479</x:v>
      </x:c>
      <x:c r="G490" s="9" t="n">
        <x:v>-0.36477298</x:v>
      </x:c>
      <x:c r="H490" s="9" t="n">
        <x:v>-0.30920381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0.12922479</x:v>
      </x:c>
      <x:c r="G491" s="9" t="n">
        <x:v>-0.36477298</x:v>
      </x:c>
      <x:c r="H491" s="9" t="n">
        <x:v>-0.30920381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0.12922479</x:v>
      </x:c>
      <x:c r="G492" s="9" t="n">
        <x:v>-0.36477298</x:v>
      </x:c>
      <x:c r="H492" s="9" t="n">
        <x:v>-0.30920381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0.12922479</x:v>
      </x:c>
      <x:c r="G493" s="9" t="n">
        <x:v>-0.36477298</x:v>
      </x:c>
      <x:c r="H493" s="9" t="n">
        <x:v>-0.30920381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0.12922479</x:v>
      </x:c>
      <x:c r="G494" s="9" t="n">
        <x:v>0.21153361</x:v>
      </x:c>
      <x:c r="H494" s="9" t="n">
        <x:v>0.24055764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0.12922479</x:v>
      </x:c>
      <x:c r="G495" s="9" t="n">
        <x:v>0.21153361</x:v>
      </x:c>
      <x:c r="H495" s="9" t="n">
        <x:v>0.24055764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0.12922479</x:v>
      </x:c>
      <x:c r="G496" s="9" t="n">
        <x:v>0.21153361</x:v>
      </x:c>
      <x:c r="H496" s="9" t="n">
        <x:v>0.24055764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0.12922479</x:v>
      </x:c>
      <x:c r="G497" s="9" t="n">
        <x:v>0.21153361</x:v>
      </x:c>
      <x:c r="H497" s="9" t="n">
        <x:v>0.24055764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0.12922479</x:v>
      </x:c>
      <x:c r="G498" s="9" t="n">
        <x:v>0.21153361</x:v>
      </x:c>
      <x:c r="H498" s="9" t="n">
        <x:v>0.24055764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0.12922479</x:v>
      </x:c>
      <x:c r="G499" s="9" t="n">
        <x:v>0.21153361</x:v>
      </x:c>
      <x:c r="H499" s="9" t="n">
        <x:v>0.24055764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0.12922479</x:v>
      </x:c>
      <x:c r="G500" s="9" t="n">
        <x:v>-1.46258633</x:v>
      </x:c>
      <x:c r="H500" s="9" t="n">
        <x:v>-1.356451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0.12922479</x:v>
      </x:c>
      <x:c r="G501" s="9" t="n">
        <x:v>-1.46258633</x:v>
      </x:c>
      <x:c r="H501" s="9" t="n">
        <x:v>-1.356451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0.12922479</x:v>
      </x:c>
      <x:c r="G502" s="9" t="n">
        <x:v>-1.46258633</x:v>
      </x:c>
      <x:c r="H502" s="9" t="n">
        <x:v>-1.356451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0.12922479</x:v>
      </x:c>
      <x:c r="G503" s="9" t="n">
        <x:v>-1.46258633</x:v>
      </x:c>
      <x:c r="H503" s="9" t="n">
        <x:v>-1.356451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0.12922479</x:v>
      </x:c>
      <x:c r="G504" s="9" t="n">
        <x:v>-1.46258633</x:v>
      </x:c>
      <x:c r="H504" s="9" t="n">
        <x:v>-1.356451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0.12922479</x:v>
      </x:c>
      <x:c r="G505" s="9" t="n">
        <x:v>-1.46258633</x:v>
      </x:c>
      <x:c r="H505" s="9" t="n">
        <x:v>-1.356451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-0.47384876</x:v>
      </x:c>
      <x:c r="G506" s="9" t="n">
        <x:v>-0.89884474</x:v>
      </x:c>
      <x:c r="H506" s="9" t="n">
        <x:v>-0.99959786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-0.47384876</x:v>
      </x:c>
      <x:c r="G507" s="9" t="n">
        <x:v>-0.89884474</x:v>
      </x:c>
      <x:c r="H507" s="9" t="n">
        <x:v>-0.99959786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-0.47384876</x:v>
      </x:c>
      <x:c r="G508" s="9" t="n">
        <x:v>-0.89884474</x:v>
      </x:c>
      <x:c r="H508" s="9" t="n">
        <x:v>-0.99959786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-0.47384876</x:v>
      </x:c>
      <x:c r="G509" s="9" t="n">
        <x:v>-0.89884474</x:v>
      </x:c>
      <x:c r="H509" s="9" t="n">
        <x:v>-0.99959786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-0.47384876</x:v>
      </x:c>
      <x:c r="G510" s="9" t="n">
        <x:v>-0.89884474</x:v>
      </x:c>
      <x:c r="H510" s="9" t="n">
        <x:v>-0.99959786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-0.47384876</x:v>
      </x:c>
      <x:c r="G511" s="9" t="n">
        <x:v>-0.89884474</x:v>
      </x:c>
      <x:c r="H511" s="9" t="n">
        <x:v>-0.99959786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-0.47384876</x:v>
      </x:c>
      <x:c r="G512" s="9" t="n">
        <x:v>0.68555505</x:v>
      </x:c>
      <x:c r="H512" s="9" t="n">
        <x:v>0.51182321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-0.47384876</x:v>
      </x:c>
      <x:c r="G513" s="9" t="n">
        <x:v>0.68555505</x:v>
      </x:c>
      <x:c r="H513" s="9" t="n">
        <x:v>0.51182321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-0.47384876</x:v>
      </x:c>
      <x:c r="G514" s="9" t="n">
        <x:v>0.68555505</x:v>
      </x:c>
      <x:c r="H514" s="9" t="n">
        <x:v>0.51182321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-0.47384876</x:v>
      </x:c>
      <x:c r="G515" s="9" t="n">
        <x:v>0.68555505</x:v>
      </x:c>
      <x:c r="H515" s="9" t="n">
        <x:v>0.51182321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-0.47384876</x:v>
      </x:c>
      <x:c r="G516" s="9" t="n">
        <x:v>0.68555505</x:v>
      </x:c>
      <x:c r="H516" s="9" t="n">
        <x:v>0.51182321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-0.47384876</x:v>
      </x:c>
      <x:c r="G517" s="9" t="n">
        <x:v>0.68555505</x:v>
      </x:c>
      <x:c r="H517" s="9" t="n">
        <x:v>0.51182321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-0.47384876</x:v>
      </x:c>
      <x:c r="G518" s="9" t="n">
        <x:v>0.59552862</x:v>
      </x:c>
      <x:c r="H518" s="9" t="n">
        <x:v>0.42594347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-0.47384876</x:v>
      </x:c>
      <x:c r="G519" s="9" t="n">
        <x:v>0.59552862</x:v>
      </x:c>
      <x:c r="H519" s="9" t="n">
        <x:v>0.42594347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-0.47384876</x:v>
      </x:c>
      <x:c r="G520" s="9" t="n">
        <x:v>0.59552862</x:v>
      </x:c>
      <x:c r="H520" s="9" t="n">
        <x:v>0.42594347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-0.47384876</x:v>
      </x:c>
      <x:c r="G521" s="9" t="n">
        <x:v>0.59552862</x:v>
      </x:c>
      <x:c r="H521" s="9" t="n">
        <x:v>0.42594347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-0.47384876</x:v>
      </x:c>
      <x:c r="G522" s="9" t="n">
        <x:v>0.59552862</x:v>
      </x:c>
      <x:c r="H522" s="9" t="n">
        <x:v>0.42594347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-0.47384876</x:v>
      </x:c>
      <x:c r="G523" s="9" t="n">
        <x:v>0.59552862</x:v>
      </x:c>
      <x:c r="H523" s="9" t="n">
        <x:v>0.42594347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-0.47384876</x:v>
      </x:c>
      <x:c r="G524" s="9" t="n">
        <x:v>0.25320239</x:v>
      </x:c>
      <x:c r="H524" s="9" t="n">
        <x:v>0.09938506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-0.47384876</x:v>
      </x:c>
      <x:c r="G525" s="9" t="n">
        <x:v>0.25320239</x:v>
      </x:c>
      <x:c r="H525" s="9" t="n">
        <x:v>0.09938506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-0.47384876</x:v>
      </x:c>
      <x:c r="G526" s="9" t="n">
        <x:v>0.25320239</x:v>
      </x:c>
      <x:c r="H526" s="9" t="n">
        <x:v>0.09938506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-0.47384876</x:v>
      </x:c>
      <x:c r="G527" s="9" t="n">
        <x:v>0.25320239</x:v>
      </x:c>
      <x:c r="H527" s="9" t="n">
        <x:v>0.09938506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-0.47384876</x:v>
      </x:c>
      <x:c r="G528" s="9" t="n">
        <x:v>0.25320239</x:v>
      </x:c>
      <x:c r="H528" s="9" t="n">
        <x:v>0.09938506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-0.47384876</x:v>
      </x:c>
      <x:c r="G529" s="9" t="n">
        <x:v>0.25320239</x:v>
      </x:c>
      <x:c r="H529" s="9" t="n">
        <x:v>0.09938506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-0.47384876</x:v>
      </x:c>
      <x:c r="G530" s="9" t="n">
        <x:v>0.20088885</x:v>
      </x:c>
      <x:c r="H530" s="9" t="n">
        <x:v>0.04948112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-0.47384876</x:v>
      </x:c>
      <x:c r="G531" s="9" t="n">
        <x:v>0.20088885</x:v>
      </x:c>
      <x:c r="H531" s="9" t="n">
        <x:v>0.04948112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-0.47384876</x:v>
      </x:c>
      <x:c r="G532" s="9" t="n">
        <x:v>0.20088885</x:v>
      </x:c>
      <x:c r="H532" s="9" t="n">
        <x:v>0.04948112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-0.47384876</x:v>
      </x:c>
      <x:c r="G533" s="9" t="n">
        <x:v>0.20088885</x:v>
      </x:c>
      <x:c r="H533" s="9" t="n">
        <x:v>0.04948112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-0.47384876</x:v>
      </x:c>
      <x:c r="G534" s="9" t="n">
        <x:v>0.20088885</x:v>
      </x:c>
      <x:c r="H534" s="9" t="n">
        <x:v>0.04948112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-0.47384876</x:v>
      </x:c>
      <x:c r="G535" s="9" t="n">
        <x:v>0.20088885</x:v>
      </x:c>
      <x:c r="H535" s="9" t="n">
        <x:v>0.04948112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-0.47384876</x:v>
      </x:c>
      <x:c r="G536" s="9" t="n">
        <x:v>-1.50435837</x:v>
      </x:c>
      <x:c r="H536" s="9" t="n">
        <x:v>-1.57722105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-0.47384876</x:v>
      </x:c>
      <x:c r="G537" s="9" t="n">
        <x:v>-1.50435837</x:v>
      </x:c>
      <x:c r="H537" s="9" t="n">
        <x:v>-1.57722105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-0.47384876</x:v>
      </x:c>
      <x:c r="G538" s="9" t="n">
        <x:v>-1.50435837</x:v>
      </x:c>
      <x:c r="H538" s="9" t="n">
        <x:v>-1.57722105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-0.47384876</x:v>
      </x:c>
      <x:c r="G539" s="9" t="n">
        <x:v>-1.50435837</x:v>
      </x:c>
      <x:c r="H539" s="9" t="n">
        <x:v>-1.57722105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-0.47384876</x:v>
      </x:c>
      <x:c r="G540" s="9" t="n">
        <x:v>-1.50435837</x:v>
      </x:c>
      <x:c r="H540" s="9" t="n">
        <x:v>-1.57722105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-0.47384876</x:v>
      </x:c>
      <x:c r="G541" s="9" t="n">
        <x:v>-1.50435837</x:v>
      </x:c>
      <x:c r="H541" s="9" t="n">
        <x:v>-1.57722105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-0.48754033</x:v>
      </x:c>
      <x:c r="G542" s="9" t="n">
        <x:v>2.11924441</x:v>
      </x:c>
      <x:c r="H542" s="9" t="n">
        <x:v>1.87536822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-0.48754033</x:v>
      </x:c>
      <x:c r="G543" s="9" t="n">
        <x:v>2.11924441</x:v>
      </x:c>
      <x:c r="H543" s="9" t="n">
        <x:v>1.87536822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-0.48754033</x:v>
      </x:c>
      <x:c r="G544" s="9" t="n">
        <x:v>2.11924441</x:v>
      </x:c>
      <x:c r="H544" s="9" t="n">
        <x:v>1.87536822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-0.48754033</x:v>
      </x:c>
      <x:c r="G545" s="9" t="n">
        <x:v>2.11924441</x:v>
      </x:c>
      <x:c r="H545" s="9" t="n">
        <x:v>1.87536822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-0.48754033</x:v>
      </x:c>
      <x:c r="G546" s="9" t="n">
        <x:v>2.11924441</x:v>
      </x:c>
      <x:c r="H546" s="9" t="n">
        <x:v>1.87536822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-0.48754033</x:v>
      </x:c>
      <x:c r="G547" s="9" t="n">
        <x:v>2.11924441</x:v>
      </x:c>
      <x:c r="H547" s="9" t="n">
        <x:v>1.87536822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-0.48754033</x:v>
      </x:c>
      <x:c r="G548" s="9" t="n">
        <x:v>0.01166536</x:v>
      </x:c>
      <x:c r="H548" s="9" t="n">
        <x:v>-0.13513406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-0.48754033</x:v>
      </x:c>
      <x:c r="G549" s="9" t="n">
        <x:v>0.01166536</x:v>
      </x:c>
      <x:c r="H549" s="9" t="n">
        <x:v>-0.13513406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-0.48754033</x:v>
      </x:c>
      <x:c r="G550" s="9" t="n">
        <x:v>0.01166536</x:v>
      </x:c>
      <x:c r="H550" s="9" t="n">
        <x:v>-0.13513406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-0.48754033</x:v>
      </x:c>
      <x:c r="G551" s="9" t="n">
        <x:v>0.01166536</x:v>
      </x:c>
      <x:c r="H551" s="9" t="n">
        <x:v>-0.13513406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-0.48754033</x:v>
      </x:c>
      <x:c r="G552" s="9" t="n">
        <x:v>0.01166536</x:v>
      </x:c>
      <x:c r="H552" s="9" t="n">
        <x:v>-0.13513406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-0.48754033</x:v>
      </x:c>
      <x:c r="G553" s="9" t="n">
        <x:v>0.01166536</x:v>
      </x:c>
      <x:c r="H553" s="9" t="n">
        <x:v>-0.13513406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-0.48754033</x:v>
      </x:c>
      <x:c r="G554" s="9" t="n">
        <x:v>0.26013738</x:v>
      </x:c>
      <x:c r="H554" s="9" t="n">
        <x:v>0.10189315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-0.48754033</x:v>
      </x:c>
      <x:c r="G555" s="9" t="n">
        <x:v>0.26013738</x:v>
      </x:c>
      <x:c r="H555" s="9" t="n">
        <x:v>0.10189315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-0.48754033</x:v>
      </x:c>
      <x:c r="G556" s="9" t="n">
        <x:v>0.26013738</x:v>
      </x:c>
      <x:c r="H556" s="9" t="n">
        <x:v>0.10189315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-0.48754033</x:v>
      </x:c>
      <x:c r="G557" s="9" t="n">
        <x:v>0.26013738</x:v>
      </x:c>
      <x:c r="H557" s="9" t="n">
        <x:v>0.10189315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-0.48754033</x:v>
      </x:c>
      <x:c r="G558" s="9" t="n">
        <x:v>0.26013738</x:v>
      </x:c>
      <x:c r="H558" s="9" t="n">
        <x:v>0.10189315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-0.48754033</x:v>
      </x:c>
      <x:c r="G559" s="9" t="n">
        <x:v>0.26013738</x:v>
      </x:c>
      <x:c r="H559" s="9" t="n">
        <x:v>0.10189315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-0.48754033</x:v>
      </x:c>
      <x:c r="G560" s="9" t="n">
        <x:v>-1.09524748</x:v>
      </x:c>
      <x:c r="H560" s="9" t="n">
        <x:v>-1.19106161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-0.48754033</x:v>
      </x:c>
      <x:c r="G561" s="9" t="n">
        <x:v>-1.09524748</x:v>
      </x:c>
      <x:c r="H561" s="9" t="n">
        <x:v>-1.19106161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-0.48754033</x:v>
      </x:c>
      <x:c r="G562" s="9" t="n">
        <x:v>-1.09524748</x:v>
      </x:c>
      <x:c r="H562" s="9" t="n">
        <x:v>-1.19106161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-0.48754033</x:v>
      </x:c>
      <x:c r="G563" s="9" t="n">
        <x:v>-1.09524748</x:v>
      </x:c>
      <x:c r="H563" s="9" t="n">
        <x:v>-1.19106161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-0.48754033</x:v>
      </x:c>
      <x:c r="G564" s="9" t="n">
        <x:v>-1.09524748</x:v>
      </x:c>
      <x:c r="H564" s="9" t="n">
        <x:v>-1.19106161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-0.48754033</x:v>
      </x:c>
      <x:c r="G565" s="9" t="n">
        <x:v>-1.09524748</x:v>
      </x:c>
      <x:c r="H565" s="9" t="n">
        <x:v>-1.19106161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-0.48754033</x:v>
      </x:c>
      <x:c r="G566" s="9" t="n">
        <x:v>1.78223959</x:v>
      </x:c>
      <x:c r="H566" s="9" t="n">
        <x:v>1.55388611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-0.48754033</x:v>
      </x:c>
      <x:c r="G567" s="9" t="n">
        <x:v>1.78223959</x:v>
      </x:c>
      <x:c r="H567" s="9" t="n">
        <x:v>1.55388611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-0.48754033</x:v>
      </x:c>
      <x:c r="G568" s="9" t="n">
        <x:v>1.78223959</x:v>
      </x:c>
      <x:c r="H568" s="9" t="n">
        <x:v>1.55388611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-0.48754033</x:v>
      </x:c>
      <x:c r="G569" s="9" t="n">
        <x:v>1.78223959</x:v>
      </x:c>
      <x:c r="H569" s="9" t="n">
        <x:v>1.55388611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-0.48754033</x:v>
      </x:c>
      <x:c r="G570" s="9" t="n">
        <x:v>1.78223959</x:v>
      </x:c>
      <x:c r="H570" s="9" t="n">
        <x:v>1.55388611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-0.48754033</x:v>
      </x:c>
      <x:c r="G571" s="9" t="n">
        <x:v>1.78223959</x:v>
      </x:c>
      <x:c r="H571" s="9" t="n">
        <x:v>1.55388611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-0.48754033</x:v>
      </x:c>
      <x:c r="G572" s="9" t="n">
        <x:v>0.02789056</x:v>
      </x:c>
      <x:c r="H572" s="9" t="n">
        <x:v>-0.1196562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-0.48754033</x:v>
      </x:c>
      <x:c r="G573" s="9" t="n">
        <x:v>0.02789056</x:v>
      </x:c>
      <x:c r="H573" s="9" t="n">
        <x:v>-0.1196562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-0.48754033</x:v>
      </x:c>
      <x:c r="G574" s="9" t="n">
        <x:v>0.02789056</x:v>
      </x:c>
      <x:c r="H574" s="9" t="n">
        <x:v>-0.1196562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-0.48754033</x:v>
      </x:c>
      <x:c r="G575" s="9" t="n">
        <x:v>0.02789056</x:v>
      </x:c>
      <x:c r="H575" s="9" t="n">
        <x:v>-0.1196562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-0.48754033</x:v>
      </x:c>
      <x:c r="G576" s="9" t="n">
        <x:v>0.02789056</x:v>
      </x:c>
      <x:c r="H576" s="9" t="n">
        <x:v>-0.1196562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-0.48754033</x:v>
      </x:c>
      <x:c r="G577" s="9" t="n">
        <x:v>0.02789056</x:v>
      </x:c>
      <x:c r="H577" s="9" t="n">
        <x:v>-0.1196562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1.25696661</x:v>
      </x:c>
      <x:c r="G578" s="9" t="n">
        <x:v>0.21386913</x:v>
      </x:c>
      <x:c r="H578" s="9" t="n">
        <x:v>0.58110813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1.25696661</x:v>
      </x:c>
      <x:c r="G579" s="9" t="n">
        <x:v>0.21386913</x:v>
      </x:c>
      <x:c r="H579" s="9" t="n">
        <x:v>0.58110813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1.25696661</x:v>
      </x:c>
      <x:c r="G580" s="9" t="n">
        <x:v>0.21386913</x:v>
      </x:c>
      <x:c r="H580" s="9" t="n">
        <x:v>0.58110813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1.25696661</x:v>
      </x:c>
      <x:c r="G581" s="9" t="n">
        <x:v>0.21386913</x:v>
      </x:c>
      <x:c r="H581" s="9" t="n">
        <x:v>0.58110813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1.25696661</x:v>
      </x:c>
      <x:c r="G582" s="9" t="n">
        <x:v>0.21386913</x:v>
      </x:c>
      <x:c r="H582" s="9" t="n">
        <x:v>0.58110813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1.25696661</x:v>
      </x:c>
      <x:c r="G583" s="9" t="n">
        <x:v>0.21386913</x:v>
      </x:c>
      <x:c r="H583" s="9" t="n">
        <x:v>0.58110813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1.25696661</x:v>
      </x:c>
      <x:c r="G584" s="9" t="n">
        <x:v>1.07293499</x:v>
      </x:c>
      <x:c r="H584" s="9" t="n">
        <x:v>1.40060473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1.25696661</x:v>
      </x:c>
      <x:c r="G585" s="9" t="n">
        <x:v>1.07293499</x:v>
      </x:c>
      <x:c r="H585" s="9" t="n">
        <x:v>1.40060473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1.25696661</x:v>
      </x:c>
      <x:c r="G586" s="9" t="n">
        <x:v>1.07293499</x:v>
      </x:c>
      <x:c r="H586" s="9" t="n">
        <x:v>1.40060473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1.25696661</x:v>
      </x:c>
      <x:c r="G587" s="9" t="n">
        <x:v>1.07293499</x:v>
      </x:c>
      <x:c r="H587" s="9" t="n">
        <x:v>1.40060473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1.25696661</x:v>
      </x:c>
      <x:c r="G588" s="9" t="n">
        <x:v>1.07293499</x:v>
      </x:c>
      <x:c r="H588" s="9" t="n">
        <x:v>1.40060473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1.25696661</x:v>
      </x:c>
      <x:c r="G589" s="9" t="n">
        <x:v>1.07293499</x:v>
      </x:c>
      <x:c r="H589" s="9" t="n">
        <x:v>1.40060473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1.25696661</x:v>
      </x:c>
      <x:c r="G590" s="9" t="n">
        <x:v>0.50364765</x:v>
      </x:c>
      <x:c r="H590" s="9" t="n">
        <x:v>0.85753922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1.25696661</x:v>
      </x:c>
      <x:c r="G591" s="9" t="n">
        <x:v>0.50364765</x:v>
      </x:c>
      <x:c r="H591" s="9" t="n">
        <x:v>0.85753922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1.25696661</x:v>
      </x:c>
      <x:c r="G592" s="9" t="n">
        <x:v>0.50364765</x:v>
      </x:c>
      <x:c r="H592" s="9" t="n">
        <x:v>0.85753922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1.25696661</x:v>
      </x:c>
      <x:c r="G593" s="9" t="n">
        <x:v>0.50364765</x:v>
      </x:c>
      <x:c r="H593" s="9" t="n">
        <x:v>0.85753922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1.25696661</x:v>
      </x:c>
      <x:c r="G594" s="9" t="n">
        <x:v>0.50364765</x:v>
      </x:c>
      <x:c r="H594" s="9" t="n">
        <x:v>0.85753922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1.25696661</x:v>
      </x:c>
      <x:c r="G595" s="9" t="n">
        <x:v>0.50364765</x:v>
      </x:c>
      <x:c r="H595" s="9" t="n">
        <x:v>0.85753922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1.25696661</x:v>
      </x:c>
      <x:c r="G596" s="9" t="n">
        <x:v>0.45783719</x:v>
      </x:c>
      <x:c r="H596" s="9" t="n">
        <x:v>0.81383883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1.25696661</x:v>
      </x:c>
      <x:c r="G597" s="9" t="n">
        <x:v>0.45783719</x:v>
      </x:c>
      <x:c r="H597" s="9" t="n">
        <x:v>0.81383883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1.25696661</x:v>
      </x:c>
      <x:c r="G598" s="9" t="n">
        <x:v>0.45783719</x:v>
      </x:c>
      <x:c r="H598" s="9" t="n">
        <x:v>0.81383883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1.25696661</x:v>
      </x:c>
      <x:c r="G599" s="9" t="n">
        <x:v>0.45783719</x:v>
      </x:c>
      <x:c r="H599" s="9" t="n">
        <x:v>0.81383883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1.25696661</x:v>
      </x:c>
      <x:c r="G600" s="9" t="n">
        <x:v>0.45783719</x:v>
      </x:c>
      <x:c r="H600" s="9" t="n">
        <x:v>0.81383883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1.25696661</x:v>
      </x:c>
      <x:c r="G601" s="9" t="n">
        <x:v>0.45783719</x:v>
      </x:c>
      <x:c r="H601" s="9" t="n">
        <x:v>0.81383883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1.25696661</x:v>
      </x:c>
      <x:c r="G602" s="9" t="n">
        <x:v>1.9075677</x:v>
      </x:c>
      <x:c r="H602" s="9" t="n">
        <x:v>2.19679359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1.25696661</x:v>
      </x:c>
      <x:c r="G603" s="9" t="n">
        <x:v>1.9075677</x:v>
      </x:c>
      <x:c r="H603" s="9" t="n">
        <x:v>2.19679359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1.25696661</x:v>
      </x:c>
      <x:c r="G604" s="9" t="n">
        <x:v>1.9075677</x:v>
      </x:c>
      <x:c r="H604" s="9" t="n">
        <x:v>2.19679359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1.25696661</x:v>
      </x:c>
      <x:c r="G605" s="9" t="n">
        <x:v>1.9075677</x:v>
      </x:c>
      <x:c r="H605" s="9" t="n">
        <x:v>2.19679359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1.25696661</x:v>
      </x:c>
      <x:c r="G606" s="9" t="n">
        <x:v>1.9075677</x:v>
      </x:c>
      <x:c r="H606" s="9" t="n">
        <x:v>2.19679359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1.25696661</x:v>
      </x:c>
      <x:c r="G607" s="9" t="n">
        <x:v>1.9075677</x:v>
      </x:c>
      <x:c r="H607" s="9" t="n">
        <x:v>2.19679359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1.25696661</x:v>
      </x:c>
      <x:c r="G608" s="9" t="n">
        <x:v>-0.21977447</x:v>
      </x:c>
      <x:c r="H608" s="9" t="n">
        <x:v>0.1674385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1.25696661</x:v>
      </x:c>
      <x:c r="G609" s="9" t="n">
        <x:v>-0.21977447</x:v>
      </x:c>
      <x:c r="H609" s="9" t="n">
        <x:v>0.1674385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1.25696661</x:v>
      </x:c>
      <x:c r="G610" s="9" t="n">
        <x:v>-0.21977447</x:v>
      </x:c>
      <x:c r="H610" s="9" t="n">
        <x:v>0.1674385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1.25696661</x:v>
      </x:c>
      <x:c r="G611" s="9" t="n">
        <x:v>-0.21977447</x:v>
      </x:c>
      <x:c r="H611" s="9" t="n">
        <x:v>0.1674385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1.25696661</x:v>
      </x:c>
      <x:c r="G612" s="9" t="n">
        <x:v>-0.21977447</x:v>
      </x:c>
      <x:c r="H612" s="9" t="n">
        <x:v>0.1674385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1.25696661</x:v>
      </x:c>
      <x:c r="G613" s="9" t="n">
        <x:v>-0.21977447</x:v>
      </x:c>
      <x:c r="H613" s="9" t="n">
        <x:v>0.1674385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-1.28956802</x:v>
      </x:c>
      <x:c r="G614" s="9" t="n">
        <x:v>0.00880687</x:v>
      </x:c>
      <x:c r="H614" s="9" t="n">
        <x:v>-0.37846919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-1.28956802</x:v>
      </x:c>
      <x:c r="G615" s="9" t="n">
        <x:v>0.00880687</x:v>
      </x:c>
      <x:c r="H615" s="9" t="n">
        <x:v>-0.37846919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-1.28956802</x:v>
      </x:c>
      <x:c r="G616" s="9" t="n">
        <x:v>0.00880687</x:v>
      </x:c>
      <x:c r="H616" s="9" t="n">
        <x:v>-0.37846919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-1.28956802</x:v>
      </x:c>
      <x:c r="G617" s="9" t="n">
        <x:v>0.00880687</x:v>
      </x:c>
      <x:c r="H617" s="9" t="n">
        <x:v>-0.37846919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-1.28956802</x:v>
      </x:c>
      <x:c r="G618" s="9" t="n">
        <x:v>0.00880687</x:v>
      </x:c>
      <x:c r="H618" s="9" t="n">
        <x:v>-0.37846919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-1.28956802</x:v>
      </x:c>
      <x:c r="G619" s="9" t="n">
        <x:v>0.00880687</x:v>
      </x:c>
      <x:c r="H619" s="9" t="n">
        <x:v>-0.37846919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-1.28956802</x:v>
      </x:c>
      <x:c r="G620" s="9" t="n">
        <x:v>-1.18767676</x:v>
      </x:c>
      <x:c r="H620" s="9" t="n">
        <x:v>-1.51984182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-1.28956802</x:v>
      </x:c>
      <x:c r="G621" s="9" t="n">
        <x:v>-1.18767676</x:v>
      </x:c>
      <x:c r="H621" s="9" t="n">
        <x:v>-1.51984182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-1.28956802</x:v>
      </x:c>
      <x:c r="G622" s="9" t="n">
        <x:v>-1.18767676</x:v>
      </x:c>
      <x:c r="H622" s="9" t="n">
        <x:v>-1.51984182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-1.28956802</x:v>
      </x:c>
      <x:c r="G623" s="9" t="n">
        <x:v>-1.18767676</x:v>
      </x:c>
      <x:c r="H623" s="9" t="n">
        <x:v>-1.51984182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-1.28956802</x:v>
      </x:c>
      <x:c r="G624" s="9" t="n">
        <x:v>-1.18767676</x:v>
      </x:c>
      <x:c r="H624" s="9" t="n">
        <x:v>-1.51984182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-1.28956802</x:v>
      </x:c>
      <x:c r="G625" s="9" t="n">
        <x:v>-1.18767676</x:v>
      </x:c>
      <x:c r="H625" s="9" t="n">
        <x:v>-1.51984182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-1.28956802</x:v>
      </x:c>
      <x:c r="G626" s="9" t="n">
        <x:v>0.77205302</x:v>
      </x:c>
      <x:c r="H626" s="9" t="n">
        <x:v>0.34962123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-1.28956802</x:v>
      </x:c>
      <x:c r="G627" s="9" t="n">
        <x:v>0.77205302</x:v>
      </x:c>
      <x:c r="H627" s="9" t="n">
        <x:v>0.34962123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-1.28956802</x:v>
      </x:c>
      <x:c r="G628" s="9" t="n">
        <x:v>0.77205302</x:v>
      </x:c>
      <x:c r="H628" s="9" t="n">
        <x:v>0.34962123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-1.28956802</x:v>
      </x:c>
      <x:c r="G629" s="9" t="n">
        <x:v>0.77205302</x:v>
      </x:c>
      <x:c r="H629" s="9" t="n">
        <x:v>0.34962123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-1.28956802</x:v>
      </x:c>
      <x:c r="G630" s="9" t="n">
        <x:v>0.77205302</x:v>
      </x:c>
      <x:c r="H630" s="9" t="n">
        <x:v>0.34962123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-1.28956802</x:v>
      </x:c>
      <x:c r="G631" s="9" t="n">
        <x:v>0.77205302</x:v>
      </x:c>
      <x:c r="H631" s="9" t="n">
        <x:v>0.34962123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-1.28956802</x:v>
      </x:c>
      <x:c r="G632" s="9" t="n">
        <x:v>0.51641823</x:v>
      </x:c>
      <x:c r="H632" s="9" t="n">
        <x:v>0.10576119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-1.28956802</x:v>
      </x:c>
      <x:c r="G633" s="9" t="n">
        <x:v>0.51641823</x:v>
      </x:c>
      <x:c r="H633" s="9" t="n">
        <x:v>0.10576119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-1.28956802</x:v>
      </x:c>
      <x:c r="G634" s="9" t="n">
        <x:v>0.51641823</x:v>
      </x:c>
      <x:c r="H634" s="9" t="n">
        <x:v>0.10576119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-1.28956802</x:v>
      </x:c>
      <x:c r="G635" s="9" t="n">
        <x:v>0.51641823</x:v>
      </x:c>
      <x:c r="H635" s="9" t="n">
        <x:v>0.10576119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-1.28956802</x:v>
      </x:c>
      <x:c r="G636" s="9" t="n">
        <x:v>0.51641823</x:v>
      </x:c>
      <x:c r="H636" s="9" t="n">
        <x:v>0.10576119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-1.28956802</x:v>
      </x:c>
      <x:c r="G637" s="9" t="n">
        <x:v>0.51641823</x:v>
      </x:c>
      <x:c r="H637" s="9" t="n">
        <x:v>0.10576119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-1.28956802</x:v>
      </x:c>
      <x:c r="G638" s="9" t="n">
        <x:v>0.59109625</x:v>
      </x:c>
      <x:c r="H638" s="9" t="n">
        <x:v>0.17699947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-1.28956802</x:v>
      </x:c>
      <x:c r="G639" s="9" t="n">
        <x:v>0.59109625</x:v>
      </x:c>
      <x:c r="H639" s="9" t="n">
        <x:v>0.17699947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-1.28956802</x:v>
      </x:c>
      <x:c r="G640" s="9" t="n">
        <x:v>0.59109625</x:v>
      </x:c>
      <x:c r="H640" s="9" t="n">
        <x:v>0.17699947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-1.28956802</x:v>
      </x:c>
      <x:c r="G641" s="9" t="n">
        <x:v>0.59109625</x:v>
      </x:c>
      <x:c r="H641" s="9" t="n">
        <x:v>0.17699947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-1.28956802</x:v>
      </x:c>
      <x:c r="G642" s="9" t="n">
        <x:v>0.59109625</x:v>
      </x:c>
      <x:c r="H642" s="9" t="n">
        <x:v>0.17699947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-1.28956802</x:v>
      </x:c>
      <x:c r="G643" s="9" t="n">
        <x:v>0.59109625</x:v>
      </x:c>
      <x:c r="H643" s="9" t="n">
        <x:v>0.17699947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-1.28956802</x:v>
      </x:c>
      <x:c r="G644" s="9" t="n">
        <x:v>-0.03197044</x:v>
      </x:c>
      <x:c r="H644" s="9" t="n">
        <x:v>-0.41736827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-1.28956802</x:v>
      </x:c>
      <x:c r="G645" s="9" t="n">
        <x:v>-0.03197044</x:v>
      </x:c>
      <x:c r="H645" s="9" t="n">
        <x:v>-0.41736827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-1.28956802</x:v>
      </x:c>
      <x:c r="G646" s="9" t="n">
        <x:v>-0.03197044</x:v>
      </x:c>
      <x:c r="H646" s="9" t="n">
        <x:v>-0.41736827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-1.28956802</x:v>
      </x:c>
      <x:c r="G647" s="9" t="n">
        <x:v>-0.03197044</x:v>
      </x:c>
      <x:c r="H647" s="9" t="n">
        <x:v>-0.41736827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-1.28956802</x:v>
      </x:c>
      <x:c r="G648" s="9" t="n">
        <x:v>-0.03197044</x:v>
      </x:c>
      <x:c r="H648" s="9" t="n">
        <x:v>-0.41736827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-1.28956802</x:v>
      </x:c>
      <x:c r="G649" s="9" t="n">
        <x:v>-0.03197044</x:v>
      </x:c>
      <x:c r="H649" s="9" t="n">
        <x:v>-0.41736827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-0.88648657</x:v>
      </x:c>
      <x:c r="G650" s="9" t="n">
        <x:v>-0.49306749</x:v>
      </x:c>
      <x:c r="H650" s="9" t="n">
        <x:v>-0.73630238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-0.88648657</x:v>
      </x:c>
      <x:c r="G651" s="9" t="n">
        <x:v>-0.49306749</x:v>
      </x:c>
      <x:c r="H651" s="9" t="n">
        <x:v>-0.73630238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-0.88648657</x:v>
      </x:c>
      <x:c r="G652" s="9" t="n">
        <x:v>-0.49306749</x:v>
      </x:c>
      <x:c r="H652" s="9" t="n">
        <x:v>-0.73630238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-0.88648657</x:v>
      </x:c>
      <x:c r="G653" s="9" t="n">
        <x:v>-0.49306749</x:v>
      </x:c>
      <x:c r="H653" s="9" t="n">
        <x:v>-0.73630238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-0.88648657</x:v>
      </x:c>
      <x:c r="G654" s="9" t="n">
        <x:v>-0.49306749</x:v>
      </x:c>
      <x:c r="H654" s="9" t="n">
        <x:v>-0.73630238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-0.88648657</x:v>
      </x:c>
      <x:c r="G655" s="9" t="n">
        <x:v>-0.49306749</x:v>
      </x:c>
      <x:c r="H655" s="9" t="n">
        <x:v>-0.73630238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-0.88648657</x:v>
      </x:c>
      <x:c r="G656" s="9" t="n">
        <x:v>-1.79243279</x:v>
      </x:c>
      <x:c r="H656" s="9" t="n">
        <x:v>-1.97581788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-0.88648657</x:v>
      </x:c>
      <x:c r="G657" s="9" t="n">
        <x:v>-1.79243279</x:v>
      </x:c>
      <x:c r="H657" s="9" t="n">
        <x:v>-1.97581788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-0.88648657</x:v>
      </x:c>
      <x:c r="G658" s="9" t="n">
        <x:v>-1.79243279</x:v>
      </x:c>
      <x:c r="H658" s="9" t="n">
        <x:v>-1.97581788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-0.88648657</x:v>
      </x:c>
      <x:c r="G659" s="9" t="n">
        <x:v>-1.79243279</x:v>
      </x:c>
      <x:c r="H659" s="9" t="n">
        <x:v>-1.97581788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-0.88648657</x:v>
      </x:c>
      <x:c r="G660" s="9" t="n">
        <x:v>-1.79243279</x:v>
      </x:c>
      <x:c r="H660" s="9" t="n">
        <x:v>-1.97581788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-0.88648657</x:v>
      </x:c>
      <x:c r="G661" s="9" t="n">
        <x:v>-1.79243279</x:v>
      </x:c>
      <x:c r="H661" s="9" t="n">
        <x:v>-1.97581788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-0.88648657</x:v>
      </x:c>
      <x:c r="G662" s="9" t="n">
        <x:v>-2.35415013</x:v>
      </x:c>
      <x:c r="H662" s="9" t="n">
        <x:v>-2.51166206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-0.88648657</x:v>
      </x:c>
      <x:c r="G663" s="9" t="n">
        <x:v>-2.35415013</x:v>
      </x:c>
      <x:c r="H663" s="9" t="n">
        <x:v>-2.51166206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-0.88648657</x:v>
      </x:c>
      <x:c r="G664" s="9" t="n">
        <x:v>-2.35415013</x:v>
      </x:c>
      <x:c r="H664" s="9" t="n">
        <x:v>-2.51166206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-0.88648657</x:v>
      </x:c>
      <x:c r="G665" s="9" t="n">
        <x:v>-2.35415013</x:v>
      </x:c>
      <x:c r="H665" s="9" t="n">
        <x:v>-2.51166206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-0.88648657</x:v>
      </x:c>
      <x:c r="G666" s="9" t="n">
        <x:v>-2.35415013</x:v>
      </x:c>
      <x:c r="H666" s="9" t="n">
        <x:v>-2.51166206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-0.88648657</x:v>
      </x:c>
      <x:c r="G667" s="9" t="n">
        <x:v>-2.35415013</x:v>
      </x:c>
      <x:c r="H667" s="9" t="n">
        <x:v>-2.51166206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-0.88648657</x:v>
      </x:c>
      <x:c r="G668" s="9" t="n">
        <x:v>-0.88670423</x:v>
      </x:c>
      <x:c r="H668" s="9" t="n">
        <x:v>-1.11180789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-0.88648657</x:v>
      </x:c>
      <x:c r="G669" s="9" t="n">
        <x:v>-0.88670423</x:v>
      </x:c>
      <x:c r="H669" s="9" t="n">
        <x:v>-1.11180789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-0.88648657</x:v>
      </x:c>
      <x:c r="G670" s="9" t="n">
        <x:v>-0.88670423</x:v>
      </x:c>
      <x:c r="H670" s="9" t="n">
        <x:v>-1.11180789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-0.88648657</x:v>
      </x:c>
      <x:c r="G671" s="9" t="n">
        <x:v>-0.88670423</x:v>
      </x:c>
      <x:c r="H671" s="9" t="n">
        <x:v>-1.11180789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-0.88648657</x:v>
      </x:c>
      <x:c r="G672" s="9" t="n">
        <x:v>-0.88670423</x:v>
      </x:c>
      <x:c r="H672" s="9" t="n">
        <x:v>-1.11180789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-0.88648657</x:v>
      </x:c>
      <x:c r="G673" s="9" t="n">
        <x:v>-0.88670423</x:v>
      </x:c>
      <x:c r="H673" s="9" t="n">
        <x:v>-1.11180789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-0.88648657</x:v>
      </x:c>
      <x:c r="G674" s="9" t="n">
        <x:v>0.32385402</x:v>
      </x:c>
      <x:c r="H674" s="9" t="n">
        <x:v>0.04299108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-0.88648657</x:v>
      </x:c>
      <x:c r="G675" s="9" t="n">
        <x:v>0.32385402</x:v>
      </x:c>
      <x:c r="H675" s="9" t="n">
        <x:v>0.04299108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-0.88648657</x:v>
      </x:c>
      <x:c r="G676" s="9" t="n">
        <x:v>0.32385402</x:v>
      </x:c>
      <x:c r="H676" s="9" t="n">
        <x:v>0.04299108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-0.88648657</x:v>
      </x:c>
      <x:c r="G677" s="9" t="n">
        <x:v>0.32385402</x:v>
      </x:c>
      <x:c r="H677" s="9" t="n">
        <x:v>0.04299108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-0.88648657</x:v>
      </x:c>
      <x:c r="G678" s="9" t="n">
        <x:v>0.32385402</x:v>
      </x:c>
      <x:c r="H678" s="9" t="n">
        <x:v>0.04299108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-0.88648657</x:v>
      </x:c>
      <x:c r="G679" s="9" t="n">
        <x:v>0.32385402</x:v>
      </x:c>
      <x:c r="H679" s="9" t="n">
        <x:v>0.04299108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-0.88648657</x:v>
      </x:c>
      <x:c r="G680" s="9" t="n">
        <x:v>1.48405041</x:v>
      </x:c>
      <x:c r="H680" s="9" t="n">
        <x:v>1.1497479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-0.88648657</x:v>
      </x:c>
      <x:c r="G681" s="9" t="n">
        <x:v>1.48405041</x:v>
      </x:c>
      <x:c r="H681" s="9" t="n">
        <x:v>1.1497479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-0.88648657</x:v>
      </x:c>
      <x:c r="G682" s="9" t="n">
        <x:v>1.48405041</x:v>
      </x:c>
      <x:c r="H682" s="9" t="n">
        <x:v>1.1497479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-0.88648657</x:v>
      </x:c>
      <x:c r="G683" s="9" t="n">
        <x:v>1.48405041</x:v>
      </x:c>
      <x:c r="H683" s="9" t="n">
        <x:v>1.1497479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-0.88648657</x:v>
      </x:c>
      <x:c r="G684" s="9" t="n">
        <x:v>1.48405041</x:v>
      </x:c>
      <x:c r="H684" s="9" t="n">
        <x:v>1.1497479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-0.88648657</x:v>
      </x:c>
      <x:c r="G685" s="9" t="n">
        <x:v>1.48405041</x:v>
      </x:c>
      <x:c r="H685" s="9" t="n">
        <x:v>1.1497479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-0.3450035</x:v>
      </x:c>
      <x:c r="G686" s="9" t="n">
        <x:v>-0.0981094</x:v>
      </x:c>
      <x:c r="H686" s="9" t="n">
        <x:v>-0.19709146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-0.3450035</x:v>
      </x:c>
      <x:c r="G687" s="9" t="n">
        <x:v>-0.0981094</x:v>
      </x:c>
      <x:c r="H687" s="9" t="n">
        <x:v>-0.19709146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-0.3450035</x:v>
      </x:c>
      <x:c r="G688" s="9" t="n">
        <x:v>-0.0981094</x:v>
      </x:c>
      <x:c r="H688" s="9" t="n">
        <x:v>-0.19709146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-0.3450035</x:v>
      </x:c>
      <x:c r="G689" s="9" t="n">
        <x:v>-0.0981094</x:v>
      </x:c>
      <x:c r="H689" s="9" t="n">
        <x:v>-0.19709146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-0.3450035</x:v>
      </x:c>
      <x:c r="G690" s="9" t="n">
        <x:v>-0.0981094</x:v>
      </x:c>
      <x:c r="H690" s="9" t="n">
        <x:v>-0.19709146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-0.3450035</x:v>
      </x:c>
      <x:c r="G691" s="9" t="n">
        <x:v>-0.0981094</x:v>
      </x:c>
      <x:c r="H691" s="9" t="n">
        <x:v>-0.19709146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-0.3450035</x:v>
      </x:c>
      <x:c r="G692" s="9" t="n">
        <x:v>1.49041566</x:v>
      </x:c>
      <x:c r="H692" s="9" t="n">
        <x:v>1.31826487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-0.3450035</x:v>
      </x:c>
      <x:c r="G693" s="9" t="n">
        <x:v>1.49041566</x:v>
      </x:c>
      <x:c r="H693" s="9" t="n">
        <x:v>1.31826487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-0.3450035</x:v>
      </x:c>
      <x:c r="G694" s="9" t="n">
        <x:v>1.49041566</x:v>
      </x:c>
      <x:c r="H694" s="9" t="n">
        <x:v>1.31826487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-0.3450035</x:v>
      </x:c>
      <x:c r="G695" s="9" t="n">
        <x:v>1.49041566</x:v>
      </x:c>
      <x:c r="H695" s="9" t="n">
        <x:v>1.31826487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-0.3450035</x:v>
      </x:c>
      <x:c r="G696" s="9" t="n">
        <x:v>1.49041566</x:v>
      </x:c>
      <x:c r="H696" s="9" t="n">
        <x:v>1.31826487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-0.3450035</x:v>
      </x:c>
      <x:c r="G697" s="9" t="n">
        <x:v>1.49041566</x:v>
      </x:c>
      <x:c r="H697" s="9" t="n">
        <x:v>1.31826487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-0.3450035</x:v>
      </x:c>
      <x:c r="G698" s="9" t="n">
        <x:v>-0.39572956</x:v>
      </x:c>
      <x:c r="H698" s="9" t="n">
        <x:v>-0.48100299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-0.3450035</x:v>
      </x:c>
      <x:c r="G699" s="9" t="n">
        <x:v>-0.39572956</x:v>
      </x:c>
      <x:c r="H699" s="9" t="n">
        <x:v>-0.48100299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-0.3450035</x:v>
      </x:c>
      <x:c r="G700" s="9" t="n">
        <x:v>-0.39572956</x:v>
      </x:c>
      <x:c r="H700" s="9" t="n">
        <x:v>-0.48100299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-0.3450035</x:v>
      </x:c>
      <x:c r="G701" s="9" t="n">
        <x:v>-0.39572956</x:v>
      </x:c>
      <x:c r="H701" s="9" t="n">
        <x:v>-0.48100299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-0.3450035</x:v>
      </x:c>
      <x:c r="G702" s="9" t="n">
        <x:v>-0.39572956</x:v>
      </x:c>
      <x:c r="H702" s="9" t="n">
        <x:v>-0.48100299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-0.3450035</x:v>
      </x:c>
      <x:c r="G703" s="9" t="n">
        <x:v>-0.39572956</x:v>
      </x:c>
      <x:c r="H703" s="9" t="n">
        <x:v>-0.48100299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-0.3450035</x:v>
      </x:c>
      <x:c r="G704" s="9" t="n">
        <x:v>-0.23135603</x:v>
      </x:c>
      <x:c r="H704" s="9" t="n">
        <x:v>-0.32420063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-0.3450035</x:v>
      </x:c>
      <x:c r="G705" s="9" t="n">
        <x:v>-0.23135603</x:v>
      </x:c>
      <x:c r="H705" s="9" t="n">
        <x:v>-0.32420063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-0.3450035</x:v>
      </x:c>
      <x:c r="G706" s="9" t="n">
        <x:v>-0.23135603</x:v>
      </x:c>
      <x:c r="H706" s="9" t="n">
        <x:v>-0.32420063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-0.3450035</x:v>
      </x:c>
      <x:c r="G707" s="9" t="n">
        <x:v>-0.23135603</x:v>
      </x:c>
      <x:c r="H707" s="9" t="n">
        <x:v>-0.32420063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-0.3450035</x:v>
      </x:c>
      <x:c r="G708" s="9" t="n">
        <x:v>-0.23135603</x:v>
      </x:c>
      <x:c r="H708" s="9" t="n">
        <x:v>-0.32420063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-0.3450035</x:v>
      </x:c>
      <x:c r="G709" s="9" t="n">
        <x:v>-0.23135603</x:v>
      </x:c>
      <x:c r="H709" s="9" t="n">
        <x:v>-0.32420063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-0.3450035</x:v>
      </x:c>
      <x:c r="G710" s="9" t="n">
        <x:v>0.45193244</x:v>
      </x:c>
      <x:c r="H710" s="9" t="n">
        <x:v>0.32761502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-0.3450035</x:v>
      </x:c>
      <x:c r="G711" s="9" t="n">
        <x:v>0.45193244</x:v>
      </x:c>
      <x:c r="H711" s="9" t="n">
        <x:v>0.32761502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-0.3450035</x:v>
      </x:c>
      <x:c r="G712" s="9" t="n">
        <x:v>0.45193244</x:v>
      </x:c>
      <x:c r="H712" s="9" t="n">
        <x:v>0.32761502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-0.3450035</x:v>
      </x:c>
      <x:c r="G713" s="9" t="n">
        <x:v>0.45193244</x:v>
      </x:c>
      <x:c r="H713" s="9" t="n">
        <x:v>0.32761502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-0.3450035</x:v>
      </x:c>
      <x:c r="G714" s="9" t="n">
        <x:v>0.45193244</x:v>
      </x:c>
      <x:c r="H714" s="9" t="n">
        <x:v>0.32761502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-0.3450035</x:v>
      </x:c>
      <x:c r="G715" s="9" t="n">
        <x:v>0.45193244</x:v>
      </x:c>
      <x:c r="H715" s="9" t="n">
        <x:v>0.32761502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-0.3450035</x:v>
      </x:c>
      <x:c r="G716" s="9" t="n">
        <x:v>-2.14030463</x:v>
      </x:c>
      <x:c r="H716" s="9" t="n">
        <x:v>-2.14522154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-0.3450035</x:v>
      </x:c>
      <x:c r="G717" s="9" t="n">
        <x:v>-2.14030463</x:v>
      </x:c>
      <x:c r="H717" s="9" t="n">
        <x:v>-2.14522154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-0.3450035</x:v>
      </x:c>
      <x:c r="G718" s="9" t="n">
        <x:v>-2.14030463</x:v>
      </x:c>
      <x:c r="H718" s="9" t="n">
        <x:v>-2.14522154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-0.3450035</x:v>
      </x:c>
      <x:c r="G719" s="9" t="n">
        <x:v>-2.14030463</x:v>
      </x:c>
      <x:c r="H719" s="9" t="n">
        <x:v>-2.14522154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-0.3450035</x:v>
      </x:c>
      <x:c r="G720" s="9" t="n">
        <x:v>-2.14030463</x:v>
      </x:c>
      <x:c r="H720" s="9" t="n">
        <x:v>-2.14522154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-0.3450035</x:v>
      </x:c>
      <x:c r="G721" s="9" t="n">
        <x:v>-2.14030463</x:v>
      </x:c>
      <x:c r="H721" s="9" t="n">
        <x:v>-2.14522154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-0.51604149</x:v>
      </x:c>
      <x:c r="G722" s="9" t="n">
        <x:v>0.07505728</x:v>
      </x:c>
      <x:c r="H722" s="9" t="n">
        <x:v>-0.08321236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-0.51604149</x:v>
      </x:c>
      <x:c r="G723" s="9" t="n">
        <x:v>0.07505728</x:v>
      </x:c>
      <x:c r="H723" s="9" t="n">
        <x:v>-0.08321236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-0.51604149</x:v>
      </x:c>
      <x:c r="G724" s="9" t="n">
        <x:v>0.07505728</x:v>
      </x:c>
      <x:c r="H724" s="9" t="n">
        <x:v>-0.08321236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-0.51604149</x:v>
      </x:c>
      <x:c r="G725" s="9" t="n">
        <x:v>0.07505728</x:v>
      </x:c>
      <x:c r="H725" s="9" t="n">
        <x:v>-0.08321236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-0.51604149</x:v>
      </x:c>
      <x:c r="G726" s="9" t="n">
        <x:v>0.07505728</x:v>
      </x:c>
      <x:c r="H726" s="9" t="n">
        <x:v>-0.08321236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-0.51604149</x:v>
      </x:c>
      <x:c r="G727" s="9" t="n">
        <x:v>0.07505728</x:v>
      </x:c>
      <x:c r="H727" s="9" t="n">
        <x:v>-0.08321236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-0.51604149</x:v>
      </x:c>
      <x:c r="G728" s="9" t="n">
        <x:v>-0.0897765</x:v>
      </x:c>
      <x:c r="H728" s="9" t="n">
        <x:v>-0.24045377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-0.51604149</x:v>
      </x:c>
      <x:c r="G729" s="9" t="n">
        <x:v>-0.0897765</x:v>
      </x:c>
      <x:c r="H729" s="9" t="n">
        <x:v>-0.24045377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-0.51604149</x:v>
      </x:c>
      <x:c r="G730" s="9" t="n">
        <x:v>-0.0897765</x:v>
      </x:c>
      <x:c r="H730" s="9" t="n">
        <x:v>-0.24045377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-0.51604149</x:v>
      </x:c>
      <x:c r="G731" s="9" t="n">
        <x:v>-0.0897765</x:v>
      </x:c>
      <x:c r="H731" s="9" t="n">
        <x:v>-0.24045377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-0.51604149</x:v>
      </x:c>
      <x:c r="G732" s="9" t="n">
        <x:v>-0.0897765</x:v>
      </x:c>
      <x:c r="H732" s="9" t="n">
        <x:v>-0.24045377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-0.51604149</x:v>
      </x:c>
      <x:c r="G733" s="9" t="n">
        <x:v>-0.0897765</x:v>
      </x:c>
      <x:c r="H733" s="9" t="n">
        <x:v>-0.24045377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-0.51604149</x:v>
      </x:c>
      <x:c r="G734" s="9" t="n">
        <x:v>-2.8382342</x:v>
      </x:c>
      <x:c r="H734" s="9" t="n">
        <x:v>-2.86231532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-0.51604149</x:v>
      </x:c>
      <x:c r="G735" s="9" t="n">
        <x:v>-2.8382342</x:v>
      </x:c>
      <x:c r="H735" s="9" t="n">
        <x:v>-2.86231532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-0.51604149</x:v>
      </x:c>
      <x:c r="G736" s="9" t="n">
        <x:v>-2.8382342</x:v>
      </x:c>
      <x:c r="H736" s="9" t="n">
        <x:v>-2.86231532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-0.51604149</x:v>
      </x:c>
      <x:c r="G737" s="9" t="n">
        <x:v>-2.8382342</x:v>
      </x:c>
      <x:c r="H737" s="9" t="n">
        <x:v>-2.86231532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-0.51604149</x:v>
      </x:c>
      <x:c r="G738" s="9" t="n">
        <x:v>-2.8382342</x:v>
      </x:c>
      <x:c r="H738" s="9" t="n">
        <x:v>-2.86231532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-0.51604149</x:v>
      </x:c>
      <x:c r="G739" s="9" t="n">
        <x:v>-2.8382342</x:v>
      </x:c>
      <x:c r="H739" s="9" t="n">
        <x:v>-2.86231532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-0.51604149</x:v>
      </x:c>
      <x:c r="G740" s="9" t="n">
        <x:v>-1.67745419</x:v>
      </x:c>
      <x:c r="H740" s="9" t="n">
        <x:v>-1.75500176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-0.51604149</x:v>
      </x:c>
      <x:c r="G741" s="9" t="n">
        <x:v>-1.67745419</x:v>
      </x:c>
      <x:c r="H741" s="9" t="n">
        <x:v>-1.75500176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-0.51604149</x:v>
      </x:c>
      <x:c r="G742" s="9" t="n">
        <x:v>-1.67745419</x:v>
      </x:c>
      <x:c r="H742" s="9" t="n">
        <x:v>-1.75500176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-0.51604149</x:v>
      </x:c>
      <x:c r="G743" s="9" t="n">
        <x:v>-1.67745419</x:v>
      </x:c>
      <x:c r="H743" s="9" t="n">
        <x:v>-1.75500176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-0.51604149</x:v>
      </x:c>
      <x:c r="G744" s="9" t="n">
        <x:v>-1.67745419</x:v>
      </x:c>
      <x:c r="H744" s="9" t="n">
        <x:v>-1.75500176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-0.51604149</x:v>
      </x:c>
      <x:c r="G745" s="9" t="n">
        <x:v>-1.67745419</x:v>
      </x:c>
      <x:c r="H745" s="9" t="n">
        <x:v>-1.75500176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-0.51604149</x:v>
      </x:c>
      <x:c r="G746" s="9" t="n">
        <x:v>0.23654712</x:v>
      </x:c>
      <x:c r="H746" s="9" t="n">
        <x:v>0.07083912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-0.51604149</x:v>
      </x:c>
      <x:c r="G747" s="9" t="n">
        <x:v>0.23654712</x:v>
      </x:c>
      <x:c r="H747" s="9" t="n">
        <x:v>0.07083912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-0.51604149</x:v>
      </x:c>
      <x:c r="G748" s="9" t="n">
        <x:v>0.23654712</x:v>
      </x:c>
      <x:c r="H748" s="9" t="n">
        <x:v>0.07083912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-0.51604149</x:v>
      </x:c>
      <x:c r="G749" s="9" t="n">
        <x:v>0.23654712</x:v>
      </x:c>
      <x:c r="H749" s="9" t="n">
        <x:v>0.07083912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-0.51604149</x:v>
      </x:c>
      <x:c r="G750" s="9" t="n">
        <x:v>0.23654712</x:v>
      </x:c>
      <x:c r="H750" s="9" t="n">
        <x:v>0.07083912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-0.51604149</x:v>
      </x:c>
      <x:c r="G751" s="9" t="n">
        <x:v>0.23654712</x:v>
      </x:c>
      <x:c r="H751" s="9" t="n">
        <x:v>0.07083912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-0.51604149</x:v>
      </x:c>
      <x:c r="G752" s="9" t="n">
        <x:v>-0.3383661</x:v>
      </x:c>
      <x:c r="H752" s="9" t="n">
        <x:v>-0.47759313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-0.51604149</x:v>
      </x:c>
      <x:c r="G753" s="9" t="n">
        <x:v>-0.3383661</x:v>
      </x:c>
      <x:c r="H753" s="9" t="n">
        <x:v>-0.47759313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-0.51604149</x:v>
      </x:c>
      <x:c r="G754" s="9" t="n">
        <x:v>-0.3383661</x:v>
      </x:c>
      <x:c r="H754" s="9" t="n">
        <x:v>-0.47759313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-0.51604149</x:v>
      </x:c>
      <x:c r="G755" s="9" t="n">
        <x:v>-0.3383661</x:v>
      </x:c>
      <x:c r="H755" s="9" t="n">
        <x:v>-0.47759313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-0.51604149</x:v>
      </x:c>
      <x:c r="G756" s="9" t="n">
        <x:v>-0.3383661</x:v>
      </x:c>
      <x:c r="H756" s="9" t="n">
        <x:v>-0.47759313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-0.51604149</x:v>
      </x:c>
      <x:c r="G757" s="9" t="n">
        <x:v>-0.3383661</x:v>
      </x:c>
      <x:c r="H757" s="9" t="n">
        <x:v>-0.47759313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0.02193121</x:v>
      </x:c>
      <x:c r="G758" s="9" t="n">
        <x:v>-0.01055329</x:v>
      </x:c>
      <x:c r="H758" s="9" t="n">
        <x:v>-0.00348783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0.02193121</x:v>
      </x:c>
      <x:c r="G759" s="9" t="n">
        <x:v>-0.01055329</x:v>
      </x:c>
      <x:c r="H759" s="9" t="n">
        <x:v>-0.00348783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0.02193121</x:v>
      </x:c>
      <x:c r="G760" s="9" t="n">
        <x:v>-0.01055329</x:v>
      </x:c>
      <x:c r="H760" s="9" t="n">
        <x:v>-0.00348783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0.02193121</x:v>
      </x:c>
      <x:c r="G761" s="9" t="n">
        <x:v>-0.01055329</x:v>
      </x:c>
      <x:c r="H761" s="9" t="n">
        <x:v>-0.00348783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0.02193121</x:v>
      </x:c>
      <x:c r="G762" s="9" t="n">
        <x:v>-0.01055329</x:v>
      </x:c>
      <x:c r="H762" s="9" t="n">
        <x:v>-0.00348783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0.02193121</x:v>
      </x:c>
      <x:c r="G763" s="9" t="n">
        <x:v>-0.01055329</x:v>
      </x:c>
      <x:c r="H763" s="9" t="n">
        <x:v>-0.00348783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0.02193121</x:v>
      </x:c>
      <x:c r="G764" s="9" t="n">
        <x:v>1.0807226</x:v>
      </x:c>
      <x:c r="H764" s="9" t="n">
        <x:v>1.03752302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0.02193121</x:v>
      </x:c>
      <x:c r="G765" s="9" t="n">
        <x:v>1.0807226</x:v>
      </x:c>
      <x:c r="H765" s="9" t="n">
        <x:v>1.03752302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0.02193121</x:v>
      </x:c>
      <x:c r="G766" s="9" t="n">
        <x:v>1.0807226</x:v>
      </x:c>
      <x:c r="H766" s="9" t="n">
        <x:v>1.03752302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0.02193121</x:v>
      </x:c>
      <x:c r="G767" s="9" t="n">
        <x:v>1.0807226</x:v>
      </x:c>
      <x:c r="H767" s="9" t="n">
        <x:v>1.03752302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0.02193121</x:v>
      </x:c>
      <x:c r="G768" s="9" t="n">
        <x:v>1.0807226</x:v>
      </x:c>
      <x:c r="H768" s="9" t="n">
        <x:v>1.03752302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0.02193121</x:v>
      </x:c>
      <x:c r="G769" s="9" t="n">
        <x:v>1.0807226</x:v>
      </x:c>
      <x:c r="H769" s="9" t="n">
        <x:v>1.03752302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0.02193121</x:v>
      </x:c>
      <x:c r="G770" s="9" t="n">
        <x:v>-0.47602601</x:v>
      </x:c>
      <x:c r="H770" s="9" t="n">
        <x:v>-0.44752051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0.02193121</x:v>
      </x:c>
      <x:c r="G771" s="9" t="n">
        <x:v>-0.47602601</x:v>
      </x:c>
      <x:c r="H771" s="9" t="n">
        <x:v>-0.44752051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0.02193121</x:v>
      </x:c>
      <x:c r="G772" s="9" t="n">
        <x:v>-0.47602601</x:v>
      </x:c>
      <x:c r="H772" s="9" t="n">
        <x:v>-0.44752051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0.02193121</x:v>
      </x:c>
      <x:c r="G773" s="9" t="n">
        <x:v>-0.47602601</x:v>
      </x:c>
      <x:c r="H773" s="9" t="n">
        <x:v>-0.44752051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0.02193121</x:v>
      </x:c>
      <x:c r="G774" s="9" t="n">
        <x:v>-0.47602601</x:v>
      </x:c>
      <x:c r="H774" s="9" t="n">
        <x:v>-0.44752051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0.02193121</x:v>
      </x:c>
      <x:c r="G775" s="9" t="n">
        <x:v>-0.47602601</x:v>
      </x:c>
      <x:c r="H775" s="9" t="n">
        <x:v>-0.44752051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0.02193121</x:v>
      </x:c>
      <x:c r="G776" s="9" t="n">
        <x:v>-3.03824273</x:v>
      </x:c>
      <x:c r="H776" s="9" t="n">
        <x:v>-2.89171948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0.02193121</x:v>
      </x:c>
      <x:c r="G777" s="9" t="n">
        <x:v>-3.03824273</x:v>
      </x:c>
      <x:c r="H777" s="9" t="n">
        <x:v>-2.89171948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0.02193121</x:v>
      </x:c>
      <x:c r="G778" s="9" t="n">
        <x:v>-3.03824273</x:v>
      </x:c>
      <x:c r="H778" s="9" t="n">
        <x:v>-2.89171948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0.02193121</x:v>
      </x:c>
      <x:c r="G779" s="9" t="n">
        <x:v>-3.03824273</x:v>
      </x:c>
      <x:c r="H779" s="9" t="n">
        <x:v>-2.89171948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0.02193121</x:v>
      </x:c>
      <x:c r="G780" s="9" t="n">
        <x:v>-3.03824273</x:v>
      </x:c>
      <x:c r="H780" s="9" t="n">
        <x:v>-2.89171948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0.02193121</x:v>
      </x:c>
      <x:c r="G781" s="9" t="n">
        <x:v>-3.03824273</x:v>
      </x:c>
      <x:c r="H781" s="9" t="n">
        <x:v>-2.89171948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0.02193121</x:v>
      </x:c>
      <x:c r="G782" s="9" t="n">
        <x:v>0.58664681</x:v>
      </x:c>
      <x:c r="H782" s="9" t="n">
        <x:v>0.56620476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0.02193121</x:v>
      </x:c>
      <x:c r="G783" s="9" t="n">
        <x:v>0.58664681</x:v>
      </x:c>
      <x:c r="H783" s="9" t="n">
        <x:v>0.56620476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0.02193121</x:v>
      </x:c>
      <x:c r="G784" s="9" t="n">
        <x:v>0.58664681</x:v>
      </x:c>
      <x:c r="H784" s="9" t="n">
        <x:v>0.56620476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0.02193121</x:v>
      </x:c>
      <x:c r="G785" s="9" t="n">
        <x:v>0.58664681</x:v>
      </x:c>
      <x:c r="H785" s="9" t="n">
        <x:v>0.56620476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0.02193121</x:v>
      </x:c>
      <x:c r="G786" s="9" t="n">
        <x:v>0.58664681</x:v>
      </x:c>
      <x:c r="H786" s="9" t="n">
        <x:v>0.56620476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0.02193121</x:v>
      </x:c>
      <x:c r="G787" s="9" t="n">
        <x:v>0.58664681</x:v>
      </x:c>
      <x:c r="H787" s="9" t="n">
        <x:v>0.56620476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0.02193121</x:v>
      </x:c>
      <x:c r="G788" s="9" t="n">
        <x:v>0.00723463</x:v>
      </x:c>
      <x:c r="H788" s="9" t="n">
        <x:v>0.01348076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0.02193121</x:v>
      </x:c>
      <x:c r="G789" s="9" t="n">
        <x:v>0.00723463</x:v>
      </x:c>
      <x:c r="H789" s="9" t="n">
        <x:v>0.01348076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0.02193121</x:v>
      </x:c>
      <x:c r="G790" s="9" t="n">
        <x:v>0.00723463</x:v>
      </x:c>
      <x:c r="H790" s="9" t="n">
        <x:v>0.01348076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0.02193121</x:v>
      </x:c>
      <x:c r="G791" s="9" t="n">
        <x:v>0.00723463</x:v>
      </x:c>
      <x:c r="H791" s="9" t="n">
        <x:v>0.01348076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0.02193121</x:v>
      </x:c>
      <x:c r="G792" s="9" t="n">
        <x:v>0.00723463</x:v>
      </x:c>
      <x:c r="H792" s="9" t="n">
        <x:v>0.01348076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0.02193121</x:v>
      </x:c>
      <x:c r="G793" s="9" t="n">
        <x:v>0.00723463</x:v>
      </x:c>
      <x:c r="H793" s="9" t="n">
        <x:v>0.01348076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0.51104134</x:v>
      </x:c>
      <x:c r="G794" s="9" t="n">
        <x:v>-1.15690449</x:v>
      </x:c>
      <x:c r="H794" s="9" t="n">
        <x:v>-0.95030414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0.51104134</x:v>
      </x:c>
      <x:c r="G795" s="9" t="n">
        <x:v>-1.15690449</x:v>
      </x:c>
      <x:c r="H795" s="9" t="n">
        <x:v>-0.95030414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0.51104134</x:v>
      </x:c>
      <x:c r="G796" s="9" t="n">
        <x:v>-1.15690449</x:v>
      </x:c>
      <x:c r="H796" s="9" t="n">
        <x:v>-0.95030414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0.51104134</x:v>
      </x:c>
      <x:c r="G797" s="9" t="n">
        <x:v>-1.15690449</x:v>
      </x:c>
      <x:c r="H797" s="9" t="n">
        <x:v>-0.95030414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0.51104134</x:v>
      </x:c>
      <x:c r="G798" s="9" t="n">
        <x:v>-1.15690449</x:v>
      </x:c>
      <x:c r="H798" s="9" t="n">
        <x:v>-0.95030414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0.51104134</x:v>
      </x:c>
      <x:c r="G799" s="9" t="n">
        <x:v>-1.15690449</x:v>
      </x:c>
      <x:c r="H799" s="9" t="n">
        <x:v>-0.95030414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0.51104134</x:v>
      </x:c>
      <x:c r="G800" s="9" t="n">
        <x:v>-1.811121</x:v>
      </x:c>
      <x:c r="H800" s="9" t="n">
        <x:v>-1.57438692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0.51104134</x:v>
      </x:c>
      <x:c r="G801" s="9" t="n">
        <x:v>-1.811121</x:v>
      </x:c>
      <x:c r="H801" s="9" t="n">
        <x:v>-1.57438692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0.51104134</x:v>
      </x:c>
      <x:c r="G802" s="9" t="n">
        <x:v>-1.811121</x:v>
      </x:c>
      <x:c r="H802" s="9" t="n">
        <x:v>-1.57438692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0.51104134</x:v>
      </x:c>
      <x:c r="G803" s="9" t="n">
        <x:v>-1.811121</x:v>
      </x:c>
      <x:c r="H803" s="9" t="n">
        <x:v>-1.57438692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0.51104134</x:v>
      </x:c>
      <x:c r="G804" s="9" t="n">
        <x:v>-1.811121</x:v>
      </x:c>
      <x:c r="H804" s="9" t="n">
        <x:v>-1.57438692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0.51104134</x:v>
      </x:c>
      <x:c r="G805" s="9" t="n">
        <x:v>-1.811121</x:v>
      </x:c>
      <x:c r="H805" s="9" t="n">
        <x:v>-1.57438692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0.51104134</x:v>
      </x:c>
      <x:c r="G806" s="9" t="n">
        <x:v>0.47635849</x:v>
      </x:c>
      <x:c r="H806" s="9" t="n">
        <x:v>0.60772944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0.51104134</x:v>
      </x:c>
      <x:c r="G807" s="9" t="n">
        <x:v>0.47635849</x:v>
      </x:c>
      <x:c r="H807" s="9" t="n">
        <x:v>0.60772944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0.51104134</x:v>
      </x:c>
      <x:c r="G808" s="9" t="n">
        <x:v>0.47635849</x:v>
      </x:c>
      <x:c r="H808" s="9" t="n">
        <x:v>0.60772944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0.51104134</x:v>
      </x:c>
      <x:c r="G809" s="9" t="n">
        <x:v>0.47635849</x:v>
      </x:c>
      <x:c r="H809" s="9" t="n">
        <x:v>0.60772944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0.51104134</x:v>
      </x:c>
      <x:c r="G810" s="9" t="n">
        <x:v>0.47635849</x:v>
      </x:c>
      <x:c r="H810" s="9" t="n">
        <x:v>0.60772944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0.51104134</x:v>
      </x:c>
      <x:c r="G811" s="9" t="n">
        <x:v>0.47635849</x:v>
      </x:c>
      <x:c r="H811" s="9" t="n">
        <x:v>0.60772944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0.51104134</x:v>
      </x:c>
      <x:c r="G812" s="9" t="n">
        <x:v>-0.94745427</x:v>
      </x:c>
      <x:c r="H812" s="9" t="n">
        <x:v>-0.75050137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0.51104134</x:v>
      </x:c>
      <x:c r="G813" s="9" t="n">
        <x:v>-0.94745427</x:v>
      </x:c>
      <x:c r="H813" s="9" t="n">
        <x:v>-0.75050137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0.51104134</x:v>
      </x:c>
      <x:c r="G814" s="9" t="n">
        <x:v>-0.94745427</x:v>
      </x:c>
      <x:c r="H814" s="9" t="n">
        <x:v>-0.75050137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0.51104134</x:v>
      </x:c>
      <x:c r="G815" s="9" t="n">
        <x:v>-0.94745427</x:v>
      </x:c>
      <x:c r="H815" s="9" t="n">
        <x:v>-0.75050137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0.51104134</x:v>
      </x:c>
      <x:c r="G816" s="9" t="n">
        <x:v>-0.94745427</x:v>
      </x:c>
      <x:c r="H816" s="9" t="n">
        <x:v>-0.75050137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0.51104134</x:v>
      </x:c>
      <x:c r="G817" s="9" t="n">
        <x:v>-0.94745427</x:v>
      </x:c>
      <x:c r="H817" s="9" t="n">
        <x:v>-0.75050137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0.51104134</x:v>
      </x:c>
      <x:c r="G818" s="9" t="n">
        <x:v>1.49284542</x:v>
      </x:c>
      <x:c r="H818" s="9" t="n">
        <x:v>1.57739617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0.51104134</x:v>
      </x:c>
      <x:c r="G819" s="9" t="n">
        <x:v>1.49284542</x:v>
      </x:c>
      <x:c r="H819" s="9" t="n">
        <x:v>1.57739617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0.51104134</x:v>
      </x:c>
      <x:c r="G820" s="9" t="n">
        <x:v>1.49284542</x:v>
      </x:c>
      <x:c r="H820" s="9" t="n">
        <x:v>1.57739617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0.51104134</x:v>
      </x:c>
      <x:c r="G821" s="9" t="n">
        <x:v>1.49284542</x:v>
      </x:c>
      <x:c r="H821" s="9" t="n">
        <x:v>1.57739617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0.51104134</x:v>
      </x:c>
      <x:c r="G822" s="9" t="n">
        <x:v>1.49284542</x:v>
      </x:c>
      <x:c r="H822" s="9" t="n">
        <x:v>1.57739617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0.51104134</x:v>
      </x:c>
      <x:c r="G823" s="9" t="n">
        <x:v>1.49284542</x:v>
      </x:c>
      <x:c r="H823" s="9" t="n">
        <x:v>1.57739617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0.51104134</x:v>
      </x:c>
      <x:c r="G824" s="9" t="n">
        <x:v>0.92865894</x:v>
      </x:c>
      <x:c r="H824" s="9" t="n">
        <x:v>1.03919657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0.51104134</x:v>
      </x:c>
      <x:c r="G825" s="9" t="n">
        <x:v>0.92865894</x:v>
      </x:c>
      <x:c r="H825" s="9" t="n">
        <x:v>1.03919657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0.51104134</x:v>
      </x:c>
      <x:c r="G826" s="9" t="n">
        <x:v>0.92865894</x:v>
      </x:c>
      <x:c r="H826" s="9" t="n">
        <x:v>1.03919657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0.51104134</x:v>
      </x:c>
      <x:c r="G827" s="9" t="n">
        <x:v>0.92865894</x:v>
      </x:c>
      <x:c r="H827" s="9" t="n">
        <x:v>1.03919657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0.51104134</x:v>
      </x:c>
      <x:c r="G828" s="9" t="n">
        <x:v>0.92865894</x:v>
      </x:c>
      <x:c r="H828" s="9" t="n">
        <x:v>1.03919657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0.51104134</x:v>
      </x:c>
      <x:c r="G829" s="9" t="n">
        <x:v>0.92865894</x:v>
      </x:c>
      <x:c r="H829" s="9" t="n">
        <x:v>1.03919657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-0.29402965</x:v>
      </x:c>
      <x:c r="G830" s="9" t="n">
        <x:v>-0.79792061</x:v>
      </x:c>
      <x:c r="H830" s="9" t="n">
        <x:v>-0.84937664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-0.29402965</x:v>
      </x:c>
      <x:c r="G831" s="9" t="n">
        <x:v>-0.79792061</x:v>
      </x:c>
      <x:c r="H831" s="9" t="n">
        <x:v>-0.84937664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-0.29402965</x:v>
      </x:c>
      <x:c r="G832" s="9" t="n">
        <x:v>-0.79792061</x:v>
      </x:c>
      <x:c r="H832" s="9" t="n">
        <x:v>-0.84937664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-0.29402965</x:v>
      </x:c>
      <x:c r="G833" s="9" t="n">
        <x:v>-0.79792061</x:v>
      </x:c>
      <x:c r="H833" s="9" t="n">
        <x:v>-0.84937664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-0.29402965</x:v>
      </x:c>
      <x:c r="G834" s="9" t="n">
        <x:v>-0.79792061</x:v>
      </x:c>
      <x:c r="H834" s="9" t="n">
        <x:v>-0.84937664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-0.29402965</x:v>
      </x:c>
      <x:c r="G835" s="9" t="n">
        <x:v>-0.79792061</x:v>
      </x:c>
      <x:c r="H835" s="9" t="n">
        <x:v>-0.84937664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-0.29402965</x:v>
      </x:c>
      <x:c r="G836" s="9" t="n">
        <x:v>0.99681789</x:v>
      </x:c>
      <x:c r="H836" s="9" t="n">
        <x:v>0.86269477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-0.29402965</x:v>
      </x:c>
      <x:c r="G837" s="9" t="n">
        <x:v>0.99681789</x:v>
      </x:c>
      <x:c r="H837" s="9" t="n">
        <x:v>0.86269477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-0.29402965</x:v>
      </x:c>
      <x:c r="G838" s="9" t="n">
        <x:v>0.99681789</x:v>
      </x:c>
      <x:c r="H838" s="9" t="n">
        <x:v>0.86269477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-0.29402965</x:v>
      </x:c>
      <x:c r="G839" s="9" t="n">
        <x:v>0.99681789</x:v>
      </x:c>
      <x:c r="H839" s="9" t="n">
        <x:v>0.86269477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-0.29402965</x:v>
      </x:c>
      <x:c r="G840" s="9" t="n">
        <x:v>0.99681789</x:v>
      </x:c>
      <x:c r="H840" s="9" t="n">
        <x:v>0.86269477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-0.29402965</x:v>
      </x:c>
      <x:c r="G841" s="9" t="n">
        <x:v>0.99681789</x:v>
      </x:c>
      <x:c r="H841" s="9" t="n">
        <x:v>0.86269477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-0.29402965</x:v>
      </x:c>
      <x:c r="G842" s="9" t="n">
        <x:v>-0.91942065</x:v>
      </x:c>
      <x:c r="H842" s="9" t="n">
        <x:v>-0.9652803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-0.29402965</x:v>
      </x:c>
      <x:c r="G843" s="9" t="n">
        <x:v>-0.91942065</x:v>
      </x:c>
      <x:c r="H843" s="9" t="n">
        <x:v>-0.9652803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-0.29402965</x:v>
      </x:c>
      <x:c r="G844" s="9" t="n">
        <x:v>-0.91942065</x:v>
      </x:c>
      <x:c r="H844" s="9" t="n">
        <x:v>-0.9652803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-0.29402965</x:v>
      </x:c>
      <x:c r="G845" s="9" t="n">
        <x:v>-0.91942065</x:v>
      </x:c>
      <x:c r="H845" s="9" t="n">
        <x:v>-0.9652803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-0.29402965</x:v>
      </x:c>
      <x:c r="G846" s="9" t="n">
        <x:v>-0.91942065</x:v>
      </x:c>
      <x:c r="H846" s="9" t="n">
        <x:v>-0.9652803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-0.29402965</x:v>
      </x:c>
      <x:c r="G847" s="9" t="n">
        <x:v>-0.91942065</x:v>
      </x:c>
      <x:c r="H847" s="9" t="n">
        <x:v>-0.9652803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-0.29402965</x:v>
      </x:c>
      <x:c r="G848" s="9" t="n">
        <x:v>1.67791137</x:v>
      </x:c>
      <x:c r="H848" s="9" t="n">
        <x:v>1.51241653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-0.29402965</x:v>
      </x:c>
      <x:c r="G849" s="9" t="n">
        <x:v>1.67791137</x:v>
      </x:c>
      <x:c r="H849" s="9" t="n">
        <x:v>1.51241653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-0.29402965</x:v>
      </x:c>
      <x:c r="G850" s="9" t="n">
        <x:v>1.67791137</x:v>
      </x:c>
      <x:c r="H850" s="9" t="n">
        <x:v>1.51241653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-0.29402965</x:v>
      </x:c>
      <x:c r="G851" s="9" t="n">
        <x:v>1.67791137</x:v>
      </x:c>
      <x:c r="H851" s="9" t="n">
        <x:v>1.51241653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-0.29402965</x:v>
      </x:c>
      <x:c r="G852" s="9" t="n">
        <x:v>1.67791137</x:v>
      </x:c>
      <x:c r="H852" s="9" t="n">
        <x:v>1.51241653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-0.29402965</x:v>
      </x:c>
      <x:c r="G853" s="9" t="n">
        <x:v>1.67791137</x:v>
      </x:c>
      <x:c r="H853" s="9" t="n">
        <x:v>1.51241653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-0.29402965</x:v>
      </x:c>
      <x:c r="G854" s="9" t="n">
        <x:v>-0.65686909</x:v>
      </x:c>
      <x:c r="H854" s="9" t="n">
        <x:v>-0.71482207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-0.29402965</x:v>
      </x:c>
      <x:c r="G855" s="9" t="n">
        <x:v>-0.65686909</x:v>
      </x:c>
      <x:c r="H855" s="9" t="n">
        <x:v>-0.71482207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-0.29402965</x:v>
      </x:c>
      <x:c r="G856" s="9" t="n">
        <x:v>-0.65686909</x:v>
      </x:c>
      <x:c r="H856" s="9" t="n">
        <x:v>-0.71482207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-0.29402965</x:v>
      </x:c>
      <x:c r="G857" s="9" t="n">
        <x:v>-0.65686909</x:v>
      </x:c>
      <x:c r="H857" s="9" t="n">
        <x:v>-0.71482207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-0.29402965</x:v>
      </x:c>
      <x:c r="G858" s="9" t="n">
        <x:v>-0.65686909</x:v>
      </x:c>
      <x:c r="H858" s="9" t="n">
        <x:v>-0.71482207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-0.29402965</x:v>
      </x:c>
      <x:c r="G859" s="9" t="n">
        <x:v>-0.65686909</x:v>
      </x:c>
      <x:c r="H859" s="9" t="n">
        <x:v>-0.71482207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-0.29402965</x:v>
      </x:c>
      <x:c r="G860" s="9" t="n">
        <x:v>0.721362</x:v>
      </x:c>
      <x:c r="H860" s="9" t="n">
        <x:v>0.59992659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-0.29402965</x:v>
      </x:c>
      <x:c r="G861" s="9" t="n">
        <x:v>0.721362</x:v>
      </x:c>
      <x:c r="H861" s="9" t="n">
        <x:v>0.59992659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-0.29402965</x:v>
      </x:c>
      <x:c r="G862" s="9" t="n">
        <x:v>0.721362</x:v>
      </x:c>
      <x:c r="H862" s="9" t="n">
        <x:v>0.59992659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-0.29402965</x:v>
      </x:c>
      <x:c r="G863" s="9" t="n">
        <x:v>0.721362</x:v>
      </x:c>
      <x:c r="H863" s="9" t="n">
        <x:v>0.59992659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-0.29402965</x:v>
      </x:c>
      <x:c r="G864" s="9" t="n">
        <x:v>0.721362</x:v>
      </x:c>
      <x:c r="H864" s="9" t="n">
        <x:v>0.59992659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-0.29402965</x:v>
      </x:c>
      <x:c r="G865" s="9" t="n">
        <x:v>0.721362</x:v>
      </x:c>
      <x:c r="H865" s="9" t="n">
        <x:v>0.59992659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-1.46234851</x:v>
      </x:c>
      <x:c r="G866" s="9" t="n">
        <x:v>1.28604854</x:v>
      </x:c>
      <x:c r="H866" s="9" t="n">
        <x:v>0.78810757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-1.46234851</x:v>
      </x:c>
      <x:c r="G867" s="9" t="n">
        <x:v>1.28604854</x:v>
      </x:c>
      <x:c r="H867" s="9" t="n">
        <x:v>0.78810757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-1.46234851</x:v>
      </x:c>
      <x:c r="G868" s="9" t="n">
        <x:v>1.28604854</x:v>
      </x:c>
      <x:c r="H868" s="9" t="n">
        <x:v>0.78810757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-1.46234851</x:v>
      </x:c>
      <x:c r="G869" s="9" t="n">
        <x:v>1.28604854</x:v>
      </x:c>
      <x:c r="H869" s="9" t="n">
        <x:v>0.78810757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-1.46234851</x:v>
      </x:c>
      <x:c r="G870" s="9" t="n">
        <x:v>1.28604854</x:v>
      </x:c>
      <x:c r="H870" s="9" t="n">
        <x:v>0.78810757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-1.46234851</x:v>
      </x:c>
      <x:c r="G871" s="9" t="n">
        <x:v>1.28604854</x:v>
      </x:c>
      <x:c r="H871" s="9" t="n">
        <x:v>0.78810757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-1.46234851</x:v>
      </x:c>
      <x:c r="G872" s="9" t="n">
        <x:v>1.40767167</x:v>
      </x:c>
      <x:c r="H872" s="9" t="n">
        <x:v>0.90412864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-1.46234851</x:v>
      </x:c>
      <x:c r="G873" s="9" t="n">
        <x:v>1.40767167</x:v>
      </x:c>
      <x:c r="H873" s="9" t="n">
        <x:v>0.90412864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-1.46234851</x:v>
      </x:c>
      <x:c r="G874" s="9" t="n">
        <x:v>1.40767167</x:v>
      </x:c>
      <x:c r="H874" s="9" t="n">
        <x:v>0.90412864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-1.46234851</x:v>
      </x:c>
      <x:c r="G875" s="9" t="n">
        <x:v>1.40767167</x:v>
      </x:c>
      <x:c r="H875" s="9" t="n">
        <x:v>0.90412864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-1.46234851</x:v>
      </x:c>
      <x:c r="G876" s="9" t="n">
        <x:v>1.40767167</x:v>
      </x:c>
      <x:c r="H876" s="9" t="n">
        <x:v>0.90412864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-1.46234851</x:v>
      </x:c>
      <x:c r="G877" s="9" t="n">
        <x:v>1.40767167</x:v>
      </x:c>
      <x:c r="H877" s="9" t="n">
        <x:v>0.90412864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-1.46234851</x:v>
      </x:c>
      <x:c r="G878" s="9" t="n">
        <x:v>-0.93904446</x:v>
      </x:c>
      <x:c r="H878" s="9" t="n">
        <x:v>-1.33449587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-1.46234851</x:v>
      </x:c>
      <x:c r="G879" s="9" t="n">
        <x:v>-0.93904446</x:v>
      </x:c>
      <x:c r="H879" s="9" t="n">
        <x:v>-1.33449587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-1.46234851</x:v>
      </x:c>
      <x:c r="G880" s="9" t="n">
        <x:v>-0.93904446</x:v>
      </x:c>
      <x:c r="H880" s="9" t="n">
        <x:v>-1.33449587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-1.46234851</x:v>
      </x:c>
      <x:c r="G881" s="9" t="n">
        <x:v>-0.93904446</x:v>
      </x:c>
      <x:c r="H881" s="9" t="n">
        <x:v>-1.33449587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-1.46234851</x:v>
      </x:c>
      <x:c r="G882" s="9" t="n">
        <x:v>-0.93904446</x:v>
      </x:c>
      <x:c r="H882" s="9" t="n">
        <x:v>-1.33449587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-1.46234851</x:v>
      </x:c>
      <x:c r="G883" s="9" t="n">
        <x:v>-0.93904446</x:v>
      </x:c>
      <x:c r="H883" s="9" t="n">
        <x:v>-1.33449587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-1.46234851</x:v>
      </x:c>
      <x:c r="G884" s="9" t="n">
        <x:v>0.08888578</x:v>
      </x:c>
      <x:c r="H884" s="9" t="n">
        <x:v>-0.35391292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-1.46234851</x:v>
      </x:c>
      <x:c r="G885" s="9" t="n">
        <x:v>0.08888578</x:v>
      </x:c>
      <x:c r="H885" s="9" t="n">
        <x:v>-0.35391292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-1.46234851</x:v>
      </x:c>
      <x:c r="G886" s="9" t="n">
        <x:v>0.08888578</x:v>
      </x:c>
      <x:c r="H886" s="9" t="n">
        <x:v>-0.35391292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-1.46234851</x:v>
      </x:c>
      <x:c r="G887" s="9" t="n">
        <x:v>0.08888578</x:v>
      </x:c>
      <x:c r="H887" s="9" t="n">
        <x:v>-0.35391292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-1.46234851</x:v>
      </x:c>
      <x:c r="G888" s="9" t="n">
        <x:v>0.08888578</x:v>
      </x:c>
      <x:c r="H888" s="9" t="n">
        <x:v>-0.35391292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-1.46234851</x:v>
      </x:c>
      <x:c r="G889" s="9" t="n">
        <x:v>0.08888578</x:v>
      </x:c>
      <x:c r="H889" s="9" t="n">
        <x:v>-0.35391292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-1.46234851</x:v>
      </x:c>
      <x:c r="G890" s="9" t="n">
        <x:v>-0.90894025</x:v>
      </x:c>
      <x:c r="H890" s="9" t="n">
        <x:v>-1.30577829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-1.46234851</x:v>
      </x:c>
      <x:c r="G891" s="9" t="n">
        <x:v>-0.90894025</x:v>
      </x:c>
      <x:c r="H891" s="9" t="n">
        <x:v>-1.30577829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-1.46234851</x:v>
      </x:c>
      <x:c r="G892" s="9" t="n">
        <x:v>-0.90894025</x:v>
      </x:c>
      <x:c r="H892" s="9" t="n">
        <x:v>-1.30577829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-1.46234851</x:v>
      </x:c>
      <x:c r="G893" s="9" t="n">
        <x:v>-0.90894025</x:v>
      </x:c>
      <x:c r="H893" s="9" t="n">
        <x:v>-1.30577829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-1.46234851</x:v>
      </x:c>
      <x:c r="G894" s="9" t="n">
        <x:v>-0.90894025</x:v>
      </x:c>
      <x:c r="H894" s="9" t="n">
        <x:v>-1.30577829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-1.46234851</x:v>
      </x:c>
      <x:c r="G895" s="9" t="n">
        <x:v>-0.90894025</x:v>
      </x:c>
      <x:c r="H895" s="9" t="n">
        <x:v>-1.30577829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-1.46234851</x:v>
      </x:c>
      <x:c r="G896" s="9" t="n">
        <x:v>0.47882807</x:v>
      </x:c>
      <x:c r="H896" s="9" t="n">
        <x:v>0.01806831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-1.46234851</x:v>
      </x:c>
      <x:c r="G897" s="9" t="n">
        <x:v>0.47882807</x:v>
      </x:c>
      <x:c r="H897" s="9" t="n">
        <x:v>0.01806831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-1.46234851</x:v>
      </x:c>
      <x:c r="G898" s="9" t="n">
        <x:v>0.47882807</x:v>
      </x:c>
      <x:c r="H898" s="9" t="n">
        <x:v>0.01806831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-1.46234851</x:v>
      </x:c>
      <x:c r="G899" s="9" t="n">
        <x:v>0.47882807</x:v>
      </x:c>
      <x:c r="H899" s="9" t="n">
        <x:v>0.01806831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-1.46234851</x:v>
      </x:c>
      <x:c r="G900" s="9" t="n">
        <x:v>0.47882807</x:v>
      </x:c>
      <x:c r="H900" s="9" t="n">
        <x:v>0.01806831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-1.46234851</x:v>
      </x:c>
      <x:c r="G901" s="9" t="n">
        <x:v>0.47882807</x:v>
      </x:c>
      <x:c r="H901" s="9" t="n">
        <x:v>0.01806831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1.42004297</x:v>
      </x:c>
      <x:c r="G902" s="9" t="n">
        <x:v>-0.7200799</x:v>
      </x:c>
      <x:c r="H902" s="9" t="n">
        <x:v>-0.26089955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1.42004297</x:v>
      </x:c>
      <x:c r="G903" s="9" t="n">
        <x:v>-0.7200799</x:v>
      </x:c>
      <x:c r="H903" s="9" t="n">
        <x:v>-0.26089955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1.42004297</x:v>
      </x:c>
      <x:c r="G904" s="9" t="n">
        <x:v>-0.7200799</x:v>
      </x:c>
      <x:c r="H904" s="9" t="n">
        <x:v>-0.26089955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1.42004297</x:v>
      </x:c>
      <x:c r="G905" s="9" t="n">
        <x:v>-0.7200799</x:v>
      </x:c>
      <x:c r="H905" s="9" t="n">
        <x:v>-0.26089955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1.42004297</x:v>
      </x:c>
      <x:c r="G906" s="9" t="n">
        <x:v>-0.7200799</x:v>
      </x:c>
      <x:c r="H906" s="9" t="n">
        <x:v>-0.26089955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1.42004297</x:v>
      </x:c>
      <x:c r="G907" s="9" t="n">
        <x:v>-0.7200799</x:v>
      </x:c>
      <x:c r="H907" s="9" t="n">
        <x:v>-0.26089955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1.42004297</x:v>
      </x:c>
      <x:c r="G908" s="9" t="n">
        <x:v>-0.25045713</x:v>
      </x:c>
      <x:c r="H908" s="9" t="n">
        <x:v>0.18709201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1.42004297</x:v>
      </x:c>
      <x:c r="G909" s="9" t="n">
        <x:v>-0.25045713</x:v>
      </x:c>
      <x:c r="H909" s="9" t="n">
        <x:v>0.18709201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1.42004297</x:v>
      </x:c>
      <x:c r="G910" s="9" t="n">
        <x:v>-0.25045713</x:v>
      </x:c>
      <x:c r="H910" s="9" t="n">
        <x:v>0.18709201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1.42004297</x:v>
      </x:c>
      <x:c r="G911" s="9" t="n">
        <x:v>-0.25045713</x:v>
      </x:c>
      <x:c r="H911" s="9" t="n">
        <x:v>0.18709201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1.42004297</x:v>
      </x:c>
      <x:c r="G912" s="9" t="n">
        <x:v>-0.25045713</x:v>
      </x:c>
      <x:c r="H912" s="9" t="n">
        <x:v>0.18709201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1.42004297</x:v>
      </x:c>
      <x:c r="G913" s="9" t="n">
        <x:v>-0.25045713</x:v>
      </x:c>
      <x:c r="H913" s="9" t="n">
        <x:v>0.18709201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1.42004297</x:v>
      </x:c>
      <x:c r="G914" s="9" t="n">
        <x:v>0.52602019</x:v>
      </x:c>
      <x:c r="H914" s="9" t="n">
        <x:v>0.92780417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1.42004297</x:v>
      </x:c>
      <x:c r="G915" s="9" t="n">
        <x:v>0.52602019</x:v>
      </x:c>
      <x:c r="H915" s="9" t="n">
        <x:v>0.92780417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1.42004297</x:v>
      </x:c>
      <x:c r="G916" s="9" t="n">
        <x:v>0.52602019</x:v>
      </x:c>
      <x:c r="H916" s="9" t="n">
        <x:v>0.92780417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1.42004297</x:v>
      </x:c>
      <x:c r="G917" s="9" t="n">
        <x:v>0.52602019</x:v>
      </x:c>
      <x:c r="H917" s="9" t="n">
        <x:v>0.92780417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1.42004297</x:v>
      </x:c>
      <x:c r="G918" s="9" t="n">
        <x:v>0.52602019</x:v>
      </x:c>
      <x:c r="H918" s="9" t="n">
        <x:v>0.92780417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1.42004297</x:v>
      </x:c>
      <x:c r="G919" s="9" t="n">
        <x:v>0.52602019</x:v>
      </x:c>
      <x:c r="H919" s="9" t="n">
        <x:v>0.92780417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1.42004297</x:v>
      </x:c>
      <x:c r="G920" s="9" t="n">
        <x:v>0.73780548</x:v>
      </x:c>
      <x:c r="H920" s="9" t="n">
        <x:v>1.12983446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1.42004297</x:v>
      </x:c>
      <x:c r="G921" s="9" t="n">
        <x:v>0.73780548</x:v>
      </x:c>
      <x:c r="H921" s="9" t="n">
        <x:v>1.12983446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1.42004297</x:v>
      </x:c>
      <x:c r="G922" s="9" t="n">
        <x:v>0.73780548</x:v>
      </x:c>
      <x:c r="H922" s="9" t="n">
        <x:v>1.12983446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1.42004297</x:v>
      </x:c>
      <x:c r="G923" s="9" t="n">
        <x:v>0.73780548</x:v>
      </x:c>
      <x:c r="H923" s="9" t="n">
        <x:v>1.12983446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1.42004297</x:v>
      </x:c>
      <x:c r="G924" s="9" t="n">
        <x:v>0.73780548</x:v>
      </x:c>
      <x:c r="H924" s="9" t="n">
        <x:v>1.12983446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1.42004297</x:v>
      </x:c>
      <x:c r="G925" s="9" t="n">
        <x:v>0.73780548</x:v>
      </x:c>
      <x:c r="H925" s="9" t="n">
        <x:v>1.12983446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1.42004297</x:v>
      </x:c>
      <x:c r="G926" s="9" t="n">
        <x:v>1.79319396</x:v>
      </x:c>
      <x:c r="H926" s="9" t="n">
        <x:v>2.13661091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1.42004297</x:v>
      </x:c>
      <x:c r="G927" s="9" t="n">
        <x:v>1.79319396</x:v>
      </x:c>
      <x:c r="H927" s="9" t="n">
        <x:v>2.13661091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1.42004297</x:v>
      </x:c>
      <x:c r="G928" s="9" t="n">
        <x:v>1.79319396</x:v>
      </x:c>
      <x:c r="H928" s="9" t="n">
        <x:v>2.13661091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1.42004297</x:v>
      </x:c>
      <x:c r="G929" s="9" t="n">
        <x:v>1.79319396</x:v>
      </x:c>
      <x:c r="H929" s="9" t="n">
        <x:v>2.13661091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1.42004297</x:v>
      </x:c>
      <x:c r="G930" s="9" t="n">
        <x:v>1.79319396</x:v>
      </x:c>
      <x:c r="H930" s="9" t="n">
        <x:v>2.13661091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1.42004297</x:v>
      </x:c>
      <x:c r="G931" s="9" t="n">
        <x:v>1.79319396</x:v>
      </x:c>
      <x:c r="H931" s="9" t="n">
        <x:v>2.13661091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1.42004297</x:v>
      </x:c>
      <x:c r="G932" s="9" t="n">
        <x:v>-2.2463306</x:v>
      </x:c>
      <x:c r="H932" s="9" t="n">
        <x:v>-1.71684993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1.42004297</x:v>
      </x:c>
      <x:c r="G933" s="9" t="n">
        <x:v>-2.2463306</x:v>
      </x:c>
      <x:c r="H933" s="9" t="n">
        <x:v>-1.71684993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1.42004297</x:v>
      </x:c>
      <x:c r="G934" s="9" t="n">
        <x:v>-2.2463306</x:v>
      </x:c>
      <x:c r="H934" s="9" t="n">
        <x:v>-1.71684993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1.42004297</x:v>
      </x:c>
      <x:c r="G935" s="9" t="n">
        <x:v>-2.2463306</x:v>
      </x:c>
      <x:c r="H935" s="9" t="n">
        <x:v>-1.71684993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1.42004297</x:v>
      </x:c>
      <x:c r="G936" s="9" t="n">
        <x:v>-2.2463306</x:v>
      </x:c>
      <x:c r="H936" s="9" t="n">
        <x:v>-1.71684993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1.42004297</x:v>
      </x:c>
      <x:c r="G937" s="9" t="n">
        <x:v>-2.2463306</x:v>
      </x:c>
      <x:c r="H937" s="9" t="n">
        <x:v>-1.71684993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0.13611512</x:v>
      </x:c>
      <x:c r="G938" s="9" t="n">
        <x:v>0.21775782</x:v>
      </x:c>
      <x:c r="H938" s="9" t="n">
        <x:v>0.24856225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0.13611512</x:v>
      </x:c>
      <x:c r="G939" s="9" t="n">
        <x:v>0.21775782</x:v>
      </x:c>
      <x:c r="H939" s="9" t="n">
        <x:v>0.24856225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0.13611512</x:v>
      </x:c>
      <x:c r="G940" s="9" t="n">
        <x:v>0.21775782</x:v>
      </x:c>
      <x:c r="H940" s="9" t="n">
        <x:v>0.24856225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0.13611512</x:v>
      </x:c>
      <x:c r="G941" s="9" t="n">
        <x:v>0.21775782</x:v>
      </x:c>
      <x:c r="H941" s="9" t="n">
        <x:v>0.24856225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0.13611512</x:v>
      </x:c>
      <x:c r="G942" s="9" t="n">
        <x:v>0.21775782</x:v>
      </x:c>
      <x:c r="H942" s="9" t="n">
        <x:v>0.24856225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0.13611512</x:v>
      </x:c>
      <x:c r="G943" s="9" t="n">
        <x:v>0.21775782</x:v>
      </x:c>
      <x:c r="H943" s="9" t="n">
        <x:v>0.24856225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0.13611512</x:v>
      </x:c>
      <x:c r="G944" s="9" t="n">
        <x:v>-0.01385855</x:v>
      </x:c>
      <x:c r="H944" s="9" t="n">
        <x:v>0.02761432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0.13611512</x:v>
      </x:c>
      <x:c r="G945" s="9" t="n">
        <x:v>-0.01385855</x:v>
      </x:c>
      <x:c r="H945" s="9" t="n">
        <x:v>0.02761432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0.13611512</x:v>
      </x:c>
      <x:c r="G946" s="9" t="n">
        <x:v>-0.01385855</x:v>
      </x:c>
      <x:c r="H946" s="9" t="n">
        <x:v>0.02761432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0.13611512</x:v>
      </x:c>
      <x:c r="G947" s="9" t="n">
        <x:v>-0.01385855</x:v>
      </x:c>
      <x:c r="H947" s="9" t="n">
        <x:v>0.02761432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0.13611512</x:v>
      </x:c>
      <x:c r="G948" s="9" t="n">
        <x:v>-0.01385855</x:v>
      </x:c>
      <x:c r="H948" s="9" t="n">
        <x:v>0.02761432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0.13611512</x:v>
      </x:c>
      <x:c r="G949" s="9" t="n">
        <x:v>-0.01385855</x:v>
      </x:c>
      <x:c r="H949" s="9" t="n">
        <x:v>0.02761432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0.13611512</x:v>
      </x:c>
      <x:c r="G950" s="9" t="n">
        <x:v>0.12443452</x:v>
      </x:c>
      <x:c r="H950" s="9" t="n">
        <x:v>0.1595375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0.13611512</x:v>
      </x:c>
      <x:c r="G951" s="9" t="n">
        <x:v>0.12443452</x:v>
      </x:c>
      <x:c r="H951" s="9" t="n">
        <x:v>0.1595375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0.13611512</x:v>
      </x:c>
      <x:c r="G952" s="9" t="n">
        <x:v>0.12443452</x:v>
      </x:c>
      <x:c r="H952" s="9" t="n">
        <x:v>0.1595375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0.13611512</x:v>
      </x:c>
      <x:c r="G953" s="9" t="n">
        <x:v>0.12443452</x:v>
      </x:c>
      <x:c r="H953" s="9" t="n">
        <x:v>0.1595375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0.13611512</x:v>
      </x:c>
      <x:c r="G954" s="9" t="n">
        <x:v>0.12443452</x:v>
      </x:c>
      <x:c r="H954" s="9" t="n">
        <x:v>0.1595375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0.13611512</x:v>
      </x:c>
      <x:c r="G955" s="9" t="n">
        <x:v>0.12443452</x:v>
      </x:c>
      <x:c r="H955" s="9" t="n">
        <x:v>0.1595375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0.13611512</x:v>
      </x:c>
      <x:c r="G956" s="9" t="n">
        <x:v>1.07140158</x:v>
      </x:c>
      <x:c r="H956" s="9" t="n">
        <x:v>1.0628865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0.13611512</x:v>
      </x:c>
      <x:c r="G957" s="9" t="n">
        <x:v>1.07140158</x:v>
      </x:c>
      <x:c r="H957" s="9" t="n">
        <x:v>1.0628865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0.13611512</x:v>
      </x:c>
      <x:c r="G958" s="9" t="n">
        <x:v>1.07140158</x:v>
      </x:c>
      <x:c r="H958" s="9" t="n">
        <x:v>1.0628865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0.13611512</x:v>
      </x:c>
      <x:c r="G959" s="9" t="n">
        <x:v>1.07140158</x:v>
      </x:c>
      <x:c r="H959" s="9" t="n">
        <x:v>1.0628865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0.13611512</x:v>
      </x:c>
      <x:c r="G960" s="9" t="n">
        <x:v>1.07140158</x:v>
      </x:c>
      <x:c r="H960" s="9" t="n">
        <x:v>1.0628865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0.13611512</x:v>
      </x:c>
      <x:c r="G961" s="9" t="n">
        <x:v>1.07140158</x:v>
      </x:c>
      <x:c r="H961" s="9" t="n">
        <x:v>1.0628865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0.13611512</x:v>
      </x:c>
      <x:c r="G962" s="9" t="n">
        <x:v>0.35227277</x:v>
      </x:c>
      <x:c r="H962" s="9" t="n">
        <x:v>0.37688133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0.13611512</x:v>
      </x:c>
      <x:c r="G963" s="9" t="n">
        <x:v>0.35227277</x:v>
      </x:c>
      <x:c r="H963" s="9" t="n">
        <x:v>0.37688133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0.13611512</x:v>
      </x:c>
      <x:c r="G964" s="9" t="n">
        <x:v>0.35227277</x:v>
      </x:c>
      <x:c r="H964" s="9" t="n">
        <x:v>0.37688133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0.13611512</x:v>
      </x:c>
      <x:c r="G965" s="9" t="n">
        <x:v>0.35227277</x:v>
      </x:c>
      <x:c r="H965" s="9" t="n">
        <x:v>0.37688133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0.13611512</x:v>
      </x:c>
      <x:c r="G966" s="9" t="n">
        <x:v>0.35227277</x:v>
      </x:c>
      <x:c r="H966" s="9" t="n">
        <x:v>0.37688133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0.13611512</x:v>
      </x:c>
      <x:c r="G967" s="9" t="n">
        <x:v>0.35227277</x:v>
      </x:c>
      <x:c r="H967" s="9" t="n">
        <x:v>0.37688133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0.13611512</x:v>
      </x:c>
      <x:c r="G968" s="9" t="n">
        <x:v>-1.49876647</x:v>
      </x:c>
      <x:c r="H968" s="9" t="n">
        <x:v>-1.38889756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0.13611512</x:v>
      </x:c>
      <x:c r="G969" s="9" t="n">
        <x:v>-1.49876647</x:v>
      </x:c>
      <x:c r="H969" s="9" t="n">
        <x:v>-1.38889756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0.13611512</x:v>
      </x:c>
      <x:c r="G970" s="9" t="n">
        <x:v>-1.49876647</x:v>
      </x:c>
      <x:c r="H970" s="9" t="n">
        <x:v>-1.38889756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0.13611512</x:v>
      </x:c>
      <x:c r="G971" s="9" t="n">
        <x:v>-1.49876647</x:v>
      </x:c>
      <x:c r="H971" s="9" t="n">
        <x:v>-1.38889756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0.13611512</x:v>
      </x:c>
      <x:c r="G972" s="9" t="n">
        <x:v>-1.49876647</x:v>
      </x:c>
      <x:c r="H972" s="9" t="n">
        <x:v>-1.38889756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0.13611512</x:v>
      </x:c>
      <x:c r="G973" s="9" t="n">
        <x:v>-1.49876647</x:v>
      </x:c>
      <x:c r="H973" s="9" t="n">
        <x:v>-1.38889756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-0.35617315</x:v>
      </x:c>
      <x:c r="G974" s="9" t="n">
        <x:v>1.57222324</x:v>
      </x:c>
      <x:c r="H974" s="9" t="n">
        <x:v>1.39295344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-0.35617315</x:v>
      </x:c>
      <x:c r="G975" s="9" t="n">
        <x:v>1.57222324</x:v>
      </x:c>
      <x:c r="H975" s="9" t="n">
        <x:v>1.39295344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-0.35617315</x:v>
      </x:c>
      <x:c r="G976" s="9" t="n">
        <x:v>1.57222324</x:v>
      </x:c>
      <x:c r="H976" s="9" t="n">
        <x:v>1.39295344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-0.35617315</x:v>
      </x:c>
      <x:c r="G977" s="9" t="n">
        <x:v>1.57222324</x:v>
      </x:c>
      <x:c r="H977" s="9" t="n">
        <x:v>1.39295344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-0.35617315</x:v>
      </x:c>
      <x:c r="G978" s="9" t="n">
        <x:v>1.57222324</x:v>
      </x:c>
      <x:c r="H978" s="9" t="n">
        <x:v>1.39295344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-0.35617315</x:v>
      </x:c>
      <x:c r="G979" s="9" t="n">
        <x:v>1.57222324</x:v>
      </x:c>
      <x:c r="H979" s="9" t="n">
        <x:v>1.39295344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-0.35617315</x:v>
      </x:c>
      <x:c r="G980" s="9" t="n">
        <x:v>-0.70579283</x:v>
      </x:c>
      <x:c r="H980" s="9" t="n">
        <x:v>-0.78013539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-0.35617315</x:v>
      </x:c>
      <x:c r="G981" s="9" t="n">
        <x:v>-0.70579283</x:v>
      </x:c>
      <x:c r="H981" s="9" t="n">
        <x:v>-0.78013539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-0.35617315</x:v>
      </x:c>
      <x:c r="G982" s="9" t="n">
        <x:v>-0.70579283</x:v>
      </x:c>
      <x:c r="H982" s="9" t="n">
        <x:v>-0.78013539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-0.35617315</x:v>
      </x:c>
      <x:c r="G983" s="9" t="n">
        <x:v>-0.70579283</x:v>
      </x:c>
      <x:c r="H983" s="9" t="n">
        <x:v>-0.78013539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-0.35617315</x:v>
      </x:c>
      <x:c r="G984" s="9" t="n">
        <x:v>-0.70579283</x:v>
      </x:c>
      <x:c r="H984" s="9" t="n">
        <x:v>-0.78013539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-0.35617315</x:v>
      </x:c>
      <x:c r="G985" s="9" t="n">
        <x:v>-0.70579283</x:v>
      </x:c>
      <x:c r="H985" s="9" t="n">
        <x:v>-0.78013539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-0.35617315</x:v>
      </x:c>
      <x:c r="G986" s="9" t="n">
        <x:v>0.47048982</x:v>
      </x:c>
      <x:c r="H986" s="9" t="n">
        <x:v>0.34196674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-0.35617315</x:v>
      </x:c>
      <x:c r="G987" s="9" t="n">
        <x:v>0.47048982</x:v>
      </x:c>
      <x:c r="H987" s="9" t="n">
        <x:v>0.34196674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-0.35617315</x:v>
      </x:c>
      <x:c r="G988" s="9" t="n">
        <x:v>0.47048982</x:v>
      </x:c>
      <x:c r="H988" s="9" t="n">
        <x:v>0.34196674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-0.35617315</x:v>
      </x:c>
      <x:c r="G989" s="9" t="n">
        <x:v>0.47048982</x:v>
      </x:c>
      <x:c r="H989" s="9" t="n">
        <x:v>0.34196674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-0.35617315</x:v>
      </x:c>
      <x:c r="G990" s="9" t="n">
        <x:v>0.47048982</x:v>
      </x:c>
      <x:c r="H990" s="9" t="n">
        <x:v>0.34196674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-0.35617315</x:v>
      </x:c>
      <x:c r="G991" s="9" t="n">
        <x:v>0.47048982</x:v>
      </x:c>
      <x:c r="H991" s="9" t="n">
        <x:v>0.34196674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-0.35617315</x:v>
      </x:c>
      <x:c r="G992" s="9" t="n">
        <x:v>-0.51721624</x:v>
      </x:c>
      <x:c r="H992" s="9" t="n">
        <x:v>-0.60024479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-0.35617315</x:v>
      </x:c>
      <x:c r="G993" s="9" t="n">
        <x:v>-0.51721624</x:v>
      </x:c>
      <x:c r="H993" s="9" t="n">
        <x:v>-0.60024479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-0.35617315</x:v>
      </x:c>
      <x:c r="G994" s="9" t="n">
        <x:v>-0.51721624</x:v>
      </x:c>
      <x:c r="H994" s="9" t="n">
        <x:v>-0.60024479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-0.35617315</x:v>
      </x:c>
      <x:c r="G995" s="9" t="n">
        <x:v>-0.51721624</x:v>
      </x:c>
      <x:c r="H995" s="9" t="n">
        <x:v>-0.60024479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-0.35617315</x:v>
      </x:c>
      <x:c r="G996" s="9" t="n">
        <x:v>-0.51721624</x:v>
      </x:c>
      <x:c r="H996" s="9" t="n">
        <x:v>-0.60024479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-0.35617315</x:v>
      </x:c>
      <x:c r="G997" s="9" t="n">
        <x:v>-0.51721624</x:v>
      </x:c>
      <x:c r="H997" s="9" t="n">
        <x:v>-0.60024479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-0.35617315</x:v>
      </x:c>
      <x:c r="G998" s="9" t="n">
        <x:v>0.12928517</x:v>
      </x:c>
      <x:c r="H998" s="9" t="n">
        <x:v>0.01647825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-0.35617315</x:v>
      </x:c>
      <x:c r="G999" s="9" t="n">
        <x:v>0.12928517</x:v>
      </x:c>
      <x:c r="H999" s="9" t="n">
        <x:v>0.01647825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-0.35617315</x:v>
      </x:c>
      <x:c r="G1000" s="9" t="n">
        <x:v>0.12928517</x:v>
      </x:c>
      <x:c r="H1000" s="9" t="n">
        <x:v>0.01647825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-0.35617315</x:v>
      </x:c>
      <x:c r="G1001" s="9" t="n">
        <x:v>0.12928517</x:v>
      </x:c>
      <x:c r="H1001" s="9" t="n">
        <x:v>0.01647825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-0.35617315</x:v>
      </x:c>
      <x:c r="G1002" s="9" t="n">
        <x:v>0.12928517</x:v>
      </x:c>
      <x:c r="H1002" s="9" t="n">
        <x:v>0.01647825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-0.35617315</x:v>
      </x:c>
      <x:c r="G1003" s="9" t="n">
        <x:v>0.12928517</x:v>
      </x:c>
      <x:c r="H1003" s="9" t="n">
        <x:v>0.01647825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-0.35617315</x:v>
      </x:c>
      <x:c r="G1004" s="9" t="n">
        <x:v>-0.95824069</x:v>
      </x:c>
      <x:c r="H1004" s="9" t="n">
        <x:v>-1.0209553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-0.35617315</x:v>
      </x:c>
      <x:c r="G1005" s="9" t="n">
        <x:v>-0.95824069</x:v>
      </x:c>
      <x:c r="H1005" s="9" t="n">
        <x:v>-1.0209553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-0.35617315</x:v>
      </x:c>
      <x:c r="G1006" s="9" t="n">
        <x:v>-0.95824069</x:v>
      </x:c>
      <x:c r="H1006" s="9" t="n">
        <x:v>-1.0209553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-0.35617315</x:v>
      </x:c>
      <x:c r="G1007" s="9" t="n">
        <x:v>-0.95824069</x:v>
      </x:c>
      <x:c r="H1007" s="9" t="n">
        <x:v>-1.0209553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-0.35617315</x:v>
      </x:c>
      <x:c r="G1008" s="9" t="n">
        <x:v>-0.95824069</x:v>
      </x:c>
      <x:c r="H1008" s="9" t="n">
        <x:v>-1.0209553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-0.35617315</x:v>
      </x:c>
      <x:c r="G1009" s="9" t="n">
        <x:v>-0.95824069</x:v>
      </x:c>
      <x:c r="H1009" s="9" t="n">
        <x:v>-1.0209553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-0.52022469</x:v>
      </x:c>
      <x:c r="G1010" s="9" t="n">
        <x:v>0.66746142</x:v>
      </x:c>
      <x:c r="H1010" s="9" t="n">
        <x:v>0.4806502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-0.52022469</x:v>
      </x:c>
      <x:c r="G1011" s="9" t="n">
        <x:v>0.66746142</x:v>
      </x:c>
      <x:c r="H1011" s="9" t="n">
        <x:v>0.4806502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-0.52022469</x:v>
      </x:c>
      <x:c r="G1012" s="9" t="n">
        <x:v>0.66746142</x:v>
      </x:c>
      <x:c r="H1012" s="9" t="n">
        <x:v>0.4806502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-0.52022469</x:v>
      </x:c>
      <x:c r="G1013" s="9" t="n">
        <x:v>0.66746142</x:v>
      </x:c>
      <x:c r="H1013" s="9" t="n">
        <x:v>0.4806502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-0.52022469</x:v>
      </x:c>
      <x:c r="G1014" s="9" t="n">
        <x:v>0.66746142</x:v>
      </x:c>
      <x:c r="H1014" s="9" t="n">
        <x:v>0.4806502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-0.52022469</x:v>
      </x:c>
      <x:c r="G1015" s="9" t="n">
        <x:v>0.66746142</x:v>
      </x:c>
      <x:c r="H1015" s="9" t="n">
        <x:v>0.4806502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-0.52022469</x:v>
      </x:c>
      <x:c r="G1016" s="9" t="n">
        <x:v>0.63948748</x:v>
      </x:c>
      <x:c r="H1016" s="9" t="n">
        <x:v>0.45396477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-0.52022469</x:v>
      </x:c>
      <x:c r="G1017" s="9" t="n">
        <x:v>0.63948748</x:v>
      </x:c>
      <x:c r="H1017" s="9" t="n">
        <x:v>0.45396477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-0.52022469</x:v>
      </x:c>
      <x:c r="G1018" s="9" t="n">
        <x:v>0.63948748</x:v>
      </x:c>
      <x:c r="H1018" s="9" t="n">
        <x:v>0.45396477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-0.52022469</x:v>
      </x:c>
      <x:c r="G1019" s="9" t="n">
        <x:v>0.63948748</x:v>
      </x:c>
      <x:c r="H1019" s="9" t="n">
        <x:v>0.45396477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-0.52022469</x:v>
      </x:c>
      <x:c r="G1020" s="9" t="n">
        <x:v>0.63948748</x:v>
      </x:c>
      <x:c r="H1020" s="9" t="n">
        <x:v>0.45396477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-0.52022469</x:v>
      </x:c>
      <x:c r="G1021" s="9" t="n">
        <x:v>0.63948748</x:v>
      </x:c>
      <x:c r="H1021" s="9" t="n">
        <x:v>0.45396477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-0.52022469</x:v>
      </x:c>
      <x:c r="G1022" s="9" t="n">
        <x:v>1.15430465</x:v>
      </x:c>
      <x:c r="H1022" s="9" t="n">
        <x:v>0.94506905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-0.52022469</x:v>
      </x:c>
      <x:c r="G1023" s="9" t="n">
        <x:v>1.15430465</x:v>
      </x:c>
      <x:c r="H1023" s="9" t="n">
        <x:v>0.94506905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-0.52022469</x:v>
      </x:c>
      <x:c r="G1024" s="9" t="n">
        <x:v>1.15430465</x:v>
      </x:c>
      <x:c r="H1024" s="9" t="n">
        <x:v>0.94506905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-0.52022469</x:v>
      </x:c>
      <x:c r="G1025" s="9" t="n">
        <x:v>1.15430465</x:v>
      </x:c>
      <x:c r="H1025" s="9" t="n">
        <x:v>0.94506905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-0.52022469</x:v>
      </x:c>
      <x:c r="G1026" s="9" t="n">
        <x:v>1.15430465</x:v>
      </x:c>
      <x:c r="H1026" s="9" t="n">
        <x:v>0.94506905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-0.52022469</x:v>
      </x:c>
      <x:c r="G1027" s="9" t="n">
        <x:v>1.15430465</x:v>
      </x:c>
      <x:c r="H1027" s="9" t="n">
        <x:v>0.94506905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-0.52022469</x:v>
      </x:c>
      <x:c r="G1028" s="9" t="n">
        <x:v>0.45228891</x:v>
      </x:c>
      <x:c r="H1028" s="9" t="n">
        <x:v>0.27538871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-0.52022469</x:v>
      </x:c>
      <x:c r="G1029" s="9" t="n">
        <x:v>0.45228891</x:v>
      </x:c>
      <x:c r="H1029" s="9" t="n">
        <x:v>0.27538871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-0.52022469</x:v>
      </x:c>
      <x:c r="G1030" s="9" t="n">
        <x:v>0.45228891</x:v>
      </x:c>
      <x:c r="H1030" s="9" t="n">
        <x:v>0.27538871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-0.52022469</x:v>
      </x:c>
      <x:c r="G1031" s="9" t="n">
        <x:v>0.45228891</x:v>
      </x:c>
      <x:c r="H1031" s="9" t="n">
        <x:v>0.27538871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-0.52022469</x:v>
      </x:c>
      <x:c r="G1032" s="9" t="n">
        <x:v>0.45228891</x:v>
      </x:c>
      <x:c r="H1032" s="9" t="n">
        <x:v>0.27538871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-0.52022469</x:v>
      </x:c>
      <x:c r="G1033" s="9" t="n">
        <x:v>0.45228891</x:v>
      </x:c>
      <x:c r="H1033" s="9" t="n">
        <x:v>0.27538871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-0.52022469</x:v>
      </x:c>
      <x:c r="G1034" s="9" t="n">
        <x:v>-0.29011852</x:v>
      </x:c>
      <x:c r="H1034" s="9" t="n">
        <x:v>-0.43282283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-0.52022469</x:v>
      </x:c>
      <x:c r="G1035" s="9" t="n">
        <x:v>-0.29011852</x:v>
      </x:c>
      <x:c r="H1035" s="9" t="n">
        <x:v>-0.43282283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-0.52022469</x:v>
      </x:c>
      <x:c r="G1036" s="9" t="n">
        <x:v>-0.29011852</x:v>
      </x:c>
      <x:c r="H1036" s="9" t="n">
        <x:v>-0.43282283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-0.52022469</x:v>
      </x:c>
      <x:c r="G1037" s="9" t="n">
        <x:v>-0.29011852</x:v>
      </x:c>
      <x:c r="H1037" s="9" t="n">
        <x:v>-0.43282283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-0.52022469</x:v>
      </x:c>
      <x:c r="G1038" s="9" t="n">
        <x:v>-0.29011852</x:v>
      </x:c>
      <x:c r="H1038" s="9" t="n">
        <x:v>-0.43282283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-0.52022469</x:v>
      </x:c>
      <x:c r="G1039" s="9" t="n">
        <x:v>-0.29011852</x:v>
      </x:c>
      <x:c r="H1039" s="9" t="n">
        <x:v>-0.43282283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-0.52022469</x:v>
      </x:c>
      <x:c r="G1040" s="9" t="n">
        <x:v>0.89554566</x:v>
      </x:c>
      <x:c r="H1040" s="9" t="n">
        <x:v>0.69822871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-0.52022469</x:v>
      </x:c>
      <x:c r="G1041" s="9" t="n">
        <x:v>0.89554566</x:v>
      </x:c>
      <x:c r="H1041" s="9" t="n">
        <x:v>0.69822871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-0.52022469</x:v>
      </x:c>
      <x:c r="G1042" s="9" t="n">
        <x:v>0.89554566</x:v>
      </x:c>
      <x:c r="H1042" s="9" t="n">
        <x:v>0.69822871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-0.52022469</x:v>
      </x:c>
      <x:c r="G1043" s="9" t="n">
        <x:v>0.89554566</x:v>
      </x:c>
      <x:c r="H1043" s="9" t="n">
        <x:v>0.69822871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-0.52022469</x:v>
      </x:c>
      <x:c r="G1044" s="9" t="n">
        <x:v>0.89554566</x:v>
      </x:c>
      <x:c r="H1044" s="9" t="n">
        <x:v>0.69822871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-0.52022469</x:v>
      </x:c>
      <x:c r="G1045" s="9" t="n">
        <x:v>0.89554566</x:v>
      </x:c>
      <x:c r="H1045" s="9" t="n">
        <x:v>0.69822871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-1.80285354</x:v>
      </x:c>
      <x:c r="G1046" s="9" t="n">
        <x:v>0.18798507</x:v>
      </x:c>
      <x:c r="H1046" s="9" t="n">
        <x:v>-0.36152973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-1.80285354</x:v>
      </x:c>
      <x:c r="G1047" s="9" t="n">
        <x:v>0.18798507</x:v>
      </x:c>
      <x:c r="H1047" s="9" t="n">
        <x:v>-0.36152973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-1.80285354</x:v>
      </x:c>
      <x:c r="G1048" s="9" t="n">
        <x:v>0.18798507</x:v>
      </x:c>
      <x:c r="H1048" s="9" t="n">
        <x:v>-0.36152973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-1.80285354</x:v>
      </x:c>
      <x:c r="G1049" s="9" t="n">
        <x:v>0.18798507</x:v>
      </x:c>
      <x:c r="H1049" s="9" t="n">
        <x:v>-0.36152973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-1.80285354</x:v>
      </x:c>
      <x:c r="G1050" s="9" t="n">
        <x:v>0.18798507</x:v>
      </x:c>
      <x:c r="H1050" s="9" t="n">
        <x:v>-0.36152973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-1.80285354</x:v>
      </x:c>
      <x:c r="G1051" s="9" t="n">
        <x:v>0.18798507</x:v>
      </x:c>
      <x:c r="H1051" s="9" t="n">
        <x:v>-0.36152973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-1.80285354</x:v>
      </x:c>
      <x:c r="G1052" s="9" t="n">
        <x:v>-0.71200559</x:v>
      </x:c>
      <x:c r="H1052" s="9" t="n">
        <x:v>-1.2200661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-1.80285354</x:v>
      </x:c>
      <x:c r="G1053" s="9" t="n">
        <x:v>-0.71200559</x:v>
      </x:c>
      <x:c r="H1053" s="9" t="n">
        <x:v>-1.2200661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-1.80285354</x:v>
      </x:c>
      <x:c r="G1054" s="9" t="n">
        <x:v>-0.71200559</x:v>
      </x:c>
      <x:c r="H1054" s="9" t="n">
        <x:v>-1.2200661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-1.80285354</x:v>
      </x:c>
      <x:c r="G1055" s="9" t="n">
        <x:v>-0.71200559</x:v>
      </x:c>
      <x:c r="H1055" s="9" t="n">
        <x:v>-1.2200661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-1.80285354</x:v>
      </x:c>
      <x:c r="G1056" s="9" t="n">
        <x:v>-0.71200559</x:v>
      </x:c>
      <x:c r="H1056" s="9" t="n">
        <x:v>-1.2200661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-1.80285354</x:v>
      </x:c>
      <x:c r="G1057" s="9" t="n">
        <x:v>-0.71200559</x:v>
      </x:c>
      <x:c r="H1057" s="9" t="n">
        <x:v>-1.2200661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-1.80285354</x:v>
      </x:c>
      <x:c r="G1058" s="9" t="n">
        <x:v>1.59559274</x:v>
      </x:c>
      <x:c r="H1058" s="9" t="n">
        <x:v>0.9812424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-1.80285354</x:v>
      </x:c>
      <x:c r="G1059" s="9" t="n">
        <x:v>1.59559274</x:v>
      </x:c>
      <x:c r="H1059" s="9" t="n">
        <x:v>0.9812424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-1.80285354</x:v>
      </x:c>
      <x:c r="G1060" s="9" t="n">
        <x:v>1.59559274</x:v>
      </x:c>
      <x:c r="H1060" s="9" t="n">
        <x:v>0.9812424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-1.80285354</x:v>
      </x:c>
      <x:c r="G1061" s="9" t="n">
        <x:v>1.59559274</x:v>
      </x:c>
      <x:c r="H1061" s="9" t="n">
        <x:v>0.9812424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-1.80285354</x:v>
      </x:c>
      <x:c r="G1062" s="9" t="n">
        <x:v>1.59559274</x:v>
      </x:c>
      <x:c r="H1062" s="9" t="n">
        <x:v>0.9812424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-1.80285354</x:v>
      </x:c>
      <x:c r="G1063" s="9" t="n">
        <x:v>1.59559274</x:v>
      </x:c>
      <x:c r="H1063" s="9" t="n">
        <x:v>0.9812424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-1.80285354</x:v>
      </x:c>
      <x:c r="G1064" s="9" t="n">
        <x:v>-0.16118066</x:v>
      </x:c>
      <x:c r="H1064" s="9" t="n">
        <x:v>-0.69461261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-1.80285354</x:v>
      </x:c>
      <x:c r="G1065" s="9" t="n">
        <x:v>-0.16118066</x:v>
      </x:c>
      <x:c r="H1065" s="9" t="n">
        <x:v>-0.69461261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-1.80285354</x:v>
      </x:c>
      <x:c r="G1066" s="9" t="n">
        <x:v>-0.16118066</x:v>
      </x:c>
      <x:c r="H1066" s="9" t="n">
        <x:v>-0.69461261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-1.80285354</x:v>
      </x:c>
      <x:c r="G1067" s="9" t="n">
        <x:v>-0.16118066</x:v>
      </x:c>
      <x:c r="H1067" s="9" t="n">
        <x:v>-0.69461261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-1.80285354</x:v>
      </x:c>
      <x:c r="G1068" s="9" t="n">
        <x:v>-0.16118066</x:v>
      </x:c>
      <x:c r="H1068" s="9" t="n">
        <x:v>-0.69461261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-1.80285354</x:v>
      </x:c>
      <x:c r="G1069" s="9" t="n">
        <x:v>-0.16118066</x:v>
      </x:c>
      <x:c r="H1069" s="9" t="n">
        <x:v>-0.69461261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-1.80285354</x:v>
      </x:c>
      <x:c r="G1070" s="9" t="n">
        <x:v>-0.65693846</x:v>
      </x:c>
      <x:c r="H1070" s="9" t="n">
        <x:v>-1.16753542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-1.80285354</x:v>
      </x:c>
      <x:c r="G1071" s="9" t="n">
        <x:v>-0.65693846</x:v>
      </x:c>
      <x:c r="H1071" s="9" t="n">
        <x:v>-1.16753542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-1.80285354</x:v>
      </x:c>
      <x:c r="G1072" s="9" t="n">
        <x:v>-0.65693846</x:v>
      </x:c>
      <x:c r="H1072" s="9" t="n">
        <x:v>-1.16753542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-1.80285354</x:v>
      </x:c>
      <x:c r="G1073" s="9" t="n">
        <x:v>-0.65693846</x:v>
      </x:c>
      <x:c r="H1073" s="9" t="n">
        <x:v>-1.16753542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-1.80285354</x:v>
      </x:c>
      <x:c r="G1074" s="9" t="n">
        <x:v>-0.65693846</x:v>
      </x:c>
      <x:c r="H1074" s="9" t="n">
        <x:v>-1.16753542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-1.80285354</x:v>
      </x:c>
      <x:c r="G1075" s="9" t="n">
        <x:v>-0.65693846</x:v>
      </x:c>
      <x:c r="H1075" s="9" t="n">
        <x:v>-1.16753542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-1.80285354</x:v>
      </x:c>
      <x:c r="G1076" s="9" t="n">
        <x:v>-1.46144237</x:v>
      </x:c>
      <x:c r="H1076" s="9" t="n">
        <x:v>-1.93498323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-1.80285354</x:v>
      </x:c>
      <x:c r="G1077" s="9" t="n">
        <x:v>-1.46144237</x:v>
      </x:c>
      <x:c r="H1077" s="9" t="n">
        <x:v>-1.93498323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-1.80285354</x:v>
      </x:c>
      <x:c r="G1078" s="9" t="n">
        <x:v>-1.46144237</x:v>
      </x:c>
      <x:c r="H1078" s="9" t="n">
        <x:v>-1.93498323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-1.80285354</x:v>
      </x:c>
      <x:c r="G1079" s="9" t="n">
        <x:v>-1.46144237</x:v>
      </x:c>
      <x:c r="H1079" s="9" t="n">
        <x:v>-1.93498323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-1.80285354</x:v>
      </x:c>
      <x:c r="G1080" s="9" t="n">
        <x:v>-1.46144237</x:v>
      </x:c>
      <x:c r="H1080" s="9" t="n">
        <x:v>-1.93498323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-1.80285354</x:v>
      </x:c>
      <x:c r="G1081" s="9" t="n">
        <x:v>-1.46144237</x:v>
      </x:c>
      <x:c r="H1081" s="9" t="n">
        <x:v>-1.93498323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38f5553ae9742f2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10</x:v>
      </x:c>
      <x:c r="C2" s="3" t="n">
        <x:f>COUNTA('Nodes'!A2:A11)</x:f>
        <x:v>10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60</x:v>
      </x:c>
      <x:c r="C3" s="3" t="n">
        <x:f>COUNTA('Physical_Arcs'!A2:A61)</x:f>
        <x:v>60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10</x:v>
      </x:c>
      <x:c r="C4" s="3" t="n">
        <x:f>COUNTA('OD_Base'!A2:A11)</x:f>
        <x:v>10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10</x:v>
      </x:c>
      <x:c r="C5" s="3" t="n">
        <x:f>COUNTA('Commodities'!A2:A11)</x:f>
        <x:v>10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360</x:v>
      </x:c>
      <x:c r="C8" s="3" t="n">
        <x:f>COUNTA('ROW_Candidates'!A2:A361)</x:f>
        <x:v>360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300</x:v>
      </x:c>
      <x:c r="C10" s="3" t="n">
        <x:f>COUNTA('Demand_Scenarios'!A2:A301)</x:f>
        <x:v>300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2160</x:v>
      </x:c>
      <x:c r="C11" s="3" t="n">
        <x:f>COUNTA('Capacity_Base'!A2:A2161)</x:f>
        <x:v>2160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1800</x:v>
      </x:c>
      <x:c r="C12" s="3" t="n">
        <x:f>COUNTA('Capacity_Link_Shocks'!A2:A1801)</x:f>
        <x:v>1800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2020</x:v>
      </x:c>
      <x:c r="C14" s="3" t="n">
        <x:f>COUNTA('Traversal_Blocks'!A2:A2021)</x:f>
        <x:v>2020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115.0028085</x:v>
      </x:c>
      <x:c r="C18" s="3" t="n">
        <x:f>SUM('ROW_Candidates'!M2:M361)*0.25</x:f>
        <x:v>115.0028084999999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cb8535e5fe724906"/>
  </x:tableParts>
</x:worksheet>
</file>